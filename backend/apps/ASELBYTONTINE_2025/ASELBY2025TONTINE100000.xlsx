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298F3EF6-A72C-4EDD-BAF8-871E6DD11C85}" xr6:coauthVersionLast="37" xr6:coauthVersionMax="37" xr10:uidLastSave="{00000000-0000-0000-0000-000000000000}"/>
  <bookViews>
    <workbookView xWindow="0" yWindow="0" windowWidth="15480" windowHeight="6810" firstSheet="11" activeTab="12" xr2:uid="{00000000-000D-0000-FFFF-FFFF00000000}"/>
  </bookViews>
  <sheets>
    <sheet name="MODEPAID" sheetId="3" r:id="rId1"/>
    <sheet name="TONTJANV25" sheetId="116" r:id="rId2"/>
    <sheet name="TONTFEV25" sheetId="117" r:id="rId3"/>
    <sheet name="TONTMARS25" sheetId="118" r:id="rId4"/>
    <sheet name="TONTAVRIL25" sheetId="119" r:id="rId5"/>
    <sheet name="TONTMAI25" sheetId="120" r:id="rId6"/>
    <sheet name="TONTJUIN25" sheetId="121" r:id="rId7"/>
    <sheet name="TONTJUIL25" sheetId="122" r:id="rId8"/>
    <sheet name="TONTAOUT25" sheetId="123" r:id="rId9"/>
    <sheet name="TONTSEPT25" sheetId="124" r:id="rId10"/>
    <sheet name="TONTOCT25" sheetId="125" r:id="rId11"/>
    <sheet name="TONTNOV25" sheetId="126" r:id="rId12"/>
    <sheet name="TONTDEC25" sheetId="127" r:id="rId13"/>
    <sheet name="TONTRESUME25" sheetId="128" r:id="rId14"/>
    <sheet name="TONTJANV24" sheetId="102" r:id="rId15"/>
    <sheet name="TONTFEV24" sheetId="103" r:id="rId16"/>
    <sheet name="TONTMARS24" sheetId="104" r:id="rId17"/>
    <sheet name="TONTAVRIL24" sheetId="105" r:id="rId18"/>
    <sheet name="TONTMAI24" sheetId="106" r:id="rId19"/>
    <sheet name="TONTJUIN24" sheetId="107" r:id="rId20"/>
    <sheet name="TONTJUIL24" sheetId="108" r:id="rId21"/>
    <sheet name="TONTAOUT24" sheetId="109" r:id="rId22"/>
    <sheet name="TONTSEPT24" sheetId="110" r:id="rId23"/>
    <sheet name="TONTOCT24" sheetId="111" r:id="rId24"/>
    <sheet name="TONTNOV24" sheetId="112" r:id="rId25"/>
    <sheet name="TONTDEC24" sheetId="113" r:id="rId26"/>
    <sheet name="TONTRESUME24" sheetId="114" r:id="rId27"/>
    <sheet name="TONTRESUME24EDIT" sheetId="115" r:id="rId28"/>
    <sheet name="SYNTHESE" sheetId="101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_FilterDatabase" localSheetId="21" hidden="1">TONTAOUT24!$A$5:$P$19</definedName>
    <definedName name="_xlnm._FilterDatabase" localSheetId="8" hidden="1">TONTAOUT25!$A$5:$P$21</definedName>
    <definedName name="_xlnm._FilterDatabase" localSheetId="17" hidden="1">TONTAVRIL24!$A$5:$P$19</definedName>
    <definedName name="_xlnm._FilterDatabase" localSheetId="4" hidden="1">TONTAVRIL25!$A$5:$P$21</definedName>
    <definedName name="_xlnm._FilterDatabase" localSheetId="25" hidden="1">TONTDEC24!$A$5:$P$19</definedName>
    <definedName name="_xlnm._FilterDatabase" localSheetId="12" hidden="1">TONTDEC25!$A$5:$P$22</definedName>
    <definedName name="_xlnm._FilterDatabase" localSheetId="15" hidden="1">TONTFEV24!$A$5:$P$19</definedName>
    <definedName name="_xlnm._FilterDatabase" localSheetId="2" hidden="1">TONTFEV25!$A$5:$P$21</definedName>
    <definedName name="_xlnm._FilterDatabase" localSheetId="14" hidden="1">TONTJANV24!$A$5:$P$19</definedName>
    <definedName name="_xlnm._FilterDatabase" localSheetId="1" hidden="1">TONTJANV25!$A$5:$P$21</definedName>
    <definedName name="_xlnm._FilterDatabase" localSheetId="20" hidden="1">TONTJUIL24!$A$5:$P$19</definedName>
    <definedName name="_xlnm._FilterDatabase" localSheetId="7" hidden="1">TONTJUIL25!$A$5:$P$21</definedName>
    <definedName name="_xlnm._FilterDatabase" localSheetId="19" hidden="1">TONTJUIN24!$A$5:$P$19</definedName>
    <definedName name="_xlnm._FilterDatabase" localSheetId="6" hidden="1">TONTJUIN25!$A$5:$P$21</definedName>
    <definedName name="_xlnm._FilterDatabase" localSheetId="18" hidden="1">TONTMAI24!$A$5:$P$19</definedName>
    <definedName name="_xlnm._FilterDatabase" localSheetId="5" hidden="1">TONTMAI25!$A$5:$P$21</definedName>
    <definedName name="_xlnm._FilterDatabase" localSheetId="16" hidden="1">TONTMARS24!$A$5:$P$19</definedName>
    <definedName name="_xlnm._FilterDatabase" localSheetId="3" hidden="1">TONTMARS25!$A$5:$P$21</definedName>
    <definedName name="_xlnm._FilterDatabase" localSheetId="24" hidden="1">TONTNOV24!$A$5:$P$19</definedName>
    <definedName name="_xlnm._FilterDatabase" localSheetId="11" hidden="1">TONTNOV25!$A$5:$P$21</definedName>
    <definedName name="_xlnm._FilterDatabase" localSheetId="23" hidden="1">TONTOCT24!$A$5:$P$19</definedName>
    <definedName name="_xlnm._FilterDatabase" localSheetId="10" hidden="1">TONTOCT25!$A$5:$P$21</definedName>
    <definedName name="_xlnm._FilterDatabase" localSheetId="26" hidden="1">TONTRESUME24!$A$5:$T$29</definedName>
    <definedName name="_xlnm._FilterDatabase" localSheetId="27" hidden="1">TONTRESUME24EDIT!$A$4:$J$20</definedName>
    <definedName name="_xlnm._FilterDatabase" localSheetId="13" hidden="1">TONTRESUME25!$A$5:$T$32</definedName>
    <definedName name="_xlnm._FilterDatabase" localSheetId="22" hidden="1">TONTSEPT24!$A$5:$P$19</definedName>
    <definedName name="_xlnm._FilterDatabase" localSheetId="9" hidden="1">TONTSEPT25!$A$5:$P$21</definedName>
    <definedName name="BANQUE" localSheetId="21">#REF!</definedName>
    <definedName name="BANQUE" localSheetId="8">#REF!</definedName>
    <definedName name="BANQUE" localSheetId="17">#REF!</definedName>
    <definedName name="BANQUE" localSheetId="4">#REF!</definedName>
    <definedName name="BANQUE" localSheetId="25">#REF!</definedName>
    <definedName name="BANQUE" localSheetId="12">#REF!</definedName>
    <definedName name="BANQUE" localSheetId="15">#REF!</definedName>
    <definedName name="BANQUE" localSheetId="2">#REF!</definedName>
    <definedName name="BANQUE" localSheetId="14">#REF!</definedName>
    <definedName name="BANQUE" localSheetId="1">#REF!</definedName>
    <definedName name="BANQUE" localSheetId="20">#REF!</definedName>
    <definedName name="BANQUE" localSheetId="7">#REF!</definedName>
    <definedName name="BANQUE" localSheetId="19">#REF!</definedName>
    <definedName name="BANQUE" localSheetId="6">#REF!</definedName>
    <definedName name="BANQUE" localSheetId="18">#REF!</definedName>
    <definedName name="BANQUE" localSheetId="5">#REF!</definedName>
    <definedName name="BANQUE" localSheetId="16">#REF!</definedName>
    <definedName name="BANQUE" localSheetId="3">#REF!</definedName>
    <definedName name="BANQUE" localSheetId="24">#REF!</definedName>
    <definedName name="BANQUE" localSheetId="11">#REF!</definedName>
    <definedName name="BANQUE" localSheetId="23">#REF!</definedName>
    <definedName name="BANQUE" localSheetId="10">#REF!</definedName>
    <definedName name="BANQUE" localSheetId="26">#REF!</definedName>
    <definedName name="BANQUE" localSheetId="27">#REF!</definedName>
    <definedName name="BANQUE" localSheetId="13">#REF!</definedName>
    <definedName name="BANQUE" localSheetId="22">#REF!</definedName>
    <definedName name="BANQUE" localSheetId="9">#REF!</definedName>
    <definedName name="BANQUE">#REF!</definedName>
    <definedName name="_xlnm.Print_Titles" localSheetId="27">TONTRESUME24EDIT!$A:$A</definedName>
    <definedName name="MODEPAID" localSheetId="0">MODEPAID!$A$1:$A$3</definedName>
    <definedName name="MODEPAID" localSheetId="21">[1]Feuil2!$A$1:$A$3</definedName>
    <definedName name="MODEPAID" localSheetId="8">[1]Feuil2!$A$1:$A$3</definedName>
    <definedName name="MODEPAID" localSheetId="17">[1]Feuil2!$A$1:$A$3</definedName>
    <definedName name="MODEPAID" localSheetId="4">[1]Feuil2!$A$1:$A$3</definedName>
    <definedName name="MODEPAID" localSheetId="25">[1]Feuil2!$A$1:$A$3</definedName>
    <definedName name="MODEPAID" localSheetId="12">[1]Feuil2!$A$1:$A$3</definedName>
    <definedName name="MODEPAID" localSheetId="15">[1]Feuil2!$A$1:$A$3</definedName>
    <definedName name="MODEPAID" localSheetId="2">[1]Feuil2!$A$1:$A$3</definedName>
    <definedName name="MODEPAID" localSheetId="14">[1]Feuil2!$A$1:$A$3</definedName>
    <definedName name="MODEPAID" localSheetId="1">[1]Feuil2!$A$1:$A$3</definedName>
    <definedName name="MODEPAID" localSheetId="20">[1]Feuil2!$A$1:$A$3</definedName>
    <definedName name="MODEPAID" localSheetId="7">[1]Feuil2!$A$1:$A$3</definedName>
    <definedName name="MODEPAID" localSheetId="19">[1]Feuil2!$A$1:$A$3</definedName>
    <definedName name="MODEPAID" localSheetId="6">[1]Feuil2!$A$1:$A$3</definedName>
    <definedName name="MODEPAID" localSheetId="18">[1]Feuil2!$A$1:$A$3</definedName>
    <definedName name="MODEPAID" localSheetId="5">[1]Feuil2!$A$1:$A$3</definedName>
    <definedName name="MODEPAID" localSheetId="16">[1]Feuil2!$A$1:$A$3</definedName>
    <definedName name="MODEPAID" localSheetId="3">[1]Feuil2!$A$1:$A$3</definedName>
    <definedName name="MODEPAID" localSheetId="24">[1]Feuil2!$A$1:$A$3</definedName>
    <definedName name="MODEPAID" localSheetId="11">[1]Feuil2!$A$1:$A$3</definedName>
    <definedName name="MODEPAID" localSheetId="23">[1]Feuil2!$A$1:$A$3</definedName>
    <definedName name="MODEPAID" localSheetId="10">[1]Feuil2!$A$1:$A$3</definedName>
    <definedName name="MODEPAID" localSheetId="26">[1]Feuil2!$A$1:$A$3</definedName>
    <definedName name="MODEPAID" localSheetId="27">[1]Feuil2!$A$1:$A$3</definedName>
    <definedName name="MODEPAID" localSheetId="13">[1]Feuil2!$A$1:$A$3</definedName>
    <definedName name="MODEPAID" localSheetId="22">[1]Feuil2!$A$1:$A$3</definedName>
    <definedName name="MODEPAID" localSheetId="9">[1]Feuil2!$A$1:$A$3</definedName>
    <definedName name="MODEPAID">#REF!</definedName>
    <definedName name="MODET25000">[2]MODEVERSEMENT!$A$1:$A$3</definedName>
    <definedName name="MODEVERSEMENT" localSheetId="21">#REF!</definedName>
    <definedName name="MODEVERSEMENT" localSheetId="8">#REF!</definedName>
    <definedName name="MODEVERSEMENT" localSheetId="17">#REF!</definedName>
    <definedName name="MODEVERSEMENT" localSheetId="4">#REF!</definedName>
    <definedName name="MODEVERSEMENT" localSheetId="25">#REF!</definedName>
    <definedName name="MODEVERSEMENT" localSheetId="12">#REF!</definedName>
    <definedName name="MODEVERSEMENT" localSheetId="15">#REF!</definedName>
    <definedName name="MODEVERSEMENT" localSheetId="2">#REF!</definedName>
    <definedName name="MODEVERSEMENT" localSheetId="14">#REF!</definedName>
    <definedName name="MODEVERSEMENT" localSheetId="1">#REF!</definedName>
    <definedName name="MODEVERSEMENT" localSheetId="20">#REF!</definedName>
    <definedName name="MODEVERSEMENT" localSheetId="7">#REF!</definedName>
    <definedName name="MODEVERSEMENT" localSheetId="19">#REF!</definedName>
    <definedName name="MODEVERSEMENT" localSheetId="6">#REF!</definedName>
    <definedName name="MODEVERSEMENT" localSheetId="18">#REF!</definedName>
    <definedName name="MODEVERSEMENT" localSheetId="5">#REF!</definedName>
    <definedName name="MODEVERSEMENT" localSheetId="16">#REF!</definedName>
    <definedName name="MODEVERSEMENT" localSheetId="3">#REF!</definedName>
    <definedName name="MODEVERSEMENT" localSheetId="24">#REF!</definedName>
    <definedName name="MODEVERSEMENT" localSheetId="11">#REF!</definedName>
    <definedName name="MODEVERSEMENT" localSheetId="23">#REF!</definedName>
    <definedName name="MODEVERSEMENT" localSheetId="10">#REF!</definedName>
    <definedName name="MODEVERSEMENT" localSheetId="26">#REF!</definedName>
    <definedName name="MODEVERSEMENT" localSheetId="27">#REF!</definedName>
    <definedName name="MODEVERSEMENT" localSheetId="13">#REF!</definedName>
    <definedName name="MODEVERSEMENT" localSheetId="22">#REF!</definedName>
    <definedName name="MODEVERSEMENT" localSheetId="9">#REF!</definedName>
    <definedName name="MODEVERSEMENT">#REF!</definedName>
    <definedName name="MODEVERSEMENTS" localSheetId="21">[3]MODEVERSEMENT!$A$1:$A$3</definedName>
    <definedName name="MODEVERSEMENTS" localSheetId="8">[3]MODEVERSEMENT!$A$1:$A$3</definedName>
    <definedName name="MODEVERSEMENTS" localSheetId="17">[3]MODEVERSEMENT!$A$1:$A$3</definedName>
    <definedName name="MODEVERSEMENTS" localSheetId="4">[3]MODEVERSEMENT!$A$1:$A$3</definedName>
    <definedName name="MODEVERSEMENTS" localSheetId="25">[3]MODEVERSEMENT!$A$1:$A$3</definedName>
    <definedName name="MODEVERSEMENTS" localSheetId="12">[3]MODEVERSEMENT!$A$1:$A$3</definedName>
    <definedName name="MODEVERSEMENTS" localSheetId="15">[3]MODEVERSEMENT!$A$1:$A$3</definedName>
    <definedName name="MODEVERSEMENTS" localSheetId="2">[3]MODEVERSEMENT!$A$1:$A$3</definedName>
    <definedName name="MODEVERSEMENTS" localSheetId="14">[3]MODEVERSEMENT!$A$1:$A$3</definedName>
    <definedName name="MODEVERSEMENTS" localSheetId="1">[3]MODEVERSEMENT!$A$1:$A$3</definedName>
    <definedName name="MODEVERSEMENTS" localSheetId="20">[3]MODEVERSEMENT!$A$1:$A$3</definedName>
    <definedName name="MODEVERSEMENTS" localSheetId="7">[3]MODEVERSEMENT!$A$1:$A$3</definedName>
    <definedName name="MODEVERSEMENTS" localSheetId="19">[3]MODEVERSEMENT!$A$1:$A$3</definedName>
    <definedName name="MODEVERSEMENTS" localSheetId="6">[3]MODEVERSEMENT!$A$1:$A$3</definedName>
    <definedName name="MODEVERSEMENTS" localSheetId="18">[3]MODEVERSEMENT!$A$1:$A$3</definedName>
    <definedName name="MODEVERSEMENTS" localSheetId="5">[3]MODEVERSEMENT!$A$1:$A$3</definedName>
    <definedName name="MODEVERSEMENTS" localSheetId="16">[3]MODEVERSEMENT!$A$1:$A$3</definedName>
    <definedName name="MODEVERSEMENTS" localSheetId="3">[3]MODEVERSEMENT!$A$1:$A$3</definedName>
    <definedName name="MODEVERSEMENTS" localSheetId="24">[3]MODEVERSEMENT!$A$1:$A$3</definedName>
    <definedName name="MODEVERSEMENTS" localSheetId="11">[3]MODEVERSEMENT!$A$1:$A$3</definedName>
    <definedName name="MODEVERSEMENTS" localSheetId="23">[3]MODEVERSEMENT!$A$1:$A$3</definedName>
    <definedName name="MODEVERSEMENTS" localSheetId="10">[3]MODEVERSEMENT!$A$1:$A$3</definedName>
    <definedName name="MODEVERSEMENTS" localSheetId="26">[3]MODEVERSEMENT!$A$1:$A$3</definedName>
    <definedName name="MODEVERSEMENTS" localSheetId="27">[3]MODEVERSEMENT!$A$1:$A$3</definedName>
    <definedName name="MODEVERSEMENTS" localSheetId="13">[3]MODEVERSEMENT!$A$1:$A$3</definedName>
    <definedName name="MODEVERSEMENTS" localSheetId="22">[3]MODEVERSEMENT!$A$1:$A$3</definedName>
    <definedName name="MODEVERSEMENTS" localSheetId="9">[3]MODEVERSEMENT!$A$1:$A$3</definedName>
    <definedName name="MODEVERSEMENTS">[4]MODEVERSEMENT!$A$1:$A$3</definedName>
    <definedName name="MODPAID" localSheetId="21">TONTAOUT24!#REF!</definedName>
    <definedName name="MODPAID" localSheetId="8">TONTAOUT25!#REF!</definedName>
    <definedName name="MODPAID" localSheetId="17">TONTAVRIL24!#REF!</definedName>
    <definedName name="MODPAID" localSheetId="4">TONTAVRIL25!#REF!</definedName>
    <definedName name="MODPAID" localSheetId="25">TONTDEC24!#REF!</definedName>
    <definedName name="MODPAID" localSheetId="12">TONTDEC25!#REF!</definedName>
    <definedName name="MODPAID" localSheetId="15">TONTFEV24!#REF!</definedName>
    <definedName name="MODPAID" localSheetId="2">TONTFEV25!#REF!</definedName>
    <definedName name="MODPAID" localSheetId="14">TONTJANV24!#REF!</definedName>
    <definedName name="MODPAID" localSheetId="1">TONTJANV25!#REF!</definedName>
    <definedName name="MODPAID" localSheetId="20">TONTJUIL24!#REF!</definedName>
    <definedName name="MODPAID" localSheetId="7">TONTJUIL25!#REF!</definedName>
    <definedName name="MODPAID" localSheetId="19">TONTJUIN24!#REF!</definedName>
    <definedName name="MODPAID" localSheetId="6">TONTJUIN25!#REF!</definedName>
    <definedName name="MODPAID" localSheetId="18">TONTMAI24!#REF!</definedName>
    <definedName name="MODPAID" localSheetId="5">TONTMAI25!#REF!</definedName>
    <definedName name="MODPAID" localSheetId="16">TONTMARS24!#REF!</definedName>
    <definedName name="MODPAID" localSheetId="3">TONTMARS25!#REF!</definedName>
    <definedName name="MODPAID" localSheetId="24">TONTNOV24!#REF!</definedName>
    <definedName name="MODPAID" localSheetId="11">TONTNOV25!#REF!</definedName>
    <definedName name="MODPAID" localSheetId="23">TONTOCT24!#REF!</definedName>
    <definedName name="MODPAID" localSheetId="10">TONTOCT25!#REF!</definedName>
    <definedName name="MODPAID" localSheetId="26">TONTRESUME24!#REF!</definedName>
    <definedName name="MODPAID" localSheetId="27">TONTRESUME24EDIT!#REF!</definedName>
    <definedName name="MODPAID" localSheetId="13">TONTRESUME25!#REF!</definedName>
    <definedName name="MODPAID" localSheetId="22">TONTSEPT24!#REF!</definedName>
    <definedName name="MODPAID" localSheetId="9">TONTSEPT25!#REF!</definedName>
    <definedName name="VALMODEPAID" localSheetId="21">[5]MODEPAID!$A$1:$A$3</definedName>
    <definedName name="VALMODEPAID" localSheetId="8">[5]MODEPAID!$A$1:$A$3</definedName>
    <definedName name="VALMODEPAID" localSheetId="17">[5]MODEPAID!$A$1:$A$3</definedName>
    <definedName name="VALMODEPAID" localSheetId="4">[5]MODEPAID!$A$1:$A$3</definedName>
    <definedName name="VALMODEPAID" localSheetId="25">[5]MODEPAID!$A$1:$A$3</definedName>
    <definedName name="VALMODEPAID" localSheetId="12">[5]MODEPAID!$A$1:$A$3</definedName>
    <definedName name="VALMODEPAID" localSheetId="15">[5]MODEPAID!$A$1:$A$3</definedName>
    <definedName name="VALMODEPAID" localSheetId="2">[5]MODEPAID!$A$1:$A$3</definedName>
    <definedName name="VALMODEPAID" localSheetId="14">[5]MODEPAID!$A$1:$A$3</definedName>
    <definedName name="VALMODEPAID" localSheetId="1">[5]MODEPAID!$A$1:$A$3</definedName>
    <definedName name="VALMODEPAID" localSheetId="20">[5]MODEPAID!$A$1:$A$3</definedName>
    <definedName name="VALMODEPAID" localSheetId="7">[5]MODEPAID!$A$1:$A$3</definedName>
    <definedName name="VALMODEPAID" localSheetId="19">[5]MODEPAID!$A$1:$A$3</definedName>
    <definedName name="VALMODEPAID" localSheetId="6">[5]MODEPAID!$A$1:$A$3</definedName>
    <definedName name="VALMODEPAID" localSheetId="18">[5]MODEPAID!$A$1:$A$3</definedName>
    <definedName name="VALMODEPAID" localSheetId="5">[5]MODEPAID!$A$1:$A$3</definedName>
    <definedName name="VALMODEPAID" localSheetId="16">[5]MODEPAID!$A$1:$A$3</definedName>
    <definedName name="VALMODEPAID" localSheetId="3">[5]MODEPAID!$A$1:$A$3</definedName>
    <definedName name="VALMODEPAID" localSheetId="24">[5]MODEPAID!$A$1:$A$3</definedName>
    <definedName name="VALMODEPAID" localSheetId="11">[5]MODEPAID!$A$1:$A$3</definedName>
    <definedName name="VALMODEPAID" localSheetId="23">[5]MODEPAID!$A$1:$A$3</definedName>
    <definedName name="VALMODEPAID" localSheetId="10">[5]MODEPAID!$A$1:$A$3</definedName>
    <definedName name="VALMODEPAID" localSheetId="26">[5]MODEPAID!$A$1:$A$3</definedName>
    <definedName name="VALMODEPAID" localSheetId="27">[5]MODEPAID!$A$1:$A$3</definedName>
    <definedName name="VALMODEPAID" localSheetId="13">[5]MODEPAID!$A$1:$A$3</definedName>
    <definedName name="VALMODEPAID" localSheetId="22">[5]MODEPAID!$A$1:$A$3</definedName>
    <definedName name="VALMODEPAID" localSheetId="9">[5]MODEPAID!$A$1:$A$3</definedName>
    <definedName name="VALMODEPAID">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5" i="128" l="1"/>
  <c r="F6" i="118" l="1"/>
  <c r="P22" i="126" l="1"/>
  <c r="M22" i="126" s="1"/>
  <c r="N22" i="126"/>
  <c r="I22" i="126"/>
  <c r="G22" i="126"/>
  <c r="H22" i="126" s="1"/>
  <c r="F22" i="126"/>
  <c r="P21" i="126"/>
  <c r="M21" i="126" s="1"/>
  <c r="N21" i="126"/>
  <c r="I21" i="126"/>
  <c r="G21" i="126"/>
  <c r="F21" i="126"/>
  <c r="P20" i="126"/>
  <c r="M20" i="126" s="1"/>
  <c r="N20" i="126"/>
  <c r="I20" i="126"/>
  <c r="G20" i="126"/>
  <c r="H20" i="126" s="1"/>
  <c r="F20" i="126"/>
  <c r="P19" i="126"/>
  <c r="O19" i="126" s="1"/>
  <c r="N19" i="126"/>
  <c r="I19" i="126"/>
  <c r="G19" i="126"/>
  <c r="H19" i="126" s="1"/>
  <c r="F19" i="126"/>
  <c r="P18" i="126"/>
  <c r="M18" i="126" s="1"/>
  <c r="N18" i="126"/>
  <c r="I18" i="126"/>
  <c r="G18" i="126"/>
  <c r="H18" i="126" s="1"/>
  <c r="F18" i="126"/>
  <c r="P17" i="126"/>
  <c r="M17" i="126" s="1"/>
  <c r="N17" i="126"/>
  <c r="I17" i="126"/>
  <c r="G17" i="126"/>
  <c r="H17" i="126" s="1"/>
  <c r="F17" i="126"/>
  <c r="P16" i="126"/>
  <c r="M16" i="126" s="1"/>
  <c r="N16" i="126"/>
  <c r="I16" i="126"/>
  <c r="G16" i="126"/>
  <c r="H16" i="126" s="1"/>
  <c r="F16" i="126"/>
  <c r="P15" i="126"/>
  <c r="M15" i="126" s="1"/>
  <c r="N15" i="126"/>
  <c r="I15" i="126"/>
  <c r="G15" i="126"/>
  <c r="H15" i="126" s="1"/>
  <c r="F15" i="126"/>
  <c r="P14" i="126"/>
  <c r="M14" i="126" s="1"/>
  <c r="N14" i="126"/>
  <c r="I14" i="126"/>
  <c r="G14" i="126"/>
  <c r="H14" i="126" s="1"/>
  <c r="F14" i="126"/>
  <c r="P13" i="126"/>
  <c r="M13" i="126" s="1"/>
  <c r="N13" i="126"/>
  <c r="I13" i="126"/>
  <c r="G13" i="126"/>
  <c r="H13" i="126" s="1"/>
  <c r="F13" i="126"/>
  <c r="P12" i="126"/>
  <c r="M12" i="126" s="1"/>
  <c r="N12" i="126"/>
  <c r="I12" i="126"/>
  <c r="G12" i="126"/>
  <c r="H12" i="126" s="1"/>
  <c r="F12" i="126"/>
  <c r="P11" i="126"/>
  <c r="O11" i="126" s="1"/>
  <c r="N11" i="126"/>
  <c r="I11" i="126"/>
  <c r="G11" i="126"/>
  <c r="H11" i="126" s="1"/>
  <c r="F11" i="126"/>
  <c r="P10" i="126"/>
  <c r="M10" i="126" s="1"/>
  <c r="N10" i="126"/>
  <c r="I10" i="126"/>
  <c r="G10" i="126"/>
  <c r="H10" i="126" s="1"/>
  <c r="F10" i="126"/>
  <c r="P9" i="126"/>
  <c r="M9" i="126" s="1"/>
  <c r="N9" i="126"/>
  <c r="I9" i="126"/>
  <c r="G9" i="126"/>
  <c r="H9" i="126" s="1"/>
  <c r="F9" i="126"/>
  <c r="P8" i="126"/>
  <c r="O8" i="126" s="1"/>
  <c r="N8" i="126"/>
  <c r="I8" i="126"/>
  <c r="G8" i="126"/>
  <c r="H8" i="126" s="1"/>
  <c r="F8" i="126"/>
  <c r="P7" i="126"/>
  <c r="M7" i="126" s="1"/>
  <c r="N7" i="126"/>
  <c r="I7" i="126"/>
  <c r="G7" i="126"/>
  <c r="H7" i="126" s="1"/>
  <c r="F7" i="126"/>
  <c r="P6" i="126"/>
  <c r="M6" i="126" s="1"/>
  <c r="N6" i="126"/>
  <c r="I6" i="126"/>
  <c r="G6" i="126"/>
  <c r="H6" i="126" s="1"/>
  <c r="F6" i="126"/>
  <c r="P22" i="127"/>
  <c r="M22" i="127" s="1"/>
  <c r="N22" i="127"/>
  <c r="I22" i="127"/>
  <c r="G22" i="127"/>
  <c r="H22" i="127" s="1"/>
  <c r="F22" i="127"/>
  <c r="P21" i="127"/>
  <c r="M21" i="127" s="1"/>
  <c r="N21" i="127"/>
  <c r="I21" i="127"/>
  <c r="G21" i="127"/>
  <c r="H21" i="127" s="1"/>
  <c r="F21" i="127"/>
  <c r="P20" i="127"/>
  <c r="M20" i="127" s="1"/>
  <c r="N20" i="127"/>
  <c r="I20" i="127"/>
  <c r="G20" i="127"/>
  <c r="H20" i="127" s="1"/>
  <c r="F20" i="127"/>
  <c r="P19" i="127"/>
  <c r="M19" i="127" s="1"/>
  <c r="N19" i="127"/>
  <c r="I19" i="127"/>
  <c r="G19" i="127"/>
  <c r="H19" i="127" s="1"/>
  <c r="F19" i="127"/>
  <c r="P18" i="127"/>
  <c r="M18" i="127" s="1"/>
  <c r="N18" i="127"/>
  <c r="I18" i="127"/>
  <c r="G18" i="127"/>
  <c r="H18" i="127" s="1"/>
  <c r="F18" i="127"/>
  <c r="P17" i="127"/>
  <c r="M17" i="127" s="1"/>
  <c r="N17" i="127"/>
  <c r="I17" i="127"/>
  <c r="G17" i="127"/>
  <c r="H17" i="127" s="1"/>
  <c r="F17" i="127"/>
  <c r="P16" i="127"/>
  <c r="M16" i="127" s="1"/>
  <c r="N16" i="127"/>
  <c r="I16" i="127"/>
  <c r="G16" i="127"/>
  <c r="F16" i="127"/>
  <c r="P15" i="127"/>
  <c r="O15" i="127" s="1"/>
  <c r="N15" i="127"/>
  <c r="I15" i="127"/>
  <c r="G15" i="127"/>
  <c r="H15" i="127" s="1"/>
  <c r="F15" i="127"/>
  <c r="P14" i="127"/>
  <c r="M14" i="127" s="1"/>
  <c r="N14" i="127"/>
  <c r="I14" i="127"/>
  <c r="G14" i="127"/>
  <c r="H14" i="127" s="1"/>
  <c r="F14" i="127"/>
  <c r="P13" i="127"/>
  <c r="M13" i="127" s="1"/>
  <c r="N13" i="127"/>
  <c r="I13" i="127"/>
  <c r="G13" i="127"/>
  <c r="H13" i="127" s="1"/>
  <c r="F13" i="127"/>
  <c r="P12" i="127"/>
  <c r="M12" i="127" s="1"/>
  <c r="N12" i="127"/>
  <c r="I12" i="127"/>
  <c r="G12" i="127"/>
  <c r="H12" i="127" s="1"/>
  <c r="F12" i="127"/>
  <c r="P11" i="127"/>
  <c r="M11" i="127" s="1"/>
  <c r="N11" i="127"/>
  <c r="I11" i="127"/>
  <c r="G11" i="127"/>
  <c r="H11" i="127" s="1"/>
  <c r="F11" i="127"/>
  <c r="P10" i="127"/>
  <c r="M10" i="127" s="1"/>
  <c r="N10" i="127"/>
  <c r="I10" i="127"/>
  <c r="G10" i="127"/>
  <c r="H10" i="127" s="1"/>
  <c r="F10" i="127"/>
  <c r="P9" i="127"/>
  <c r="M9" i="127" s="1"/>
  <c r="N9" i="127"/>
  <c r="I9" i="127"/>
  <c r="G9" i="127"/>
  <c r="F9" i="127"/>
  <c r="P8" i="127"/>
  <c r="M8" i="127" s="1"/>
  <c r="N8" i="127"/>
  <c r="I8" i="127"/>
  <c r="G8" i="127"/>
  <c r="H8" i="127" s="1"/>
  <c r="F8" i="127"/>
  <c r="P7" i="127"/>
  <c r="O7" i="127" s="1"/>
  <c r="N7" i="127"/>
  <c r="I7" i="127"/>
  <c r="G7" i="127"/>
  <c r="H7" i="127" s="1"/>
  <c r="F7" i="127"/>
  <c r="P6" i="127"/>
  <c r="M6" i="127" s="1"/>
  <c r="N6" i="127"/>
  <c r="I6" i="127"/>
  <c r="G6" i="127"/>
  <c r="H6" i="127" s="1"/>
  <c r="F6" i="127"/>
  <c r="P22" i="125"/>
  <c r="M22" i="125" s="1"/>
  <c r="N22" i="125"/>
  <c r="I22" i="125"/>
  <c r="G22" i="125"/>
  <c r="H22" i="125" s="1"/>
  <c r="F22" i="125"/>
  <c r="P21" i="125"/>
  <c r="M21" i="125" s="1"/>
  <c r="N21" i="125"/>
  <c r="I21" i="125"/>
  <c r="G21" i="125"/>
  <c r="H21" i="125" s="1"/>
  <c r="F21" i="125"/>
  <c r="P20" i="125"/>
  <c r="M20" i="125" s="1"/>
  <c r="N20" i="125"/>
  <c r="I20" i="125"/>
  <c r="G20" i="125"/>
  <c r="H20" i="125" s="1"/>
  <c r="F20" i="125"/>
  <c r="P19" i="125"/>
  <c r="M19" i="125" s="1"/>
  <c r="N19" i="125"/>
  <c r="I19" i="125"/>
  <c r="G19" i="125"/>
  <c r="H19" i="125" s="1"/>
  <c r="F19" i="125"/>
  <c r="P18" i="125"/>
  <c r="M18" i="125" s="1"/>
  <c r="N18" i="125"/>
  <c r="I18" i="125"/>
  <c r="G18" i="125"/>
  <c r="H18" i="125" s="1"/>
  <c r="F18" i="125"/>
  <c r="P17" i="125"/>
  <c r="M17" i="125" s="1"/>
  <c r="N17" i="125"/>
  <c r="I17" i="125"/>
  <c r="G17" i="125"/>
  <c r="H17" i="125" s="1"/>
  <c r="F17" i="125"/>
  <c r="P16" i="125"/>
  <c r="M16" i="125" s="1"/>
  <c r="N16" i="125"/>
  <c r="I16" i="125"/>
  <c r="G16" i="125"/>
  <c r="H16" i="125" s="1"/>
  <c r="F16" i="125"/>
  <c r="P15" i="125"/>
  <c r="M15" i="125" s="1"/>
  <c r="N15" i="125"/>
  <c r="I15" i="125"/>
  <c r="G15" i="125"/>
  <c r="H15" i="125" s="1"/>
  <c r="F15" i="125"/>
  <c r="P14" i="125"/>
  <c r="M14" i="125" s="1"/>
  <c r="N14" i="125"/>
  <c r="I14" i="125"/>
  <c r="G14" i="125"/>
  <c r="H14" i="125" s="1"/>
  <c r="F14" i="125"/>
  <c r="P13" i="125"/>
  <c r="M13" i="125" s="1"/>
  <c r="N13" i="125"/>
  <c r="I13" i="125"/>
  <c r="G13" i="125"/>
  <c r="H13" i="125" s="1"/>
  <c r="F13" i="125"/>
  <c r="P12" i="125"/>
  <c r="M12" i="125" s="1"/>
  <c r="N12" i="125"/>
  <c r="I12" i="125"/>
  <c r="G12" i="125"/>
  <c r="H12" i="125" s="1"/>
  <c r="F12" i="125"/>
  <c r="P11" i="125"/>
  <c r="M11" i="125" s="1"/>
  <c r="N11" i="125"/>
  <c r="I11" i="125"/>
  <c r="G11" i="125"/>
  <c r="H11" i="125" s="1"/>
  <c r="F11" i="125"/>
  <c r="P10" i="125"/>
  <c r="M10" i="125" s="1"/>
  <c r="N10" i="125"/>
  <c r="I10" i="125"/>
  <c r="G10" i="125"/>
  <c r="H10" i="125" s="1"/>
  <c r="F10" i="125"/>
  <c r="P9" i="125"/>
  <c r="M9" i="125" s="1"/>
  <c r="N9" i="125"/>
  <c r="I9" i="125"/>
  <c r="G9" i="125"/>
  <c r="H9" i="125" s="1"/>
  <c r="F9" i="125"/>
  <c r="P8" i="125"/>
  <c r="M8" i="125" s="1"/>
  <c r="N8" i="125"/>
  <c r="I8" i="125"/>
  <c r="G8" i="125"/>
  <c r="H8" i="125" s="1"/>
  <c r="F8" i="125"/>
  <c r="P7" i="125"/>
  <c r="M7" i="125" s="1"/>
  <c r="N7" i="125"/>
  <c r="I7" i="125"/>
  <c r="G7" i="125"/>
  <c r="F7" i="125"/>
  <c r="P6" i="125"/>
  <c r="M6" i="125" s="1"/>
  <c r="N6" i="125"/>
  <c r="I6" i="125"/>
  <c r="G6" i="125"/>
  <c r="H6" i="125" s="1"/>
  <c r="F6" i="125"/>
  <c r="P22" i="124"/>
  <c r="M22" i="124" s="1"/>
  <c r="N22" i="124"/>
  <c r="I22" i="124"/>
  <c r="G22" i="124"/>
  <c r="H22" i="124" s="1"/>
  <c r="F22" i="124"/>
  <c r="P21" i="124"/>
  <c r="M21" i="124" s="1"/>
  <c r="N21" i="124"/>
  <c r="I21" i="124"/>
  <c r="G21" i="124"/>
  <c r="H21" i="124" s="1"/>
  <c r="F21" i="124"/>
  <c r="P20" i="124"/>
  <c r="M20" i="124" s="1"/>
  <c r="N20" i="124"/>
  <c r="I20" i="124"/>
  <c r="G20" i="124"/>
  <c r="H20" i="124" s="1"/>
  <c r="F20" i="124"/>
  <c r="P19" i="124"/>
  <c r="M19" i="124" s="1"/>
  <c r="N19" i="124"/>
  <c r="I19" i="124"/>
  <c r="G19" i="124"/>
  <c r="H19" i="124" s="1"/>
  <c r="F19" i="124"/>
  <c r="P18" i="124"/>
  <c r="M18" i="124" s="1"/>
  <c r="N18" i="124"/>
  <c r="I18" i="124"/>
  <c r="G18" i="124"/>
  <c r="H18" i="124" s="1"/>
  <c r="F18" i="124"/>
  <c r="P17" i="124"/>
  <c r="M17" i="124" s="1"/>
  <c r="N17" i="124"/>
  <c r="I17" i="124"/>
  <c r="G17" i="124"/>
  <c r="H17" i="124" s="1"/>
  <c r="F17" i="124"/>
  <c r="P16" i="124"/>
  <c r="M16" i="124" s="1"/>
  <c r="N16" i="124"/>
  <c r="I16" i="124"/>
  <c r="G16" i="124"/>
  <c r="H16" i="124" s="1"/>
  <c r="F16" i="124"/>
  <c r="P15" i="124"/>
  <c r="M15" i="124" s="1"/>
  <c r="N15" i="124"/>
  <c r="I15" i="124"/>
  <c r="G15" i="124"/>
  <c r="H15" i="124" s="1"/>
  <c r="F15" i="124"/>
  <c r="P14" i="124"/>
  <c r="M14" i="124" s="1"/>
  <c r="N14" i="124"/>
  <c r="I14" i="124"/>
  <c r="G14" i="124"/>
  <c r="H14" i="124" s="1"/>
  <c r="F14" i="124"/>
  <c r="P13" i="124"/>
  <c r="M13" i="124" s="1"/>
  <c r="N13" i="124"/>
  <c r="I13" i="124"/>
  <c r="G13" i="124"/>
  <c r="H13" i="124" s="1"/>
  <c r="F13" i="124"/>
  <c r="P12" i="124"/>
  <c r="M12" i="124" s="1"/>
  <c r="N12" i="124"/>
  <c r="I12" i="124"/>
  <c r="G12" i="124"/>
  <c r="H12" i="124" s="1"/>
  <c r="F12" i="124"/>
  <c r="P11" i="124"/>
  <c r="M11" i="124" s="1"/>
  <c r="N11" i="124"/>
  <c r="I11" i="124"/>
  <c r="G11" i="124"/>
  <c r="F11" i="124"/>
  <c r="P10" i="124"/>
  <c r="M10" i="124" s="1"/>
  <c r="N10" i="124"/>
  <c r="I10" i="124"/>
  <c r="G10" i="124"/>
  <c r="H10" i="124" s="1"/>
  <c r="F10" i="124"/>
  <c r="P9" i="124"/>
  <c r="O9" i="124" s="1"/>
  <c r="N9" i="124"/>
  <c r="I9" i="124"/>
  <c r="G9" i="124"/>
  <c r="H9" i="124" s="1"/>
  <c r="F9" i="124"/>
  <c r="P8" i="124"/>
  <c r="M8" i="124" s="1"/>
  <c r="N8" i="124"/>
  <c r="I8" i="124"/>
  <c r="G8" i="124"/>
  <c r="H8" i="124" s="1"/>
  <c r="F8" i="124"/>
  <c r="P7" i="124"/>
  <c r="M7" i="124" s="1"/>
  <c r="N7" i="124"/>
  <c r="I7" i="124"/>
  <c r="G7" i="124"/>
  <c r="H7" i="124" s="1"/>
  <c r="F7" i="124"/>
  <c r="P6" i="124"/>
  <c r="M6" i="124" s="1"/>
  <c r="N6" i="124"/>
  <c r="I6" i="124"/>
  <c r="G6" i="124"/>
  <c r="H6" i="124" s="1"/>
  <c r="F6" i="124"/>
  <c r="P22" i="123"/>
  <c r="M22" i="123" s="1"/>
  <c r="N22" i="123"/>
  <c r="I22" i="123"/>
  <c r="G22" i="123"/>
  <c r="H22" i="123" s="1"/>
  <c r="F22" i="123"/>
  <c r="P21" i="123"/>
  <c r="M21" i="123" s="1"/>
  <c r="N21" i="123"/>
  <c r="I21" i="123"/>
  <c r="G21" i="123"/>
  <c r="H21" i="123" s="1"/>
  <c r="F21" i="123"/>
  <c r="P20" i="123"/>
  <c r="M20" i="123" s="1"/>
  <c r="N20" i="123"/>
  <c r="I20" i="123"/>
  <c r="G20" i="123"/>
  <c r="H20" i="123" s="1"/>
  <c r="F20" i="123"/>
  <c r="P19" i="123"/>
  <c r="M19" i="123" s="1"/>
  <c r="N19" i="123"/>
  <c r="I19" i="123"/>
  <c r="G19" i="123"/>
  <c r="H19" i="123" s="1"/>
  <c r="F19" i="123"/>
  <c r="P18" i="123"/>
  <c r="M18" i="123" s="1"/>
  <c r="N18" i="123"/>
  <c r="I18" i="123"/>
  <c r="G18" i="123"/>
  <c r="H18" i="123" s="1"/>
  <c r="F18" i="123"/>
  <c r="P17" i="123"/>
  <c r="M17" i="123" s="1"/>
  <c r="N17" i="123"/>
  <c r="I17" i="123"/>
  <c r="G17" i="123"/>
  <c r="H17" i="123" s="1"/>
  <c r="F17" i="123"/>
  <c r="P16" i="123"/>
  <c r="M16" i="123" s="1"/>
  <c r="N16" i="123"/>
  <c r="I16" i="123"/>
  <c r="G16" i="123"/>
  <c r="H16" i="123" s="1"/>
  <c r="F16" i="123"/>
  <c r="P15" i="123"/>
  <c r="M15" i="123" s="1"/>
  <c r="N15" i="123"/>
  <c r="I15" i="123"/>
  <c r="G15" i="123"/>
  <c r="H15" i="123" s="1"/>
  <c r="F15" i="123"/>
  <c r="P14" i="123"/>
  <c r="M14" i="123" s="1"/>
  <c r="N14" i="123"/>
  <c r="I14" i="123"/>
  <c r="G14" i="123"/>
  <c r="H14" i="123" s="1"/>
  <c r="F14" i="123"/>
  <c r="P13" i="123"/>
  <c r="O13" i="123" s="1"/>
  <c r="N13" i="123"/>
  <c r="I13" i="123"/>
  <c r="G13" i="123"/>
  <c r="H13" i="123" s="1"/>
  <c r="F13" i="123"/>
  <c r="P12" i="123"/>
  <c r="M12" i="123" s="1"/>
  <c r="N12" i="123"/>
  <c r="I12" i="123"/>
  <c r="G12" i="123"/>
  <c r="H12" i="123" s="1"/>
  <c r="F12" i="123"/>
  <c r="P11" i="123"/>
  <c r="M11" i="123" s="1"/>
  <c r="N11" i="123"/>
  <c r="I11" i="123"/>
  <c r="G11" i="123"/>
  <c r="F11" i="123"/>
  <c r="P10" i="123"/>
  <c r="M10" i="123" s="1"/>
  <c r="N10" i="123"/>
  <c r="I10" i="123"/>
  <c r="G10" i="123"/>
  <c r="H10" i="123" s="1"/>
  <c r="F10" i="123"/>
  <c r="P9" i="123"/>
  <c r="M9" i="123" s="1"/>
  <c r="N9" i="123"/>
  <c r="I9" i="123"/>
  <c r="G9" i="123"/>
  <c r="H9" i="123" s="1"/>
  <c r="F9" i="123"/>
  <c r="P8" i="123"/>
  <c r="M8" i="123" s="1"/>
  <c r="N8" i="123"/>
  <c r="I8" i="123"/>
  <c r="G8" i="123"/>
  <c r="H8" i="123" s="1"/>
  <c r="F8" i="123"/>
  <c r="P7" i="123"/>
  <c r="M7" i="123" s="1"/>
  <c r="N7" i="123"/>
  <c r="I7" i="123"/>
  <c r="G7" i="123"/>
  <c r="H7" i="123" s="1"/>
  <c r="F7" i="123"/>
  <c r="P6" i="123"/>
  <c r="M6" i="123" s="1"/>
  <c r="N6" i="123"/>
  <c r="I6" i="123"/>
  <c r="G6" i="123"/>
  <c r="H6" i="123" s="1"/>
  <c r="F6" i="123"/>
  <c r="P22" i="122"/>
  <c r="M22" i="122" s="1"/>
  <c r="N22" i="122"/>
  <c r="I22" i="122"/>
  <c r="G22" i="122"/>
  <c r="H22" i="122" s="1"/>
  <c r="F22" i="122"/>
  <c r="P21" i="122"/>
  <c r="M21" i="122" s="1"/>
  <c r="N21" i="122"/>
  <c r="I21" i="122"/>
  <c r="G21" i="122"/>
  <c r="H21" i="122" s="1"/>
  <c r="F21" i="122"/>
  <c r="P20" i="122"/>
  <c r="M20" i="122" s="1"/>
  <c r="N20" i="122"/>
  <c r="I20" i="122"/>
  <c r="G20" i="122"/>
  <c r="H20" i="122" s="1"/>
  <c r="F20" i="122"/>
  <c r="P19" i="122"/>
  <c r="M19" i="122" s="1"/>
  <c r="N19" i="122"/>
  <c r="I19" i="122"/>
  <c r="G19" i="122"/>
  <c r="H19" i="122" s="1"/>
  <c r="F19" i="122"/>
  <c r="P18" i="122"/>
  <c r="M18" i="122" s="1"/>
  <c r="N18" i="122"/>
  <c r="I18" i="122"/>
  <c r="G18" i="122"/>
  <c r="H18" i="122" s="1"/>
  <c r="F18" i="122"/>
  <c r="P17" i="122"/>
  <c r="O17" i="122" s="1"/>
  <c r="N17" i="122"/>
  <c r="I17" i="122"/>
  <c r="G17" i="122"/>
  <c r="H17" i="122" s="1"/>
  <c r="F17" i="122"/>
  <c r="P16" i="122"/>
  <c r="M16" i="122" s="1"/>
  <c r="N16" i="122"/>
  <c r="I16" i="122"/>
  <c r="G16" i="122"/>
  <c r="H16" i="122" s="1"/>
  <c r="F16" i="122"/>
  <c r="P15" i="122"/>
  <c r="M15" i="122" s="1"/>
  <c r="N15" i="122"/>
  <c r="I15" i="122"/>
  <c r="G15" i="122"/>
  <c r="H15" i="122" s="1"/>
  <c r="F15" i="122"/>
  <c r="P14" i="122"/>
  <c r="M14" i="122" s="1"/>
  <c r="N14" i="122"/>
  <c r="I14" i="122"/>
  <c r="G14" i="122"/>
  <c r="H14" i="122" s="1"/>
  <c r="F14" i="122"/>
  <c r="P13" i="122"/>
  <c r="M13" i="122" s="1"/>
  <c r="N13" i="122"/>
  <c r="I13" i="122"/>
  <c r="G13" i="122"/>
  <c r="H13" i="122" s="1"/>
  <c r="F13" i="122"/>
  <c r="P12" i="122"/>
  <c r="M12" i="122" s="1"/>
  <c r="N12" i="122"/>
  <c r="I12" i="122"/>
  <c r="G12" i="122"/>
  <c r="H12" i="122" s="1"/>
  <c r="F12" i="122"/>
  <c r="P11" i="122"/>
  <c r="M11" i="122" s="1"/>
  <c r="N11" i="122"/>
  <c r="I11" i="122"/>
  <c r="G11" i="122"/>
  <c r="H11" i="122" s="1"/>
  <c r="F11" i="122"/>
  <c r="P10" i="122"/>
  <c r="M10" i="122" s="1"/>
  <c r="N10" i="122"/>
  <c r="I10" i="122"/>
  <c r="G10" i="122"/>
  <c r="H10" i="122" s="1"/>
  <c r="F10" i="122"/>
  <c r="P9" i="122"/>
  <c r="O9" i="122" s="1"/>
  <c r="N9" i="122"/>
  <c r="I9" i="122"/>
  <c r="G9" i="122"/>
  <c r="H9" i="122" s="1"/>
  <c r="F9" i="122"/>
  <c r="P8" i="122"/>
  <c r="M8" i="122" s="1"/>
  <c r="N8" i="122"/>
  <c r="I8" i="122"/>
  <c r="G8" i="122"/>
  <c r="H8" i="122" s="1"/>
  <c r="F8" i="122"/>
  <c r="P7" i="122"/>
  <c r="M7" i="122" s="1"/>
  <c r="N7" i="122"/>
  <c r="I7" i="122"/>
  <c r="G7" i="122"/>
  <c r="H7" i="122" s="1"/>
  <c r="F7" i="122"/>
  <c r="P6" i="122"/>
  <c r="M6" i="122" s="1"/>
  <c r="N6" i="122"/>
  <c r="I6" i="122"/>
  <c r="G6" i="122"/>
  <c r="F6" i="122"/>
  <c r="P22" i="121"/>
  <c r="M22" i="121" s="1"/>
  <c r="N22" i="121"/>
  <c r="I22" i="121"/>
  <c r="G22" i="121"/>
  <c r="H22" i="121" s="1"/>
  <c r="F22" i="121"/>
  <c r="P21" i="121"/>
  <c r="M21" i="121" s="1"/>
  <c r="N21" i="121"/>
  <c r="I21" i="121"/>
  <c r="G21" i="121"/>
  <c r="H21" i="121" s="1"/>
  <c r="F21" i="121"/>
  <c r="P20" i="121"/>
  <c r="M20" i="121" s="1"/>
  <c r="N20" i="121"/>
  <c r="I20" i="121"/>
  <c r="G20" i="121"/>
  <c r="H20" i="121" s="1"/>
  <c r="F20" i="121"/>
  <c r="P19" i="121"/>
  <c r="M19" i="121" s="1"/>
  <c r="N19" i="121"/>
  <c r="I19" i="121"/>
  <c r="G19" i="121"/>
  <c r="H19" i="121" s="1"/>
  <c r="F19" i="121"/>
  <c r="P18" i="121"/>
  <c r="M18" i="121" s="1"/>
  <c r="N18" i="121"/>
  <c r="I18" i="121"/>
  <c r="G18" i="121"/>
  <c r="H18" i="121" s="1"/>
  <c r="F18" i="121"/>
  <c r="P17" i="121"/>
  <c r="M17" i="121" s="1"/>
  <c r="N17" i="121"/>
  <c r="I17" i="121"/>
  <c r="G17" i="121"/>
  <c r="H17" i="121" s="1"/>
  <c r="F17" i="121"/>
  <c r="P16" i="121"/>
  <c r="M16" i="121" s="1"/>
  <c r="N16" i="121"/>
  <c r="I16" i="121"/>
  <c r="G16" i="121"/>
  <c r="H16" i="121" s="1"/>
  <c r="F16" i="121"/>
  <c r="P15" i="121"/>
  <c r="M15" i="121" s="1"/>
  <c r="N15" i="121"/>
  <c r="I15" i="121"/>
  <c r="G15" i="121"/>
  <c r="H15" i="121" s="1"/>
  <c r="F15" i="121"/>
  <c r="P14" i="121"/>
  <c r="M14" i="121" s="1"/>
  <c r="N14" i="121"/>
  <c r="I14" i="121"/>
  <c r="G14" i="121"/>
  <c r="H14" i="121" s="1"/>
  <c r="F14" i="121"/>
  <c r="P13" i="121"/>
  <c r="M13" i="121" s="1"/>
  <c r="N13" i="121"/>
  <c r="I13" i="121"/>
  <c r="G13" i="121"/>
  <c r="H13" i="121" s="1"/>
  <c r="F13" i="121"/>
  <c r="P12" i="121"/>
  <c r="M12" i="121" s="1"/>
  <c r="N12" i="121"/>
  <c r="I12" i="121"/>
  <c r="G12" i="121"/>
  <c r="H12" i="121" s="1"/>
  <c r="F12" i="121"/>
  <c r="P11" i="121"/>
  <c r="M11" i="121" s="1"/>
  <c r="N11" i="121"/>
  <c r="I11" i="121"/>
  <c r="G11" i="121"/>
  <c r="H11" i="121" s="1"/>
  <c r="F11" i="121"/>
  <c r="P10" i="121"/>
  <c r="M10" i="121" s="1"/>
  <c r="N10" i="121"/>
  <c r="I10" i="121"/>
  <c r="G10" i="121"/>
  <c r="H10" i="121" s="1"/>
  <c r="F10" i="121"/>
  <c r="P9" i="121"/>
  <c r="N9" i="121"/>
  <c r="I9" i="121"/>
  <c r="G9" i="121"/>
  <c r="H9" i="121" s="1"/>
  <c r="F9" i="121"/>
  <c r="P8" i="121"/>
  <c r="O8" i="121" s="1"/>
  <c r="N8" i="121"/>
  <c r="I8" i="121"/>
  <c r="G8" i="121"/>
  <c r="H8" i="121" s="1"/>
  <c r="F8" i="121"/>
  <c r="P7" i="121"/>
  <c r="M7" i="121" s="1"/>
  <c r="N7" i="121"/>
  <c r="I7" i="121"/>
  <c r="G7" i="121"/>
  <c r="H7" i="121" s="1"/>
  <c r="F7" i="121"/>
  <c r="P6" i="121"/>
  <c r="M6" i="121" s="1"/>
  <c r="N6" i="121"/>
  <c r="I6" i="121"/>
  <c r="G6" i="121"/>
  <c r="H6" i="121" s="1"/>
  <c r="F6" i="121"/>
  <c r="C22" i="128"/>
  <c r="C21" i="128"/>
  <c r="C20" i="128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U30" i="128"/>
  <c r="G29" i="128"/>
  <c r="F29" i="128"/>
  <c r="E29" i="128"/>
  <c r="D29" i="128"/>
  <c r="G28" i="128"/>
  <c r="F28" i="128"/>
  <c r="E28" i="128"/>
  <c r="D28" i="128"/>
  <c r="T28" i="128"/>
  <c r="M25" i="128"/>
  <c r="L25" i="128"/>
  <c r="H25" i="128"/>
  <c r="E25" i="128"/>
  <c r="C3" i="128"/>
  <c r="C22" i="127"/>
  <c r="C21" i="127"/>
  <c r="C20" i="127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3" i="127"/>
  <c r="C22" i="126"/>
  <c r="C21" i="126"/>
  <c r="C20" i="126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3" i="126"/>
  <c r="C22" i="125"/>
  <c r="C21" i="125"/>
  <c r="C20" i="125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3" i="125"/>
  <c r="C22" i="124"/>
  <c r="C21" i="124"/>
  <c r="C20" i="124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3" i="124"/>
  <c r="C22" i="123"/>
  <c r="C21" i="123"/>
  <c r="C20" i="123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3" i="123"/>
  <c r="C22" i="122"/>
  <c r="C21" i="122"/>
  <c r="C20" i="122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3" i="122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3" i="121"/>
  <c r="J13" i="122" l="1"/>
  <c r="J21" i="122"/>
  <c r="J14" i="122"/>
  <c r="J6" i="122"/>
  <c r="J22" i="122"/>
  <c r="J12" i="123"/>
  <c r="J20" i="123"/>
  <c r="J11" i="124"/>
  <c r="J19" i="124"/>
  <c r="J10" i="125"/>
  <c r="J18" i="125"/>
  <c r="J7" i="127"/>
  <c r="J15" i="127"/>
  <c r="J7" i="122"/>
  <c r="J15" i="122"/>
  <c r="J11" i="122"/>
  <c r="J9" i="122"/>
  <c r="J17" i="122"/>
  <c r="J19" i="122"/>
  <c r="J9" i="127"/>
  <c r="J17" i="127"/>
  <c r="J19" i="127"/>
  <c r="J9" i="126"/>
  <c r="J17" i="126"/>
  <c r="J15" i="124"/>
  <c r="J11" i="123"/>
  <c r="J19" i="123"/>
  <c r="J10" i="124"/>
  <c r="J18" i="124"/>
  <c r="J8" i="126"/>
  <c r="J16" i="126"/>
  <c r="J6" i="127"/>
  <c r="J22" i="127"/>
  <c r="J21" i="123"/>
  <c r="J12" i="124"/>
  <c r="J11" i="125"/>
  <c r="J19" i="125"/>
  <c r="J10" i="126"/>
  <c r="J18" i="126"/>
  <c r="J17" i="124"/>
  <c r="J7" i="126"/>
  <c r="J15" i="126"/>
  <c r="J6" i="123"/>
  <c r="J14" i="123"/>
  <c r="J22" i="123"/>
  <c r="J13" i="124"/>
  <c r="J21" i="124"/>
  <c r="J12" i="125"/>
  <c r="J20" i="125"/>
  <c r="J11" i="126"/>
  <c r="J19" i="126"/>
  <c r="J14" i="127"/>
  <c r="J13" i="123"/>
  <c r="J20" i="124"/>
  <c r="J8" i="127"/>
  <c r="J10" i="123"/>
  <c r="J18" i="123"/>
  <c r="J9" i="124"/>
  <c r="J8" i="125"/>
  <c r="J16" i="125"/>
  <c r="J13" i="127"/>
  <c r="J10" i="122"/>
  <c r="J18" i="122"/>
  <c r="J9" i="123"/>
  <c r="J17" i="123"/>
  <c r="J8" i="124"/>
  <c r="J16" i="124"/>
  <c r="J7" i="125"/>
  <c r="J15" i="125"/>
  <c r="J6" i="126"/>
  <c r="J14" i="126"/>
  <c r="J22" i="126"/>
  <c r="J12" i="127"/>
  <c r="J20" i="127"/>
  <c r="J12" i="122"/>
  <c r="J20" i="122"/>
  <c r="J9" i="125"/>
  <c r="J17" i="125"/>
  <c r="J8" i="123"/>
  <c r="J16" i="123"/>
  <c r="J7" i="124"/>
  <c r="J6" i="125"/>
  <c r="J14" i="125"/>
  <c r="J22" i="125"/>
  <c r="J13" i="126"/>
  <c r="J21" i="126"/>
  <c r="J11" i="127"/>
  <c r="J16" i="127"/>
  <c r="J21" i="127"/>
  <c r="J8" i="122"/>
  <c r="J16" i="122"/>
  <c r="J7" i="123"/>
  <c r="J15" i="123"/>
  <c r="J6" i="124"/>
  <c r="J14" i="124"/>
  <c r="J22" i="124"/>
  <c r="J13" i="125"/>
  <c r="J21" i="125"/>
  <c r="J12" i="126"/>
  <c r="J20" i="126"/>
  <c r="J10" i="127"/>
  <c r="J18" i="127"/>
  <c r="O7" i="121"/>
  <c r="O16" i="121"/>
  <c r="O6" i="121"/>
  <c r="O19" i="121"/>
  <c r="O11" i="121"/>
  <c r="J6" i="121"/>
  <c r="J22" i="121"/>
  <c r="O14" i="124"/>
  <c r="O21" i="125"/>
  <c r="O20" i="121"/>
  <c r="O8" i="122"/>
  <c r="O19" i="122"/>
  <c r="O16" i="122"/>
  <c r="O18" i="124"/>
  <c r="O15" i="121"/>
  <c r="O13" i="121"/>
  <c r="J7" i="121"/>
  <c r="O14" i="121"/>
  <c r="O7" i="122"/>
  <c r="O10" i="121"/>
  <c r="O21" i="121"/>
  <c r="O13" i="125"/>
  <c r="N25" i="121"/>
  <c r="O18" i="121"/>
  <c r="O22" i="121"/>
  <c r="J13" i="121"/>
  <c r="J21" i="121"/>
  <c r="O22" i="124"/>
  <c r="O7" i="123"/>
  <c r="O6" i="122"/>
  <c r="O14" i="122"/>
  <c r="O18" i="122"/>
  <c r="O22" i="122"/>
  <c r="O15" i="123"/>
  <c r="M13" i="123"/>
  <c r="O12" i="122"/>
  <c r="O15" i="122"/>
  <c r="O19" i="124"/>
  <c r="O14" i="126"/>
  <c r="O22" i="126"/>
  <c r="O12" i="123"/>
  <c r="O11" i="124"/>
  <c r="O18" i="127"/>
  <c r="O11" i="123"/>
  <c r="F25" i="123"/>
  <c r="O21" i="123"/>
  <c r="O18" i="126"/>
  <c r="O21" i="124"/>
  <c r="O18" i="123"/>
  <c r="O22" i="123"/>
  <c r="O15" i="124"/>
  <c r="O10" i="126"/>
  <c r="O15" i="126"/>
  <c r="O16" i="124"/>
  <c r="O20" i="124"/>
  <c r="O20" i="126"/>
  <c r="O12" i="126"/>
  <c r="O14" i="125"/>
  <c r="O17" i="124"/>
  <c r="O10" i="125"/>
  <c r="O18" i="125"/>
  <c r="O22" i="125"/>
  <c r="O6" i="125"/>
  <c r="O13" i="127"/>
  <c r="O21" i="127"/>
  <c r="O16" i="125"/>
  <c r="O20" i="125"/>
  <c r="O8" i="125"/>
  <c r="O12" i="125"/>
  <c r="O7" i="125"/>
  <c r="O15" i="125"/>
  <c r="O11" i="125"/>
  <c r="O21" i="126"/>
  <c r="O16" i="126"/>
  <c r="O22" i="127"/>
  <c r="O19" i="127"/>
  <c r="O11" i="127"/>
  <c r="O13" i="126"/>
  <c r="O8" i="127"/>
  <c r="H16" i="127"/>
  <c r="O12" i="127"/>
  <c r="O20" i="127"/>
  <c r="O14" i="127"/>
  <c r="F25" i="127"/>
  <c r="O16" i="127"/>
  <c r="M15" i="127"/>
  <c r="P25" i="127"/>
  <c r="O10" i="127"/>
  <c r="I25" i="127"/>
  <c r="M7" i="127"/>
  <c r="O7" i="126"/>
  <c r="M8" i="126"/>
  <c r="N25" i="126"/>
  <c r="F25" i="126"/>
  <c r="I25" i="126"/>
  <c r="O19" i="125"/>
  <c r="I25" i="125"/>
  <c r="G25" i="125"/>
  <c r="F25" i="125"/>
  <c r="N25" i="125"/>
  <c r="F25" i="124"/>
  <c r="O12" i="124"/>
  <c r="O13" i="124"/>
  <c r="O7" i="124"/>
  <c r="I25" i="124"/>
  <c r="O8" i="124"/>
  <c r="G25" i="124"/>
  <c r="M9" i="124"/>
  <c r="O19" i="123"/>
  <c r="N25" i="123"/>
  <c r="O20" i="123"/>
  <c r="O14" i="123"/>
  <c r="I25" i="123"/>
  <c r="G25" i="123"/>
  <c r="O10" i="123"/>
  <c r="N25" i="122"/>
  <c r="O13" i="122"/>
  <c r="O21" i="122"/>
  <c r="O10" i="122"/>
  <c r="H6" i="122"/>
  <c r="F28" i="122" s="1"/>
  <c r="O11" i="122"/>
  <c r="I25" i="122"/>
  <c r="O20" i="122"/>
  <c r="J15" i="121"/>
  <c r="J16" i="121"/>
  <c r="J8" i="121"/>
  <c r="J10" i="121"/>
  <c r="J12" i="121"/>
  <c r="J11" i="121"/>
  <c r="O12" i="121"/>
  <c r="M8" i="121"/>
  <c r="J18" i="121"/>
  <c r="J19" i="121"/>
  <c r="J20" i="121"/>
  <c r="F25" i="121"/>
  <c r="P25" i="121"/>
  <c r="J9" i="121"/>
  <c r="J17" i="121"/>
  <c r="J14" i="121"/>
  <c r="H21" i="126"/>
  <c r="H25" i="126" s="1"/>
  <c r="M11" i="126"/>
  <c r="M19" i="126"/>
  <c r="G25" i="127"/>
  <c r="H9" i="127"/>
  <c r="O9" i="127"/>
  <c r="O17" i="127"/>
  <c r="N25" i="127"/>
  <c r="P25" i="126"/>
  <c r="G25" i="126"/>
  <c r="O9" i="126"/>
  <c r="O17" i="126"/>
  <c r="O17" i="125"/>
  <c r="O9" i="125"/>
  <c r="P25" i="125"/>
  <c r="F31" i="128"/>
  <c r="N25" i="124"/>
  <c r="P25" i="124"/>
  <c r="H11" i="124"/>
  <c r="F28" i="124" s="1"/>
  <c r="P25" i="123"/>
  <c r="G31" i="128"/>
  <c r="H11" i="123"/>
  <c r="H25" i="123" s="1"/>
  <c r="O17" i="123"/>
  <c r="O9" i="123"/>
  <c r="P25" i="122"/>
  <c r="F25" i="122"/>
  <c r="M9" i="122"/>
  <c r="M17" i="122"/>
  <c r="I25" i="121"/>
  <c r="O9" i="121"/>
  <c r="O17" i="121"/>
  <c r="M9" i="121"/>
  <c r="H29" i="128"/>
  <c r="D31" i="128"/>
  <c r="H28" i="128"/>
  <c r="L34" i="128"/>
  <c r="N34" i="128" s="1"/>
  <c r="E31" i="128"/>
  <c r="H7" i="125"/>
  <c r="F29" i="125" s="1"/>
  <c r="O6" i="126"/>
  <c r="G29" i="125"/>
  <c r="G28" i="125"/>
  <c r="O6" i="127"/>
  <c r="O8" i="123"/>
  <c r="O16" i="123"/>
  <c r="O10" i="124"/>
  <c r="O6" i="123"/>
  <c r="O6" i="124"/>
  <c r="G25" i="122"/>
  <c r="G25" i="121"/>
  <c r="G7" i="119"/>
  <c r="G8" i="119"/>
  <c r="G9" i="119"/>
  <c r="G10" i="119"/>
  <c r="G11" i="119"/>
  <c r="G12" i="119"/>
  <c r="G13" i="119"/>
  <c r="G14" i="119"/>
  <c r="G15" i="119"/>
  <c r="G16" i="119"/>
  <c r="G17" i="119"/>
  <c r="G18" i="119"/>
  <c r="G19" i="119"/>
  <c r="G20" i="119"/>
  <c r="G21" i="119"/>
  <c r="G22" i="119"/>
  <c r="F29" i="122" l="1"/>
  <c r="F31" i="122" s="1"/>
  <c r="L28" i="121"/>
  <c r="F28" i="127"/>
  <c r="L28" i="122"/>
  <c r="H25" i="122"/>
  <c r="G28" i="126"/>
  <c r="O25" i="125"/>
  <c r="H25" i="127"/>
  <c r="F28" i="126"/>
  <c r="F29" i="126"/>
  <c r="F29" i="127"/>
  <c r="L28" i="127"/>
  <c r="J25" i="127"/>
  <c r="J25" i="126"/>
  <c r="J25" i="125"/>
  <c r="N28" i="125"/>
  <c r="G31" i="125"/>
  <c r="L28" i="125"/>
  <c r="H25" i="124"/>
  <c r="F29" i="124"/>
  <c r="F31" i="124" s="1"/>
  <c r="J25" i="124"/>
  <c r="J25" i="123"/>
  <c r="F28" i="123"/>
  <c r="N28" i="122"/>
  <c r="J25" i="122"/>
  <c r="O25" i="122"/>
  <c r="N28" i="121"/>
  <c r="F28" i="121"/>
  <c r="J25" i="121"/>
  <c r="O25" i="121"/>
  <c r="F28" i="125"/>
  <c r="F31" i="125" s="1"/>
  <c r="F29" i="123"/>
  <c r="F29" i="121"/>
  <c r="H25" i="121"/>
  <c r="H31" i="128"/>
  <c r="N28" i="126"/>
  <c r="O25" i="126"/>
  <c r="M25" i="126"/>
  <c r="M25" i="125"/>
  <c r="L28" i="126"/>
  <c r="G29" i="126"/>
  <c r="H25" i="125"/>
  <c r="N28" i="127"/>
  <c r="O25" i="127"/>
  <c r="G29" i="127"/>
  <c r="G28" i="127"/>
  <c r="M25" i="127"/>
  <c r="N28" i="123"/>
  <c r="O25" i="123"/>
  <c r="N28" i="124"/>
  <c r="O25" i="124"/>
  <c r="L28" i="124"/>
  <c r="G29" i="124"/>
  <c r="G28" i="124"/>
  <c r="M25" i="124"/>
  <c r="G29" i="123"/>
  <c r="G28" i="123"/>
  <c r="M25" i="123"/>
  <c r="L28" i="123"/>
  <c r="G29" i="122"/>
  <c r="G28" i="122"/>
  <c r="M25" i="122"/>
  <c r="G29" i="121"/>
  <c r="G28" i="121"/>
  <c r="M25" i="121"/>
  <c r="G10" i="120"/>
  <c r="P22" i="120"/>
  <c r="M22" i="120" s="1"/>
  <c r="N22" i="120"/>
  <c r="I22" i="120"/>
  <c r="G22" i="120"/>
  <c r="F22" i="120"/>
  <c r="P21" i="120"/>
  <c r="M21" i="120" s="1"/>
  <c r="N21" i="120"/>
  <c r="I21" i="120"/>
  <c r="G21" i="120"/>
  <c r="F21" i="120"/>
  <c r="P20" i="120"/>
  <c r="M20" i="120" s="1"/>
  <c r="N20" i="120"/>
  <c r="I20" i="120"/>
  <c r="G20" i="120"/>
  <c r="F20" i="120"/>
  <c r="P19" i="120"/>
  <c r="M19" i="120" s="1"/>
  <c r="N19" i="120"/>
  <c r="I19" i="120"/>
  <c r="G19" i="120"/>
  <c r="F19" i="120"/>
  <c r="P18" i="120"/>
  <c r="M18" i="120" s="1"/>
  <c r="N18" i="120"/>
  <c r="I18" i="120"/>
  <c r="G18" i="120"/>
  <c r="F18" i="120"/>
  <c r="P17" i="120"/>
  <c r="M17" i="120" s="1"/>
  <c r="N17" i="120"/>
  <c r="I17" i="120"/>
  <c r="G17" i="120"/>
  <c r="F17" i="120"/>
  <c r="P16" i="120"/>
  <c r="M16" i="120" s="1"/>
  <c r="N16" i="120"/>
  <c r="I16" i="120"/>
  <c r="G16" i="120"/>
  <c r="F16" i="120"/>
  <c r="P15" i="120"/>
  <c r="M15" i="120" s="1"/>
  <c r="N15" i="120"/>
  <c r="I15" i="120"/>
  <c r="G15" i="120"/>
  <c r="F15" i="120"/>
  <c r="P14" i="120"/>
  <c r="M14" i="120" s="1"/>
  <c r="N14" i="120"/>
  <c r="I14" i="120"/>
  <c r="G14" i="120"/>
  <c r="F14" i="120"/>
  <c r="P13" i="120"/>
  <c r="M13" i="120" s="1"/>
  <c r="N13" i="120"/>
  <c r="I13" i="120"/>
  <c r="G13" i="120"/>
  <c r="F13" i="120"/>
  <c r="P12" i="120"/>
  <c r="M12" i="120" s="1"/>
  <c r="N12" i="120"/>
  <c r="I12" i="120"/>
  <c r="G12" i="120"/>
  <c r="F12" i="120"/>
  <c r="P11" i="120"/>
  <c r="M11" i="120" s="1"/>
  <c r="N11" i="120"/>
  <c r="I11" i="120"/>
  <c r="G11" i="120"/>
  <c r="F11" i="120"/>
  <c r="P10" i="120"/>
  <c r="M10" i="120" s="1"/>
  <c r="N10" i="120"/>
  <c r="I10" i="120"/>
  <c r="F10" i="120"/>
  <c r="P9" i="120"/>
  <c r="M9" i="120" s="1"/>
  <c r="N9" i="120"/>
  <c r="I9" i="120"/>
  <c r="G9" i="120"/>
  <c r="F9" i="120"/>
  <c r="P8" i="120"/>
  <c r="M8" i="120" s="1"/>
  <c r="N8" i="120"/>
  <c r="I8" i="120"/>
  <c r="G8" i="120"/>
  <c r="F8" i="120"/>
  <c r="P7" i="120"/>
  <c r="M7" i="120" s="1"/>
  <c r="N7" i="120"/>
  <c r="I7" i="120"/>
  <c r="G7" i="120"/>
  <c r="F7" i="120"/>
  <c r="P6" i="120"/>
  <c r="M6" i="120" s="1"/>
  <c r="N6" i="120"/>
  <c r="I6" i="120"/>
  <c r="G6" i="120"/>
  <c r="F6" i="120"/>
  <c r="P22" i="119"/>
  <c r="M22" i="119" s="1"/>
  <c r="N22" i="119"/>
  <c r="I22" i="119"/>
  <c r="F22" i="119"/>
  <c r="P21" i="119"/>
  <c r="M21" i="119" s="1"/>
  <c r="N21" i="119"/>
  <c r="I21" i="119"/>
  <c r="F21" i="119"/>
  <c r="P20" i="119"/>
  <c r="M20" i="119" s="1"/>
  <c r="N20" i="119"/>
  <c r="I20" i="119"/>
  <c r="F20" i="119"/>
  <c r="P19" i="119"/>
  <c r="M19" i="119" s="1"/>
  <c r="N19" i="119"/>
  <c r="I19" i="119"/>
  <c r="F19" i="119"/>
  <c r="P18" i="119"/>
  <c r="M18" i="119" s="1"/>
  <c r="N18" i="119"/>
  <c r="I18" i="119"/>
  <c r="F18" i="119"/>
  <c r="P17" i="119"/>
  <c r="M17" i="119" s="1"/>
  <c r="N17" i="119"/>
  <c r="I17" i="119"/>
  <c r="F17" i="119"/>
  <c r="P16" i="119"/>
  <c r="M16" i="119" s="1"/>
  <c r="N16" i="119"/>
  <c r="I16" i="119"/>
  <c r="F16" i="119"/>
  <c r="P15" i="119"/>
  <c r="M15" i="119" s="1"/>
  <c r="N15" i="119"/>
  <c r="I15" i="119"/>
  <c r="F15" i="119"/>
  <c r="P14" i="119"/>
  <c r="M14" i="119" s="1"/>
  <c r="N14" i="119"/>
  <c r="I14" i="119"/>
  <c r="F14" i="119"/>
  <c r="P13" i="119"/>
  <c r="M13" i="119" s="1"/>
  <c r="N13" i="119"/>
  <c r="I13" i="119"/>
  <c r="F13" i="119"/>
  <c r="P12" i="119"/>
  <c r="M12" i="119" s="1"/>
  <c r="N12" i="119"/>
  <c r="I12" i="119"/>
  <c r="F12" i="119"/>
  <c r="P11" i="119"/>
  <c r="M11" i="119" s="1"/>
  <c r="N11" i="119"/>
  <c r="I11" i="119"/>
  <c r="F11" i="119"/>
  <c r="P10" i="119"/>
  <c r="M10" i="119" s="1"/>
  <c r="N10" i="119"/>
  <c r="I10" i="119"/>
  <c r="F10" i="119"/>
  <c r="P9" i="119"/>
  <c r="M9" i="119" s="1"/>
  <c r="N9" i="119"/>
  <c r="I9" i="119"/>
  <c r="F9" i="119"/>
  <c r="P8" i="119"/>
  <c r="M8" i="119" s="1"/>
  <c r="N8" i="119"/>
  <c r="I8" i="119"/>
  <c r="F8" i="119"/>
  <c r="P7" i="119"/>
  <c r="M7" i="119" s="1"/>
  <c r="N7" i="119"/>
  <c r="I7" i="119"/>
  <c r="F7" i="119"/>
  <c r="P6" i="119"/>
  <c r="M6" i="119" s="1"/>
  <c r="N6" i="119"/>
  <c r="I6" i="119"/>
  <c r="G6" i="119"/>
  <c r="F6" i="119"/>
  <c r="F31" i="127" l="1"/>
  <c r="G31" i="121"/>
  <c r="F31" i="121"/>
  <c r="G31" i="126"/>
  <c r="F31" i="123"/>
  <c r="F31" i="126"/>
  <c r="G31" i="127"/>
  <c r="G31" i="122"/>
  <c r="G31" i="124"/>
  <c r="G31" i="123"/>
  <c r="J18" i="120"/>
  <c r="J22" i="120"/>
  <c r="J17" i="120"/>
  <c r="J19" i="120"/>
  <c r="J12" i="120"/>
  <c r="J13" i="120"/>
  <c r="J6" i="120"/>
  <c r="J10" i="120"/>
  <c r="J16" i="120"/>
  <c r="J21" i="120"/>
  <c r="J7" i="120"/>
  <c r="J11" i="120"/>
  <c r="J9" i="120"/>
  <c r="J15" i="120"/>
  <c r="J20" i="120"/>
  <c r="J8" i="120"/>
  <c r="J14" i="120"/>
  <c r="O22" i="120" l="1"/>
  <c r="H22" i="120"/>
  <c r="C22" i="120"/>
  <c r="O21" i="120"/>
  <c r="H21" i="120"/>
  <c r="C21" i="120"/>
  <c r="O20" i="120"/>
  <c r="H20" i="120"/>
  <c r="C20" i="120"/>
  <c r="O19" i="120"/>
  <c r="H19" i="120"/>
  <c r="C19" i="120"/>
  <c r="H18" i="120"/>
  <c r="C18" i="120"/>
  <c r="O17" i="120"/>
  <c r="H17" i="120"/>
  <c r="C17" i="120"/>
  <c r="H16" i="120"/>
  <c r="C16" i="120"/>
  <c r="O15" i="120"/>
  <c r="H15" i="120"/>
  <c r="C15" i="120"/>
  <c r="O14" i="120"/>
  <c r="H14" i="120"/>
  <c r="C14" i="120"/>
  <c r="O13" i="120"/>
  <c r="H13" i="120"/>
  <c r="C13" i="120"/>
  <c r="O12" i="120"/>
  <c r="H12" i="120"/>
  <c r="C12" i="120"/>
  <c r="H11" i="120"/>
  <c r="C11" i="120"/>
  <c r="H10" i="120"/>
  <c r="C10" i="120"/>
  <c r="H9" i="120"/>
  <c r="C9" i="120"/>
  <c r="O8" i="120"/>
  <c r="H8" i="120"/>
  <c r="C8" i="120"/>
  <c r="O7" i="120"/>
  <c r="H7" i="120"/>
  <c r="C7" i="120"/>
  <c r="O6" i="120"/>
  <c r="H6" i="120"/>
  <c r="C6" i="120"/>
  <c r="C3" i="120"/>
  <c r="O22" i="119"/>
  <c r="H22" i="119"/>
  <c r="C22" i="119"/>
  <c r="O21" i="119"/>
  <c r="H21" i="119"/>
  <c r="C21" i="119"/>
  <c r="O20" i="119"/>
  <c r="H20" i="119"/>
  <c r="C20" i="119"/>
  <c r="H19" i="119"/>
  <c r="C19" i="119"/>
  <c r="H18" i="119"/>
  <c r="C18" i="119"/>
  <c r="H17" i="119"/>
  <c r="C17" i="119"/>
  <c r="H16" i="119"/>
  <c r="C16" i="119"/>
  <c r="H15" i="119"/>
  <c r="C15" i="119"/>
  <c r="O14" i="119"/>
  <c r="H14" i="119"/>
  <c r="C14" i="119"/>
  <c r="O13" i="119"/>
  <c r="H13" i="119"/>
  <c r="C13" i="119"/>
  <c r="O12" i="119"/>
  <c r="H12" i="119"/>
  <c r="C12" i="119"/>
  <c r="H11" i="119"/>
  <c r="C11" i="119"/>
  <c r="H10" i="119"/>
  <c r="C10" i="119"/>
  <c r="H9" i="119"/>
  <c r="C9" i="119"/>
  <c r="H8" i="119"/>
  <c r="C8" i="119"/>
  <c r="O7" i="119"/>
  <c r="H7" i="119"/>
  <c r="C7" i="119"/>
  <c r="H6" i="119"/>
  <c r="C6" i="119"/>
  <c r="C3" i="119"/>
  <c r="O16" i="119" s="1"/>
  <c r="O11" i="120" l="1"/>
  <c r="P25" i="119"/>
  <c r="O9" i="120"/>
  <c r="O17" i="119"/>
  <c r="O19" i="119"/>
  <c r="I25" i="120"/>
  <c r="O15" i="119"/>
  <c r="F25" i="119"/>
  <c r="O8" i="119"/>
  <c r="O9" i="119"/>
  <c r="N25" i="120"/>
  <c r="O6" i="119"/>
  <c r="N25" i="119"/>
  <c r="F25" i="120"/>
  <c r="O16" i="120"/>
  <c r="O11" i="119"/>
  <c r="I25" i="119"/>
  <c r="P25" i="120"/>
  <c r="H25" i="120"/>
  <c r="F29" i="120"/>
  <c r="F28" i="120"/>
  <c r="O10" i="120"/>
  <c r="O18" i="120"/>
  <c r="G25" i="120"/>
  <c r="H25" i="119"/>
  <c r="F29" i="119"/>
  <c r="F28" i="119"/>
  <c r="O10" i="119"/>
  <c r="O18" i="119"/>
  <c r="G25" i="119"/>
  <c r="G10" i="118"/>
  <c r="G11" i="118"/>
  <c r="G28" i="120" l="1"/>
  <c r="L28" i="120"/>
  <c r="M25" i="120"/>
  <c r="N28" i="119"/>
  <c r="L28" i="119"/>
  <c r="O25" i="120"/>
  <c r="F31" i="119"/>
  <c r="F31" i="120"/>
  <c r="N28" i="120"/>
  <c r="G29" i="120"/>
  <c r="O25" i="119"/>
  <c r="G29" i="119"/>
  <c r="M25" i="119"/>
  <c r="G28" i="119"/>
  <c r="P10" i="118"/>
  <c r="O10" i="118" s="1"/>
  <c r="N10" i="118"/>
  <c r="I10" i="118"/>
  <c r="H10" i="118"/>
  <c r="F10" i="118"/>
  <c r="J10" i="119" s="1"/>
  <c r="C10" i="118"/>
  <c r="P10" i="117"/>
  <c r="O10" i="117" s="1"/>
  <c r="N10" i="117"/>
  <c r="I10" i="117"/>
  <c r="G10" i="117"/>
  <c r="H10" i="117" s="1"/>
  <c r="F10" i="117"/>
  <c r="C10" i="117"/>
  <c r="P10" i="116"/>
  <c r="N10" i="116"/>
  <c r="K10" i="116"/>
  <c r="I10" i="116"/>
  <c r="G10" i="116"/>
  <c r="F10" i="116"/>
  <c r="E10" i="116"/>
  <c r="D10" i="116" s="1"/>
  <c r="B10" i="116" s="1"/>
  <c r="C10" i="116"/>
  <c r="J10" i="117" l="1"/>
  <c r="I10" i="128"/>
  <c r="N10" i="128"/>
  <c r="F10" i="128"/>
  <c r="H10" i="116"/>
  <c r="G10" i="128"/>
  <c r="O10" i="116"/>
  <c r="O10" i="128" s="1"/>
  <c r="P10" i="128"/>
  <c r="L10" i="116"/>
  <c r="G31" i="120"/>
  <c r="G31" i="119"/>
  <c r="J10" i="118"/>
  <c r="M10" i="118"/>
  <c r="M10" i="117"/>
  <c r="M10" i="116"/>
  <c r="P22" i="118"/>
  <c r="M22" i="118" s="1"/>
  <c r="N22" i="118"/>
  <c r="I22" i="118"/>
  <c r="G22" i="118"/>
  <c r="H22" i="118" s="1"/>
  <c r="F22" i="118"/>
  <c r="P21" i="118"/>
  <c r="M21" i="118" s="1"/>
  <c r="N21" i="118"/>
  <c r="I21" i="118"/>
  <c r="G21" i="118"/>
  <c r="H21" i="118" s="1"/>
  <c r="F21" i="118"/>
  <c r="P20" i="118"/>
  <c r="M20" i="118" s="1"/>
  <c r="N20" i="118"/>
  <c r="I20" i="118"/>
  <c r="G20" i="118"/>
  <c r="H20" i="118" s="1"/>
  <c r="F20" i="118"/>
  <c r="P19" i="118"/>
  <c r="M19" i="118" s="1"/>
  <c r="N19" i="118"/>
  <c r="I19" i="118"/>
  <c r="G19" i="118"/>
  <c r="H19" i="118" s="1"/>
  <c r="F19" i="118"/>
  <c r="P18" i="118"/>
  <c r="M18" i="118" s="1"/>
  <c r="N18" i="118"/>
  <c r="I18" i="118"/>
  <c r="G18" i="118"/>
  <c r="H18" i="118" s="1"/>
  <c r="F18" i="118"/>
  <c r="P17" i="118"/>
  <c r="M17" i="118" s="1"/>
  <c r="N17" i="118"/>
  <c r="I17" i="118"/>
  <c r="G17" i="118"/>
  <c r="H17" i="118" s="1"/>
  <c r="F17" i="118"/>
  <c r="P16" i="118"/>
  <c r="M16" i="118" s="1"/>
  <c r="N16" i="118"/>
  <c r="I16" i="118"/>
  <c r="G16" i="118"/>
  <c r="H16" i="118" s="1"/>
  <c r="F16" i="118"/>
  <c r="P15" i="118"/>
  <c r="M15" i="118" s="1"/>
  <c r="N15" i="118"/>
  <c r="I15" i="118"/>
  <c r="G15" i="118"/>
  <c r="H15" i="118" s="1"/>
  <c r="F15" i="118"/>
  <c r="P14" i="118"/>
  <c r="M14" i="118" s="1"/>
  <c r="N14" i="118"/>
  <c r="I14" i="118"/>
  <c r="G14" i="118"/>
  <c r="H14" i="118" s="1"/>
  <c r="F14" i="118"/>
  <c r="P13" i="118"/>
  <c r="O13" i="118" s="1"/>
  <c r="N13" i="118"/>
  <c r="I13" i="118"/>
  <c r="G13" i="118"/>
  <c r="H13" i="118" s="1"/>
  <c r="F13" i="118"/>
  <c r="P12" i="118"/>
  <c r="M12" i="118" s="1"/>
  <c r="N12" i="118"/>
  <c r="I12" i="118"/>
  <c r="G12" i="118"/>
  <c r="H12" i="118" s="1"/>
  <c r="F12" i="118"/>
  <c r="P11" i="118"/>
  <c r="M11" i="118" s="1"/>
  <c r="N11" i="118"/>
  <c r="I11" i="118"/>
  <c r="H11" i="118"/>
  <c r="F11" i="118"/>
  <c r="J11" i="119" s="1"/>
  <c r="P9" i="118"/>
  <c r="M9" i="118" s="1"/>
  <c r="N9" i="118"/>
  <c r="I9" i="118"/>
  <c r="G9" i="118"/>
  <c r="H9" i="118" s="1"/>
  <c r="F9" i="118"/>
  <c r="P8" i="118"/>
  <c r="M8" i="118" s="1"/>
  <c r="N8" i="118"/>
  <c r="I8" i="118"/>
  <c r="G8" i="118"/>
  <c r="H8" i="118" s="1"/>
  <c r="F8" i="118"/>
  <c r="P7" i="118"/>
  <c r="M7" i="118" s="1"/>
  <c r="N7" i="118"/>
  <c r="I7" i="118"/>
  <c r="G7" i="118"/>
  <c r="H7" i="118" s="1"/>
  <c r="F7" i="118"/>
  <c r="P6" i="118"/>
  <c r="N6" i="118"/>
  <c r="I6" i="118"/>
  <c r="G6" i="118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9" i="118"/>
  <c r="C8" i="118"/>
  <c r="C7" i="118"/>
  <c r="C6" i="118"/>
  <c r="C3" i="118"/>
  <c r="J13" i="119" l="1"/>
  <c r="J21" i="119"/>
  <c r="J12" i="119"/>
  <c r="J19" i="119"/>
  <c r="J9" i="119"/>
  <c r="J18" i="119"/>
  <c r="J6" i="119"/>
  <c r="J15" i="119"/>
  <c r="J20" i="119"/>
  <c r="J8" i="119"/>
  <c r="J17" i="119"/>
  <c r="J14" i="119"/>
  <c r="J22" i="119"/>
  <c r="J7" i="119"/>
  <c r="J16" i="119"/>
  <c r="G25" i="118"/>
  <c r="H6" i="118"/>
  <c r="H25" i="118" s="1"/>
  <c r="O22" i="118"/>
  <c r="O19" i="118"/>
  <c r="O11" i="118"/>
  <c r="O17" i="118"/>
  <c r="O21" i="118"/>
  <c r="O8" i="118"/>
  <c r="F25" i="118"/>
  <c r="P25" i="118"/>
  <c r="O6" i="118"/>
  <c r="I25" i="118"/>
  <c r="O7" i="118"/>
  <c r="N25" i="118"/>
  <c r="O15" i="118"/>
  <c r="O20" i="118"/>
  <c r="M6" i="118"/>
  <c r="M13" i="118"/>
  <c r="O14" i="118"/>
  <c r="O12" i="118"/>
  <c r="O18" i="118"/>
  <c r="O16" i="118"/>
  <c r="O9" i="118"/>
  <c r="F28" i="118" l="1"/>
  <c r="F29" i="118"/>
  <c r="N28" i="118"/>
  <c r="L28" i="118"/>
  <c r="O25" i="118"/>
  <c r="G29" i="118"/>
  <c r="G28" i="118"/>
  <c r="M25" i="118"/>
  <c r="F31" i="118" l="1"/>
  <c r="G31" i="118"/>
  <c r="P22" i="117" l="1"/>
  <c r="M22" i="117" s="1"/>
  <c r="N22" i="117"/>
  <c r="I22" i="117"/>
  <c r="G22" i="117"/>
  <c r="H22" i="117" s="1"/>
  <c r="F22" i="117"/>
  <c r="P21" i="117"/>
  <c r="M21" i="117" s="1"/>
  <c r="N21" i="117"/>
  <c r="I21" i="117"/>
  <c r="G21" i="117"/>
  <c r="H21" i="117" s="1"/>
  <c r="F21" i="117"/>
  <c r="P20" i="117"/>
  <c r="M20" i="117" s="1"/>
  <c r="N20" i="117"/>
  <c r="I20" i="117"/>
  <c r="G20" i="117"/>
  <c r="H20" i="117" s="1"/>
  <c r="F20" i="117"/>
  <c r="P19" i="117"/>
  <c r="M19" i="117" s="1"/>
  <c r="N19" i="117"/>
  <c r="I19" i="117"/>
  <c r="G19" i="117"/>
  <c r="H19" i="117" s="1"/>
  <c r="F19" i="117"/>
  <c r="P18" i="117"/>
  <c r="M18" i="117" s="1"/>
  <c r="N18" i="117"/>
  <c r="I18" i="117"/>
  <c r="G18" i="117"/>
  <c r="H18" i="117" s="1"/>
  <c r="F18" i="117"/>
  <c r="P17" i="117"/>
  <c r="M17" i="117" s="1"/>
  <c r="N17" i="117"/>
  <c r="I17" i="117"/>
  <c r="G17" i="117"/>
  <c r="H17" i="117" s="1"/>
  <c r="F17" i="117"/>
  <c r="P16" i="117"/>
  <c r="M16" i="117" s="1"/>
  <c r="N16" i="117"/>
  <c r="I16" i="117"/>
  <c r="G16" i="117"/>
  <c r="H16" i="117" s="1"/>
  <c r="F16" i="117"/>
  <c r="P15" i="117"/>
  <c r="M15" i="117" s="1"/>
  <c r="N15" i="117"/>
  <c r="I15" i="117"/>
  <c r="G15" i="117"/>
  <c r="H15" i="117" s="1"/>
  <c r="F15" i="117"/>
  <c r="P14" i="117"/>
  <c r="M14" i="117" s="1"/>
  <c r="N14" i="117"/>
  <c r="I14" i="117"/>
  <c r="G14" i="117"/>
  <c r="H14" i="117" s="1"/>
  <c r="F14" i="117"/>
  <c r="P13" i="117"/>
  <c r="M13" i="117" s="1"/>
  <c r="N13" i="117"/>
  <c r="I13" i="117"/>
  <c r="G13" i="117"/>
  <c r="H13" i="117" s="1"/>
  <c r="F13" i="117"/>
  <c r="P12" i="117"/>
  <c r="M12" i="117" s="1"/>
  <c r="N12" i="117"/>
  <c r="I12" i="117"/>
  <c r="G12" i="117"/>
  <c r="H12" i="117" s="1"/>
  <c r="F12" i="117"/>
  <c r="P11" i="117"/>
  <c r="M11" i="117" s="1"/>
  <c r="N11" i="117"/>
  <c r="I11" i="117"/>
  <c r="G11" i="117"/>
  <c r="H11" i="117" s="1"/>
  <c r="F11" i="117"/>
  <c r="P9" i="117"/>
  <c r="M9" i="117" s="1"/>
  <c r="N9" i="117"/>
  <c r="I9" i="117"/>
  <c r="G9" i="117"/>
  <c r="H9" i="117" s="1"/>
  <c r="F9" i="117"/>
  <c r="P8" i="117"/>
  <c r="M8" i="117" s="1"/>
  <c r="N8" i="117"/>
  <c r="I8" i="117"/>
  <c r="G8" i="117"/>
  <c r="H8" i="117" s="1"/>
  <c r="F8" i="117"/>
  <c r="P7" i="117"/>
  <c r="M7" i="117" s="1"/>
  <c r="N7" i="117"/>
  <c r="I7" i="117"/>
  <c r="G7" i="117"/>
  <c r="H7" i="117" s="1"/>
  <c r="F7" i="117"/>
  <c r="P6" i="117"/>
  <c r="M6" i="117" s="1"/>
  <c r="N6" i="117"/>
  <c r="I6" i="117"/>
  <c r="G6" i="117"/>
  <c r="H6" i="117" s="1"/>
  <c r="F6" i="117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9" i="117"/>
  <c r="C8" i="117"/>
  <c r="C7" i="117"/>
  <c r="C6" i="117"/>
  <c r="C3" i="117"/>
  <c r="J6" i="118" l="1"/>
  <c r="J15" i="118"/>
  <c r="J12" i="118"/>
  <c r="J20" i="118"/>
  <c r="J7" i="118"/>
  <c r="J8" i="118"/>
  <c r="J17" i="118"/>
  <c r="J9" i="118"/>
  <c r="J14" i="118"/>
  <c r="J22" i="118"/>
  <c r="J11" i="118"/>
  <c r="J19" i="118"/>
  <c r="J16" i="118"/>
  <c r="J13" i="118"/>
  <c r="J21" i="118"/>
  <c r="J18" i="118"/>
  <c r="O13" i="117"/>
  <c r="O17" i="117"/>
  <c r="O21" i="117"/>
  <c r="O8" i="117"/>
  <c r="O11" i="117"/>
  <c r="O18" i="117"/>
  <c r="G25" i="117"/>
  <c r="F25" i="117"/>
  <c r="I25" i="117"/>
  <c r="O14" i="117"/>
  <c r="N25" i="117"/>
  <c r="O9" i="117"/>
  <c r="O19" i="117"/>
  <c r="O15" i="117"/>
  <c r="P25" i="117"/>
  <c r="O22" i="117"/>
  <c r="O7" i="117"/>
  <c r="O12" i="117"/>
  <c r="O16" i="117"/>
  <c r="O20" i="117"/>
  <c r="O6" i="117"/>
  <c r="P22" i="116"/>
  <c r="N22" i="116"/>
  <c r="N22" i="128" s="1"/>
  <c r="K22" i="116"/>
  <c r="I22" i="116"/>
  <c r="I22" i="128" s="1"/>
  <c r="G22" i="116"/>
  <c r="F22" i="116"/>
  <c r="P21" i="116"/>
  <c r="N21" i="116"/>
  <c r="N21" i="128" s="1"/>
  <c r="K21" i="116"/>
  <c r="I21" i="116"/>
  <c r="I21" i="128" s="1"/>
  <c r="G21" i="116"/>
  <c r="F21" i="116"/>
  <c r="P20" i="116"/>
  <c r="N20" i="116"/>
  <c r="N20" i="128" s="1"/>
  <c r="K20" i="116"/>
  <c r="I20" i="116"/>
  <c r="I20" i="128" s="1"/>
  <c r="G20" i="116"/>
  <c r="F20" i="116"/>
  <c r="P19" i="116"/>
  <c r="N19" i="116"/>
  <c r="N19" i="128" s="1"/>
  <c r="K19" i="116"/>
  <c r="I19" i="116"/>
  <c r="I19" i="128" s="1"/>
  <c r="G19" i="116"/>
  <c r="F19" i="116"/>
  <c r="P18" i="116"/>
  <c r="N18" i="116"/>
  <c r="N18" i="128" s="1"/>
  <c r="K18" i="116"/>
  <c r="I18" i="116"/>
  <c r="I18" i="128" s="1"/>
  <c r="G18" i="116"/>
  <c r="F18" i="116"/>
  <c r="P17" i="116"/>
  <c r="N17" i="116"/>
  <c r="N17" i="128" s="1"/>
  <c r="K17" i="116"/>
  <c r="I17" i="116"/>
  <c r="I17" i="128" s="1"/>
  <c r="G17" i="116"/>
  <c r="F17" i="116"/>
  <c r="P16" i="116"/>
  <c r="N16" i="116"/>
  <c r="N16" i="128" s="1"/>
  <c r="K16" i="116"/>
  <c r="I16" i="116"/>
  <c r="I16" i="128" s="1"/>
  <c r="G16" i="116"/>
  <c r="F16" i="116"/>
  <c r="P15" i="116"/>
  <c r="N15" i="116"/>
  <c r="N15" i="128" s="1"/>
  <c r="K15" i="116"/>
  <c r="I15" i="116"/>
  <c r="I15" i="128" s="1"/>
  <c r="G15" i="116"/>
  <c r="F15" i="116"/>
  <c r="P14" i="116"/>
  <c r="N14" i="116"/>
  <c r="N14" i="128" s="1"/>
  <c r="K14" i="116"/>
  <c r="I14" i="116"/>
  <c r="I14" i="128" s="1"/>
  <c r="G14" i="116"/>
  <c r="F14" i="116"/>
  <c r="P13" i="116"/>
  <c r="N13" i="116"/>
  <c r="N13" i="128" s="1"/>
  <c r="K13" i="116"/>
  <c r="I13" i="116"/>
  <c r="I13" i="128" s="1"/>
  <c r="G13" i="116"/>
  <c r="F13" i="116"/>
  <c r="P12" i="116"/>
  <c r="N12" i="116"/>
  <c r="N12" i="128" s="1"/>
  <c r="K12" i="116"/>
  <c r="I12" i="116"/>
  <c r="I12" i="128" s="1"/>
  <c r="G12" i="116"/>
  <c r="F12" i="116"/>
  <c r="P11" i="116"/>
  <c r="N11" i="116"/>
  <c r="N11" i="128" s="1"/>
  <c r="K11" i="116"/>
  <c r="I11" i="116"/>
  <c r="I11" i="128" s="1"/>
  <c r="G11" i="116"/>
  <c r="F11" i="116"/>
  <c r="P9" i="116"/>
  <c r="N9" i="116"/>
  <c r="N9" i="128" s="1"/>
  <c r="K9" i="116"/>
  <c r="I9" i="116"/>
  <c r="I9" i="128" s="1"/>
  <c r="G9" i="116"/>
  <c r="F9" i="116"/>
  <c r="P8" i="116"/>
  <c r="N8" i="116"/>
  <c r="N8" i="128" s="1"/>
  <c r="K8" i="116"/>
  <c r="I8" i="116"/>
  <c r="I8" i="128" s="1"/>
  <c r="G8" i="116"/>
  <c r="F8" i="116"/>
  <c r="P7" i="116"/>
  <c r="P7" i="128" s="1"/>
  <c r="N7" i="116"/>
  <c r="N7" i="128" s="1"/>
  <c r="K7" i="116"/>
  <c r="I7" i="116"/>
  <c r="I7" i="128" s="1"/>
  <c r="G7" i="116"/>
  <c r="F7" i="116"/>
  <c r="P6" i="116"/>
  <c r="P6" i="128" s="1"/>
  <c r="N6" i="116"/>
  <c r="N6" i="128" s="1"/>
  <c r="K6" i="116"/>
  <c r="I6" i="116"/>
  <c r="I6" i="128" s="1"/>
  <c r="G6" i="116"/>
  <c r="F6" i="116"/>
  <c r="O22" i="116"/>
  <c r="C22" i="116"/>
  <c r="C8" i="116"/>
  <c r="C7" i="116"/>
  <c r="C9" i="116"/>
  <c r="C11" i="116"/>
  <c r="C12" i="116"/>
  <c r="C13" i="116"/>
  <c r="C14" i="116"/>
  <c r="C15" i="116"/>
  <c r="C16" i="116"/>
  <c r="C17" i="116"/>
  <c r="C18" i="116"/>
  <c r="C19" i="116"/>
  <c r="C20" i="116"/>
  <c r="C21" i="116"/>
  <c r="C6" i="116"/>
  <c r="J25" i="116"/>
  <c r="C3" i="116"/>
  <c r="F7" i="128" l="1"/>
  <c r="J7" i="117"/>
  <c r="F12" i="128"/>
  <c r="J12" i="117"/>
  <c r="F16" i="128"/>
  <c r="J16" i="117"/>
  <c r="F20" i="128"/>
  <c r="J20" i="117"/>
  <c r="F11" i="128"/>
  <c r="J11" i="117"/>
  <c r="F15" i="128"/>
  <c r="J15" i="117"/>
  <c r="F19" i="128"/>
  <c r="J19" i="117"/>
  <c r="F6" i="128"/>
  <c r="J6" i="117"/>
  <c r="F9" i="128"/>
  <c r="J9" i="117"/>
  <c r="F14" i="128"/>
  <c r="J14" i="117"/>
  <c r="F18" i="128"/>
  <c r="J18" i="117"/>
  <c r="F22" i="128"/>
  <c r="J22" i="117"/>
  <c r="F8" i="128"/>
  <c r="J8" i="117"/>
  <c r="F13" i="128"/>
  <c r="J13" i="117"/>
  <c r="F17" i="128"/>
  <c r="J17" i="117"/>
  <c r="F21" i="128"/>
  <c r="J21" i="117"/>
  <c r="N25" i="128"/>
  <c r="O22" i="128"/>
  <c r="H8" i="116"/>
  <c r="G8" i="128"/>
  <c r="L9" i="116"/>
  <c r="M11" i="116"/>
  <c r="P11" i="128"/>
  <c r="H13" i="116"/>
  <c r="G13" i="128"/>
  <c r="L14" i="116"/>
  <c r="M15" i="116"/>
  <c r="P15" i="128"/>
  <c r="H17" i="116"/>
  <c r="G17" i="128"/>
  <c r="L18" i="116"/>
  <c r="M19" i="116"/>
  <c r="P19" i="128"/>
  <c r="H21" i="116"/>
  <c r="G21" i="128"/>
  <c r="L22" i="116"/>
  <c r="H7" i="116"/>
  <c r="G7" i="128"/>
  <c r="L8" i="116"/>
  <c r="M9" i="116"/>
  <c r="P9" i="128"/>
  <c r="H12" i="116"/>
  <c r="G12" i="128"/>
  <c r="L13" i="116"/>
  <c r="M14" i="116"/>
  <c r="P14" i="128"/>
  <c r="H16" i="116"/>
  <c r="G16" i="128"/>
  <c r="L17" i="116"/>
  <c r="M18" i="116"/>
  <c r="P18" i="128"/>
  <c r="H20" i="116"/>
  <c r="G20" i="128"/>
  <c r="L21" i="116"/>
  <c r="M22" i="116"/>
  <c r="P22" i="128"/>
  <c r="H6" i="116"/>
  <c r="G6" i="128"/>
  <c r="L7" i="116"/>
  <c r="M8" i="116"/>
  <c r="P8" i="128"/>
  <c r="H11" i="116"/>
  <c r="G11" i="128"/>
  <c r="L12" i="116"/>
  <c r="M13" i="116"/>
  <c r="P13" i="128"/>
  <c r="H15" i="116"/>
  <c r="G15" i="128"/>
  <c r="L16" i="116"/>
  <c r="M17" i="116"/>
  <c r="P17" i="128"/>
  <c r="H19" i="116"/>
  <c r="G19" i="128"/>
  <c r="L20" i="116"/>
  <c r="M21" i="116"/>
  <c r="P21" i="128"/>
  <c r="I25" i="128"/>
  <c r="L6" i="116"/>
  <c r="H9" i="116"/>
  <c r="G9" i="128"/>
  <c r="L11" i="116"/>
  <c r="M12" i="116"/>
  <c r="P12" i="128"/>
  <c r="H14" i="116"/>
  <c r="G14" i="128"/>
  <c r="L15" i="116"/>
  <c r="M16" i="116"/>
  <c r="P16" i="128"/>
  <c r="H18" i="116"/>
  <c r="G18" i="128"/>
  <c r="L19" i="116"/>
  <c r="M20" i="116"/>
  <c r="P20" i="128"/>
  <c r="H22" i="116"/>
  <c r="G22" i="128"/>
  <c r="J25" i="120"/>
  <c r="J25" i="119"/>
  <c r="F28" i="117"/>
  <c r="H25" i="117"/>
  <c r="F29" i="117"/>
  <c r="J25" i="118"/>
  <c r="O7" i="116"/>
  <c r="O7" i="128" s="1"/>
  <c r="M7" i="116"/>
  <c r="O6" i="116"/>
  <c r="O6" i="128" s="1"/>
  <c r="M6" i="116"/>
  <c r="N28" i="117"/>
  <c r="O25" i="117"/>
  <c r="L28" i="117"/>
  <c r="G29" i="117"/>
  <c r="G28" i="117"/>
  <c r="M25" i="117"/>
  <c r="O20" i="116"/>
  <c r="O20" i="128" s="1"/>
  <c r="O12" i="116"/>
  <c r="O12" i="128" s="1"/>
  <c r="O21" i="116"/>
  <c r="O21" i="128" s="1"/>
  <c r="O9" i="116"/>
  <c r="O9" i="128" s="1"/>
  <c r="O14" i="116"/>
  <c r="O14" i="128" s="1"/>
  <c r="O16" i="116"/>
  <c r="O16" i="128" s="1"/>
  <c r="O13" i="116"/>
  <c r="O13" i="128" s="1"/>
  <c r="O18" i="116"/>
  <c r="O18" i="128" s="1"/>
  <c r="O8" i="116"/>
  <c r="O8" i="128" s="1"/>
  <c r="O17" i="116"/>
  <c r="O17" i="128" s="1"/>
  <c r="I25" i="116"/>
  <c r="N25" i="116"/>
  <c r="F25" i="116"/>
  <c r="K25" i="116"/>
  <c r="G25" i="116"/>
  <c r="O11" i="116"/>
  <c r="O11" i="128" s="1"/>
  <c r="O15" i="116"/>
  <c r="O15" i="128" s="1"/>
  <c r="O19" i="116"/>
  <c r="O19" i="128" s="1"/>
  <c r="P25" i="116"/>
  <c r="U27" i="114"/>
  <c r="T22" i="114"/>
  <c r="J22" i="128" l="1"/>
  <c r="F25" i="128"/>
  <c r="J16" i="128"/>
  <c r="J7" i="128"/>
  <c r="J15" i="128"/>
  <c r="J21" i="128"/>
  <c r="J11" i="128"/>
  <c r="J9" i="128"/>
  <c r="J17" i="128"/>
  <c r="J10" i="128"/>
  <c r="J14" i="128"/>
  <c r="J13" i="128"/>
  <c r="J8" i="128"/>
  <c r="J20" i="128"/>
  <c r="J18" i="128"/>
  <c r="J6" i="128"/>
  <c r="J12" i="128"/>
  <c r="J19" i="128"/>
  <c r="L25" i="116"/>
  <c r="E29" i="116"/>
  <c r="N28" i="128"/>
  <c r="E28" i="116"/>
  <c r="P25" i="128"/>
  <c r="L28" i="128"/>
  <c r="O25" i="128"/>
  <c r="G25" i="128"/>
  <c r="F31" i="117"/>
  <c r="F29" i="116"/>
  <c r="F28" i="116"/>
  <c r="H25" i="116"/>
  <c r="J25" i="117"/>
  <c r="G31" i="117"/>
  <c r="L28" i="116"/>
  <c r="N28" i="116"/>
  <c r="O25" i="116"/>
  <c r="G29" i="116"/>
  <c r="G28" i="116"/>
  <c r="M25" i="116"/>
  <c r="J6" i="115"/>
  <c r="J7" i="115"/>
  <c r="J8" i="115"/>
  <c r="J9" i="115"/>
  <c r="J10" i="115"/>
  <c r="J11" i="115"/>
  <c r="J12" i="115"/>
  <c r="J13" i="115"/>
  <c r="J14" i="115"/>
  <c r="J15" i="115"/>
  <c r="J16" i="115"/>
  <c r="J5" i="115"/>
  <c r="B18" i="115"/>
  <c r="B17" i="115"/>
  <c r="B16" i="115"/>
  <c r="B15" i="115"/>
  <c r="B14" i="115"/>
  <c r="B13" i="115"/>
  <c r="B12" i="115"/>
  <c r="B11" i="115"/>
  <c r="B10" i="115"/>
  <c r="B9" i="115"/>
  <c r="B8" i="115"/>
  <c r="B7" i="115"/>
  <c r="B6" i="115"/>
  <c r="B5" i="115"/>
  <c r="J25" i="128" l="1"/>
  <c r="L35" i="128" s="1"/>
  <c r="N35" i="128" s="1"/>
  <c r="E31" i="116"/>
  <c r="L35" i="116" s="1"/>
  <c r="N35" i="116" s="1"/>
  <c r="Q27" i="128"/>
  <c r="Q29" i="128"/>
  <c r="F31" i="116"/>
  <c r="G31" i="116"/>
  <c r="J20" i="115"/>
  <c r="Q31" i="128" l="1"/>
  <c r="S24" i="114"/>
  <c r="T25" i="114" s="1"/>
  <c r="S10" i="128" l="1"/>
  <c r="P19" i="113"/>
  <c r="M19" i="113" s="1"/>
  <c r="N19" i="113"/>
  <c r="I19" i="113"/>
  <c r="G19" i="113"/>
  <c r="F19" i="113"/>
  <c r="H19" i="113" s="1"/>
  <c r="P18" i="113"/>
  <c r="M18" i="113" s="1"/>
  <c r="N18" i="113"/>
  <c r="I18" i="113"/>
  <c r="G18" i="113"/>
  <c r="F18" i="113"/>
  <c r="H18" i="113" s="1"/>
  <c r="P17" i="113"/>
  <c r="M17" i="113" s="1"/>
  <c r="N17" i="113"/>
  <c r="I17" i="113"/>
  <c r="G17" i="113"/>
  <c r="F17" i="113"/>
  <c r="H17" i="113" s="1"/>
  <c r="P16" i="113"/>
  <c r="M16" i="113" s="1"/>
  <c r="N16" i="113"/>
  <c r="I16" i="113"/>
  <c r="G16" i="113"/>
  <c r="F16" i="113"/>
  <c r="H16" i="113" s="1"/>
  <c r="P15" i="113"/>
  <c r="M15" i="113" s="1"/>
  <c r="N15" i="113"/>
  <c r="I15" i="113"/>
  <c r="G15" i="113"/>
  <c r="F15" i="113"/>
  <c r="H15" i="113" s="1"/>
  <c r="P14" i="113"/>
  <c r="M14" i="113" s="1"/>
  <c r="N14" i="113"/>
  <c r="I14" i="113"/>
  <c r="G14" i="113"/>
  <c r="F14" i="113"/>
  <c r="H14" i="113" s="1"/>
  <c r="P13" i="113"/>
  <c r="M13" i="113" s="1"/>
  <c r="N13" i="113"/>
  <c r="I13" i="113"/>
  <c r="G13" i="113"/>
  <c r="F13" i="113"/>
  <c r="H13" i="113" s="1"/>
  <c r="P12" i="113"/>
  <c r="M12" i="113" s="1"/>
  <c r="N12" i="113"/>
  <c r="I12" i="113"/>
  <c r="G12" i="113"/>
  <c r="F12" i="113"/>
  <c r="H12" i="113" s="1"/>
  <c r="P11" i="113"/>
  <c r="M11" i="113" s="1"/>
  <c r="N11" i="113"/>
  <c r="I11" i="113"/>
  <c r="G11" i="113"/>
  <c r="F11" i="113"/>
  <c r="H11" i="113" s="1"/>
  <c r="P10" i="113"/>
  <c r="M10" i="113" s="1"/>
  <c r="N10" i="113"/>
  <c r="I10" i="113"/>
  <c r="G10" i="113"/>
  <c r="F10" i="113"/>
  <c r="H10" i="113" s="1"/>
  <c r="P9" i="113"/>
  <c r="M9" i="113" s="1"/>
  <c r="N9" i="113"/>
  <c r="I9" i="113"/>
  <c r="G9" i="113"/>
  <c r="F9" i="113"/>
  <c r="H9" i="113" s="1"/>
  <c r="P8" i="113"/>
  <c r="M8" i="113" s="1"/>
  <c r="N8" i="113"/>
  <c r="I8" i="113"/>
  <c r="G8" i="113"/>
  <c r="F8" i="113"/>
  <c r="H8" i="113" s="1"/>
  <c r="P7" i="113"/>
  <c r="M7" i="113" s="1"/>
  <c r="N7" i="113"/>
  <c r="I7" i="113"/>
  <c r="G7" i="113"/>
  <c r="F7" i="113"/>
  <c r="H7" i="113" s="1"/>
  <c r="P6" i="113"/>
  <c r="M6" i="113" s="1"/>
  <c r="N6" i="113"/>
  <c r="I6" i="113"/>
  <c r="G6" i="113"/>
  <c r="F6" i="113"/>
  <c r="H6" i="113" s="1"/>
  <c r="P19" i="112"/>
  <c r="M19" i="112" s="1"/>
  <c r="N19" i="112"/>
  <c r="I19" i="112"/>
  <c r="G19" i="112"/>
  <c r="F19" i="112"/>
  <c r="H19" i="112" s="1"/>
  <c r="P18" i="112"/>
  <c r="N18" i="112"/>
  <c r="I18" i="112"/>
  <c r="G18" i="112"/>
  <c r="F18" i="112"/>
  <c r="H18" i="112" s="1"/>
  <c r="P17" i="112"/>
  <c r="M17" i="112" s="1"/>
  <c r="N17" i="112"/>
  <c r="I17" i="112"/>
  <c r="G17" i="112"/>
  <c r="F17" i="112"/>
  <c r="P16" i="112"/>
  <c r="M16" i="112" s="1"/>
  <c r="N16" i="112"/>
  <c r="I16" i="112"/>
  <c r="G16" i="112"/>
  <c r="F16" i="112"/>
  <c r="H16" i="112" s="1"/>
  <c r="P15" i="112"/>
  <c r="M15" i="112" s="1"/>
  <c r="N15" i="112"/>
  <c r="I15" i="112"/>
  <c r="G15" i="112"/>
  <c r="F15" i="112"/>
  <c r="H15" i="112" s="1"/>
  <c r="P14" i="112"/>
  <c r="M14" i="112" s="1"/>
  <c r="N14" i="112"/>
  <c r="I14" i="112"/>
  <c r="G14" i="112"/>
  <c r="F14" i="112"/>
  <c r="P13" i="112"/>
  <c r="M13" i="112" s="1"/>
  <c r="N13" i="112"/>
  <c r="I13" i="112"/>
  <c r="G13" i="112"/>
  <c r="F13" i="112"/>
  <c r="P12" i="112"/>
  <c r="M12" i="112" s="1"/>
  <c r="N12" i="112"/>
  <c r="I12" i="112"/>
  <c r="G12" i="112"/>
  <c r="F12" i="112"/>
  <c r="H12" i="112" s="1"/>
  <c r="P11" i="112"/>
  <c r="M11" i="112" s="1"/>
  <c r="N11" i="112"/>
  <c r="I11" i="112"/>
  <c r="G11" i="112"/>
  <c r="F11" i="112"/>
  <c r="H11" i="112" s="1"/>
  <c r="P10" i="112"/>
  <c r="M10" i="112" s="1"/>
  <c r="N10" i="112"/>
  <c r="I10" i="112"/>
  <c r="G10" i="112"/>
  <c r="F10" i="112"/>
  <c r="H10" i="112" s="1"/>
  <c r="P9" i="112"/>
  <c r="M9" i="112" s="1"/>
  <c r="N9" i="112"/>
  <c r="I9" i="112"/>
  <c r="G9" i="112"/>
  <c r="F9" i="112"/>
  <c r="P8" i="112"/>
  <c r="M8" i="112" s="1"/>
  <c r="N8" i="112"/>
  <c r="I8" i="112"/>
  <c r="G8" i="112"/>
  <c r="F8" i="112"/>
  <c r="P7" i="112"/>
  <c r="M7" i="112" s="1"/>
  <c r="N7" i="112"/>
  <c r="I7" i="112"/>
  <c r="G7" i="112"/>
  <c r="F7" i="112"/>
  <c r="P6" i="112"/>
  <c r="M6" i="112" s="1"/>
  <c r="N6" i="112"/>
  <c r="I6" i="112"/>
  <c r="G6" i="112"/>
  <c r="F6" i="112"/>
  <c r="H6" i="112" s="1"/>
  <c r="P19" i="111"/>
  <c r="M19" i="111" s="1"/>
  <c r="N19" i="111"/>
  <c r="I19" i="111"/>
  <c r="G19" i="111"/>
  <c r="F19" i="111"/>
  <c r="H19" i="111" s="1"/>
  <c r="P18" i="111"/>
  <c r="M18" i="111" s="1"/>
  <c r="N18" i="111"/>
  <c r="I18" i="111"/>
  <c r="G18" i="111"/>
  <c r="F18" i="111"/>
  <c r="P17" i="111"/>
  <c r="M17" i="111" s="1"/>
  <c r="N17" i="111"/>
  <c r="I17" i="111"/>
  <c r="G17" i="111"/>
  <c r="F17" i="111"/>
  <c r="H17" i="111" s="1"/>
  <c r="P16" i="111"/>
  <c r="M16" i="111" s="1"/>
  <c r="N16" i="111"/>
  <c r="I16" i="111"/>
  <c r="G16" i="111"/>
  <c r="F16" i="111"/>
  <c r="H16" i="111" s="1"/>
  <c r="P15" i="111"/>
  <c r="M15" i="111" s="1"/>
  <c r="N15" i="111"/>
  <c r="I15" i="111"/>
  <c r="G15" i="111"/>
  <c r="F15" i="111"/>
  <c r="P14" i="111"/>
  <c r="M14" i="111" s="1"/>
  <c r="N14" i="111"/>
  <c r="I14" i="111"/>
  <c r="G14" i="111"/>
  <c r="F14" i="111"/>
  <c r="H14" i="111" s="1"/>
  <c r="P13" i="111"/>
  <c r="M13" i="111" s="1"/>
  <c r="N13" i="111"/>
  <c r="I13" i="111"/>
  <c r="G13" i="111"/>
  <c r="F13" i="111"/>
  <c r="P12" i="111"/>
  <c r="M12" i="111" s="1"/>
  <c r="N12" i="111"/>
  <c r="I12" i="111"/>
  <c r="G12" i="111"/>
  <c r="F12" i="111"/>
  <c r="H12" i="111" s="1"/>
  <c r="P11" i="111"/>
  <c r="M11" i="111" s="1"/>
  <c r="N11" i="111"/>
  <c r="I11" i="111"/>
  <c r="G11" i="111"/>
  <c r="F11" i="111"/>
  <c r="P10" i="111"/>
  <c r="M10" i="111" s="1"/>
  <c r="N10" i="111"/>
  <c r="I10" i="111"/>
  <c r="G10" i="111"/>
  <c r="F10" i="111"/>
  <c r="H10" i="111" s="1"/>
  <c r="P9" i="111"/>
  <c r="M9" i="111" s="1"/>
  <c r="N9" i="111"/>
  <c r="I9" i="111"/>
  <c r="G9" i="111"/>
  <c r="F9" i="111"/>
  <c r="H9" i="111" s="1"/>
  <c r="P8" i="111"/>
  <c r="M8" i="111" s="1"/>
  <c r="N8" i="111"/>
  <c r="I8" i="111"/>
  <c r="G8" i="111"/>
  <c r="F8" i="111"/>
  <c r="P7" i="111"/>
  <c r="M7" i="111" s="1"/>
  <c r="N7" i="111"/>
  <c r="I7" i="111"/>
  <c r="G7" i="111"/>
  <c r="F7" i="111"/>
  <c r="P6" i="111"/>
  <c r="M6" i="111" s="1"/>
  <c r="N6" i="111"/>
  <c r="I6" i="111"/>
  <c r="G6" i="111"/>
  <c r="F6" i="111"/>
  <c r="H6" i="111" s="1"/>
  <c r="P19" i="110"/>
  <c r="M19" i="110" s="1"/>
  <c r="N19" i="110"/>
  <c r="I19" i="110"/>
  <c r="G19" i="110"/>
  <c r="F19" i="110"/>
  <c r="H19" i="110" s="1"/>
  <c r="P18" i="110"/>
  <c r="M18" i="110" s="1"/>
  <c r="N18" i="110"/>
  <c r="I18" i="110"/>
  <c r="G18" i="110"/>
  <c r="F18" i="110"/>
  <c r="H18" i="110" s="1"/>
  <c r="P17" i="110"/>
  <c r="M17" i="110" s="1"/>
  <c r="N17" i="110"/>
  <c r="I17" i="110"/>
  <c r="G17" i="110"/>
  <c r="F17" i="110"/>
  <c r="H17" i="110" s="1"/>
  <c r="P16" i="110"/>
  <c r="M16" i="110" s="1"/>
  <c r="N16" i="110"/>
  <c r="I16" i="110"/>
  <c r="G16" i="110"/>
  <c r="F16" i="110"/>
  <c r="H16" i="110" s="1"/>
  <c r="P15" i="110"/>
  <c r="M15" i="110" s="1"/>
  <c r="N15" i="110"/>
  <c r="I15" i="110"/>
  <c r="G15" i="110"/>
  <c r="F15" i="110"/>
  <c r="H15" i="110" s="1"/>
  <c r="P14" i="110"/>
  <c r="M14" i="110" s="1"/>
  <c r="N14" i="110"/>
  <c r="I14" i="110"/>
  <c r="G14" i="110"/>
  <c r="F14" i="110"/>
  <c r="H14" i="110" s="1"/>
  <c r="P13" i="110"/>
  <c r="M13" i="110" s="1"/>
  <c r="N13" i="110"/>
  <c r="I13" i="110"/>
  <c r="G13" i="110"/>
  <c r="F13" i="110"/>
  <c r="H13" i="110" s="1"/>
  <c r="P12" i="110"/>
  <c r="M12" i="110" s="1"/>
  <c r="N12" i="110"/>
  <c r="I12" i="110"/>
  <c r="G12" i="110"/>
  <c r="F12" i="110"/>
  <c r="H12" i="110" s="1"/>
  <c r="P11" i="110"/>
  <c r="M11" i="110" s="1"/>
  <c r="N11" i="110"/>
  <c r="I11" i="110"/>
  <c r="G11" i="110"/>
  <c r="F11" i="110"/>
  <c r="H11" i="110" s="1"/>
  <c r="P10" i="110"/>
  <c r="N10" i="110"/>
  <c r="I10" i="110"/>
  <c r="G10" i="110"/>
  <c r="F10" i="110"/>
  <c r="H10" i="110" s="1"/>
  <c r="P9" i="110"/>
  <c r="M9" i="110" s="1"/>
  <c r="N9" i="110"/>
  <c r="I9" i="110"/>
  <c r="G9" i="110"/>
  <c r="F9" i="110"/>
  <c r="H9" i="110" s="1"/>
  <c r="P8" i="110"/>
  <c r="M8" i="110" s="1"/>
  <c r="N8" i="110"/>
  <c r="I8" i="110"/>
  <c r="G8" i="110"/>
  <c r="F8" i="110"/>
  <c r="H8" i="110" s="1"/>
  <c r="P7" i="110"/>
  <c r="N7" i="110"/>
  <c r="I7" i="110"/>
  <c r="G7" i="110"/>
  <c r="F7" i="110"/>
  <c r="H7" i="110" s="1"/>
  <c r="P6" i="110"/>
  <c r="M6" i="110" s="1"/>
  <c r="N6" i="110"/>
  <c r="I6" i="110"/>
  <c r="G6" i="110"/>
  <c r="F6" i="110"/>
  <c r="H6" i="110" s="1"/>
  <c r="P19" i="109"/>
  <c r="M19" i="109" s="1"/>
  <c r="N19" i="109"/>
  <c r="I19" i="109"/>
  <c r="G19" i="109"/>
  <c r="F19" i="109"/>
  <c r="H19" i="109" s="1"/>
  <c r="P18" i="109"/>
  <c r="M18" i="109" s="1"/>
  <c r="N18" i="109"/>
  <c r="I18" i="109"/>
  <c r="G18" i="109"/>
  <c r="F18" i="109"/>
  <c r="H18" i="109" s="1"/>
  <c r="P17" i="109"/>
  <c r="M17" i="109" s="1"/>
  <c r="N17" i="109"/>
  <c r="I17" i="109"/>
  <c r="G17" i="109"/>
  <c r="F17" i="109"/>
  <c r="H17" i="109" s="1"/>
  <c r="P16" i="109"/>
  <c r="M16" i="109" s="1"/>
  <c r="N16" i="109"/>
  <c r="I16" i="109"/>
  <c r="G16" i="109"/>
  <c r="F16" i="109"/>
  <c r="H16" i="109" s="1"/>
  <c r="P15" i="109"/>
  <c r="M15" i="109" s="1"/>
  <c r="N15" i="109"/>
  <c r="I15" i="109"/>
  <c r="G15" i="109"/>
  <c r="F15" i="109"/>
  <c r="H15" i="109" s="1"/>
  <c r="P14" i="109"/>
  <c r="M14" i="109" s="1"/>
  <c r="N14" i="109"/>
  <c r="I14" i="109"/>
  <c r="G14" i="109"/>
  <c r="F14" i="109"/>
  <c r="H14" i="109" s="1"/>
  <c r="P13" i="109"/>
  <c r="M13" i="109" s="1"/>
  <c r="N13" i="109"/>
  <c r="I13" i="109"/>
  <c r="G13" i="109"/>
  <c r="F13" i="109"/>
  <c r="H13" i="109" s="1"/>
  <c r="P12" i="109"/>
  <c r="M12" i="109" s="1"/>
  <c r="N12" i="109"/>
  <c r="I12" i="109"/>
  <c r="G12" i="109"/>
  <c r="F12" i="109"/>
  <c r="H12" i="109" s="1"/>
  <c r="P11" i="109"/>
  <c r="M11" i="109" s="1"/>
  <c r="N11" i="109"/>
  <c r="I11" i="109"/>
  <c r="G11" i="109"/>
  <c r="F11" i="109"/>
  <c r="P10" i="109"/>
  <c r="M10" i="109" s="1"/>
  <c r="N10" i="109"/>
  <c r="I10" i="109"/>
  <c r="G10" i="109"/>
  <c r="F10" i="109"/>
  <c r="H10" i="109" s="1"/>
  <c r="P9" i="109"/>
  <c r="M9" i="109" s="1"/>
  <c r="N9" i="109"/>
  <c r="I9" i="109"/>
  <c r="G9" i="109"/>
  <c r="F9" i="109"/>
  <c r="H9" i="109" s="1"/>
  <c r="P8" i="109"/>
  <c r="M8" i="109" s="1"/>
  <c r="N8" i="109"/>
  <c r="I8" i="109"/>
  <c r="G8" i="109"/>
  <c r="F8" i="109"/>
  <c r="H8" i="109" s="1"/>
  <c r="P7" i="109"/>
  <c r="M7" i="109" s="1"/>
  <c r="N7" i="109"/>
  <c r="I7" i="109"/>
  <c r="G7" i="109"/>
  <c r="F7" i="109"/>
  <c r="H7" i="109" s="1"/>
  <c r="P6" i="109"/>
  <c r="M6" i="109" s="1"/>
  <c r="N6" i="109"/>
  <c r="I6" i="109"/>
  <c r="G6" i="109"/>
  <c r="F6" i="109"/>
  <c r="H6" i="109" s="1"/>
  <c r="P19" i="108"/>
  <c r="M19" i="108" s="1"/>
  <c r="N19" i="108"/>
  <c r="I19" i="108"/>
  <c r="G19" i="108"/>
  <c r="F19" i="108"/>
  <c r="H19" i="108" s="1"/>
  <c r="P18" i="108"/>
  <c r="M18" i="108" s="1"/>
  <c r="N18" i="108"/>
  <c r="I18" i="108"/>
  <c r="G18" i="108"/>
  <c r="F18" i="108"/>
  <c r="H18" i="108" s="1"/>
  <c r="P17" i="108"/>
  <c r="M17" i="108" s="1"/>
  <c r="N17" i="108"/>
  <c r="I17" i="108"/>
  <c r="G17" i="108"/>
  <c r="F17" i="108"/>
  <c r="H17" i="108" s="1"/>
  <c r="P16" i="108"/>
  <c r="M16" i="108" s="1"/>
  <c r="N16" i="108"/>
  <c r="I16" i="108"/>
  <c r="G16" i="108"/>
  <c r="F16" i="108"/>
  <c r="H16" i="108" s="1"/>
  <c r="P15" i="108"/>
  <c r="M15" i="108" s="1"/>
  <c r="N15" i="108"/>
  <c r="I15" i="108"/>
  <c r="G15" i="108"/>
  <c r="F15" i="108"/>
  <c r="H15" i="108" s="1"/>
  <c r="P14" i="108"/>
  <c r="M14" i="108" s="1"/>
  <c r="N14" i="108"/>
  <c r="I14" i="108"/>
  <c r="G14" i="108"/>
  <c r="F14" i="108"/>
  <c r="H14" i="108" s="1"/>
  <c r="P13" i="108"/>
  <c r="M13" i="108" s="1"/>
  <c r="N13" i="108"/>
  <c r="I13" i="108"/>
  <c r="G13" i="108"/>
  <c r="F13" i="108"/>
  <c r="H13" i="108" s="1"/>
  <c r="P12" i="108"/>
  <c r="M12" i="108" s="1"/>
  <c r="N12" i="108"/>
  <c r="I12" i="108"/>
  <c r="G12" i="108"/>
  <c r="F12" i="108"/>
  <c r="H12" i="108" s="1"/>
  <c r="P11" i="108"/>
  <c r="M11" i="108" s="1"/>
  <c r="N11" i="108"/>
  <c r="I11" i="108"/>
  <c r="G11" i="108"/>
  <c r="F11" i="108"/>
  <c r="H11" i="108" s="1"/>
  <c r="P10" i="108"/>
  <c r="M10" i="108" s="1"/>
  <c r="N10" i="108"/>
  <c r="I10" i="108"/>
  <c r="G10" i="108"/>
  <c r="F10" i="108"/>
  <c r="H10" i="108" s="1"/>
  <c r="P9" i="108"/>
  <c r="M9" i="108" s="1"/>
  <c r="N9" i="108"/>
  <c r="I9" i="108"/>
  <c r="G9" i="108"/>
  <c r="F9" i="108"/>
  <c r="H9" i="108" s="1"/>
  <c r="P8" i="108"/>
  <c r="M8" i="108" s="1"/>
  <c r="N8" i="108"/>
  <c r="I8" i="108"/>
  <c r="G8" i="108"/>
  <c r="F8" i="108"/>
  <c r="H8" i="108" s="1"/>
  <c r="P7" i="108"/>
  <c r="M7" i="108" s="1"/>
  <c r="N7" i="108"/>
  <c r="I7" i="108"/>
  <c r="G7" i="108"/>
  <c r="F7" i="108"/>
  <c r="H7" i="108" s="1"/>
  <c r="P6" i="108"/>
  <c r="M6" i="108" s="1"/>
  <c r="N6" i="108"/>
  <c r="I6" i="108"/>
  <c r="G6" i="108"/>
  <c r="F6" i="108"/>
  <c r="H6" i="108" s="1"/>
  <c r="P19" i="107"/>
  <c r="M19" i="107" s="1"/>
  <c r="N19" i="107"/>
  <c r="I19" i="107"/>
  <c r="G19" i="107"/>
  <c r="F19" i="107"/>
  <c r="H19" i="107" s="1"/>
  <c r="P18" i="107"/>
  <c r="M18" i="107" s="1"/>
  <c r="N18" i="107"/>
  <c r="I18" i="107"/>
  <c r="G18" i="107"/>
  <c r="F18" i="107"/>
  <c r="H18" i="107" s="1"/>
  <c r="P17" i="107"/>
  <c r="M17" i="107" s="1"/>
  <c r="N17" i="107"/>
  <c r="I17" i="107"/>
  <c r="G17" i="107"/>
  <c r="F17" i="107"/>
  <c r="H17" i="107" s="1"/>
  <c r="P16" i="107"/>
  <c r="M16" i="107" s="1"/>
  <c r="N16" i="107"/>
  <c r="I16" i="107"/>
  <c r="G16" i="107"/>
  <c r="F16" i="107"/>
  <c r="H16" i="107" s="1"/>
  <c r="P15" i="107"/>
  <c r="M15" i="107" s="1"/>
  <c r="N15" i="107"/>
  <c r="I15" i="107"/>
  <c r="G15" i="107"/>
  <c r="F15" i="107"/>
  <c r="P14" i="107"/>
  <c r="M14" i="107" s="1"/>
  <c r="N14" i="107"/>
  <c r="I14" i="107"/>
  <c r="G14" i="107"/>
  <c r="F14" i="107"/>
  <c r="H14" i="107" s="1"/>
  <c r="P13" i="107"/>
  <c r="M13" i="107" s="1"/>
  <c r="N13" i="107"/>
  <c r="I13" i="107"/>
  <c r="G13" i="107"/>
  <c r="F13" i="107"/>
  <c r="P12" i="107"/>
  <c r="M12" i="107" s="1"/>
  <c r="N12" i="107"/>
  <c r="I12" i="107"/>
  <c r="G12" i="107"/>
  <c r="F12" i="107"/>
  <c r="H12" i="107" s="1"/>
  <c r="P11" i="107"/>
  <c r="M11" i="107" s="1"/>
  <c r="N11" i="107"/>
  <c r="I11" i="107"/>
  <c r="G11" i="107"/>
  <c r="F11" i="107"/>
  <c r="H11" i="107" s="1"/>
  <c r="P10" i="107"/>
  <c r="M10" i="107" s="1"/>
  <c r="N10" i="107"/>
  <c r="I10" i="107"/>
  <c r="G10" i="107"/>
  <c r="F10" i="107"/>
  <c r="H10" i="107" s="1"/>
  <c r="P9" i="107"/>
  <c r="M9" i="107" s="1"/>
  <c r="N9" i="107"/>
  <c r="I9" i="107"/>
  <c r="G9" i="107"/>
  <c r="F9" i="107"/>
  <c r="P8" i="107"/>
  <c r="M8" i="107" s="1"/>
  <c r="N8" i="107"/>
  <c r="I8" i="107"/>
  <c r="G8" i="107"/>
  <c r="F8" i="107"/>
  <c r="H8" i="107" s="1"/>
  <c r="P7" i="107"/>
  <c r="M7" i="107" s="1"/>
  <c r="N7" i="107"/>
  <c r="I7" i="107"/>
  <c r="G7" i="107"/>
  <c r="F7" i="107"/>
  <c r="H7" i="107" s="1"/>
  <c r="P6" i="107"/>
  <c r="M6" i="107" s="1"/>
  <c r="N6" i="107"/>
  <c r="K6" i="107"/>
  <c r="L6" i="107" s="1"/>
  <c r="I6" i="107"/>
  <c r="G6" i="107"/>
  <c r="F6" i="107"/>
  <c r="H6" i="107" s="1"/>
  <c r="P19" i="106"/>
  <c r="M19" i="106" s="1"/>
  <c r="N19" i="106"/>
  <c r="I19" i="106"/>
  <c r="G19" i="106"/>
  <c r="F19" i="106"/>
  <c r="P18" i="106"/>
  <c r="M18" i="106" s="1"/>
  <c r="N18" i="106"/>
  <c r="I18" i="106"/>
  <c r="G18" i="106"/>
  <c r="F18" i="106"/>
  <c r="H18" i="106" s="1"/>
  <c r="P17" i="106"/>
  <c r="M17" i="106" s="1"/>
  <c r="N17" i="106"/>
  <c r="I17" i="106"/>
  <c r="G17" i="106"/>
  <c r="F17" i="106"/>
  <c r="P16" i="106"/>
  <c r="M16" i="106" s="1"/>
  <c r="N16" i="106"/>
  <c r="I16" i="106"/>
  <c r="G16" i="106"/>
  <c r="F16" i="106"/>
  <c r="P15" i="106"/>
  <c r="M15" i="106" s="1"/>
  <c r="N15" i="106"/>
  <c r="I15" i="106"/>
  <c r="G15" i="106"/>
  <c r="F15" i="106"/>
  <c r="P14" i="106"/>
  <c r="M14" i="106" s="1"/>
  <c r="N14" i="106"/>
  <c r="I14" i="106"/>
  <c r="G14" i="106"/>
  <c r="F14" i="106"/>
  <c r="P13" i="106"/>
  <c r="M13" i="106" s="1"/>
  <c r="N13" i="106"/>
  <c r="I13" i="106"/>
  <c r="G13" i="106"/>
  <c r="F13" i="106"/>
  <c r="P12" i="106"/>
  <c r="M12" i="106" s="1"/>
  <c r="N12" i="106"/>
  <c r="I12" i="106"/>
  <c r="G12" i="106"/>
  <c r="F12" i="106"/>
  <c r="P11" i="106"/>
  <c r="M11" i="106" s="1"/>
  <c r="N11" i="106"/>
  <c r="I11" i="106"/>
  <c r="G11" i="106"/>
  <c r="F11" i="106"/>
  <c r="P10" i="106"/>
  <c r="M10" i="106" s="1"/>
  <c r="N10" i="106"/>
  <c r="I10" i="106"/>
  <c r="G10" i="106"/>
  <c r="F10" i="106"/>
  <c r="P9" i="106"/>
  <c r="M9" i="106" s="1"/>
  <c r="N9" i="106"/>
  <c r="I9" i="106"/>
  <c r="G9" i="106"/>
  <c r="F9" i="106"/>
  <c r="P8" i="106"/>
  <c r="M8" i="106" s="1"/>
  <c r="N8" i="106"/>
  <c r="I8" i="106"/>
  <c r="G8" i="106"/>
  <c r="F8" i="106"/>
  <c r="P7" i="106"/>
  <c r="M7" i="106" s="1"/>
  <c r="N7" i="106"/>
  <c r="I7" i="106"/>
  <c r="G7" i="106"/>
  <c r="F7" i="106"/>
  <c r="P6" i="106"/>
  <c r="M6" i="106" s="1"/>
  <c r="N6" i="106"/>
  <c r="K6" i="106"/>
  <c r="L6" i="106" s="1"/>
  <c r="I6" i="106"/>
  <c r="G6" i="106"/>
  <c r="F6" i="106"/>
  <c r="I19" i="114"/>
  <c r="C19" i="114"/>
  <c r="I18" i="114"/>
  <c r="C18" i="114"/>
  <c r="I17" i="114"/>
  <c r="C17" i="114"/>
  <c r="I16" i="114"/>
  <c r="C16" i="114"/>
  <c r="I15" i="114"/>
  <c r="C15" i="114"/>
  <c r="I14" i="114"/>
  <c r="C14" i="114"/>
  <c r="I13" i="114"/>
  <c r="C13" i="114"/>
  <c r="I12" i="114"/>
  <c r="C12" i="114"/>
  <c r="I11" i="114"/>
  <c r="C11" i="114"/>
  <c r="I10" i="114"/>
  <c r="C10" i="114"/>
  <c r="I9" i="114"/>
  <c r="C9" i="114"/>
  <c r="I8" i="114"/>
  <c r="E22" i="114"/>
  <c r="C8" i="114"/>
  <c r="I7" i="114"/>
  <c r="C7" i="114"/>
  <c r="I6" i="114"/>
  <c r="D26" i="114"/>
  <c r="C6" i="114"/>
  <c r="C3" i="114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3" i="113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3" i="112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3" i="111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3" i="110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3" i="109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C3" i="108"/>
  <c r="C19" i="107"/>
  <c r="C18" i="107"/>
  <c r="C17" i="107"/>
  <c r="C16" i="107"/>
  <c r="C15" i="107"/>
  <c r="C14" i="107"/>
  <c r="C13" i="107"/>
  <c r="C12" i="107"/>
  <c r="C11" i="107"/>
  <c r="C10" i="107"/>
  <c r="C9" i="107"/>
  <c r="C8" i="107"/>
  <c r="C7" i="107"/>
  <c r="C6" i="107"/>
  <c r="C3" i="107"/>
  <c r="C19" i="106"/>
  <c r="C18" i="106"/>
  <c r="C17" i="106"/>
  <c r="C16" i="106"/>
  <c r="C15" i="106"/>
  <c r="C14" i="106"/>
  <c r="C13" i="106"/>
  <c r="C12" i="106"/>
  <c r="C11" i="106"/>
  <c r="C10" i="106"/>
  <c r="C9" i="106"/>
  <c r="C8" i="106"/>
  <c r="C7" i="106"/>
  <c r="C6" i="106"/>
  <c r="C3" i="106"/>
  <c r="P19" i="105"/>
  <c r="N19" i="105"/>
  <c r="I19" i="105"/>
  <c r="G19" i="105"/>
  <c r="F19" i="105"/>
  <c r="P18" i="105"/>
  <c r="M18" i="105" s="1"/>
  <c r="N18" i="105"/>
  <c r="I18" i="105"/>
  <c r="G18" i="105"/>
  <c r="F18" i="105"/>
  <c r="P17" i="105"/>
  <c r="M17" i="105" s="1"/>
  <c r="N17" i="105"/>
  <c r="I17" i="105"/>
  <c r="G17" i="105"/>
  <c r="F17" i="105"/>
  <c r="P16" i="105"/>
  <c r="M16" i="105" s="1"/>
  <c r="N16" i="105"/>
  <c r="I16" i="105"/>
  <c r="G16" i="105"/>
  <c r="F16" i="105"/>
  <c r="P15" i="105"/>
  <c r="M15" i="105" s="1"/>
  <c r="N15" i="105"/>
  <c r="I15" i="105"/>
  <c r="G15" i="105"/>
  <c r="F15" i="105"/>
  <c r="P14" i="105"/>
  <c r="M14" i="105" s="1"/>
  <c r="N14" i="105"/>
  <c r="I14" i="105"/>
  <c r="G14" i="105"/>
  <c r="F14" i="105"/>
  <c r="P13" i="105"/>
  <c r="M13" i="105" s="1"/>
  <c r="N13" i="105"/>
  <c r="I13" i="105"/>
  <c r="G13" i="105"/>
  <c r="F13" i="105"/>
  <c r="P12" i="105"/>
  <c r="M12" i="105" s="1"/>
  <c r="N12" i="105"/>
  <c r="I12" i="105"/>
  <c r="G12" i="105"/>
  <c r="F12" i="105"/>
  <c r="P11" i="105"/>
  <c r="M11" i="105" s="1"/>
  <c r="N11" i="105"/>
  <c r="I11" i="105"/>
  <c r="G11" i="105"/>
  <c r="F11" i="105"/>
  <c r="P10" i="105"/>
  <c r="N10" i="105"/>
  <c r="I10" i="105"/>
  <c r="G10" i="105"/>
  <c r="F10" i="105"/>
  <c r="P9" i="105"/>
  <c r="M9" i="105" s="1"/>
  <c r="N9" i="105"/>
  <c r="I9" i="105"/>
  <c r="G9" i="105"/>
  <c r="F9" i="105"/>
  <c r="P8" i="105"/>
  <c r="N8" i="105"/>
  <c r="I8" i="105"/>
  <c r="G8" i="105"/>
  <c r="F8" i="105"/>
  <c r="P7" i="105"/>
  <c r="N7" i="105"/>
  <c r="I7" i="105"/>
  <c r="G7" i="105"/>
  <c r="F7" i="105"/>
  <c r="P6" i="105"/>
  <c r="N6" i="105"/>
  <c r="K6" i="105"/>
  <c r="L6" i="105" s="1"/>
  <c r="I6" i="105"/>
  <c r="G6" i="105"/>
  <c r="F6" i="105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3" i="105"/>
  <c r="J7" i="106" l="1"/>
  <c r="J15" i="106"/>
  <c r="J12" i="106"/>
  <c r="J6" i="106"/>
  <c r="H9" i="105"/>
  <c r="J9" i="106"/>
  <c r="J17" i="106"/>
  <c r="J11" i="106"/>
  <c r="J19" i="106"/>
  <c r="H14" i="105"/>
  <c r="J14" i="106"/>
  <c r="H8" i="105"/>
  <c r="J8" i="106"/>
  <c r="H16" i="105"/>
  <c r="J16" i="106"/>
  <c r="H13" i="105"/>
  <c r="J13" i="106"/>
  <c r="H10" i="105"/>
  <c r="J10" i="106"/>
  <c r="H18" i="105"/>
  <c r="J18" i="106"/>
  <c r="O19" i="105"/>
  <c r="M19" i="105"/>
  <c r="O10" i="105"/>
  <c r="M10" i="105"/>
  <c r="O17" i="109"/>
  <c r="J17" i="109"/>
  <c r="O11" i="110"/>
  <c r="J8" i="112"/>
  <c r="O19" i="106"/>
  <c r="O17" i="113"/>
  <c r="J7" i="110"/>
  <c r="O8" i="107"/>
  <c r="O13" i="109"/>
  <c r="O10" i="109"/>
  <c r="J10" i="113"/>
  <c r="J12" i="107"/>
  <c r="J14" i="107"/>
  <c r="O6" i="112"/>
  <c r="O10" i="112"/>
  <c r="J13" i="107"/>
  <c r="O14" i="112"/>
  <c r="J6" i="112"/>
  <c r="O12" i="107"/>
  <c r="O6" i="110"/>
  <c r="O9" i="112"/>
  <c r="O7" i="113"/>
  <c r="J19" i="112"/>
  <c r="O11" i="106"/>
  <c r="O16" i="107"/>
  <c r="J16" i="112"/>
  <c r="J14" i="112"/>
  <c r="O9" i="109"/>
  <c r="O14" i="109"/>
  <c r="J9" i="112"/>
  <c r="J18" i="107"/>
  <c r="J11" i="110"/>
  <c r="J16" i="110"/>
  <c r="J16" i="113"/>
  <c r="J13" i="111"/>
  <c r="O6" i="111"/>
  <c r="J11" i="113"/>
  <c r="J8" i="111"/>
  <c r="J10" i="111"/>
  <c r="H8" i="111"/>
  <c r="J10" i="112"/>
  <c r="J19" i="113"/>
  <c r="O13" i="107"/>
  <c r="O14" i="110"/>
  <c r="J11" i="108"/>
  <c r="J8" i="107"/>
  <c r="J10" i="107"/>
  <c r="J17" i="107"/>
  <c r="J17" i="108"/>
  <c r="J13" i="109"/>
  <c r="J16" i="111"/>
  <c r="J17" i="111"/>
  <c r="J18" i="111"/>
  <c r="J19" i="111"/>
  <c r="J18" i="113"/>
  <c r="O18" i="110"/>
  <c r="O11" i="112"/>
  <c r="H11" i="109"/>
  <c r="O9" i="107"/>
  <c r="O17" i="107"/>
  <c r="J17" i="112"/>
  <c r="J9" i="109"/>
  <c r="J12" i="113"/>
  <c r="M7" i="110"/>
  <c r="O7" i="110"/>
  <c r="H7" i="112"/>
  <c r="J7" i="113"/>
  <c r="H14" i="112"/>
  <c r="J14" i="113"/>
  <c r="O13" i="113"/>
  <c r="J6" i="113"/>
  <c r="H17" i="112"/>
  <c r="J17" i="113"/>
  <c r="M18" i="112"/>
  <c r="O18" i="112"/>
  <c r="O7" i="109"/>
  <c r="J19" i="108"/>
  <c r="J15" i="110"/>
  <c r="J12" i="112"/>
  <c r="J9" i="108"/>
  <c r="J13" i="108"/>
  <c r="H15" i="107"/>
  <c r="J15" i="108"/>
  <c r="M10" i="110"/>
  <c r="O10" i="110"/>
  <c r="H18" i="111"/>
  <c r="J18" i="112"/>
  <c r="H10" i="106"/>
  <c r="H8" i="112"/>
  <c r="J8" i="113"/>
  <c r="J15" i="113"/>
  <c r="H6" i="106"/>
  <c r="H14" i="106"/>
  <c r="J18" i="110"/>
  <c r="H13" i="111"/>
  <c r="J13" i="112"/>
  <c r="J6" i="109"/>
  <c r="J6" i="111"/>
  <c r="J12" i="111"/>
  <c r="O7" i="106"/>
  <c r="O9" i="113"/>
  <c r="J9" i="107"/>
  <c r="J16" i="107"/>
  <c r="J16" i="108"/>
  <c r="J18" i="108"/>
  <c r="J11" i="109"/>
  <c r="J14" i="111"/>
  <c r="J7" i="108"/>
  <c r="J19" i="110"/>
  <c r="J6" i="107"/>
  <c r="H9" i="107"/>
  <c r="H13" i="107"/>
  <c r="J9" i="113"/>
  <c r="H9" i="112"/>
  <c r="J9" i="111"/>
  <c r="J7" i="109"/>
  <c r="H9" i="106"/>
  <c r="H13" i="106"/>
  <c r="H17" i="106"/>
  <c r="J6" i="108"/>
  <c r="J8" i="108"/>
  <c r="J10" i="108"/>
  <c r="J12" i="108"/>
  <c r="J14" i="108"/>
  <c r="J13" i="113"/>
  <c r="H13" i="112"/>
  <c r="J8" i="109"/>
  <c r="J10" i="109"/>
  <c r="J12" i="109"/>
  <c r="J14" i="109"/>
  <c r="J15" i="109"/>
  <c r="J16" i="109"/>
  <c r="J18" i="109"/>
  <c r="J19" i="109"/>
  <c r="J6" i="110"/>
  <c r="J8" i="110"/>
  <c r="J9" i="110"/>
  <c r="J10" i="110"/>
  <c r="J12" i="110"/>
  <c r="J13" i="110"/>
  <c r="J14" i="110"/>
  <c r="J17" i="110"/>
  <c r="J7" i="111"/>
  <c r="J11" i="111"/>
  <c r="J15" i="111"/>
  <c r="J7" i="112"/>
  <c r="H7" i="111"/>
  <c r="J11" i="112"/>
  <c r="H11" i="111"/>
  <c r="J15" i="112"/>
  <c r="H15" i="111"/>
  <c r="H7" i="106"/>
  <c r="H11" i="106"/>
  <c r="H15" i="106"/>
  <c r="H19" i="106"/>
  <c r="J19" i="107"/>
  <c r="J15" i="107"/>
  <c r="J11" i="107"/>
  <c r="J7" i="107"/>
  <c r="H8" i="106"/>
  <c r="H12" i="106"/>
  <c r="H16" i="106"/>
  <c r="O11" i="109"/>
  <c r="O13" i="110"/>
  <c r="O12" i="110"/>
  <c r="O15" i="108"/>
  <c r="O16" i="110"/>
  <c r="O15" i="111"/>
  <c r="O19" i="112"/>
  <c r="O17" i="108"/>
  <c r="O14" i="111"/>
  <c r="O7" i="112"/>
  <c r="I22" i="105"/>
  <c r="O16" i="108"/>
  <c r="O12" i="109"/>
  <c r="O15" i="113"/>
  <c r="O13" i="105"/>
  <c r="O8" i="109"/>
  <c r="N22" i="105"/>
  <c r="O18" i="109"/>
  <c r="O13" i="106"/>
  <c r="O16" i="111"/>
  <c r="O12" i="106"/>
  <c r="M6" i="105"/>
  <c r="P22" i="105"/>
  <c r="O6" i="105"/>
  <c r="N22" i="107"/>
  <c r="O10" i="107"/>
  <c r="O19" i="108"/>
  <c r="O15" i="109"/>
  <c r="O15" i="110"/>
  <c r="O18" i="111"/>
  <c r="N22" i="113"/>
  <c r="O10" i="113"/>
  <c r="O16" i="113"/>
  <c r="O18" i="113"/>
  <c r="N22" i="109"/>
  <c r="O6" i="107"/>
  <c r="O19" i="107"/>
  <c r="O7" i="108"/>
  <c r="O9" i="110"/>
  <c r="O16" i="106"/>
  <c r="O15" i="107"/>
  <c r="N22" i="110"/>
  <c r="F22" i="111"/>
  <c r="G22" i="105"/>
  <c r="O17" i="106"/>
  <c r="O7" i="107"/>
  <c r="O9" i="108"/>
  <c r="O13" i="108"/>
  <c r="I22" i="110"/>
  <c r="O8" i="110"/>
  <c r="O17" i="110"/>
  <c r="O7" i="111"/>
  <c r="G22" i="111"/>
  <c r="G22" i="113"/>
  <c r="O9" i="106"/>
  <c r="I22" i="109"/>
  <c r="O6" i="109"/>
  <c r="G22" i="110"/>
  <c r="O19" i="110"/>
  <c r="O10" i="111"/>
  <c r="F22" i="112"/>
  <c r="M7" i="105"/>
  <c r="O7" i="105"/>
  <c r="M8" i="105"/>
  <c r="O9" i="105"/>
  <c r="O15" i="105"/>
  <c r="O18" i="105"/>
  <c r="I22" i="106"/>
  <c r="O8" i="106"/>
  <c r="O15" i="106"/>
  <c r="G22" i="107"/>
  <c r="O14" i="107"/>
  <c r="G22" i="109"/>
  <c r="O6" i="113"/>
  <c r="O12" i="113"/>
  <c r="O11" i="107"/>
  <c r="O18" i="107"/>
  <c r="I22" i="108"/>
  <c r="O8" i="111"/>
  <c r="O12" i="111"/>
  <c r="O19" i="111"/>
  <c r="G22" i="112"/>
  <c r="O15" i="112"/>
  <c r="O11" i="113"/>
  <c r="H6" i="105"/>
  <c r="F22" i="105"/>
  <c r="H7" i="105"/>
  <c r="H11" i="105"/>
  <c r="H12" i="105"/>
  <c r="H15" i="105"/>
  <c r="H17" i="105"/>
  <c r="H19" i="105"/>
  <c r="F22" i="107"/>
  <c r="O8" i="108"/>
  <c r="O11" i="108"/>
  <c r="O16" i="109"/>
  <c r="I22" i="112"/>
  <c r="N22" i="112"/>
  <c r="O13" i="112"/>
  <c r="O14" i="113"/>
  <c r="I22" i="107"/>
  <c r="O12" i="108"/>
  <c r="F22" i="109"/>
  <c r="O11" i="111"/>
  <c r="O17" i="112"/>
  <c r="F22" i="113"/>
  <c r="O8" i="113"/>
  <c r="I22" i="113"/>
  <c r="I22" i="114"/>
  <c r="L22" i="114"/>
  <c r="E26" i="114"/>
  <c r="E25" i="114"/>
  <c r="D25" i="114"/>
  <c r="O19" i="113"/>
  <c r="P22" i="113"/>
  <c r="O8" i="112"/>
  <c r="O12" i="112"/>
  <c r="O16" i="112"/>
  <c r="P22" i="112"/>
  <c r="I22" i="111"/>
  <c r="N22" i="111"/>
  <c r="O17" i="111"/>
  <c r="O9" i="111"/>
  <c r="O13" i="111"/>
  <c r="P22" i="111"/>
  <c r="F26" i="110"/>
  <c r="H22" i="110"/>
  <c r="P22" i="110"/>
  <c r="F25" i="110"/>
  <c r="F22" i="110"/>
  <c r="O19" i="109"/>
  <c r="P22" i="109"/>
  <c r="O10" i="108"/>
  <c r="O6" i="108"/>
  <c r="P22" i="108"/>
  <c r="G22" i="108"/>
  <c r="N22" i="108"/>
  <c r="O18" i="108"/>
  <c r="F26" i="108"/>
  <c r="F25" i="108"/>
  <c r="H22" i="108"/>
  <c r="O14" i="108"/>
  <c r="F22" i="108"/>
  <c r="P22" i="107"/>
  <c r="O10" i="106"/>
  <c r="O6" i="106"/>
  <c r="P22" i="106"/>
  <c r="G22" i="106"/>
  <c r="N22" i="106"/>
  <c r="O18" i="106"/>
  <c r="O14" i="106"/>
  <c r="F22" i="106"/>
  <c r="O11" i="105"/>
  <c r="O14" i="105"/>
  <c r="O17" i="105"/>
  <c r="O8" i="105"/>
  <c r="O12" i="105"/>
  <c r="O16" i="105"/>
  <c r="P19" i="104"/>
  <c r="M19" i="104" s="1"/>
  <c r="N19" i="104"/>
  <c r="I19" i="104"/>
  <c r="G19" i="104"/>
  <c r="F19" i="104"/>
  <c r="P18" i="104"/>
  <c r="M18" i="104" s="1"/>
  <c r="N18" i="104"/>
  <c r="I18" i="104"/>
  <c r="G18" i="104"/>
  <c r="F18" i="104"/>
  <c r="P17" i="104"/>
  <c r="M17" i="104" s="1"/>
  <c r="N17" i="104"/>
  <c r="I17" i="104"/>
  <c r="G17" i="104"/>
  <c r="F17" i="104"/>
  <c r="P16" i="104"/>
  <c r="M16" i="104" s="1"/>
  <c r="N16" i="104"/>
  <c r="I16" i="104"/>
  <c r="G16" i="104"/>
  <c r="F16" i="104"/>
  <c r="P15" i="104"/>
  <c r="M15" i="104" s="1"/>
  <c r="N15" i="104"/>
  <c r="I15" i="104"/>
  <c r="G15" i="104"/>
  <c r="F15" i="104"/>
  <c r="P14" i="104"/>
  <c r="M14" i="104" s="1"/>
  <c r="N14" i="104"/>
  <c r="I14" i="104"/>
  <c r="G14" i="104"/>
  <c r="F14" i="104"/>
  <c r="P13" i="104"/>
  <c r="M13" i="104" s="1"/>
  <c r="N13" i="104"/>
  <c r="I13" i="104"/>
  <c r="G13" i="104"/>
  <c r="F13" i="104"/>
  <c r="P12" i="104"/>
  <c r="M12" i="104" s="1"/>
  <c r="N12" i="104"/>
  <c r="I12" i="104"/>
  <c r="G12" i="104"/>
  <c r="F12" i="104"/>
  <c r="P11" i="104"/>
  <c r="M11" i="104" s="1"/>
  <c r="N11" i="104"/>
  <c r="I11" i="104"/>
  <c r="G11" i="104"/>
  <c r="F11" i="104"/>
  <c r="P10" i="104"/>
  <c r="M10" i="104" s="1"/>
  <c r="N10" i="104"/>
  <c r="I10" i="104"/>
  <c r="G10" i="104"/>
  <c r="F10" i="104"/>
  <c r="P9" i="104"/>
  <c r="M9" i="104" s="1"/>
  <c r="N9" i="104"/>
  <c r="I9" i="104"/>
  <c r="G9" i="104"/>
  <c r="F9" i="104"/>
  <c r="P8" i="104"/>
  <c r="M8" i="104" s="1"/>
  <c r="N8" i="104"/>
  <c r="I8" i="104"/>
  <c r="G8" i="104"/>
  <c r="F8" i="104"/>
  <c r="P7" i="104"/>
  <c r="M7" i="104" s="1"/>
  <c r="N7" i="104"/>
  <c r="I7" i="104"/>
  <c r="G7" i="104"/>
  <c r="F7" i="104"/>
  <c r="P6" i="104"/>
  <c r="M6" i="104" s="1"/>
  <c r="N6" i="104"/>
  <c r="K6" i="104"/>
  <c r="L6" i="104" s="1"/>
  <c r="I6" i="104"/>
  <c r="G6" i="104"/>
  <c r="F6" i="104"/>
  <c r="C19" i="104"/>
  <c r="C18" i="104"/>
  <c r="C17" i="104"/>
  <c r="C16" i="104"/>
  <c r="C15" i="104"/>
  <c r="C14" i="104"/>
  <c r="C13" i="104"/>
  <c r="C12" i="104"/>
  <c r="C11" i="104"/>
  <c r="C10" i="104"/>
  <c r="C9" i="104"/>
  <c r="C8" i="104"/>
  <c r="C7" i="104"/>
  <c r="C6" i="104"/>
  <c r="C3" i="104"/>
  <c r="P19" i="103"/>
  <c r="M19" i="103" s="1"/>
  <c r="N19" i="103"/>
  <c r="I19" i="103"/>
  <c r="G19" i="103"/>
  <c r="F19" i="103"/>
  <c r="H19" i="103" s="1"/>
  <c r="P18" i="103"/>
  <c r="M18" i="103" s="1"/>
  <c r="N18" i="103"/>
  <c r="I18" i="103"/>
  <c r="G18" i="103"/>
  <c r="F18" i="103"/>
  <c r="H18" i="103" s="1"/>
  <c r="P17" i="103"/>
  <c r="M17" i="103" s="1"/>
  <c r="N17" i="103"/>
  <c r="I17" i="103"/>
  <c r="G17" i="103"/>
  <c r="F17" i="103"/>
  <c r="H17" i="103" s="1"/>
  <c r="P16" i="103"/>
  <c r="M16" i="103" s="1"/>
  <c r="N16" i="103"/>
  <c r="I16" i="103"/>
  <c r="G16" i="103"/>
  <c r="F16" i="103"/>
  <c r="H16" i="103" s="1"/>
  <c r="P15" i="103"/>
  <c r="M15" i="103" s="1"/>
  <c r="N15" i="103"/>
  <c r="I15" i="103"/>
  <c r="G15" i="103"/>
  <c r="F15" i="103"/>
  <c r="H15" i="103" s="1"/>
  <c r="P14" i="103"/>
  <c r="M14" i="103" s="1"/>
  <c r="N14" i="103"/>
  <c r="I14" i="103"/>
  <c r="G14" i="103"/>
  <c r="F14" i="103"/>
  <c r="H14" i="103" s="1"/>
  <c r="P13" i="103"/>
  <c r="M13" i="103" s="1"/>
  <c r="N13" i="103"/>
  <c r="I13" i="103"/>
  <c r="G13" i="103"/>
  <c r="F13" i="103"/>
  <c r="H13" i="103" s="1"/>
  <c r="P12" i="103"/>
  <c r="M12" i="103" s="1"/>
  <c r="N12" i="103"/>
  <c r="I12" i="103"/>
  <c r="P11" i="103"/>
  <c r="M11" i="103" s="1"/>
  <c r="N11" i="103"/>
  <c r="I11" i="103"/>
  <c r="G11" i="103"/>
  <c r="F11" i="103"/>
  <c r="H11" i="103" s="1"/>
  <c r="P10" i="103"/>
  <c r="M10" i="103" s="1"/>
  <c r="N10" i="103"/>
  <c r="I10" i="103"/>
  <c r="G10" i="103"/>
  <c r="F10" i="103"/>
  <c r="H10" i="103" s="1"/>
  <c r="P9" i="103"/>
  <c r="M9" i="103" s="1"/>
  <c r="N9" i="103"/>
  <c r="I9" i="103"/>
  <c r="G9" i="103"/>
  <c r="F9" i="103"/>
  <c r="H9" i="103" s="1"/>
  <c r="P8" i="103"/>
  <c r="M8" i="103" s="1"/>
  <c r="N8" i="103"/>
  <c r="I8" i="103"/>
  <c r="G8" i="103"/>
  <c r="F8" i="103"/>
  <c r="H8" i="103" s="1"/>
  <c r="P7" i="103"/>
  <c r="M7" i="103" s="1"/>
  <c r="N7" i="103"/>
  <c r="I7" i="103"/>
  <c r="G7" i="103"/>
  <c r="F7" i="103"/>
  <c r="H7" i="103" s="1"/>
  <c r="P6" i="103"/>
  <c r="M6" i="103" s="1"/>
  <c r="N6" i="103"/>
  <c r="I6" i="103"/>
  <c r="G6" i="103"/>
  <c r="F6" i="103"/>
  <c r="H6" i="103" s="1"/>
  <c r="N25" i="110" l="1"/>
  <c r="N25" i="112"/>
  <c r="N25" i="113"/>
  <c r="N25" i="111"/>
  <c r="F26" i="106"/>
  <c r="F25" i="106"/>
  <c r="H22" i="106"/>
  <c r="H6" i="104"/>
  <c r="J6" i="105"/>
  <c r="H9" i="104"/>
  <c r="J9" i="105"/>
  <c r="H17" i="104"/>
  <c r="J17" i="105"/>
  <c r="H7" i="104"/>
  <c r="J7" i="105"/>
  <c r="H11" i="104"/>
  <c r="J11" i="105"/>
  <c r="H15" i="104"/>
  <c r="J15" i="105"/>
  <c r="H19" i="104"/>
  <c r="J19" i="105"/>
  <c r="H13" i="104"/>
  <c r="J13" i="105"/>
  <c r="H10" i="104"/>
  <c r="J10" i="105"/>
  <c r="H14" i="104"/>
  <c r="J14" i="105"/>
  <c r="H18" i="104"/>
  <c r="J18" i="105"/>
  <c r="H8" i="104"/>
  <c r="J8" i="105"/>
  <c r="H12" i="104"/>
  <c r="J12" i="105"/>
  <c r="H16" i="104"/>
  <c r="J16" i="105"/>
  <c r="G26" i="111"/>
  <c r="L25" i="110"/>
  <c r="L25" i="107"/>
  <c r="L25" i="109"/>
  <c r="E28" i="114"/>
  <c r="M22" i="113"/>
  <c r="N25" i="107"/>
  <c r="L25" i="112"/>
  <c r="O22" i="112"/>
  <c r="O22" i="107"/>
  <c r="G25" i="113"/>
  <c r="G25" i="105"/>
  <c r="N25" i="108"/>
  <c r="G26" i="109"/>
  <c r="N25" i="106"/>
  <c r="M22" i="107"/>
  <c r="G25" i="107"/>
  <c r="G25" i="111"/>
  <c r="N25" i="109"/>
  <c r="F28" i="110"/>
  <c r="G26" i="113"/>
  <c r="O22" i="110"/>
  <c r="F28" i="108"/>
  <c r="M22" i="109"/>
  <c r="O22" i="113"/>
  <c r="L31" i="114"/>
  <c r="N31" i="114" s="1"/>
  <c r="F26" i="114"/>
  <c r="F25" i="114"/>
  <c r="H22" i="114"/>
  <c r="M22" i="114"/>
  <c r="G26" i="114"/>
  <c r="G25" i="114"/>
  <c r="D28" i="114"/>
  <c r="L25" i="113"/>
  <c r="F26" i="113"/>
  <c r="F25" i="113"/>
  <c r="H22" i="113"/>
  <c r="G26" i="112"/>
  <c r="G25" i="112"/>
  <c r="M22" i="112"/>
  <c r="F25" i="112"/>
  <c r="F26" i="112"/>
  <c r="H22" i="112"/>
  <c r="L25" i="111"/>
  <c r="M22" i="111"/>
  <c r="F26" i="111"/>
  <c r="F25" i="111"/>
  <c r="H22" i="111"/>
  <c r="O22" i="111"/>
  <c r="G26" i="110"/>
  <c r="G25" i="110"/>
  <c r="M22" i="110"/>
  <c r="G25" i="109"/>
  <c r="O22" i="109"/>
  <c r="F26" i="109"/>
  <c r="F25" i="109"/>
  <c r="H22" i="109"/>
  <c r="O22" i="108"/>
  <c r="L25" i="108"/>
  <c r="G26" i="108"/>
  <c r="G25" i="108"/>
  <c r="M22" i="108"/>
  <c r="G26" i="107"/>
  <c r="F26" i="107"/>
  <c r="H22" i="107"/>
  <c r="F25" i="107"/>
  <c r="O22" i="106"/>
  <c r="L25" i="106"/>
  <c r="G26" i="106"/>
  <c r="G25" i="106"/>
  <c r="M22" i="106"/>
  <c r="O22" i="105"/>
  <c r="N25" i="105"/>
  <c r="G26" i="105"/>
  <c r="F26" i="105"/>
  <c r="F25" i="105"/>
  <c r="H22" i="105"/>
  <c r="M22" i="105"/>
  <c r="L25" i="105"/>
  <c r="J9" i="104"/>
  <c r="J13" i="104"/>
  <c r="J17" i="104"/>
  <c r="J18" i="104"/>
  <c r="J14" i="104"/>
  <c r="J10" i="104"/>
  <c r="J6" i="104"/>
  <c r="J16" i="104"/>
  <c r="J8" i="104"/>
  <c r="J19" i="104"/>
  <c r="J15" i="104"/>
  <c r="J11" i="104"/>
  <c r="J7" i="104"/>
  <c r="O16" i="104"/>
  <c r="O6" i="104"/>
  <c r="O10" i="104"/>
  <c r="G26" i="104" s="1"/>
  <c r="G22" i="104"/>
  <c r="O19" i="104"/>
  <c r="F22" i="104"/>
  <c r="O12" i="104"/>
  <c r="O15" i="104"/>
  <c r="O18" i="104"/>
  <c r="O7" i="104"/>
  <c r="O8" i="104"/>
  <c r="O11" i="104"/>
  <c r="O14" i="104"/>
  <c r="O9" i="104"/>
  <c r="G25" i="104"/>
  <c r="M22" i="104"/>
  <c r="I22" i="104"/>
  <c r="N22" i="104"/>
  <c r="O17" i="104"/>
  <c r="O13" i="104"/>
  <c r="P22" i="104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3" i="103"/>
  <c r="F28" i="106" l="1"/>
  <c r="J22" i="113"/>
  <c r="G28" i="111"/>
  <c r="J22" i="108"/>
  <c r="J22" i="109"/>
  <c r="J22" i="105"/>
  <c r="J22" i="112"/>
  <c r="J22" i="107"/>
  <c r="J22" i="106"/>
  <c r="J22" i="110"/>
  <c r="J22" i="111"/>
  <c r="G28" i="107"/>
  <c r="G28" i="105"/>
  <c r="G28" i="108"/>
  <c r="F28" i="109"/>
  <c r="G28" i="113"/>
  <c r="F28" i="111"/>
  <c r="G28" i="109"/>
  <c r="G28" i="106"/>
  <c r="F28" i="113"/>
  <c r="H26" i="114"/>
  <c r="H25" i="114"/>
  <c r="F28" i="114"/>
  <c r="G28" i="114"/>
  <c r="F28" i="112"/>
  <c r="G28" i="112"/>
  <c r="G28" i="110"/>
  <c r="F28" i="107"/>
  <c r="F28" i="105"/>
  <c r="N25" i="104"/>
  <c r="F26" i="104"/>
  <c r="F25" i="104"/>
  <c r="H22" i="104"/>
  <c r="O22" i="104"/>
  <c r="G28" i="104"/>
  <c r="L25" i="104"/>
  <c r="O15" i="103"/>
  <c r="O18" i="103"/>
  <c r="O11" i="103"/>
  <c r="O16" i="103"/>
  <c r="O9" i="103"/>
  <c r="I22" i="103"/>
  <c r="O13" i="103"/>
  <c r="N22" i="103"/>
  <c r="O8" i="103"/>
  <c r="O10" i="103"/>
  <c r="O12" i="103"/>
  <c r="O14" i="103"/>
  <c r="O6" i="103"/>
  <c r="O17" i="103"/>
  <c r="O19" i="103"/>
  <c r="O7" i="103"/>
  <c r="P22" i="103"/>
  <c r="P16" i="102"/>
  <c r="N16" i="102"/>
  <c r="I16" i="102"/>
  <c r="G16" i="102"/>
  <c r="F16" i="102"/>
  <c r="C16" i="102"/>
  <c r="P17" i="102"/>
  <c r="N17" i="102"/>
  <c r="I17" i="102"/>
  <c r="G17" i="102"/>
  <c r="F17" i="102"/>
  <c r="C17" i="102"/>
  <c r="N16" i="114" l="1"/>
  <c r="N17" i="114"/>
  <c r="F16" i="114"/>
  <c r="F17" i="114"/>
  <c r="G16" i="114"/>
  <c r="D15" i="115" s="1"/>
  <c r="G17" i="114"/>
  <c r="D16" i="115" s="1"/>
  <c r="O17" i="102"/>
  <c r="P17" i="114"/>
  <c r="F16" i="115" s="1"/>
  <c r="G16" i="115" s="1"/>
  <c r="M16" i="102"/>
  <c r="P16" i="114"/>
  <c r="F15" i="115" s="1"/>
  <c r="G15" i="115" s="1"/>
  <c r="H28" i="114"/>
  <c r="F28" i="104"/>
  <c r="H16" i="102"/>
  <c r="J16" i="103"/>
  <c r="H17" i="102"/>
  <c r="J17" i="103"/>
  <c r="L25" i="103"/>
  <c r="N25" i="103"/>
  <c r="O22" i="103"/>
  <c r="G26" i="103"/>
  <c r="G25" i="103"/>
  <c r="M22" i="103"/>
  <c r="O16" i="102"/>
  <c r="M17" i="102"/>
  <c r="O17" i="114" l="1"/>
  <c r="E16" i="115" s="1"/>
  <c r="O16" i="114"/>
  <c r="E15" i="115" s="1"/>
  <c r="J17" i="114"/>
  <c r="J16" i="114"/>
  <c r="G28" i="103"/>
  <c r="F7" i="102"/>
  <c r="G7" i="102"/>
  <c r="I7" i="102"/>
  <c r="N7" i="102"/>
  <c r="P7" i="102"/>
  <c r="F8" i="102"/>
  <c r="G8" i="102"/>
  <c r="I8" i="102"/>
  <c r="N8" i="102"/>
  <c r="P8" i="102"/>
  <c r="F9" i="102"/>
  <c r="G9" i="102"/>
  <c r="I9" i="102"/>
  <c r="N9" i="102"/>
  <c r="P9" i="102"/>
  <c r="F10" i="102"/>
  <c r="G10" i="102"/>
  <c r="I10" i="102"/>
  <c r="N10" i="102"/>
  <c r="P10" i="102"/>
  <c r="F11" i="102"/>
  <c r="G11" i="102"/>
  <c r="I11" i="102"/>
  <c r="N11" i="102"/>
  <c r="P11" i="102"/>
  <c r="F12" i="102"/>
  <c r="G12" i="102"/>
  <c r="I12" i="102"/>
  <c r="N12" i="102"/>
  <c r="P12" i="102"/>
  <c r="F13" i="102"/>
  <c r="G13" i="102"/>
  <c r="I13" i="102"/>
  <c r="N13" i="102"/>
  <c r="P13" i="102"/>
  <c r="F14" i="102"/>
  <c r="G14" i="102"/>
  <c r="I14" i="102"/>
  <c r="N14" i="102"/>
  <c r="P14" i="102"/>
  <c r="F15" i="102"/>
  <c r="G15" i="102"/>
  <c r="I15" i="102"/>
  <c r="N15" i="102"/>
  <c r="P15" i="102"/>
  <c r="F18" i="102"/>
  <c r="G18" i="102"/>
  <c r="I18" i="102"/>
  <c r="N18" i="102"/>
  <c r="P18" i="102"/>
  <c r="F19" i="102"/>
  <c r="G19" i="102"/>
  <c r="I19" i="102"/>
  <c r="N19" i="102"/>
  <c r="P19" i="102"/>
  <c r="P6" i="102"/>
  <c r="N6" i="102"/>
  <c r="I6" i="102"/>
  <c r="G6" i="102"/>
  <c r="F6" i="102"/>
  <c r="C7" i="102"/>
  <c r="C8" i="102"/>
  <c r="C9" i="102"/>
  <c r="C10" i="102"/>
  <c r="C11" i="102"/>
  <c r="C12" i="102"/>
  <c r="C13" i="102"/>
  <c r="C14" i="102"/>
  <c r="C15" i="102"/>
  <c r="C18" i="102"/>
  <c r="C19" i="102"/>
  <c r="C6" i="102"/>
  <c r="J22" i="102"/>
  <c r="C3" i="102"/>
  <c r="N19" i="114" l="1"/>
  <c r="N13" i="114"/>
  <c r="N9" i="114"/>
  <c r="F7" i="114"/>
  <c r="F6" i="114"/>
  <c r="G18" i="114"/>
  <c r="D17" i="115" s="1"/>
  <c r="G8" i="114"/>
  <c r="D7" i="115" s="1"/>
  <c r="F15" i="114"/>
  <c r="G6" i="114"/>
  <c r="D5" i="115" s="1"/>
  <c r="F18" i="114"/>
  <c r="N14" i="114"/>
  <c r="N10" i="114"/>
  <c r="F8" i="114"/>
  <c r="G19" i="114"/>
  <c r="D18" i="115" s="1"/>
  <c r="G13" i="114"/>
  <c r="D12" i="115" s="1"/>
  <c r="G9" i="114"/>
  <c r="D8" i="115" s="1"/>
  <c r="F11" i="114"/>
  <c r="F19" i="114"/>
  <c r="N15" i="114"/>
  <c r="F13" i="114"/>
  <c r="N11" i="114"/>
  <c r="F9" i="114"/>
  <c r="N7" i="114"/>
  <c r="N6" i="114"/>
  <c r="G14" i="114"/>
  <c r="D13" i="115" s="1"/>
  <c r="G10" i="114"/>
  <c r="D9" i="115" s="1"/>
  <c r="N18" i="114"/>
  <c r="F14" i="114"/>
  <c r="N12" i="114"/>
  <c r="F10" i="114"/>
  <c r="N8" i="114"/>
  <c r="G15" i="114"/>
  <c r="D14" i="115" s="1"/>
  <c r="G11" i="114"/>
  <c r="D10" i="115" s="1"/>
  <c r="G7" i="114"/>
  <c r="D6" i="115" s="1"/>
  <c r="M18" i="102"/>
  <c r="P18" i="114"/>
  <c r="F17" i="115" s="1"/>
  <c r="G17" i="115" s="1"/>
  <c r="M12" i="102"/>
  <c r="P12" i="114"/>
  <c r="F11" i="115" s="1"/>
  <c r="G11" i="115" s="1"/>
  <c r="M8" i="102"/>
  <c r="P8" i="114"/>
  <c r="F7" i="115" s="1"/>
  <c r="G7" i="115" s="1"/>
  <c r="O19" i="102"/>
  <c r="P19" i="114"/>
  <c r="F18" i="115" s="1"/>
  <c r="G18" i="115" s="1"/>
  <c r="M14" i="102"/>
  <c r="P14" i="114"/>
  <c r="F13" i="115" s="1"/>
  <c r="G13" i="115" s="1"/>
  <c r="M10" i="102"/>
  <c r="P10" i="114"/>
  <c r="F9" i="115" s="1"/>
  <c r="G9" i="115" s="1"/>
  <c r="M6" i="102"/>
  <c r="P6" i="114"/>
  <c r="F5" i="115" s="1"/>
  <c r="O15" i="102"/>
  <c r="P15" i="114"/>
  <c r="F14" i="115" s="1"/>
  <c r="G14" i="115" s="1"/>
  <c r="O13" i="102"/>
  <c r="P13" i="114"/>
  <c r="F12" i="115" s="1"/>
  <c r="G12" i="115" s="1"/>
  <c r="O11" i="102"/>
  <c r="P11" i="114"/>
  <c r="F10" i="115" s="1"/>
  <c r="G10" i="115" s="1"/>
  <c r="O9" i="102"/>
  <c r="P9" i="114"/>
  <c r="F8" i="115" s="1"/>
  <c r="G8" i="115" s="1"/>
  <c r="O7" i="102"/>
  <c r="P7" i="114"/>
  <c r="F6" i="115" s="1"/>
  <c r="G6" i="115" s="1"/>
  <c r="H18" i="102"/>
  <c r="J18" i="103"/>
  <c r="H14" i="102"/>
  <c r="J14" i="103"/>
  <c r="H12" i="102"/>
  <c r="J12" i="103"/>
  <c r="H10" i="102"/>
  <c r="J10" i="103"/>
  <c r="H8" i="102"/>
  <c r="J8" i="103"/>
  <c r="H19" i="102"/>
  <c r="J19" i="103"/>
  <c r="H15" i="102"/>
  <c r="J15" i="103"/>
  <c r="H13" i="102"/>
  <c r="J13" i="103"/>
  <c r="H11" i="102"/>
  <c r="J11" i="103"/>
  <c r="H9" i="102"/>
  <c r="J9" i="103"/>
  <c r="H7" i="102"/>
  <c r="J7" i="103"/>
  <c r="H6" i="102"/>
  <c r="J6" i="103"/>
  <c r="G22" i="102"/>
  <c r="M15" i="102"/>
  <c r="M11" i="102"/>
  <c r="O6" i="102"/>
  <c r="O6" i="114" s="1"/>
  <c r="M7" i="102"/>
  <c r="M19" i="102"/>
  <c r="M13" i="102"/>
  <c r="M9" i="102"/>
  <c r="I22" i="102"/>
  <c r="N22" i="102"/>
  <c r="O18" i="102"/>
  <c r="O10" i="102"/>
  <c r="O14" i="102"/>
  <c r="O12" i="102"/>
  <c r="O8" i="102"/>
  <c r="F22" i="102"/>
  <c r="P22" i="102"/>
  <c r="N22" i="114" l="1"/>
  <c r="O14" i="114"/>
  <c r="E13" i="115" s="1"/>
  <c r="O13" i="114"/>
  <c r="E12" i="115" s="1"/>
  <c r="O19" i="114"/>
  <c r="E18" i="115" s="1"/>
  <c r="O18" i="114"/>
  <c r="E17" i="115" s="1"/>
  <c r="O9" i="114"/>
  <c r="E8" i="115" s="1"/>
  <c r="O12" i="114"/>
  <c r="E11" i="115" s="1"/>
  <c r="O7" i="114"/>
  <c r="E6" i="115" s="1"/>
  <c r="O10" i="114"/>
  <c r="E9" i="115" s="1"/>
  <c r="E5" i="115"/>
  <c r="O15" i="114"/>
  <c r="E14" i="115" s="1"/>
  <c r="O11" i="114"/>
  <c r="E10" i="115" s="1"/>
  <c r="G5" i="115"/>
  <c r="F20" i="115"/>
  <c r="O8" i="114"/>
  <c r="E7" i="115" s="1"/>
  <c r="J6" i="114"/>
  <c r="J7" i="114"/>
  <c r="J11" i="114"/>
  <c r="J15" i="114"/>
  <c r="J8" i="114"/>
  <c r="J18" i="114"/>
  <c r="J13" i="114"/>
  <c r="J19" i="114"/>
  <c r="J10" i="114"/>
  <c r="J14" i="114"/>
  <c r="J9" i="114"/>
  <c r="P22" i="114"/>
  <c r="J22" i="103"/>
  <c r="N25" i="102"/>
  <c r="L25" i="102"/>
  <c r="O22" i="102"/>
  <c r="G26" i="102"/>
  <c r="G25" i="102"/>
  <c r="M22" i="102"/>
  <c r="F26" i="102"/>
  <c r="F25" i="102"/>
  <c r="H22" i="102"/>
  <c r="L25" i="114" l="1"/>
  <c r="N25" i="114"/>
  <c r="O22" i="114"/>
  <c r="E20" i="115"/>
  <c r="G28" i="102"/>
  <c r="F28" i="102"/>
  <c r="G12" i="103" l="1"/>
  <c r="F12" i="103"/>
  <c r="F12" i="114" l="1"/>
  <c r="F22" i="114" s="1"/>
  <c r="G22" i="103"/>
  <c r="G12" i="114"/>
  <c r="H12" i="103"/>
  <c r="J12" i="104"/>
  <c r="F22" i="103"/>
  <c r="G22" i="114" l="1"/>
  <c r="Q26" i="114" s="1"/>
  <c r="D11" i="115"/>
  <c r="D20" i="115" s="1"/>
  <c r="J12" i="114"/>
  <c r="J22" i="114" s="1"/>
  <c r="L32" i="114" s="1"/>
  <c r="N32" i="114" s="1"/>
  <c r="H22" i="103"/>
  <c r="F26" i="103"/>
  <c r="F25" i="103"/>
  <c r="J22" i="104"/>
  <c r="Q24" i="114" l="1"/>
  <c r="Q28" i="114"/>
  <c r="F28" i="103"/>
  <c r="S18" i="114" l="1"/>
  <c r="I17" i="115" s="1"/>
  <c r="S19" i="114"/>
  <c r="I18" i="115" s="1"/>
  <c r="S9" i="114"/>
  <c r="I8" i="115" s="1"/>
  <c r="S8" i="114"/>
  <c r="I7" i="115" s="1"/>
  <c r="S13" i="114"/>
  <c r="I12" i="115" s="1"/>
  <c r="S11" i="114"/>
  <c r="I10" i="115" s="1"/>
  <c r="S16" i="114"/>
  <c r="I15" i="115" s="1"/>
  <c r="S7" i="114"/>
  <c r="I6" i="115" s="1"/>
  <c r="S6" i="114"/>
  <c r="S12" i="114"/>
  <c r="I11" i="115" s="1"/>
  <c r="S10" i="114"/>
  <c r="I9" i="115" s="1"/>
  <c r="S14" i="114"/>
  <c r="I13" i="115" s="1"/>
  <c r="S17" i="114"/>
  <c r="I16" i="115" s="1"/>
  <c r="S15" i="114"/>
  <c r="I14" i="115" s="1"/>
  <c r="S22" i="114" l="1"/>
  <c r="V22" i="114" s="1"/>
  <c r="I20" i="115"/>
  <c r="K6" i="103" l="1"/>
  <c r="L6" i="103" s="1"/>
  <c r="K6" i="113"/>
  <c r="K6" i="112"/>
  <c r="K6" i="111"/>
  <c r="K6" i="110"/>
  <c r="K6" i="109"/>
  <c r="K19" i="102"/>
  <c r="K17" i="102"/>
  <c r="K18" i="102"/>
  <c r="K16" i="102"/>
  <c r="K15" i="102"/>
  <c r="K14" i="102"/>
  <c r="K13" i="102"/>
  <c r="K12" i="102"/>
  <c r="K11" i="102"/>
  <c r="K10" i="102"/>
  <c r="K9" i="102"/>
  <c r="K8" i="102"/>
  <c r="K7" i="102"/>
  <c r="K6" i="102"/>
  <c r="K6" i="108"/>
  <c r="K22" i="102" l="1"/>
  <c r="L6" i="102"/>
  <c r="K6" i="114"/>
  <c r="L16" i="102"/>
  <c r="L7" i="102"/>
  <c r="L10" i="102"/>
  <c r="L15" i="102"/>
  <c r="L17" i="102"/>
  <c r="L6" i="108"/>
  <c r="L8" i="102"/>
  <c r="L12" i="102"/>
  <c r="L6" i="113"/>
  <c r="L13" i="102"/>
  <c r="L18" i="102"/>
  <c r="L6" i="109"/>
  <c r="L11" i="102"/>
  <c r="L6" i="110"/>
  <c r="L19" i="102"/>
  <c r="L6" i="111"/>
  <c r="L9" i="102"/>
  <c r="L14" i="102"/>
  <c r="L6" i="112"/>
  <c r="L22" i="102" l="1"/>
  <c r="E26" i="102"/>
  <c r="E25" i="102"/>
  <c r="E28" i="102" l="1"/>
  <c r="L32" i="102" s="1"/>
  <c r="N32" i="102" s="1"/>
  <c r="K7" i="106"/>
  <c r="K15" i="106"/>
  <c r="L15" i="106" s="1"/>
  <c r="K12" i="106"/>
  <c r="L12" i="106" s="1"/>
  <c r="K17" i="106"/>
  <c r="L17" i="106" s="1"/>
  <c r="K11" i="106"/>
  <c r="L11" i="106" s="1"/>
  <c r="K19" i="106"/>
  <c r="L19" i="106" s="1"/>
  <c r="K14" i="106"/>
  <c r="L14" i="106" s="1"/>
  <c r="K8" i="106"/>
  <c r="L8" i="106" s="1"/>
  <c r="K16" i="106"/>
  <c r="L16" i="106" s="1"/>
  <c r="K13" i="106"/>
  <c r="L13" i="106" s="1"/>
  <c r="K10" i="106"/>
  <c r="L10" i="106" s="1"/>
  <c r="K18" i="106"/>
  <c r="L18" i="106" s="1"/>
  <c r="K17" i="109"/>
  <c r="L17" i="109" s="1"/>
  <c r="K8" i="112"/>
  <c r="L8" i="112" s="1"/>
  <c r="K7" i="110"/>
  <c r="K10" i="113"/>
  <c r="L10" i="113" s="1"/>
  <c r="K12" i="107"/>
  <c r="L12" i="107" s="1"/>
  <c r="K14" i="107"/>
  <c r="L14" i="107" s="1"/>
  <c r="K13" i="107"/>
  <c r="L13" i="107" s="1"/>
  <c r="K19" i="112"/>
  <c r="L19" i="112" s="1"/>
  <c r="K16" i="112"/>
  <c r="L16" i="112" s="1"/>
  <c r="K14" i="112"/>
  <c r="L14" i="112" s="1"/>
  <c r="K9" i="112"/>
  <c r="L9" i="112" s="1"/>
  <c r="K18" i="107"/>
  <c r="L18" i="107" s="1"/>
  <c r="K11" i="110"/>
  <c r="L11" i="110" s="1"/>
  <c r="K16" i="110"/>
  <c r="L16" i="110" s="1"/>
  <c r="K16" i="113"/>
  <c r="L16" i="113" s="1"/>
  <c r="K13" i="111"/>
  <c r="L13" i="111" s="1"/>
  <c r="K11" i="113"/>
  <c r="L11" i="113" s="1"/>
  <c r="K8" i="111"/>
  <c r="L8" i="111" s="1"/>
  <c r="K10" i="111"/>
  <c r="L10" i="111" s="1"/>
  <c r="K10" i="112"/>
  <c r="L10" i="112" s="1"/>
  <c r="K19" i="113"/>
  <c r="L19" i="113" s="1"/>
  <c r="K11" i="108"/>
  <c r="L11" i="108" s="1"/>
  <c r="K8" i="107"/>
  <c r="L8" i="107" s="1"/>
  <c r="K10" i="107"/>
  <c r="L10" i="107" s="1"/>
  <c r="K17" i="107"/>
  <c r="L17" i="107" s="1"/>
  <c r="K17" i="108"/>
  <c r="L17" i="108" s="1"/>
  <c r="K13" i="109"/>
  <c r="L13" i="109" s="1"/>
  <c r="K16" i="111"/>
  <c r="L16" i="111" s="1"/>
  <c r="K17" i="111"/>
  <c r="L17" i="111" s="1"/>
  <c r="K18" i="111"/>
  <c r="L18" i="111" s="1"/>
  <c r="K19" i="111"/>
  <c r="L19" i="111" s="1"/>
  <c r="K18" i="113"/>
  <c r="L18" i="113" s="1"/>
  <c r="K17" i="112"/>
  <c r="L17" i="112" s="1"/>
  <c r="K9" i="109"/>
  <c r="L9" i="109" s="1"/>
  <c r="K12" i="113"/>
  <c r="L12" i="113" s="1"/>
  <c r="K7" i="113"/>
  <c r="K14" i="113"/>
  <c r="L14" i="113" s="1"/>
  <c r="K17" i="113"/>
  <c r="L17" i="113" s="1"/>
  <c r="K19" i="108"/>
  <c r="L19" i="108" s="1"/>
  <c r="K15" i="110"/>
  <c r="L15" i="110" s="1"/>
  <c r="K12" i="112"/>
  <c r="L12" i="112" s="1"/>
  <c r="K9" i="108"/>
  <c r="L9" i="108" s="1"/>
  <c r="K13" i="108"/>
  <c r="L13" i="108" s="1"/>
  <c r="K15" i="108"/>
  <c r="L15" i="108" s="1"/>
  <c r="K18" i="112"/>
  <c r="L18" i="112" s="1"/>
  <c r="K8" i="113"/>
  <c r="L8" i="113" s="1"/>
  <c r="K15" i="113"/>
  <c r="L15" i="113" s="1"/>
  <c r="K18" i="110"/>
  <c r="L18" i="110" s="1"/>
  <c r="K13" i="112"/>
  <c r="L13" i="112" s="1"/>
  <c r="K12" i="111"/>
  <c r="L12" i="111" s="1"/>
  <c r="K16" i="107"/>
  <c r="L16" i="107" s="1"/>
  <c r="K16" i="108"/>
  <c r="L16" i="108" s="1"/>
  <c r="K18" i="108"/>
  <c r="L18" i="108" s="1"/>
  <c r="K11" i="109"/>
  <c r="L11" i="109" s="1"/>
  <c r="K14" i="111"/>
  <c r="L14" i="111" s="1"/>
  <c r="K7" i="108"/>
  <c r="K19" i="110"/>
  <c r="L19" i="110" s="1"/>
  <c r="K9" i="113"/>
  <c r="L9" i="113" s="1"/>
  <c r="K9" i="111"/>
  <c r="L9" i="111" s="1"/>
  <c r="K7" i="109"/>
  <c r="K8" i="108"/>
  <c r="L8" i="108" s="1"/>
  <c r="K10" i="108"/>
  <c r="L10" i="108" s="1"/>
  <c r="K12" i="108"/>
  <c r="L12" i="108" s="1"/>
  <c r="K14" i="108"/>
  <c r="L14" i="108" s="1"/>
  <c r="K13" i="113"/>
  <c r="L13" i="113" s="1"/>
  <c r="K8" i="109"/>
  <c r="L8" i="109" s="1"/>
  <c r="K10" i="109"/>
  <c r="L10" i="109" s="1"/>
  <c r="K12" i="109"/>
  <c r="L12" i="109" s="1"/>
  <c r="K14" i="109"/>
  <c r="L14" i="109" s="1"/>
  <c r="K15" i="109"/>
  <c r="L15" i="109" s="1"/>
  <c r="K16" i="109"/>
  <c r="L16" i="109" s="1"/>
  <c r="K18" i="109"/>
  <c r="L18" i="109" s="1"/>
  <c r="K19" i="109"/>
  <c r="L19" i="109" s="1"/>
  <c r="K8" i="110"/>
  <c r="L8" i="110" s="1"/>
  <c r="K9" i="110"/>
  <c r="L9" i="110" s="1"/>
  <c r="K10" i="110"/>
  <c r="L10" i="110" s="1"/>
  <c r="K12" i="110"/>
  <c r="L12" i="110" s="1"/>
  <c r="K13" i="110"/>
  <c r="L13" i="110" s="1"/>
  <c r="K14" i="110"/>
  <c r="L14" i="110" s="1"/>
  <c r="K17" i="110"/>
  <c r="L17" i="110" s="1"/>
  <c r="K7" i="111"/>
  <c r="K11" i="111"/>
  <c r="L11" i="111" s="1"/>
  <c r="K15" i="111"/>
  <c r="L15" i="111" s="1"/>
  <c r="K7" i="112"/>
  <c r="K11" i="112"/>
  <c r="L11" i="112" s="1"/>
  <c r="K15" i="112"/>
  <c r="L15" i="112" s="1"/>
  <c r="K19" i="107"/>
  <c r="L19" i="107" s="1"/>
  <c r="K15" i="107"/>
  <c r="L15" i="107" s="1"/>
  <c r="K11" i="107"/>
  <c r="L11" i="107" s="1"/>
  <c r="K7" i="107"/>
  <c r="L7" i="109" l="1"/>
  <c r="K22" i="109"/>
  <c r="L7" i="110"/>
  <c r="K22" i="110"/>
  <c r="L7" i="107"/>
  <c r="L7" i="113"/>
  <c r="K22" i="113"/>
  <c r="L7" i="111"/>
  <c r="K22" i="111"/>
  <c r="L7" i="108"/>
  <c r="K22" i="108"/>
  <c r="L7" i="112"/>
  <c r="K22" i="112"/>
  <c r="L7" i="106"/>
  <c r="K17" i="105"/>
  <c r="L17" i="105" s="1"/>
  <c r="K7" i="105"/>
  <c r="K11" i="105"/>
  <c r="L11" i="105" s="1"/>
  <c r="K15" i="105"/>
  <c r="L15" i="105" s="1"/>
  <c r="K19" i="105"/>
  <c r="L19" i="105" s="1"/>
  <c r="K13" i="105"/>
  <c r="L13" i="105" s="1"/>
  <c r="K10" i="105"/>
  <c r="L10" i="105" s="1"/>
  <c r="K14" i="105"/>
  <c r="L14" i="105" s="1"/>
  <c r="K18" i="105"/>
  <c r="L18" i="105" s="1"/>
  <c r="K8" i="105"/>
  <c r="L8" i="105" s="1"/>
  <c r="K12" i="105"/>
  <c r="L12" i="105" s="1"/>
  <c r="K16" i="105"/>
  <c r="L16" i="105" s="1"/>
  <c r="K13" i="104"/>
  <c r="L13" i="104" s="1"/>
  <c r="K17" i="104"/>
  <c r="L17" i="104" s="1"/>
  <c r="K18" i="104"/>
  <c r="L18" i="104" s="1"/>
  <c r="K14" i="104"/>
  <c r="L14" i="104" s="1"/>
  <c r="K10" i="104"/>
  <c r="L10" i="104" s="1"/>
  <c r="K16" i="104"/>
  <c r="L16" i="104" s="1"/>
  <c r="K8" i="104"/>
  <c r="L8" i="104" s="1"/>
  <c r="K19" i="104"/>
  <c r="L19" i="104" s="1"/>
  <c r="K15" i="104"/>
  <c r="L15" i="104" s="1"/>
  <c r="K11" i="104"/>
  <c r="L11" i="104" s="1"/>
  <c r="K7" i="104"/>
  <c r="E26" i="113" l="1"/>
  <c r="E25" i="113"/>
  <c r="L22" i="113"/>
  <c r="L7" i="105"/>
  <c r="L7" i="104"/>
  <c r="E25" i="112"/>
  <c r="L22" i="112"/>
  <c r="E26" i="112"/>
  <c r="E25" i="108"/>
  <c r="E26" i="108"/>
  <c r="L22" i="108"/>
  <c r="L22" i="110"/>
  <c r="E25" i="110"/>
  <c r="E26" i="110"/>
  <c r="E25" i="111"/>
  <c r="L22" i="111"/>
  <c r="E26" i="111"/>
  <c r="E26" i="109"/>
  <c r="L22" i="109"/>
  <c r="E25" i="109"/>
  <c r="K16" i="103"/>
  <c r="K17" i="103"/>
  <c r="E28" i="113" l="1"/>
  <c r="L32" i="113" s="1"/>
  <c r="N32" i="113" s="1"/>
  <c r="E28" i="111"/>
  <c r="L32" i="111" s="1"/>
  <c r="N32" i="111" s="1"/>
  <c r="E28" i="110"/>
  <c r="L32" i="110" s="1"/>
  <c r="N32" i="110" s="1"/>
  <c r="E28" i="108"/>
  <c r="L32" i="108" s="1"/>
  <c r="N32" i="108" s="1"/>
  <c r="L17" i="103"/>
  <c r="K17" i="114"/>
  <c r="L16" i="103"/>
  <c r="K16" i="114"/>
  <c r="E28" i="109"/>
  <c r="L32" i="109" s="1"/>
  <c r="N32" i="109" s="1"/>
  <c r="E28" i="112"/>
  <c r="L32" i="112" s="1"/>
  <c r="N32" i="112" s="1"/>
  <c r="K18" i="103" l="1"/>
  <c r="K14" i="103"/>
  <c r="K12" i="103"/>
  <c r="K10" i="103"/>
  <c r="K8" i="103"/>
  <c r="K19" i="103"/>
  <c r="K15" i="103"/>
  <c r="K13" i="103"/>
  <c r="K11" i="103"/>
  <c r="K7" i="103"/>
  <c r="L15" i="103" l="1"/>
  <c r="K15" i="114"/>
  <c r="L19" i="103"/>
  <c r="K19" i="114"/>
  <c r="L13" i="103"/>
  <c r="K13" i="114"/>
  <c r="L8" i="103"/>
  <c r="K8" i="114"/>
  <c r="L11" i="103"/>
  <c r="K11" i="114"/>
  <c r="L10" i="103"/>
  <c r="K10" i="114"/>
  <c r="L7" i="103"/>
  <c r="K7" i="114"/>
  <c r="L12" i="103"/>
  <c r="L14" i="103"/>
  <c r="K14" i="114"/>
  <c r="L18" i="103"/>
  <c r="K18" i="114"/>
  <c r="K9" i="107"/>
  <c r="K9" i="104"/>
  <c r="K9" i="103"/>
  <c r="K9" i="106"/>
  <c r="K9" i="105"/>
  <c r="L9" i="104" l="1"/>
  <c r="L9" i="105"/>
  <c r="K22" i="105"/>
  <c r="L9" i="106"/>
  <c r="K22" i="106"/>
  <c r="E25" i="103"/>
  <c r="E26" i="103"/>
  <c r="K22" i="103"/>
  <c r="L9" i="103"/>
  <c r="L22" i="103" s="1"/>
  <c r="K9" i="114"/>
  <c r="L9" i="107"/>
  <c r="K22" i="107"/>
  <c r="E26" i="106" l="1"/>
  <c r="E25" i="106"/>
  <c r="L22" i="106"/>
  <c r="E28" i="103"/>
  <c r="L32" i="103" s="1"/>
  <c r="N32" i="103" s="1"/>
  <c r="L22" i="107"/>
  <c r="E26" i="107"/>
  <c r="E25" i="107"/>
  <c r="E25" i="105"/>
  <c r="L22" i="105"/>
  <c r="E26" i="105"/>
  <c r="K12" i="104"/>
  <c r="E28" i="107" l="1"/>
  <c r="L32" i="107" s="1"/>
  <c r="N32" i="107" s="1"/>
  <c r="E28" i="106"/>
  <c r="L32" i="106" s="1"/>
  <c r="N32" i="106" s="1"/>
  <c r="E28" i="105"/>
  <c r="L32" i="105" s="1"/>
  <c r="N32" i="105" s="1"/>
  <c r="L12" i="104"/>
  <c r="K12" i="114"/>
  <c r="K22" i="114" s="1"/>
  <c r="K22" i="104"/>
  <c r="E25" i="104" l="1"/>
  <c r="E26" i="104"/>
  <c r="L22" i="104"/>
  <c r="E28" i="104" l="1"/>
  <c r="L32" i="104" s="1"/>
  <c r="N32" i="104" s="1"/>
  <c r="E8" i="111" l="1"/>
  <c r="D8" i="111" s="1"/>
  <c r="B8" i="111" s="1"/>
  <c r="E15" i="111"/>
  <c r="D15" i="111" s="1"/>
  <c r="B15" i="111" s="1"/>
  <c r="E9" i="111"/>
  <c r="D9" i="111" s="1"/>
  <c r="B9" i="111" s="1"/>
  <c r="E12" i="111"/>
  <c r="D12" i="111" s="1"/>
  <c r="B12" i="111" s="1"/>
  <c r="E18" i="111"/>
  <c r="D18" i="111" s="1"/>
  <c r="B18" i="111" s="1"/>
  <c r="E13" i="111" l="1"/>
  <c r="D13" i="111" s="1"/>
  <c r="B13" i="111" s="1"/>
  <c r="E17" i="111"/>
  <c r="D17" i="111" s="1"/>
  <c r="B17" i="111" s="1"/>
  <c r="E10" i="111"/>
  <c r="D10" i="111" s="1"/>
  <c r="B10" i="111" s="1"/>
  <c r="E11" i="111"/>
  <c r="D11" i="111" s="1"/>
  <c r="B11" i="111" s="1"/>
  <c r="E7" i="111"/>
  <c r="D7" i="111" s="1"/>
  <c r="B7" i="111" s="1"/>
  <c r="E16" i="111"/>
  <c r="D16" i="111" s="1"/>
  <c r="B16" i="111" s="1"/>
  <c r="E9" i="109" l="1"/>
  <c r="D9" i="109" s="1"/>
  <c r="B9" i="109" s="1"/>
  <c r="E15" i="109"/>
  <c r="D15" i="109" l="1"/>
  <c r="B15" i="109" s="1"/>
  <c r="E8" i="108"/>
  <c r="E12" i="108"/>
  <c r="E9" i="108"/>
  <c r="E14" i="108"/>
  <c r="D12" i="108" l="1"/>
  <c r="B12" i="108" s="1"/>
  <c r="D9" i="108"/>
  <c r="B9" i="108" s="1"/>
  <c r="D14" i="108"/>
  <c r="B14" i="108" s="1"/>
  <c r="E19" i="108"/>
  <c r="D19" i="108" s="1"/>
  <c r="B19" i="108" s="1"/>
  <c r="E13" i="108"/>
  <c r="D13" i="108" s="1"/>
  <c r="B13" i="108" s="1"/>
  <c r="E6" i="108"/>
  <c r="E15" i="108"/>
  <c r="D15" i="108" s="1"/>
  <c r="B15" i="108" s="1"/>
  <c r="E10" i="108"/>
  <c r="D10" i="108" s="1"/>
  <c r="B10" i="108" s="1"/>
  <c r="D8" i="108"/>
  <c r="B8" i="108" s="1"/>
  <c r="E7" i="108"/>
  <c r="D7" i="108" s="1"/>
  <c r="B7" i="108" s="1"/>
  <c r="E18" i="108"/>
  <c r="D18" i="108" s="1"/>
  <c r="B18" i="108" s="1"/>
  <c r="E16" i="108"/>
  <c r="D16" i="108" s="1"/>
  <c r="B16" i="108" s="1"/>
  <c r="E17" i="108"/>
  <c r="D17" i="108" s="1"/>
  <c r="B17" i="108" s="1"/>
  <c r="D6" i="108" l="1"/>
  <c r="B6" i="108" l="1"/>
  <c r="E18" i="107" l="1"/>
  <c r="D18" i="107" s="1"/>
  <c r="B18" i="107" s="1"/>
  <c r="E15" i="107"/>
  <c r="D15" i="107" s="1"/>
  <c r="B15" i="107" s="1"/>
  <c r="E16" i="107" l="1"/>
  <c r="D16" i="107" s="1"/>
  <c r="B16" i="107" s="1"/>
  <c r="E14" i="107"/>
  <c r="E8" i="107"/>
  <c r="D8" i="107" s="1"/>
  <c r="B8" i="107" s="1"/>
  <c r="E10" i="107"/>
  <c r="D10" i="107" s="1"/>
  <c r="B10" i="107" s="1"/>
  <c r="E12" i="107"/>
  <c r="D12" i="107" l="1"/>
  <c r="B12" i="107" s="1"/>
  <c r="E11" i="107"/>
  <c r="D11" i="107" s="1"/>
  <c r="B11" i="107" s="1"/>
  <c r="E7" i="107"/>
  <c r="D7" i="107" s="1"/>
  <c r="B7" i="107" s="1"/>
  <c r="E17" i="107"/>
  <c r="D17" i="107" s="1"/>
  <c r="B17" i="107" s="1"/>
  <c r="D14" i="107"/>
  <c r="B14" i="107" s="1"/>
  <c r="E12" i="106"/>
  <c r="E14" i="106"/>
  <c r="D14" i="106" s="1"/>
  <c r="B14" i="106" s="1"/>
  <c r="D12" i="106" l="1"/>
  <c r="B12" i="106" s="1"/>
  <c r="E15" i="106"/>
  <c r="D15" i="106" l="1"/>
  <c r="B15" i="106" s="1"/>
  <c r="E11" i="106"/>
  <c r="D11" i="106" s="1"/>
  <c r="B11" i="106" s="1"/>
  <c r="E13" i="106"/>
  <c r="D13" i="106" s="1"/>
  <c r="B13" i="106" s="1"/>
  <c r="E17" i="106"/>
  <c r="D17" i="106" s="1"/>
  <c r="B17" i="106" s="1"/>
  <c r="E8" i="106"/>
  <c r="D8" i="106" s="1"/>
  <c r="B8" i="106" s="1"/>
  <c r="E12" i="105" l="1"/>
  <c r="D12" i="105" s="1"/>
  <c r="B12" i="105" s="1"/>
  <c r="E11" i="105" l="1"/>
  <c r="D11" i="105" s="1"/>
  <c r="B11" i="105" s="1"/>
  <c r="E15" i="105"/>
  <c r="D15" i="105" s="1"/>
  <c r="B15" i="105" s="1"/>
  <c r="E18" i="105" l="1"/>
  <c r="D18" i="105" s="1"/>
  <c r="B18" i="105" s="1"/>
  <c r="E17" i="105"/>
  <c r="D17" i="105" s="1"/>
  <c r="B17" i="105" s="1"/>
  <c r="E7" i="105"/>
  <c r="D7" i="105" s="1"/>
  <c r="B7" i="105" s="1"/>
  <c r="E13" i="105"/>
  <c r="D13" i="105" s="1"/>
  <c r="B13" i="105" s="1"/>
  <c r="E8" i="112"/>
  <c r="E14" i="112"/>
  <c r="E14" i="105"/>
  <c r="D14" i="105" s="1"/>
  <c r="B14" i="105" s="1"/>
  <c r="E15" i="112"/>
  <c r="E15" i="113"/>
  <c r="E8" i="105"/>
  <c r="E8" i="110"/>
  <c r="E9" i="110"/>
  <c r="E12" i="110"/>
  <c r="E14" i="110"/>
  <c r="D14" i="110" s="1"/>
  <c r="B14" i="110" s="1"/>
  <c r="E14" i="111"/>
  <c r="D14" i="111" s="1"/>
  <c r="B14" i="111" s="1"/>
  <c r="E9" i="106"/>
  <c r="E9" i="107"/>
  <c r="E9" i="112"/>
  <c r="E10" i="110"/>
  <c r="E15" i="110"/>
  <c r="E12" i="112"/>
  <c r="E12" i="109"/>
  <c r="E14" i="109"/>
  <c r="E9" i="105"/>
  <c r="E8" i="109"/>
  <c r="D14" i="112" l="1"/>
  <c r="B14" i="112" s="1"/>
  <c r="D9" i="112"/>
  <c r="B9" i="112" s="1"/>
  <c r="D12" i="109"/>
  <c r="B12" i="109" s="1"/>
  <c r="D14" i="109"/>
  <c r="B14" i="109" s="1"/>
  <c r="D8" i="109"/>
  <c r="B8" i="109" s="1"/>
  <c r="D8" i="105"/>
  <c r="B8" i="105" s="1"/>
  <c r="D15" i="113"/>
  <c r="B15" i="113" s="1"/>
  <c r="E6" i="110"/>
  <c r="E13" i="112"/>
  <c r="D13" i="112" s="1"/>
  <c r="B13" i="112" s="1"/>
  <c r="E19" i="106"/>
  <c r="D19" i="106" s="1"/>
  <c r="B19" i="106" s="1"/>
  <c r="E11" i="112"/>
  <c r="D11" i="112" s="1"/>
  <c r="B11" i="112" s="1"/>
  <c r="E6" i="109"/>
  <c r="E17" i="109"/>
  <c r="D17" i="109" s="1"/>
  <c r="B17" i="109" s="1"/>
  <c r="E6" i="106"/>
  <c r="E19" i="110"/>
  <c r="D19" i="110" s="1"/>
  <c r="B19" i="110" s="1"/>
  <c r="E13" i="109"/>
  <c r="D13" i="109" s="1"/>
  <c r="B13" i="109" s="1"/>
  <c r="E18" i="109"/>
  <c r="D18" i="109" s="1"/>
  <c r="B18" i="109" s="1"/>
  <c r="E16" i="106"/>
  <c r="D16" i="106" s="1"/>
  <c r="B16" i="106" s="1"/>
  <c r="E18" i="112"/>
  <c r="D18" i="112" s="1"/>
  <c r="B18" i="112" s="1"/>
  <c r="E11" i="110"/>
  <c r="D11" i="110" s="1"/>
  <c r="B11" i="110" s="1"/>
  <c r="E16" i="105"/>
  <c r="D16" i="105" s="1"/>
  <c r="B16" i="105" s="1"/>
  <c r="E13" i="107"/>
  <c r="D13" i="107" s="1"/>
  <c r="B13" i="107" s="1"/>
  <c r="E10" i="105"/>
  <c r="D10" i="105" s="1"/>
  <c r="B10" i="105" s="1"/>
  <c r="D12" i="112"/>
  <c r="B12" i="112" s="1"/>
  <c r="D12" i="110"/>
  <c r="B12" i="110" s="1"/>
  <c r="E11" i="109"/>
  <c r="D11" i="109" s="1"/>
  <c r="B11" i="109" s="1"/>
  <c r="D8" i="112"/>
  <c r="B8" i="112" s="1"/>
  <c r="E19" i="109"/>
  <c r="D19" i="109" s="1"/>
  <c r="B19" i="109" s="1"/>
  <c r="D9" i="105"/>
  <c r="B9" i="105" s="1"/>
  <c r="E6" i="105"/>
  <c r="E7" i="106"/>
  <c r="D7" i="106" s="1"/>
  <c r="B7" i="106" s="1"/>
  <c r="E19" i="107"/>
  <c r="D19" i="107" s="1"/>
  <c r="B19" i="107" s="1"/>
  <c r="E18" i="106"/>
  <c r="D18" i="106" s="1"/>
  <c r="B18" i="106" s="1"/>
  <c r="E11" i="113"/>
  <c r="D11" i="113" s="1"/>
  <c r="B11" i="113" s="1"/>
  <c r="E6" i="113"/>
  <c r="E17" i="110"/>
  <c r="D17" i="110" s="1"/>
  <c r="B17" i="110" s="1"/>
  <c r="E19" i="111"/>
  <c r="D19" i="111" s="1"/>
  <c r="B19" i="111" s="1"/>
  <c r="D10" i="110"/>
  <c r="B10" i="110" s="1"/>
  <c r="E18" i="113"/>
  <c r="D18" i="113" s="1"/>
  <c r="B18" i="113" s="1"/>
  <c r="E16" i="112"/>
  <c r="D16" i="112" s="1"/>
  <c r="B16" i="112" s="1"/>
  <c r="E6" i="112"/>
  <c r="D8" i="110"/>
  <c r="B8" i="110" s="1"/>
  <c r="E17" i="112"/>
  <c r="D17" i="112" s="1"/>
  <c r="B17" i="112" s="1"/>
  <c r="E10" i="112"/>
  <c r="D10" i="112" s="1"/>
  <c r="B10" i="112" s="1"/>
  <c r="E7" i="112"/>
  <c r="D7" i="112" s="1"/>
  <c r="B7" i="112" s="1"/>
  <c r="E17" i="113"/>
  <c r="D17" i="113" s="1"/>
  <c r="B17" i="113" s="1"/>
  <c r="E16" i="109"/>
  <c r="D16" i="109" s="1"/>
  <c r="B16" i="109" s="1"/>
  <c r="E16" i="110"/>
  <c r="D16" i="110" s="1"/>
  <c r="B16" i="110" s="1"/>
  <c r="E6" i="111"/>
  <c r="D15" i="110"/>
  <c r="B15" i="110" s="1"/>
  <c r="E7" i="110"/>
  <c r="D7" i="110" s="1"/>
  <c r="B7" i="110" s="1"/>
  <c r="E10" i="106"/>
  <c r="D10" i="106" s="1"/>
  <c r="B10" i="106" s="1"/>
  <c r="E10" i="109"/>
  <c r="D10" i="109" s="1"/>
  <c r="B10" i="109" s="1"/>
  <c r="D9" i="107"/>
  <c r="B9" i="107" s="1"/>
  <c r="E19" i="105"/>
  <c r="D19" i="105" s="1"/>
  <c r="B19" i="105" s="1"/>
  <c r="D15" i="112"/>
  <c r="B15" i="112" s="1"/>
  <c r="E6" i="107"/>
  <c r="D9" i="106"/>
  <c r="B9" i="106" s="1"/>
  <c r="D9" i="110"/>
  <c r="B9" i="110" s="1"/>
  <c r="E19" i="112"/>
  <c r="D19" i="112" s="1"/>
  <c r="B19" i="112" s="1"/>
  <c r="E10" i="113"/>
  <c r="D10" i="113" s="1"/>
  <c r="B10" i="113" s="1"/>
  <c r="E18" i="110"/>
  <c r="D18" i="110" s="1"/>
  <c r="B18" i="110" s="1"/>
  <c r="E13" i="110"/>
  <c r="D13" i="110" s="1"/>
  <c r="B13" i="110" s="1"/>
  <c r="E7" i="109"/>
  <c r="D7" i="109" s="1"/>
  <c r="B7" i="109" s="1"/>
  <c r="D6" i="112" l="1"/>
  <c r="D25" i="112"/>
  <c r="E22" i="112"/>
  <c r="L31" i="112" s="1"/>
  <c r="N31" i="112" s="1"/>
  <c r="D6" i="106"/>
  <c r="D25" i="106"/>
  <c r="E22" i="106"/>
  <c r="L31" i="106" s="1"/>
  <c r="N31" i="106" s="1"/>
  <c r="D6" i="113"/>
  <c r="D25" i="111"/>
  <c r="D6" i="111"/>
  <c r="E22" i="111"/>
  <c r="L31" i="111" s="1"/>
  <c r="N31" i="111" s="1"/>
  <c r="D25" i="107"/>
  <c r="E22" i="107"/>
  <c r="L31" i="107" s="1"/>
  <c r="N31" i="107" s="1"/>
  <c r="D6" i="107"/>
  <c r="D26" i="107" s="1"/>
  <c r="H26" i="107" s="1"/>
  <c r="D6" i="105"/>
  <c r="E22" i="105"/>
  <c r="L31" i="105" s="1"/>
  <c r="N31" i="105" s="1"/>
  <c r="D25" i="105"/>
  <c r="D25" i="109"/>
  <c r="D6" i="109"/>
  <c r="D26" i="109" s="1"/>
  <c r="H26" i="109" s="1"/>
  <c r="E22" i="109"/>
  <c r="L31" i="109" s="1"/>
  <c r="N31" i="109" s="1"/>
  <c r="D25" i="110"/>
  <c r="D6" i="110"/>
  <c r="E22" i="110"/>
  <c r="L31" i="110" s="1"/>
  <c r="N31" i="110" s="1"/>
  <c r="B6" i="110" l="1"/>
  <c r="B21" i="110" s="1"/>
  <c r="D22" i="110"/>
  <c r="B22" i="110"/>
  <c r="D22" i="111"/>
  <c r="B22" i="111"/>
  <c r="B6" i="111"/>
  <c r="B21" i="111" s="1"/>
  <c r="H25" i="110"/>
  <c r="D22" i="105"/>
  <c r="B6" i="105"/>
  <c r="B21" i="105" s="1"/>
  <c r="B22" i="105"/>
  <c r="H25" i="111"/>
  <c r="H25" i="106"/>
  <c r="B6" i="107"/>
  <c r="B21" i="107" s="1"/>
  <c r="B22" i="107"/>
  <c r="D22" i="107"/>
  <c r="B22" i="109"/>
  <c r="B6" i="109"/>
  <c r="B21" i="109" s="1"/>
  <c r="D22" i="109"/>
  <c r="B6" i="113"/>
  <c r="H25" i="112"/>
  <c r="H25" i="109"/>
  <c r="H28" i="109" s="1"/>
  <c r="D28" i="109"/>
  <c r="H25" i="107"/>
  <c r="H28" i="107" s="1"/>
  <c r="D28" i="107"/>
  <c r="D26" i="112"/>
  <c r="H26" i="112" s="1"/>
  <c r="D22" i="112"/>
  <c r="B22" i="112"/>
  <c r="B6" i="112"/>
  <c r="B21" i="112" s="1"/>
  <c r="B22" i="106"/>
  <c r="B6" i="106"/>
  <c r="B21" i="106" s="1"/>
  <c r="D22" i="106"/>
  <c r="D26" i="110"/>
  <c r="H26" i="110" s="1"/>
  <c r="D26" i="105"/>
  <c r="H26" i="105" s="1"/>
  <c r="D26" i="111"/>
  <c r="H26" i="111" s="1"/>
  <c r="H25" i="105"/>
  <c r="D26" i="106"/>
  <c r="H26" i="106" s="1"/>
  <c r="E14" i="104"/>
  <c r="D14" i="104" s="1"/>
  <c r="B14" i="104" s="1"/>
  <c r="E12" i="104"/>
  <c r="D12" i="104" s="1"/>
  <c r="B12" i="104" s="1"/>
  <c r="E8" i="104"/>
  <c r="E15" i="104"/>
  <c r="D15" i="104" s="1"/>
  <c r="B15" i="104" s="1"/>
  <c r="D28" i="105" l="1"/>
  <c r="H28" i="112"/>
  <c r="H28" i="111"/>
  <c r="D28" i="112"/>
  <c r="D8" i="104"/>
  <c r="B8" i="104" s="1"/>
  <c r="H28" i="105"/>
  <c r="D28" i="110"/>
  <c r="D28" i="106"/>
  <c r="H28" i="110"/>
  <c r="H28" i="106"/>
  <c r="E11" i="104"/>
  <c r="D11" i="104" s="1"/>
  <c r="B11" i="104" s="1"/>
  <c r="D28" i="111"/>
  <c r="E9" i="104"/>
  <c r="D9" i="104" s="1"/>
  <c r="B9" i="104" s="1"/>
  <c r="E17" i="104" l="1"/>
  <c r="D17" i="104" s="1"/>
  <c r="B17" i="104" s="1"/>
  <c r="E19" i="104"/>
  <c r="D19" i="104" s="1"/>
  <c r="B19" i="104" s="1"/>
  <c r="E7" i="104"/>
  <c r="D7" i="104" s="1"/>
  <c r="B7" i="104" s="1"/>
  <c r="E16" i="104"/>
  <c r="D16" i="104" s="1"/>
  <c r="B16" i="104" s="1"/>
  <c r="E10" i="104"/>
  <c r="D10" i="104" s="1"/>
  <c r="B10" i="104" s="1"/>
  <c r="E18" i="104"/>
  <c r="D18" i="104" s="1"/>
  <c r="B18" i="104" s="1"/>
  <c r="E13" i="104"/>
  <c r="D13" i="104" s="1"/>
  <c r="B13" i="104" s="1"/>
  <c r="E6" i="104" l="1"/>
  <c r="D6" i="104" l="1"/>
  <c r="D26" i="104" s="1"/>
  <c r="H26" i="104" s="1"/>
  <c r="D25" i="104"/>
  <c r="E22" i="104"/>
  <c r="L31" i="104" s="1"/>
  <c r="N31" i="104" s="1"/>
  <c r="E12" i="103"/>
  <c r="D12" i="103" s="1"/>
  <c r="B12" i="103" s="1"/>
  <c r="D28" i="104" l="1"/>
  <c r="H25" i="104"/>
  <c r="H28" i="104" s="1"/>
  <c r="B6" i="104"/>
  <c r="B21" i="104" s="1"/>
  <c r="D22" i="104"/>
  <c r="B22" i="104"/>
  <c r="E15" i="103"/>
  <c r="D15" i="103" s="1"/>
  <c r="B15" i="103" s="1"/>
  <c r="E14" i="103"/>
  <c r="D14" i="103" s="1"/>
  <c r="B14" i="103" s="1"/>
  <c r="E18" i="103" l="1"/>
  <c r="D18" i="103" s="1"/>
  <c r="B18" i="103" s="1"/>
  <c r="E17" i="103"/>
  <c r="D17" i="103" s="1"/>
  <c r="B17" i="103" s="1"/>
  <c r="E10" i="103"/>
  <c r="D10" i="103" s="1"/>
  <c r="B10" i="103" s="1"/>
  <c r="E11" i="103"/>
  <c r="D11" i="103" s="1"/>
  <c r="B11" i="103" s="1"/>
  <c r="E17" i="102"/>
  <c r="D17" i="102" s="1"/>
  <c r="E9" i="103"/>
  <c r="E8" i="103"/>
  <c r="D8" i="103" s="1"/>
  <c r="B8" i="103" s="1"/>
  <c r="E13" i="103" l="1"/>
  <c r="D13" i="103" s="1"/>
  <c r="B13" i="103" s="1"/>
  <c r="E16" i="103"/>
  <c r="D16" i="103" s="1"/>
  <c r="B16" i="103" s="1"/>
  <c r="E6" i="103"/>
  <c r="D9" i="103"/>
  <c r="B9" i="103" s="1"/>
  <c r="E19" i="103"/>
  <c r="D19" i="103" s="1"/>
  <c r="B19" i="103" s="1"/>
  <c r="B17" i="102"/>
  <c r="B17" i="114" s="1"/>
  <c r="D17" i="114"/>
  <c r="C16" i="115" s="1"/>
  <c r="H16" i="115" s="1"/>
  <c r="E7" i="103"/>
  <c r="D7" i="103" s="1"/>
  <c r="B7" i="103" s="1"/>
  <c r="E22" i="103" l="1"/>
  <c r="L31" i="103" s="1"/>
  <c r="N31" i="103" s="1"/>
  <c r="D6" i="103"/>
  <c r="D25" i="103"/>
  <c r="E18" i="102" l="1"/>
  <c r="D18" i="102" s="1"/>
  <c r="H25" i="103"/>
  <c r="E19" i="102"/>
  <c r="D19" i="102" s="1"/>
  <c r="D26" i="103"/>
  <c r="H26" i="103" s="1"/>
  <c r="B22" i="103"/>
  <c r="D22" i="103"/>
  <c r="B6" i="103"/>
  <c r="B21" i="103" s="1"/>
  <c r="E14" i="102"/>
  <c r="E15" i="102"/>
  <c r="E9" i="102"/>
  <c r="E12" i="102"/>
  <c r="D12" i="102" s="1"/>
  <c r="E8" i="102"/>
  <c r="B19" i="102" l="1"/>
  <c r="D14" i="102"/>
  <c r="B12" i="102"/>
  <c r="E6" i="102"/>
  <c r="D8" i="102"/>
  <c r="D9" i="102"/>
  <c r="D28" i="103"/>
  <c r="D15" i="102"/>
  <c r="H28" i="103"/>
  <c r="E16" i="102"/>
  <c r="D16" i="102" s="1"/>
  <c r="E13" i="102"/>
  <c r="D13" i="102" s="1"/>
  <c r="E7" i="102"/>
  <c r="D7" i="102" s="1"/>
  <c r="E10" i="102"/>
  <c r="D10" i="102" s="1"/>
  <c r="B18" i="102"/>
  <c r="B18" i="114" s="1"/>
  <c r="D18" i="114"/>
  <c r="C17" i="115" s="1"/>
  <c r="H17" i="115" s="1"/>
  <c r="E11" i="102"/>
  <c r="D11" i="102" s="1"/>
  <c r="D25" i="102" l="1"/>
  <c r="D6" i="102"/>
  <c r="D26" i="102" s="1"/>
  <c r="H26" i="102" s="1"/>
  <c r="E22" i="102"/>
  <c r="L31" i="102" s="1"/>
  <c r="N31" i="102" s="1"/>
  <c r="B16" i="102"/>
  <c r="B8" i="102"/>
  <c r="B10" i="102"/>
  <c r="B10" i="114" s="1"/>
  <c r="D10" i="114"/>
  <c r="C9" i="115" s="1"/>
  <c r="H9" i="115" s="1"/>
  <c r="D15" i="114"/>
  <c r="C14" i="115" s="1"/>
  <c r="H14" i="115" s="1"/>
  <c r="B15" i="102"/>
  <c r="B15" i="114" s="1"/>
  <c r="B14" i="102"/>
  <c r="B13" i="102"/>
  <c r="B7" i="102"/>
  <c r="B11" i="102"/>
  <c r="B9" i="102"/>
  <c r="B6" i="102" l="1"/>
  <c r="B22" i="102"/>
  <c r="D22" i="102"/>
  <c r="D6" i="114"/>
  <c r="H25" i="102"/>
  <c r="H28" i="102" s="1"/>
  <c r="D28" i="102"/>
  <c r="L24" i="102" s="1"/>
  <c r="B6" i="114" l="1"/>
  <c r="B21" i="102"/>
  <c r="D3" i="102"/>
  <c r="M25" i="102" s="1"/>
  <c r="L27" i="102"/>
  <c r="L29" i="102" s="1"/>
  <c r="N29" i="102" s="1"/>
  <c r="L24" i="103" s="1"/>
  <c r="C5" i="115"/>
  <c r="H5" i="115" l="1"/>
  <c r="L27" i="103"/>
  <c r="L29" i="103" s="1"/>
  <c r="N29" i="103" s="1"/>
  <c r="L27" i="128" s="1"/>
  <c r="D3" i="103"/>
  <c r="M25" i="103" s="1"/>
  <c r="E9" i="113"/>
  <c r="E14" i="113"/>
  <c r="D14" i="113" s="1"/>
  <c r="E12" i="113"/>
  <c r="D12" i="113" s="1"/>
  <c r="E8" i="113"/>
  <c r="D8" i="113" s="1"/>
  <c r="D3" i="128" l="1"/>
  <c r="M28" i="128" s="1"/>
  <c r="L30" i="128"/>
  <c r="L32" i="128" s="1"/>
  <c r="N32" i="128" s="1"/>
  <c r="D9" i="113"/>
  <c r="B9" i="113" s="1"/>
  <c r="B9" i="114" s="1"/>
  <c r="B14" i="113"/>
  <c r="B14" i="114" s="1"/>
  <c r="D14" i="114"/>
  <c r="C13" i="115" s="1"/>
  <c r="H13" i="115" s="1"/>
  <c r="E13" i="113"/>
  <c r="D13" i="113" s="1"/>
  <c r="E7" i="113"/>
  <c r="L24" i="114"/>
  <c r="L24" i="104"/>
  <c r="B12" i="113"/>
  <c r="B12" i="114" s="1"/>
  <c r="D12" i="114"/>
  <c r="C11" i="115" s="1"/>
  <c r="H11" i="115" s="1"/>
  <c r="B8" i="113"/>
  <c r="B8" i="114" s="1"/>
  <c r="D8" i="114"/>
  <c r="C7" i="115" s="1"/>
  <c r="E16" i="113"/>
  <c r="D16" i="113" s="1"/>
  <c r="D9" i="114" l="1"/>
  <c r="C8" i="115" s="1"/>
  <c r="H8" i="115" s="1"/>
  <c r="B16" i="113"/>
  <c r="B16" i="114" s="1"/>
  <c r="D16" i="114"/>
  <c r="C15" i="115" s="1"/>
  <c r="H15" i="115" s="1"/>
  <c r="D7" i="113"/>
  <c r="B13" i="113"/>
  <c r="B13" i="114" s="1"/>
  <c r="D13" i="114"/>
  <c r="C12" i="115" s="1"/>
  <c r="L27" i="104"/>
  <c r="L29" i="104" s="1"/>
  <c r="N29" i="104" s="1"/>
  <c r="L24" i="105" s="1"/>
  <c r="D3" i="104"/>
  <c r="M25" i="104" s="1"/>
  <c r="L27" i="114"/>
  <c r="L29" i="114" s="1"/>
  <c r="N29" i="114" s="1"/>
  <c r="D3" i="114"/>
  <c r="M25" i="114" s="1"/>
  <c r="B7" i="113" l="1"/>
  <c r="D7" i="114"/>
  <c r="L27" i="105"/>
  <c r="L29" i="105" s="1"/>
  <c r="N29" i="105" s="1"/>
  <c r="L24" i="106" s="1"/>
  <c r="D3" i="105"/>
  <c r="M25" i="105" s="1"/>
  <c r="D3" i="106" l="1"/>
  <c r="M25" i="106" s="1"/>
  <c r="L27" i="106"/>
  <c r="L29" i="106" s="1"/>
  <c r="N29" i="106" s="1"/>
  <c r="L24" i="107" s="1"/>
  <c r="C6" i="115"/>
  <c r="B7" i="114"/>
  <c r="E11" i="108"/>
  <c r="D3" i="107" l="1"/>
  <c r="M25" i="107" s="1"/>
  <c r="L27" i="107"/>
  <c r="L29" i="107" s="1"/>
  <c r="N29" i="107" s="1"/>
  <c r="D11" i="108"/>
  <c r="D26" i="108" s="1"/>
  <c r="H26" i="108" s="1"/>
  <c r="D25" i="108"/>
  <c r="E22" i="108"/>
  <c r="L31" i="108" s="1"/>
  <c r="N31" i="108" s="1"/>
  <c r="H25" i="108" l="1"/>
  <c r="H28" i="108" s="1"/>
  <c r="D28" i="108"/>
  <c r="L24" i="108" s="1"/>
  <c r="B11" i="108"/>
  <c r="D22" i="108"/>
  <c r="B22" i="108"/>
  <c r="D11" i="114"/>
  <c r="C10" i="115" l="1"/>
  <c r="B21" i="108"/>
  <c r="B11" i="114"/>
  <c r="D3" i="108"/>
  <c r="M25" i="108" s="1"/>
  <c r="L27" i="108"/>
  <c r="L29" i="108" s="1"/>
  <c r="N29" i="108" s="1"/>
  <c r="L24" i="109" s="1"/>
  <c r="L27" i="109" l="1"/>
  <c r="L29" i="109" s="1"/>
  <c r="N29" i="109" s="1"/>
  <c r="L24" i="110" s="1"/>
  <c r="D3" i="109"/>
  <c r="M25" i="109" s="1"/>
  <c r="H10" i="115"/>
  <c r="D3" i="110" l="1"/>
  <c r="M25" i="110" s="1"/>
  <c r="L27" i="110"/>
  <c r="L29" i="110" s="1"/>
  <c r="N29" i="110" s="1"/>
  <c r="L24" i="111" s="1"/>
  <c r="E19" i="113" l="1"/>
  <c r="L27" i="111"/>
  <c r="L29" i="111" s="1"/>
  <c r="N29" i="111" s="1"/>
  <c r="L24" i="112" s="1"/>
  <c r="D3" i="111"/>
  <c r="M25" i="111" s="1"/>
  <c r="D3" i="112" l="1"/>
  <c r="M25" i="112" s="1"/>
  <c r="L27" i="112"/>
  <c r="L29" i="112" s="1"/>
  <c r="N29" i="112" s="1"/>
  <c r="D19" i="113"/>
  <c r="E22" i="113"/>
  <c r="L31" i="113" s="1"/>
  <c r="N31" i="113" s="1"/>
  <c r="D26" i="113"/>
  <c r="H26" i="113" s="1"/>
  <c r="D25" i="113" l="1"/>
  <c r="B19" i="113"/>
  <c r="D19" i="114"/>
  <c r="D22" i="113"/>
  <c r="B22" i="113"/>
  <c r="C18" i="115" l="1"/>
  <c r="D22" i="114"/>
  <c r="B22" i="114"/>
  <c r="B19" i="114"/>
  <c r="B21" i="114" s="1"/>
  <c r="B21" i="113"/>
  <c r="H25" i="113"/>
  <c r="H28" i="113" s="1"/>
  <c r="D28" i="113"/>
  <c r="L24" i="113" s="1"/>
  <c r="L27" i="113" l="1"/>
  <c r="L29" i="113" s="1"/>
  <c r="N29" i="113" s="1"/>
  <c r="D3" i="113"/>
  <c r="M25" i="113" s="1"/>
  <c r="H18" i="115"/>
  <c r="C20" i="115"/>
  <c r="E10" i="117" l="1"/>
  <c r="D10" i="117" s="1"/>
  <c r="B10" i="117" l="1"/>
  <c r="E11" i="117" l="1"/>
  <c r="E16" i="117"/>
  <c r="D16" i="117" s="1"/>
  <c r="B16" i="117" s="1"/>
  <c r="E22" i="117"/>
  <c r="D22" i="117" s="1"/>
  <c r="B22" i="117" s="1"/>
  <c r="E14" i="117"/>
  <c r="D14" i="117" s="1"/>
  <c r="B14" i="117" s="1"/>
  <c r="E13" i="117"/>
  <c r="D13" i="117" s="1"/>
  <c r="B13" i="117" s="1"/>
  <c r="D11" i="117" l="1"/>
  <c r="B11" i="117" s="1"/>
  <c r="E21" i="117"/>
  <c r="D21" i="117" s="1"/>
  <c r="B21" i="117" s="1"/>
  <c r="E6" i="117"/>
  <c r="E8" i="117"/>
  <c r="D8" i="117" s="1"/>
  <c r="B8" i="117" s="1"/>
  <c r="E19" i="117"/>
  <c r="D19" i="117" s="1"/>
  <c r="B19" i="117" s="1"/>
  <c r="E17" i="117"/>
  <c r="D17" i="117" s="1"/>
  <c r="B17" i="117" s="1"/>
  <c r="E7" i="117"/>
  <c r="D7" i="117" s="1"/>
  <c r="B7" i="117" s="1"/>
  <c r="E18" i="117"/>
  <c r="D18" i="117" s="1"/>
  <c r="B18" i="117" s="1"/>
  <c r="E15" i="117"/>
  <c r="D15" i="117" s="1"/>
  <c r="B15" i="117" s="1"/>
  <c r="E12" i="117"/>
  <c r="D12" i="117" s="1"/>
  <c r="B12" i="117" s="1"/>
  <c r="D6" i="117" l="1"/>
  <c r="B6" i="117" l="1"/>
  <c r="E22" i="116" l="1"/>
  <c r="D22" i="116" s="1"/>
  <c r="B22" i="116" l="1"/>
  <c r="E21" i="116"/>
  <c r="D21" i="116" s="1"/>
  <c r="E19" i="116"/>
  <c r="D19" i="116" s="1"/>
  <c r="B19" i="116" l="1"/>
  <c r="B21" i="116"/>
  <c r="S22" i="128"/>
  <c r="S21" i="128" l="1"/>
  <c r="E15" i="116"/>
  <c r="S19" i="128"/>
  <c r="E14" i="116"/>
  <c r="D14" i="116" s="1"/>
  <c r="E13" i="116"/>
  <c r="D13" i="116" s="1"/>
  <c r="E16" i="116"/>
  <c r="D16" i="116" s="1"/>
  <c r="E11" i="116"/>
  <c r="D11" i="116" s="1"/>
  <c r="B11" i="116" l="1"/>
  <c r="E12" i="116"/>
  <c r="D12" i="116" s="1"/>
  <c r="B13" i="116"/>
  <c r="E7" i="116"/>
  <c r="D7" i="116" s="1"/>
  <c r="E9" i="116"/>
  <c r="D9" i="116" s="1"/>
  <c r="E18" i="116"/>
  <c r="D18" i="116" s="1"/>
  <c r="E8" i="116"/>
  <c r="D8" i="116" s="1"/>
  <c r="D15" i="116"/>
  <c r="B16" i="116"/>
  <c r="E17" i="116"/>
  <c r="D17" i="116" s="1"/>
  <c r="E6" i="116"/>
  <c r="B14" i="116"/>
  <c r="S16" i="128" l="1"/>
  <c r="B7" i="116"/>
  <c r="B15" i="116"/>
  <c r="S14" i="128"/>
  <c r="B8" i="116"/>
  <c r="D6" i="116"/>
  <c r="S13" i="128"/>
  <c r="B18" i="116"/>
  <c r="B12" i="116"/>
  <c r="B17" i="116"/>
  <c r="B9" i="116"/>
  <c r="S11" i="128"/>
  <c r="S17" i="128" l="1"/>
  <c r="S15" i="128"/>
  <c r="S9" i="128"/>
  <c r="S12" i="128"/>
  <c r="B6" i="116"/>
  <c r="S7" i="128"/>
  <c r="S18" i="128"/>
  <c r="S8" i="128"/>
  <c r="S6" i="128" l="1"/>
  <c r="E20" i="116" l="1"/>
  <c r="D20" i="116" l="1"/>
  <c r="D29" i="116" s="1"/>
  <c r="H29" i="116" s="1"/>
  <c r="D28" i="116"/>
  <c r="E25" i="116"/>
  <c r="L34" i="116" s="1"/>
  <c r="H28" i="116" l="1"/>
  <c r="H31" i="116" s="1"/>
  <c r="D31" i="116"/>
  <c r="L27" i="116" s="1"/>
  <c r="B20" i="116"/>
  <c r="B25" i="116"/>
  <c r="D25" i="116"/>
  <c r="S20" i="128" l="1"/>
  <c r="S25" i="128" s="1"/>
  <c r="V25" i="128" s="1"/>
  <c r="B24" i="116"/>
  <c r="L30" i="116"/>
  <c r="L32" i="116" s="1"/>
  <c r="N32" i="116" s="1"/>
  <c r="D3" i="116"/>
  <c r="M28" i="116" s="1"/>
  <c r="E20" i="117" l="1"/>
  <c r="D20" i="117" s="1"/>
  <c r="E9" i="117"/>
  <c r="D9" i="117" l="1"/>
  <c r="D28" i="117"/>
  <c r="E25" i="117"/>
  <c r="B20" i="117"/>
  <c r="D29" i="117" l="1"/>
  <c r="D31" i="117" s="1"/>
  <c r="B9" i="117"/>
  <c r="B25" i="117"/>
  <c r="D25" i="117"/>
  <c r="B24" i="117" l="1"/>
  <c r="V27" i="128" l="1"/>
  <c r="V26" i="128" l="1"/>
  <c r="V28" i="128" s="1"/>
  <c r="U33" i="128"/>
  <c r="E22" i="127" l="1"/>
  <c r="E16" i="126"/>
  <c r="E22" i="124"/>
  <c r="E9" i="125" l="1"/>
  <c r="E9" i="127"/>
  <c r="E6" i="126"/>
  <c r="E17" i="123"/>
  <c r="E12" i="126"/>
  <c r="E8" i="126"/>
  <c r="D8" i="126" s="1"/>
  <c r="B8" i="126" s="1"/>
  <c r="E17" i="121"/>
  <c r="E10" i="126"/>
  <c r="E22" i="126"/>
  <c r="E11" i="124"/>
  <c r="D11" i="124" s="1"/>
  <c r="B11" i="124" s="1"/>
  <c r="E22" i="123"/>
  <c r="D22" i="123" s="1"/>
  <c r="B22" i="123" s="1"/>
  <c r="D22" i="124"/>
  <c r="B22" i="124" s="1"/>
  <c r="E14" i="124"/>
  <c r="E13" i="121"/>
  <c r="E22" i="122"/>
  <c r="E14" i="121"/>
  <c r="D14" i="121" s="1"/>
  <c r="B14" i="121" s="1"/>
  <c r="E11" i="125"/>
  <c r="D11" i="125" s="1"/>
  <c r="B11" i="125" s="1"/>
  <c r="E16" i="123"/>
  <c r="D16" i="126"/>
  <c r="B16" i="126" s="1"/>
  <c r="E11" i="123"/>
  <c r="E14" i="127"/>
  <c r="D14" i="127" s="1"/>
  <c r="B14" i="127" s="1"/>
  <c r="E11" i="126"/>
  <c r="E14" i="122"/>
  <c r="E14" i="125"/>
  <c r="D14" i="125" s="1"/>
  <c r="B14" i="125" s="1"/>
  <c r="E22" i="121"/>
  <c r="E16" i="125"/>
  <c r="D16" i="125" s="1"/>
  <c r="B16" i="125" s="1"/>
  <c r="E13" i="125"/>
  <c r="E22" i="125"/>
  <c r="D22" i="125" s="1"/>
  <c r="B22" i="125" s="1"/>
  <c r="E14" i="126"/>
  <c r="E13" i="126"/>
  <c r="D13" i="126" s="1"/>
  <c r="B13" i="126" s="1"/>
  <c r="E13" i="127"/>
  <c r="E11" i="127"/>
  <c r="D22" i="127"/>
  <c r="B22" i="127" s="1"/>
  <c r="E20" i="127"/>
  <c r="D20" i="127" s="1"/>
  <c r="B20" i="127" s="1"/>
  <c r="E16" i="127"/>
  <c r="D16" i="127" s="1"/>
  <c r="B16" i="127" s="1"/>
  <c r="E14" i="123"/>
  <c r="E13" i="123"/>
  <c r="D13" i="123" s="1"/>
  <c r="B13" i="123" s="1"/>
  <c r="E13" i="124"/>
  <c r="D13" i="124" s="1"/>
  <c r="B13" i="124" s="1"/>
  <c r="E16" i="124"/>
  <c r="E11" i="122"/>
  <c r="D11" i="122" s="1"/>
  <c r="B11" i="122" s="1"/>
  <c r="E13" i="122"/>
  <c r="D13" i="122" s="1"/>
  <c r="B13" i="122" s="1"/>
  <c r="E16" i="122"/>
  <c r="D16" i="122" s="1"/>
  <c r="B16" i="122" s="1"/>
  <c r="E11" i="121"/>
  <c r="E16" i="121"/>
  <c r="D16" i="121" s="1"/>
  <c r="B16" i="121" s="1"/>
  <c r="E20" i="124" l="1"/>
  <c r="D20" i="124" s="1"/>
  <c r="B20" i="124" s="1"/>
  <c r="E18" i="125"/>
  <c r="D18" i="125" s="1"/>
  <c r="B18" i="125" s="1"/>
  <c r="E21" i="121"/>
  <c r="D21" i="121" s="1"/>
  <c r="B21" i="121" s="1"/>
  <c r="E12" i="121"/>
  <c r="D12" i="121" s="1"/>
  <c r="B12" i="121" s="1"/>
  <c r="E8" i="121"/>
  <c r="D8" i="121" s="1"/>
  <c r="B8" i="121" s="1"/>
  <c r="D11" i="127"/>
  <c r="B11" i="127" s="1"/>
  <c r="E19" i="125"/>
  <c r="D19" i="125" s="1"/>
  <c r="B19" i="125" s="1"/>
  <c r="E15" i="125"/>
  <c r="D15" i="125" s="1"/>
  <c r="B15" i="125" s="1"/>
  <c r="E10" i="125"/>
  <c r="D10" i="125" s="1"/>
  <c r="B10" i="125" s="1"/>
  <c r="E19" i="123"/>
  <c r="D19" i="123" s="1"/>
  <c r="B19" i="123" s="1"/>
  <c r="E19" i="121"/>
  <c r="D19" i="121" s="1"/>
  <c r="B19" i="121" s="1"/>
  <c r="D22" i="126"/>
  <c r="B22" i="126" s="1"/>
  <c r="E10" i="127"/>
  <c r="D10" i="127" s="1"/>
  <c r="B10" i="127" s="1"/>
  <c r="D17" i="121"/>
  <c r="B17" i="121" s="1"/>
  <c r="E8" i="122"/>
  <c r="D8" i="122" s="1"/>
  <c r="B8" i="122" s="1"/>
  <c r="E12" i="122"/>
  <c r="D12" i="122" s="1"/>
  <c r="B12" i="122" s="1"/>
  <c r="E12" i="123"/>
  <c r="D12" i="123" s="1"/>
  <c r="B12" i="123" s="1"/>
  <c r="E7" i="123"/>
  <c r="D7" i="123" s="1"/>
  <c r="B7" i="123" s="1"/>
  <c r="E15" i="127"/>
  <c r="D15" i="127" s="1"/>
  <c r="B15" i="127" s="1"/>
  <c r="E19" i="126"/>
  <c r="D19" i="126" s="1"/>
  <c r="B19" i="126" s="1"/>
  <c r="E18" i="124"/>
  <c r="D18" i="124" s="1"/>
  <c r="B18" i="124" s="1"/>
  <c r="E7" i="121"/>
  <c r="D7" i="121" s="1"/>
  <c r="B7" i="121" s="1"/>
  <c r="E18" i="122"/>
  <c r="D18" i="122" s="1"/>
  <c r="B18" i="122" s="1"/>
  <c r="E18" i="121"/>
  <c r="D18" i="121" s="1"/>
  <c r="B18" i="121" s="1"/>
  <c r="E15" i="122"/>
  <c r="D15" i="122" s="1"/>
  <c r="B15" i="122" s="1"/>
  <c r="E12" i="124"/>
  <c r="D12" i="124" s="1"/>
  <c r="B12" i="124" s="1"/>
  <c r="D11" i="121"/>
  <c r="B11" i="121" s="1"/>
  <c r="E8" i="124"/>
  <c r="D8" i="124" s="1"/>
  <c r="B8" i="124" s="1"/>
  <c r="D14" i="123"/>
  <c r="B14" i="123" s="1"/>
  <c r="E8" i="123"/>
  <c r="D8" i="123" s="1"/>
  <c r="B8" i="123" s="1"/>
  <c r="E18" i="127"/>
  <c r="D18" i="127" s="1"/>
  <c r="B18" i="127" s="1"/>
  <c r="E7" i="126"/>
  <c r="D7" i="126" s="1"/>
  <c r="B7" i="126" s="1"/>
  <c r="E7" i="127"/>
  <c r="D7" i="127" s="1"/>
  <c r="B7" i="127" s="1"/>
  <c r="E20" i="125"/>
  <c r="D20" i="125" s="1"/>
  <c r="B20" i="125" s="1"/>
  <c r="E12" i="125"/>
  <c r="D12" i="125" s="1"/>
  <c r="B12" i="125" s="1"/>
  <c r="D13" i="125"/>
  <c r="B13" i="125" s="1"/>
  <c r="E8" i="125"/>
  <c r="D8" i="125" s="1"/>
  <c r="B8" i="125" s="1"/>
  <c r="E17" i="125"/>
  <c r="D17" i="125" s="1"/>
  <c r="B17" i="125" s="1"/>
  <c r="D11" i="123"/>
  <c r="B11" i="123" s="1"/>
  <c r="E15" i="123"/>
  <c r="D15" i="123" s="1"/>
  <c r="B15" i="123" s="1"/>
  <c r="D16" i="123"/>
  <c r="B16" i="123" s="1"/>
  <c r="E10" i="122"/>
  <c r="D10" i="122" s="1"/>
  <c r="B10" i="122" s="1"/>
  <c r="E7" i="122"/>
  <c r="D7" i="122" s="1"/>
  <c r="B7" i="122" s="1"/>
  <c r="E21" i="126"/>
  <c r="D21" i="126" s="1"/>
  <c r="B21" i="126" s="1"/>
  <c r="D6" i="126"/>
  <c r="D29" i="126"/>
  <c r="E20" i="126"/>
  <c r="D20" i="126" s="1"/>
  <c r="B20" i="126" s="1"/>
  <c r="E15" i="126"/>
  <c r="D15" i="126" s="1"/>
  <c r="B15" i="126" s="1"/>
  <c r="E19" i="127"/>
  <c r="D19" i="127" s="1"/>
  <c r="B19" i="127" s="1"/>
  <c r="D14" i="124"/>
  <c r="B14" i="124" s="1"/>
  <c r="E7" i="124"/>
  <c r="D7" i="124" s="1"/>
  <c r="B7" i="124" s="1"/>
  <c r="E18" i="123"/>
  <c r="D18" i="123" s="1"/>
  <c r="B18" i="123" s="1"/>
  <c r="D9" i="127"/>
  <c r="B9" i="127" s="1"/>
  <c r="E19" i="124"/>
  <c r="D19" i="124" s="1"/>
  <c r="B19" i="124" s="1"/>
  <c r="D16" i="124"/>
  <c r="B16" i="124" s="1"/>
  <c r="E6" i="124"/>
  <c r="E9" i="124"/>
  <c r="D9" i="124" s="1"/>
  <c r="B9" i="124" s="1"/>
  <c r="E10" i="123"/>
  <c r="D10" i="123" s="1"/>
  <c r="B10" i="123" s="1"/>
  <c r="E8" i="127"/>
  <c r="D8" i="127" s="1"/>
  <c r="B8" i="127" s="1"/>
  <c r="D13" i="127"/>
  <c r="B13" i="127" s="1"/>
  <c r="D14" i="126"/>
  <c r="B14" i="126" s="1"/>
  <c r="E21" i="125"/>
  <c r="D21" i="125" s="1"/>
  <c r="B21" i="125" s="1"/>
  <c r="E6" i="125"/>
  <c r="E7" i="125"/>
  <c r="D7" i="125" s="1"/>
  <c r="B7" i="125" s="1"/>
  <c r="D22" i="121"/>
  <c r="B22" i="121" s="1"/>
  <c r="D14" i="122"/>
  <c r="B14" i="122" s="1"/>
  <c r="E18" i="126"/>
  <c r="D18" i="126" s="1"/>
  <c r="B18" i="126" s="1"/>
  <c r="E10" i="124"/>
  <c r="D10" i="124" s="1"/>
  <c r="B10" i="124" s="1"/>
  <c r="D22" i="122"/>
  <c r="B22" i="122" s="1"/>
  <c r="E20" i="123"/>
  <c r="D20" i="123" s="1"/>
  <c r="B20" i="123" s="1"/>
  <c r="E6" i="123"/>
  <c r="E20" i="122"/>
  <c r="D20" i="122" s="1"/>
  <c r="B20" i="122" s="1"/>
  <c r="E9" i="122"/>
  <c r="D9" i="122" s="1"/>
  <c r="B9" i="122" s="1"/>
  <c r="E15" i="124"/>
  <c r="D15" i="124" s="1"/>
  <c r="B15" i="124" s="1"/>
  <c r="E9" i="123"/>
  <c r="D9" i="123" s="1"/>
  <c r="B9" i="123" s="1"/>
  <c r="E21" i="124"/>
  <c r="D21" i="124" s="1"/>
  <c r="B21" i="124" s="1"/>
  <c r="E21" i="127"/>
  <c r="D21" i="127" s="1"/>
  <c r="B21" i="127" s="1"/>
  <c r="E12" i="127"/>
  <c r="D12" i="127" s="1"/>
  <c r="B12" i="127" s="1"/>
  <c r="D10" i="126"/>
  <c r="B10" i="126" s="1"/>
  <c r="D12" i="126"/>
  <c r="B12" i="126" s="1"/>
  <c r="D9" i="125"/>
  <c r="B9" i="125" s="1"/>
  <c r="E17" i="122"/>
  <c r="D17" i="122" s="1"/>
  <c r="B17" i="122" s="1"/>
  <c r="E20" i="121"/>
  <c r="D20" i="121" s="1"/>
  <c r="B20" i="121" s="1"/>
  <c r="E9" i="126"/>
  <c r="D9" i="126" s="1"/>
  <c r="B9" i="126" s="1"/>
  <c r="E10" i="121"/>
  <c r="D10" i="121" s="1"/>
  <c r="B10" i="121" s="1"/>
  <c r="E17" i="127"/>
  <c r="D17" i="127" s="1"/>
  <c r="B17" i="127" s="1"/>
  <c r="D11" i="126"/>
  <c r="B11" i="126" s="1"/>
  <c r="E9" i="121"/>
  <c r="D9" i="121" s="1"/>
  <c r="B9" i="121" s="1"/>
  <c r="D13" i="121"/>
  <c r="B13" i="121" s="1"/>
  <c r="E19" i="122"/>
  <c r="D19" i="122" s="1"/>
  <c r="B19" i="122" s="1"/>
  <c r="E15" i="121"/>
  <c r="D15" i="121" s="1"/>
  <c r="B15" i="121" s="1"/>
  <c r="E6" i="121"/>
  <c r="E21" i="122"/>
  <c r="D21" i="122" s="1"/>
  <c r="B21" i="122" s="1"/>
  <c r="E6" i="127"/>
  <c r="E17" i="126"/>
  <c r="D17" i="126" s="1"/>
  <c r="B17" i="126" s="1"/>
  <c r="E21" i="123"/>
  <c r="D21" i="123" s="1"/>
  <c r="B21" i="123" s="1"/>
  <c r="E17" i="124"/>
  <c r="D17" i="124" s="1"/>
  <c r="B17" i="124" s="1"/>
  <c r="E6" i="122"/>
  <c r="D17" i="123"/>
  <c r="B17" i="123" s="1"/>
  <c r="D6" i="122" l="1"/>
  <c r="D28" i="122"/>
  <c r="E25" i="122"/>
  <c r="E25" i="127"/>
  <c r="D28" i="127"/>
  <c r="D6" i="127"/>
  <c r="D6" i="125"/>
  <c r="E25" i="125"/>
  <c r="D28" i="125"/>
  <c r="D28" i="126"/>
  <c r="E25" i="126"/>
  <c r="D6" i="123"/>
  <c r="D28" i="123"/>
  <c r="E25" i="123"/>
  <c r="B25" i="126"/>
  <c r="B6" i="126"/>
  <c r="B24" i="126" s="1"/>
  <c r="D25" i="126"/>
  <c r="D28" i="121"/>
  <c r="E25" i="121"/>
  <c r="D6" i="121"/>
  <c r="D28" i="124"/>
  <c r="D6" i="124"/>
  <c r="D29" i="124" s="1"/>
  <c r="D31" i="124" s="1"/>
  <c r="E25" i="124"/>
  <c r="B25" i="125" l="1"/>
  <c r="D25" i="125"/>
  <c r="B6" i="125"/>
  <c r="B24" i="125" s="1"/>
  <c r="B6" i="122"/>
  <c r="B24" i="122" s="1"/>
  <c r="D25" i="122"/>
  <c r="D31" i="122" s="1"/>
  <c r="B25" i="122"/>
  <c r="D29" i="123"/>
  <c r="D31" i="123" s="1"/>
  <c r="B6" i="123"/>
  <c r="B24" i="123" s="1"/>
  <c r="D25" i="123"/>
  <c r="B25" i="123"/>
  <c r="D29" i="127"/>
  <c r="D31" i="127" s="1"/>
  <c r="D25" i="127"/>
  <c r="B25" i="127"/>
  <c r="B6" i="127"/>
  <c r="B24" i="127" s="1"/>
  <c r="D25" i="121"/>
  <c r="B25" i="121"/>
  <c r="B6" i="121"/>
  <c r="B24" i="121" s="1"/>
  <c r="B6" i="124"/>
  <c r="B24" i="124" s="1"/>
  <c r="D25" i="124"/>
  <c r="B25" i="124"/>
  <c r="D31" i="126"/>
  <c r="D29" i="121"/>
  <c r="D31" i="121" s="1"/>
  <c r="D29" i="125"/>
  <c r="D31" i="125" s="1"/>
  <c r="D29" i="122"/>
  <c r="E13" i="120" l="1"/>
  <c r="E22" i="120"/>
  <c r="E14" i="119"/>
  <c r="D14" i="119" s="1"/>
  <c r="B14" i="119" s="1"/>
  <c r="E11" i="119"/>
  <c r="D11" i="119" s="1"/>
  <c r="B11" i="119" s="1"/>
  <c r="E14" i="120"/>
  <c r="E16" i="120"/>
  <c r="E11" i="120"/>
  <c r="D11" i="120" s="1"/>
  <c r="B11" i="120" s="1"/>
  <c r="E22" i="119"/>
  <c r="D22" i="119" s="1"/>
  <c r="B22" i="119" s="1"/>
  <c r="E16" i="119"/>
  <c r="D16" i="119" s="1"/>
  <c r="B16" i="119" s="1"/>
  <c r="E13" i="119"/>
  <c r="E10" i="119" l="1"/>
  <c r="D10" i="119" s="1"/>
  <c r="B10" i="119" s="1"/>
  <c r="E9" i="119"/>
  <c r="D9" i="119" s="1"/>
  <c r="B9" i="119" s="1"/>
  <c r="E12" i="119"/>
  <c r="D12" i="119" s="1"/>
  <c r="B12" i="119" s="1"/>
  <c r="E6" i="119"/>
  <c r="D14" i="120"/>
  <c r="B14" i="120" s="1"/>
  <c r="E12" i="120"/>
  <c r="D12" i="120" s="1"/>
  <c r="B12" i="120" s="1"/>
  <c r="E7" i="120"/>
  <c r="D7" i="120" s="1"/>
  <c r="B7" i="120" s="1"/>
  <c r="E19" i="120"/>
  <c r="D19" i="120" s="1"/>
  <c r="B19" i="120" s="1"/>
  <c r="E19" i="119"/>
  <c r="D19" i="119" s="1"/>
  <c r="B19" i="119" s="1"/>
  <c r="E9" i="120"/>
  <c r="D9" i="120" s="1"/>
  <c r="B9" i="120" s="1"/>
  <c r="E20" i="120"/>
  <c r="D20" i="120" s="1"/>
  <c r="B20" i="120" s="1"/>
  <c r="E21" i="120"/>
  <c r="D21" i="120" s="1"/>
  <c r="B21" i="120" s="1"/>
  <c r="E17" i="119"/>
  <c r="D17" i="119" s="1"/>
  <c r="B17" i="119" s="1"/>
  <c r="D22" i="120"/>
  <c r="B22" i="120" s="1"/>
  <c r="D13" i="120"/>
  <c r="B13" i="120" s="1"/>
  <c r="E17" i="120"/>
  <c r="D17" i="120" s="1"/>
  <c r="B17" i="120" s="1"/>
  <c r="E18" i="120"/>
  <c r="D18" i="120" s="1"/>
  <c r="B18" i="120" s="1"/>
  <c r="E15" i="120"/>
  <c r="D15" i="120" s="1"/>
  <c r="B15" i="120" s="1"/>
  <c r="E6" i="120"/>
  <c r="D16" i="120"/>
  <c r="B16" i="120" s="1"/>
  <c r="E7" i="119"/>
  <c r="D7" i="119" s="1"/>
  <c r="B7" i="119" s="1"/>
  <c r="E15" i="119"/>
  <c r="D15" i="119" s="1"/>
  <c r="B15" i="119" s="1"/>
  <c r="E21" i="119"/>
  <c r="D21" i="119" s="1"/>
  <c r="B21" i="119" s="1"/>
  <c r="E20" i="119"/>
  <c r="D20" i="119" s="1"/>
  <c r="B20" i="119" s="1"/>
  <c r="D13" i="119"/>
  <c r="B13" i="119" s="1"/>
  <c r="E18" i="119"/>
  <c r="D18" i="119" s="1"/>
  <c r="B18" i="119" s="1"/>
  <c r="E8" i="119"/>
  <c r="D8" i="119" s="1"/>
  <c r="B8" i="119" s="1"/>
  <c r="E8" i="120"/>
  <c r="D8" i="120" s="1"/>
  <c r="B8" i="120" s="1"/>
  <c r="E10" i="120"/>
  <c r="D10" i="120" s="1"/>
  <c r="B10" i="120" s="1"/>
  <c r="D28" i="120" l="1"/>
  <c r="E25" i="120"/>
  <c r="D29" i="120"/>
  <c r="D6" i="120"/>
  <c r="D6" i="119"/>
  <c r="D28" i="119"/>
  <c r="E25" i="119"/>
  <c r="D29" i="119"/>
  <c r="B25" i="119" l="1"/>
  <c r="B6" i="119"/>
  <c r="B24" i="119" s="1"/>
  <c r="D25" i="119"/>
  <c r="D25" i="120"/>
  <c r="B6" i="120"/>
  <c r="B24" i="120" s="1"/>
  <c r="B25" i="120"/>
  <c r="D31" i="120"/>
  <c r="D31" i="119"/>
  <c r="E20" i="118" l="1"/>
  <c r="E16" i="118"/>
  <c r="D16" i="118" s="1"/>
  <c r="E14" i="118"/>
  <c r="E22" i="118"/>
  <c r="D22" i="118" s="1"/>
  <c r="E13" i="118"/>
  <c r="D13" i="118" s="1"/>
  <c r="E11" i="118"/>
  <c r="D11" i="118" s="1"/>
  <c r="B13" i="118" l="1"/>
  <c r="B13" i="128" s="1"/>
  <c r="D13" i="128"/>
  <c r="E18" i="118"/>
  <c r="D18" i="118" s="1"/>
  <c r="E7" i="118"/>
  <c r="D7" i="118" s="1"/>
  <c r="E15" i="118"/>
  <c r="D15" i="118" s="1"/>
  <c r="B22" i="118"/>
  <c r="B22" i="128" s="1"/>
  <c r="D22" i="128"/>
  <c r="E8" i="118"/>
  <c r="D8" i="118" s="1"/>
  <c r="E12" i="118"/>
  <c r="D12" i="118" s="1"/>
  <c r="E10" i="118"/>
  <c r="D10" i="118" s="1"/>
  <c r="D14" i="118"/>
  <c r="E17" i="118"/>
  <c r="D17" i="118" s="1"/>
  <c r="E19" i="118"/>
  <c r="D19" i="118" s="1"/>
  <c r="D11" i="128"/>
  <c r="B11" i="118"/>
  <c r="B11" i="128" s="1"/>
  <c r="E21" i="118"/>
  <c r="D21" i="118" s="1"/>
  <c r="E6" i="118"/>
  <c r="E9" i="118"/>
  <c r="D9" i="118" s="1"/>
  <c r="D20" i="118"/>
  <c r="B16" i="118"/>
  <c r="B16" i="128" s="1"/>
  <c r="D16" i="128"/>
  <c r="B15" i="118" l="1"/>
  <c r="B15" i="128" s="1"/>
  <c r="D15" i="128"/>
  <c r="D9" i="128"/>
  <c r="B9" i="118"/>
  <c r="B9" i="128" s="1"/>
  <c r="B19" i="118"/>
  <c r="B19" i="128" s="1"/>
  <c r="D19" i="128"/>
  <c r="B12" i="118"/>
  <c r="B12" i="128" s="1"/>
  <c r="D12" i="128"/>
  <c r="B7" i="118"/>
  <c r="B7" i="128" s="1"/>
  <c r="D7" i="128"/>
  <c r="B10" i="118"/>
  <c r="B10" i="128" s="1"/>
  <c r="D10" i="128"/>
  <c r="B20" i="118"/>
  <c r="B20" i="128" s="1"/>
  <c r="D20" i="128"/>
  <c r="E25" i="118"/>
  <c r="D29" i="118"/>
  <c r="D6" i="118"/>
  <c r="D28" i="118"/>
  <c r="B17" i="118"/>
  <c r="B17" i="128" s="1"/>
  <c r="D17" i="128"/>
  <c r="B8" i="118"/>
  <c r="B8" i="128" s="1"/>
  <c r="D8" i="128"/>
  <c r="B18" i="118"/>
  <c r="B18" i="128" s="1"/>
  <c r="D18" i="128"/>
  <c r="D21" i="128"/>
  <c r="B21" i="118"/>
  <c r="B21" i="128" s="1"/>
  <c r="B14" i="118"/>
  <c r="B14" i="128" s="1"/>
  <c r="D14" i="128"/>
  <c r="D25" i="118" l="1"/>
  <c r="B25" i="118"/>
  <c r="B6" i="118"/>
  <c r="D6" i="128"/>
  <c r="D31" i="118"/>
  <c r="D25" i="128" l="1"/>
  <c r="B25" i="128"/>
  <c r="B6" i="128"/>
  <c r="B24" i="128" s="1"/>
  <c r="B24" i="118"/>
  <c r="K13" i="122" l="1"/>
  <c r="L13" i="122" s="1"/>
  <c r="K21" i="122"/>
  <c r="L21" i="122" s="1"/>
  <c r="K14" i="122"/>
  <c r="L14" i="122" s="1"/>
  <c r="K6" i="122"/>
  <c r="K22" i="122"/>
  <c r="L22" i="122" s="1"/>
  <c r="K12" i="123"/>
  <c r="L12" i="123" s="1"/>
  <c r="K20" i="123"/>
  <c r="L20" i="123" s="1"/>
  <c r="K11" i="124"/>
  <c r="L11" i="124" s="1"/>
  <c r="K19" i="124"/>
  <c r="L19" i="124" s="1"/>
  <c r="K10" i="125"/>
  <c r="L10" i="125" s="1"/>
  <c r="K18" i="125"/>
  <c r="L18" i="125" s="1"/>
  <c r="K7" i="127"/>
  <c r="K15" i="127"/>
  <c r="K7" i="122"/>
  <c r="L7" i="122" s="1"/>
  <c r="K15" i="122"/>
  <c r="L15" i="122" s="1"/>
  <c r="K11" i="122"/>
  <c r="L11" i="122" s="1"/>
  <c r="K9" i="122"/>
  <c r="L9" i="122" s="1"/>
  <c r="K17" i="122"/>
  <c r="L17" i="122" s="1"/>
  <c r="K19" i="122"/>
  <c r="L19" i="122" s="1"/>
  <c r="K9" i="127"/>
  <c r="K17" i="127"/>
  <c r="L17" i="127" s="1"/>
  <c r="K19" i="127"/>
  <c r="L19" i="127" s="1"/>
  <c r="K9" i="126"/>
  <c r="L9" i="126" s="1"/>
  <c r="K17" i="126"/>
  <c r="L17" i="126" s="1"/>
  <c r="K15" i="124"/>
  <c r="L15" i="124" s="1"/>
  <c r="K11" i="123"/>
  <c r="L11" i="123" s="1"/>
  <c r="K19" i="123"/>
  <c r="L19" i="123" s="1"/>
  <c r="K10" i="124"/>
  <c r="L10" i="124" s="1"/>
  <c r="K18" i="124"/>
  <c r="L18" i="124" s="1"/>
  <c r="K8" i="126"/>
  <c r="L8" i="126" s="1"/>
  <c r="K16" i="126"/>
  <c r="L16" i="126" s="1"/>
  <c r="K6" i="127"/>
  <c r="K22" i="127"/>
  <c r="L22" i="127" s="1"/>
  <c r="K21" i="123"/>
  <c r="L21" i="123" s="1"/>
  <c r="K12" i="124"/>
  <c r="L12" i="124" s="1"/>
  <c r="K11" i="125"/>
  <c r="L11" i="125" s="1"/>
  <c r="K19" i="125"/>
  <c r="L19" i="125" s="1"/>
  <c r="K10" i="126"/>
  <c r="L10" i="126" s="1"/>
  <c r="K18" i="126"/>
  <c r="L18" i="126" s="1"/>
  <c r="K17" i="124"/>
  <c r="L17" i="124" s="1"/>
  <c r="K7" i="126"/>
  <c r="L7" i="126" s="1"/>
  <c r="K15" i="126"/>
  <c r="L15" i="126" s="1"/>
  <c r="K6" i="123"/>
  <c r="K14" i="123"/>
  <c r="L14" i="123" s="1"/>
  <c r="K22" i="123"/>
  <c r="L22" i="123" s="1"/>
  <c r="K13" i="124"/>
  <c r="L13" i="124" s="1"/>
  <c r="K21" i="124"/>
  <c r="L21" i="124" s="1"/>
  <c r="K12" i="125"/>
  <c r="L12" i="125" s="1"/>
  <c r="K20" i="125"/>
  <c r="L20" i="125" s="1"/>
  <c r="K11" i="126"/>
  <c r="L11" i="126" s="1"/>
  <c r="K19" i="126"/>
  <c r="L19" i="126" s="1"/>
  <c r="K14" i="127"/>
  <c r="K13" i="123"/>
  <c r="L13" i="123" s="1"/>
  <c r="K20" i="124"/>
  <c r="L20" i="124" s="1"/>
  <c r="K8" i="127"/>
  <c r="K10" i="123"/>
  <c r="L10" i="123" s="1"/>
  <c r="K18" i="123"/>
  <c r="L18" i="123" s="1"/>
  <c r="K9" i="124"/>
  <c r="L9" i="124" s="1"/>
  <c r="K8" i="125"/>
  <c r="L8" i="125" s="1"/>
  <c r="K16" i="125"/>
  <c r="L16" i="125" s="1"/>
  <c r="K13" i="127"/>
  <c r="L13" i="127" s="1"/>
  <c r="K10" i="122"/>
  <c r="L10" i="122" s="1"/>
  <c r="K18" i="122"/>
  <c r="L18" i="122" s="1"/>
  <c r="K9" i="123"/>
  <c r="L9" i="123" s="1"/>
  <c r="K17" i="123"/>
  <c r="L17" i="123" s="1"/>
  <c r="K8" i="124"/>
  <c r="L8" i="124" s="1"/>
  <c r="K16" i="124"/>
  <c r="L16" i="124" s="1"/>
  <c r="K7" i="125"/>
  <c r="L7" i="125" s="1"/>
  <c r="K15" i="125"/>
  <c r="L15" i="125" s="1"/>
  <c r="K6" i="126"/>
  <c r="K14" i="126"/>
  <c r="L14" i="126" s="1"/>
  <c r="K22" i="126"/>
  <c r="L22" i="126" s="1"/>
  <c r="K12" i="127"/>
  <c r="L12" i="127" s="1"/>
  <c r="K20" i="127"/>
  <c r="L20" i="127" s="1"/>
  <c r="K12" i="122"/>
  <c r="L12" i="122" s="1"/>
  <c r="K20" i="122"/>
  <c r="L20" i="122" s="1"/>
  <c r="K9" i="125"/>
  <c r="L9" i="125" s="1"/>
  <c r="K17" i="125"/>
  <c r="L17" i="125" s="1"/>
  <c r="K8" i="123"/>
  <c r="L8" i="123" s="1"/>
  <c r="K16" i="123"/>
  <c r="L16" i="123" s="1"/>
  <c r="K7" i="124"/>
  <c r="L7" i="124" s="1"/>
  <c r="K6" i="125"/>
  <c r="K14" i="125"/>
  <c r="L14" i="125" s="1"/>
  <c r="K22" i="125"/>
  <c r="L22" i="125" s="1"/>
  <c r="K13" i="126"/>
  <c r="L13" i="126" s="1"/>
  <c r="K21" i="126"/>
  <c r="L21" i="126" s="1"/>
  <c r="K11" i="127"/>
  <c r="K16" i="127"/>
  <c r="L16" i="127" s="1"/>
  <c r="K21" i="127"/>
  <c r="K8" i="122"/>
  <c r="L8" i="122" s="1"/>
  <c r="K16" i="122"/>
  <c r="L16" i="122" s="1"/>
  <c r="K7" i="123"/>
  <c r="L7" i="123" s="1"/>
  <c r="K15" i="123"/>
  <c r="L15" i="123" s="1"/>
  <c r="K6" i="124"/>
  <c r="K14" i="124"/>
  <c r="L14" i="124" s="1"/>
  <c r="K22" i="124"/>
  <c r="L22" i="124" s="1"/>
  <c r="K13" i="125"/>
  <c r="L13" i="125" s="1"/>
  <c r="K21" i="125"/>
  <c r="L21" i="125" s="1"/>
  <c r="K12" i="126"/>
  <c r="L12" i="126" s="1"/>
  <c r="K20" i="126"/>
  <c r="L20" i="126" s="1"/>
  <c r="K10" i="127"/>
  <c r="L10" i="127" s="1"/>
  <c r="K18" i="127"/>
  <c r="K6" i="121"/>
  <c r="K22" i="121"/>
  <c r="L22" i="121" s="1"/>
  <c r="K7" i="121"/>
  <c r="L7" i="121" s="1"/>
  <c r="K13" i="121"/>
  <c r="L13" i="121" s="1"/>
  <c r="K21" i="121"/>
  <c r="L21" i="121" s="1"/>
  <c r="K15" i="121"/>
  <c r="L15" i="121" s="1"/>
  <c r="K16" i="121"/>
  <c r="L16" i="121" s="1"/>
  <c r="K8" i="121"/>
  <c r="L8" i="121" s="1"/>
  <c r="K10" i="121"/>
  <c r="L10" i="121" s="1"/>
  <c r="K12" i="121"/>
  <c r="L12" i="121" s="1"/>
  <c r="K11" i="121"/>
  <c r="L11" i="121" s="1"/>
  <c r="K18" i="121"/>
  <c r="L18" i="121" s="1"/>
  <c r="K19" i="121"/>
  <c r="L19" i="121" s="1"/>
  <c r="K20" i="121"/>
  <c r="L20" i="121" s="1"/>
  <c r="K9" i="121"/>
  <c r="L9" i="121" s="1"/>
  <c r="K17" i="121"/>
  <c r="L17" i="121" s="1"/>
  <c r="K14" i="121"/>
  <c r="L14" i="121" s="1"/>
  <c r="L6" i="127" l="1"/>
  <c r="K25" i="127"/>
  <c r="L6" i="121"/>
  <c r="K25" i="121"/>
  <c r="L6" i="124"/>
  <c r="K25" i="124"/>
  <c r="L6" i="126"/>
  <c r="K25" i="126"/>
  <c r="L6" i="122"/>
  <c r="K25" i="122"/>
  <c r="K25" i="123"/>
  <c r="L6" i="123"/>
  <c r="K25" i="125"/>
  <c r="L6" i="125"/>
  <c r="E29" i="126" l="1"/>
  <c r="H29" i="126" s="1"/>
  <c r="L25" i="126"/>
  <c r="E28" i="126"/>
  <c r="E29" i="125"/>
  <c r="H29" i="125" s="1"/>
  <c r="L25" i="125"/>
  <c r="E28" i="125"/>
  <c r="E28" i="124"/>
  <c r="L25" i="124"/>
  <c r="E29" i="124"/>
  <c r="H29" i="124" s="1"/>
  <c r="L25" i="123"/>
  <c r="E29" i="123"/>
  <c r="H29" i="123" s="1"/>
  <c r="E28" i="123"/>
  <c r="E28" i="121"/>
  <c r="E29" i="121"/>
  <c r="H29" i="121" s="1"/>
  <c r="L25" i="121"/>
  <c r="L25" i="122"/>
  <c r="E28" i="122"/>
  <c r="E29" i="122"/>
  <c r="H29" i="122" s="1"/>
  <c r="E28" i="127"/>
  <c r="L25" i="127"/>
  <c r="E29" i="127"/>
  <c r="H29" i="127" s="1"/>
  <c r="K18" i="120"/>
  <c r="L18" i="120" s="1"/>
  <c r="K22" i="120"/>
  <c r="L22" i="120" s="1"/>
  <c r="K17" i="120"/>
  <c r="L17" i="120" s="1"/>
  <c r="K19" i="120"/>
  <c r="L19" i="120" s="1"/>
  <c r="K12" i="120"/>
  <c r="L12" i="120" s="1"/>
  <c r="K13" i="120"/>
  <c r="L13" i="120" s="1"/>
  <c r="K6" i="120"/>
  <c r="K10" i="120"/>
  <c r="L10" i="120" s="1"/>
  <c r="K16" i="120"/>
  <c r="L16" i="120" s="1"/>
  <c r="K21" i="120"/>
  <c r="L21" i="120" s="1"/>
  <c r="K7" i="120"/>
  <c r="L7" i="120" s="1"/>
  <c r="K11" i="120"/>
  <c r="L11" i="120" s="1"/>
  <c r="K9" i="120"/>
  <c r="L9" i="120" s="1"/>
  <c r="K15" i="120"/>
  <c r="L15" i="120" s="1"/>
  <c r="K20" i="120"/>
  <c r="L20" i="120" s="1"/>
  <c r="K8" i="120"/>
  <c r="L8" i="120" s="1"/>
  <c r="K14" i="120"/>
  <c r="L14" i="120" s="1"/>
  <c r="E31" i="124" l="1"/>
  <c r="L34" i="124"/>
  <c r="H28" i="124"/>
  <c r="H31" i="124" s="1"/>
  <c r="E31" i="125"/>
  <c r="L34" i="125"/>
  <c r="H28" i="125"/>
  <c r="H31" i="125" s="1"/>
  <c r="E31" i="121"/>
  <c r="H28" i="121"/>
  <c r="H31" i="121" s="1"/>
  <c r="L34" i="121"/>
  <c r="L6" i="120"/>
  <c r="K25" i="120"/>
  <c r="E31" i="123"/>
  <c r="L34" i="123"/>
  <c r="H28" i="123"/>
  <c r="H31" i="123" s="1"/>
  <c r="E31" i="127"/>
  <c r="L34" i="127"/>
  <c r="H28" i="127"/>
  <c r="H31" i="127" s="1"/>
  <c r="E31" i="126"/>
  <c r="L34" i="126"/>
  <c r="H28" i="126"/>
  <c r="H31" i="126" s="1"/>
  <c r="E31" i="122"/>
  <c r="L34" i="122"/>
  <c r="H28" i="122"/>
  <c r="H31" i="122" s="1"/>
  <c r="L35" i="127" l="1"/>
  <c r="L35" i="121"/>
  <c r="L35" i="123"/>
  <c r="L35" i="125"/>
  <c r="L35" i="122"/>
  <c r="L35" i="126"/>
  <c r="E29" i="120"/>
  <c r="H29" i="120" s="1"/>
  <c r="L25" i="120"/>
  <c r="E28" i="120"/>
  <c r="L35" i="124"/>
  <c r="K10" i="119"/>
  <c r="L10" i="119" s="1"/>
  <c r="E31" i="120" l="1"/>
  <c r="L34" i="120"/>
  <c r="H28" i="120"/>
  <c r="H31" i="120" s="1"/>
  <c r="K10" i="117"/>
  <c r="K10" i="118"/>
  <c r="L10" i="118" s="1"/>
  <c r="K11" i="119"/>
  <c r="L11" i="119" s="1"/>
  <c r="L35" i="120" l="1"/>
  <c r="K10" i="128"/>
  <c r="L10" i="117"/>
  <c r="K13" i="119"/>
  <c r="L13" i="119" s="1"/>
  <c r="K21" i="119"/>
  <c r="L21" i="119" s="1"/>
  <c r="K12" i="119"/>
  <c r="L12" i="119" s="1"/>
  <c r="K19" i="119"/>
  <c r="L19" i="119" s="1"/>
  <c r="K9" i="119"/>
  <c r="L9" i="119" s="1"/>
  <c r="K18" i="119"/>
  <c r="L18" i="119" s="1"/>
  <c r="K6" i="119"/>
  <c r="K15" i="119"/>
  <c r="L15" i="119" s="1"/>
  <c r="K20" i="119"/>
  <c r="L20" i="119" s="1"/>
  <c r="K8" i="119"/>
  <c r="L8" i="119" s="1"/>
  <c r="K17" i="119"/>
  <c r="L17" i="119" s="1"/>
  <c r="K14" i="119"/>
  <c r="L14" i="119" s="1"/>
  <c r="K22" i="119"/>
  <c r="L22" i="119" s="1"/>
  <c r="K7" i="119"/>
  <c r="L7" i="119" s="1"/>
  <c r="K16" i="119"/>
  <c r="L16" i="119" s="1"/>
  <c r="K25" i="119" l="1"/>
  <c r="L6" i="119"/>
  <c r="E29" i="119" l="1"/>
  <c r="H29" i="119" s="1"/>
  <c r="L25" i="119"/>
  <c r="E28" i="119"/>
  <c r="K6" i="118"/>
  <c r="K15" i="118"/>
  <c r="L15" i="118" s="1"/>
  <c r="K12" i="118"/>
  <c r="L12" i="118" s="1"/>
  <c r="K20" i="118"/>
  <c r="L20" i="118" s="1"/>
  <c r="K7" i="118"/>
  <c r="L7" i="118" s="1"/>
  <c r="K8" i="118"/>
  <c r="L8" i="118" s="1"/>
  <c r="K17" i="118"/>
  <c r="L17" i="118" s="1"/>
  <c r="K9" i="118"/>
  <c r="L9" i="118" s="1"/>
  <c r="K14" i="118"/>
  <c r="L14" i="118" s="1"/>
  <c r="K22" i="118"/>
  <c r="L22" i="118" s="1"/>
  <c r="K11" i="118"/>
  <c r="L11" i="118" s="1"/>
  <c r="K19" i="118"/>
  <c r="L19" i="118" s="1"/>
  <c r="K16" i="118"/>
  <c r="L16" i="118" s="1"/>
  <c r="K13" i="118"/>
  <c r="L13" i="118" s="1"/>
  <c r="K21" i="118"/>
  <c r="L21" i="118" s="1"/>
  <c r="K18" i="118"/>
  <c r="L18" i="118" s="1"/>
  <c r="L6" i="118" l="1"/>
  <c r="K25" i="118"/>
  <c r="E31" i="119"/>
  <c r="L34" i="119"/>
  <c r="H28" i="119"/>
  <c r="H31" i="119" s="1"/>
  <c r="K7" i="117"/>
  <c r="K12" i="117"/>
  <c r="K16" i="117"/>
  <c r="K20" i="117"/>
  <c r="K11" i="117"/>
  <c r="K15" i="117"/>
  <c r="K19" i="117"/>
  <c r="K6" i="117"/>
  <c r="K9" i="117"/>
  <c r="K14" i="117"/>
  <c r="K18" i="117"/>
  <c r="K22" i="117"/>
  <c r="K8" i="117"/>
  <c r="K13" i="117"/>
  <c r="K17" i="117"/>
  <c r="K21" i="117"/>
  <c r="L14" i="117" l="1"/>
  <c r="K14" i="128"/>
  <c r="L12" i="117"/>
  <c r="K12" i="128"/>
  <c r="K9" i="128"/>
  <c r="L9" i="117"/>
  <c r="K7" i="128"/>
  <c r="L7" i="117"/>
  <c r="L21" i="117"/>
  <c r="K21" i="128"/>
  <c r="K25" i="117"/>
  <c r="L6" i="117"/>
  <c r="K6" i="128"/>
  <c r="L17" i="117"/>
  <c r="K17" i="128"/>
  <c r="L19" i="117"/>
  <c r="K19" i="128"/>
  <c r="L15" i="117"/>
  <c r="K15" i="128"/>
  <c r="L13" i="117"/>
  <c r="K13" i="128"/>
  <c r="L8" i="117"/>
  <c r="K8" i="128"/>
  <c r="L11" i="117"/>
  <c r="K11" i="128"/>
  <c r="L35" i="119"/>
  <c r="K22" i="128"/>
  <c r="L22" i="117"/>
  <c r="K20" i="128"/>
  <c r="L20" i="117"/>
  <c r="L18" i="117"/>
  <c r="K18" i="128"/>
  <c r="K16" i="128"/>
  <c r="L16" i="117"/>
  <c r="L25" i="118"/>
  <c r="E29" i="118"/>
  <c r="H29" i="118" s="1"/>
  <c r="E28" i="118"/>
  <c r="E31" i="118" l="1"/>
  <c r="L34" i="118"/>
  <c r="H28" i="118"/>
  <c r="H31" i="118" s="1"/>
  <c r="K25" i="128"/>
  <c r="E29" i="117"/>
  <c r="H29" i="117" s="1"/>
  <c r="E28" i="117"/>
  <c r="L25" i="117"/>
  <c r="E31" i="117" l="1"/>
  <c r="H28" i="117"/>
  <c r="H31" i="117" s="1"/>
  <c r="L34" i="117"/>
  <c r="N34" i="117" s="1"/>
  <c r="L35" i="118"/>
  <c r="N34" i="118" l="1"/>
  <c r="N34" i="127"/>
  <c r="N34" i="124"/>
  <c r="N34" i="126"/>
  <c r="N34" i="122"/>
  <c r="N34" i="121"/>
  <c r="N34" i="125"/>
  <c r="N34" i="123"/>
  <c r="N34" i="120"/>
  <c r="N34" i="119"/>
  <c r="L35" i="117"/>
  <c r="N35" i="117" s="1"/>
  <c r="L27" i="117"/>
  <c r="D3" i="117" l="1"/>
  <c r="M28" i="117" s="1"/>
  <c r="L30" i="117"/>
  <c r="L32" i="117" s="1"/>
  <c r="N32" i="117" s="1"/>
  <c r="N35" i="126"/>
  <c r="N35" i="127"/>
  <c r="N35" i="124"/>
  <c r="N35" i="123"/>
  <c r="N35" i="122"/>
  <c r="N35" i="121"/>
  <c r="N35" i="125"/>
  <c r="N35" i="120"/>
  <c r="N35" i="119"/>
  <c r="N35" i="118"/>
  <c r="L27" i="126" l="1"/>
  <c r="L27" i="123"/>
  <c r="L27" i="127"/>
  <c r="L27" i="124"/>
  <c r="L27" i="125"/>
  <c r="L27" i="121"/>
  <c r="L27" i="122"/>
  <c r="L27" i="120"/>
  <c r="L27" i="119"/>
  <c r="L27" i="118"/>
  <c r="L30" i="120" l="1"/>
  <c r="L32" i="120" s="1"/>
  <c r="N32" i="120" s="1"/>
  <c r="D3" i="120"/>
  <c r="M28" i="120" s="1"/>
  <c r="D3" i="122"/>
  <c r="M28" i="122" s="1"/>
  <c r="L30" i="122"/>
  <c r="L32" i="122" s="1"/>
  <c r="N32" i="122" s="1"/>
  <c r="L30" i="121"/>
  <c r="L32" i="121" s="1"/>
  <c r="N32" i="121" s="1"/>
  <c r="D3" i="121"/>
  <c r="M28" i="121" s="1"/>
  <c r="L30" i="125"/>
  <c r="L32" i="125" s="1"/>
  <c r="N32" i="125" s="1"/>
  <c r="D3" i="125"/>
  <c r="M28" i="125" s="1"/>
  <c r="D3" i="124"/>
  <c r="M28" i="124" s="1"/>
  <c r="L30" i="124"/>
  <c r="L32" i="124" s="1"/>
  <c r="N32" i="124" s="1"/>
  <c r="D3" i="127"/>
  <c r="M28" i="127" s="1"/>
  <c r="L30" i="127"/>
  <c r="L32" i="127" s="1"/>
  <c r="N32" i="127" s="1"/>
  <c r="L30" i="118"/>
  <c r="L32" i="118" s="1"/>
  <c r="N32" i="118" s="1"/>
  <c r="D3" i="118"/>
  <c r="M28" i="118" s="1"/>
  <c r="L30" i="123"/>
  <c r="L32" i="123" s="1"/>
  <c r="N32" i="123" s="1"/>
  <c r="D3" i="123"/>
  <c r="M28" i="123" s="1"/>
  <c r="L30" i="119"/>
  <c r="L32" i="119" s="1"/>
  <c r="N32" i="119" s="1"/>
  <c r="D3" i="119"/>
  <c r="M28" i="119" s="1"/>
  <c r="L30" i="126"/>
  <c r="L32" i="126" s="1"/>
  <c r="N32" i="126" s="1"/>
  <c r="D3" i="126"/>
  <c r="M28" i="126" s="1"/>
</calcChain>
</file>

<file path=xl/sharedStrings.xml><?xml version="1.0" encoding="utf-8"?>
<sst xmlns="http://schemas.openxmlformats.org/spreadsheetml/2006/main" count="1584" uniqueCount="71">
  <si>
    <t>ASSOCIATION</t>
  </si>
  <si>
    <t>ASELBY</t>
  </si>
  <si>
    <t>ANNEE</t>
  </si>
  <si>
    <t>MATRICULE</t>
  </si>
  <si>
    <t>NOM ET PRENOM</t>
  </si>
  <si>
    <t>MONTANT TONTINE</t>
  </si>
  <si>
    <t>ECHEC</t>
  </si>
  <si>
    <t>BANQUE</t>
  </si>
  <si>
    <t>AS201619</t>
  </si>
  <si>
    <t>AS201622</t>
  </si>
  <si>
    <t>AS201624</t>
  </si>
  <si>
    <t>ESPECES</t>
  </si>
  <si>
    <t>INTERET PETIT LOT</t>
  </si>
  <si>
    <t>MODE VERSEMENT REMBOURSEMENT</t>
  </si>
  <si>
    <t>REMBOURSEMENT PETIT LOT</t>
  </si>
  <si>
    <t>INTERET LOT PRINCIPAL</t>
  </si>
  <si>
    <t>VENTE PETIT LOT</t>
  </si>
  <si>
    <t>MODE VERSEMENT VENTE PETIT LOT</t>
  </si>
  <si>
    <t>VENTE LOT PRINCIPAL</t>
  </si>
  <si>
    <t>SOLDE EN CAISSE</t>
  </si>
  <si>
    <t>AS201608</t>
  </si>
  <si>
    <t>AS201613</t>
  </si>
  <si>
    <t>AS201649</t>
  </si>
  <si>
    <t>PETIT LOT</t>
  </si>
  <si>
    <t>NUMERO CHEQUE</t>
  </si>
  <si>
    <t>TONTINE + REMB + INTERET VENTE</t>
  </si>
  <si>
    <t>AS201617</t>
  </si>
  <si>
    <t>RELIQUAT</t>
  </si>
  <si>
    <t>CUMUL</t>
  </si>
  <si>
    <t>NBREPART</t>
  </si>
  <si>
    <t>MODE VERSEMENT</t>
  </si>
  <si>
    <t>MONTANT A REMBOURSER PETIT LOT</t>
  </si>
  <si>
    <t>MODE VERSEMENTLOT PRINCIPAL</t>
  </si>
  <si>
    <t>MONTANT  LOT PRINCIPAL</t>
  </si>
  <si>
    <t>LOT PRINCIPAL</t>
  </si>
  <si>
    <t>ECHEC TONTINE MOIS</t>
  </si>
  <si>
    <t>ECHEC REMBOURSEMENT MOIS</t>
  </si>
  <si>
    <t>TONIINE</t>
  </si>
  <si>
    <t xml:space="preserve">TAUX TONTINE </t>
  </si>
  <si>
    <t>NBRE PART</t>
  </si>
  <si>
    <t>TOTAL PART</t>
  </si>
  <si>
    <t>NBRE ADHERENT</t>
  </si>
  <si>
    <t>PART VENDUE</t>
  </si>
  <si>
    <t>AS201626</t>
  </si>
  <si>
    <t>AS201648</t>
  </si>
  <si>
    <t>TOTAL</t>
  </si>
  <si>
    <t>AS201638</t>
  </si>
  <si>
    <t>AS201604</t>
  </si>
  <si>
    <t>MOIS OBTENTION</t>
  </si>
  <si>
    <t>MOIS OBTENTION 2</t>
  </si>
  <si>
    <t>INTERET A REPARTIR</t>
  </si>
  <si>
    <t>REPARTITION INTERET</t>
  </si>
  <si>
    <t>INTERET/ADHERENT</t>
  </si>
  <si>
    <t>AS201659</t>
  </si>
  <si>
    <t>AS201653</t>
  </si>
  <si>
    <t>AS201660</t>
  </si>
  <si>
    <t>RECAPITULATIF</t>
  </si>
  <si>
    <t>INTERET PERCU PAR ADHERENT</t>
  </si>
  <si>
    <t>MONTANT  LOT PRINCIPAL PERCU</t>
  </si>
  <si>
    <t>BILAN MI PARCOURS TONTINE 100 000</t>
  </si>
  <si>
    <t>AS201605</t>
  </si>
  <si>
    <t>AS201647</t>
  </si>
  <si>
    <t>AS201663</t>
  </si>
  <si>
    <t>DJUOMBESSY</t>
  </si>
  <si>
    <t>MBONING</t>
  </si>
  <si>
    <t>DJOUKWE</t>
  </si>
  <si>
    <t>TCHOUAMO</t>
  </si>
  <si>
    <t>NDJOMO</t>
  </si>
  <si>
    <t>NGONDIEP</t>
  </si>
  <si>
    <t>NKAMGAING</t>
  </si>
  <si>
    <t>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</si>
</sst>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;@"/>
    <numFmt numFmtId="165" formatCode="[$-40C]mmmm\-yy;@"/>
    <numFmt numFmtId="166" formatCode="[$-40C]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b/>
      <sz val="16"/>
      <name val="Arial"/>
      <family val="2"/>
    </font>
    <font>
      <sz val="14"/>
      <color rgb="FF0070C0"/>
      <name val="Britannic Bold"/>
      <family val="2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11"/>
      <color rgb="FFFF0000"/>
      <name val="Castellar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5" fillId="0" borderId="0" xfId="0" applyNumberFormat="1" applyFont="1"/>
    <xf numFmtId="166" fontId="6" fillId="0" borderId="0" xfId="0" applyNumberFormat="1" applyFont="1"/>
    <xf numFmtId="3" fontId="7" fillId="0" borderId="0" xfId="0" applyNumberFormat="1" applyFont="1"/>
    <xf numFmtId="166" fontId="10" fillId="0" borderId="1" xfId="0" applyNumberFormat="1" applyFont="1" applyBorder="1"/>
    <xf numFmtId="0" fontId="1" fillId="0" borderId="5" xfId="0" applyFont="1" applyBorder="1"/>
    <xf numFmtId="0" fontId="1" fillId="0" borderId="1" xfId="0" applyFont="1" applyBorder="1"/>
    <xf numFmtId="3" fontId="11" fillId="0" borderId="1" xfId="0" applyNumberFormat="1" applyFont="1" applyBorder="1"/>
    <xf numFmtId="3" fontId="2" fillId="0" borderId="1" xfId="0" applyNumberFormat="1" applyFont="1" applyBorder="1"/>
    <xf numFmtId="3" fontId="2" fillId="0" borderId="6" xfId="0" applyNumberFormat="1" applyFont="1" applyBorder="1"/>
    <xf numFmtId="0" fontId="0" fillId="0" borderId="6" xfId="0" applyBorder="1"/>
    <xf numFmtId="3" fontId="3" fillId="0" borderId="1" xfId="0" applyNumberFormat="1" applyFont="1" applyBorder="1"/>
    <xf numFmtId="0" fontId="0" fillId="0" borderId="1" xfId="0" applyBorder="1"/>
    <xf numFmtId="0" fontId="1" fillId="0" borderId="7" xfId="0" applyFont="1" applyBorder="1"/>
    <xf numFmtId="3" fontId="2" fillId="0" borderId="8" xfId="0" applyNumberFormat="1" applyFont="1" applyBorder="1"/>
    <xf numFmtId="3" fontId="0" fillId="0" borderId="8" xfId="0" applyNumberFormat="1" applyBorder="1"/>
    <xf numFmtId="3" fontId="2" fillId="0" borderId="9" xfId="0" applyNumberFormat="1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4" xfId="0" applyNumberFormat="1" applyFont="1" applyFill="1" applyBorder="1" applyAlignment="1">
      <alignment wrapText="1"/>
    </xf>
    <xf numFmtId="166" fontId="10" fillId="0" borderId="0" xfId="0" applyNumberFormat="1" applyFont="1"/>
    <xf numFmtId="3" fontId="12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5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ONTINE75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3TONTINE4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3TONTINE7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JANV212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TABORD"/>
      <sheetName val="HISTOMVTDEPENSE"/>
      <sheetName val="COMPTE BANQUE"/>
      <sheetName val="HISTODEC22"/>
      <sheetName val="HISTODEC24"/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25"/>
      <sheetName val="HISTODEC25 (2)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673000</v>
          </cell>
          <cell r="BA6">
            <v>102000</v>
          </cell>
          <cell r="BC6">
            <v>0</v>
          </cell>
          <cell r="BD6">
            <v>571000</v>
          </cell>
          <cell r="BF6">
            <v>0</v>
          </cell>
          <cell r="BG6">
            <v>11</v>
          </cell>
          <cell r="BH6">
            <v>72000</v>
          </cell>
          <cell r="BI6">
            <v>200000</v>
          </cell>
          <cell r="BJ6">
            <v>0</v>
          </cell>
          <cell r="BN6">
            <v>401000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U7">
            <v>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890000</v>
          </cell>
          <cell r="BC7">
            <v>0</v>
          </cell>
          <cell r="BD7">
            <v>890000</v>
          </cell>
          <cell r="BE7" t="str">
            <v>OK</v>
          </cell>
          <cell r="BF7">
            <v>110000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  <cell r="BQ8">
            <v>66000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U9">
            <v>250000</v>
          </cell>
          <cell r="Y9">
            <v>250000</v>
          </cell>
          <cell r="AC9">
            <v>31000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269000</v>
          </cell>
          <cell r="AX9">
            <v>0</v>
          </cell>
          <cell r="AY9">
            <v>0</v>
          </cell>
          <cell r="AZ9">
            <v>269000</v>
          </cell>
          <cell r="BC9">
            <v>0</v>
          </cell>
          <cell r="BD9">
            <v>269000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50000</v>
          </cell>
          <cell r="F10">
            <v>0</v>
          </cell>
          <cell r="H10">
            <v>0</v>
          </cell>
          <cell r="I10" t="str">
            <v>ESPECES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U10">
            <v>50000</v>
          </cell>
          <cell r="Y10">
            <v>50000</v>
          </cell>
          <cell r="AC10">
            <v>30000</v>
          </cell>
          <cell r="AF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270000</v>
          </cell>
          <cell r="AX10">
            <v>0</v>
          </cell>
          <cell r="AY10">
            <v>0</v>
          </cell>
          <cell r="AZ10">
            <v>270000</v>
          </cell>
          <cell r="BC10">
            <v>0</v>
          </cell>
          <cell r="BD10">
            <v>270000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 t="str">
            <v>ECHEC</v>
          </cell>
          <cell r="J15">
            <v>1</v>
          </cell>
          <cell r="K15">
            <v>0</v>
          </cell>
          <cell r="M15">
            <v>0</v>
          </cell>
          <cell r="N15">
            <v>1</v>
          </cell>
          <cell r="O15">
            <v>0</v>
          </cell>
          <cell r="U15">
            <v>0</v>
          </cell>
          <cell r="Y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11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25000</v>
          </cell>
          <cell r="F17">
            <v>0</v>
          </cell>
          <cell r="G17">
            <v>50000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U17">
            <v>275000</v>
          </cell>
          <cell r="Y17">
            <v>225000</v>
          </cell>
          <cell r="AQ17">
            <v>0</v>
          </cell>
          <cell r="AR17">
            <v>0</v>
          </cell>
          <cell r="AS17">
            <v>75000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C17">
            <v>0</v>
          </cell>
          <cell r="BD17">
            <v>0</v>
          </cell>
          <cell r="BF17">
            <v>0</v>
          </cell>
          <cell r="BG17">
            <v>11</v>
          </cell>
          <cell r="BO17" t="str">
            <v>S/TOTAL</v>
          </cell>
          <cell r="BQ17">
            <v>72000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346500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S18">
            <v>346500</v>
          </cell>
          <cell r="T18" t="str">
            <v>BANQUE</v>
          </cell>
          <cell r="U18">
            <v>496500</v>
          </cell>
          <cell r="Y18">
            <v>150000</v>
          </cell>
          <cell r="AE18">
            <v>115000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1085000</v>
          </cell>
          <cell r="AZ18">
            <v>1085000</v>
          </cell>
          <cell r="BC18">
            <v>346500</v>
          </cell>
          <cell r="BD18">
            <v>738500</v>
          </cell>
          <cell r="BE18" t="str">
            <v>OK</v>
          </cell>
          <cell r="BF18">
            <v>0</v>
          </cell>
          <cell r="BG18">
            <v>11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U19">
            <v>235000</v>
          </cell>
          <cell r="Y19">
            <v>225000</v>
          </cell>
          <cell r="AE19">
            <v>105000</v>
          </cell>
          <cell r="AF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1095000</v>
          </cell>
          <cell r="AZ19">
            <v>1095000</v>
          </cell>
          <cell r="BC19">
            <v>0</v>
          </cell>
          <cell r="BD19">
            <v>1095000</v>
          </cell>
          <cell r="BE19" t="str">
            <v>OK</v>
          </cell>
          <cell r="BF19">
            <v>0</v>
          </cell>
          <cell r="BG19">
            <v>11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650000</v>
          </cell>
          <cell r="E21">
            <v>0</v>
          </cell>
          <cell r="F21">
            <v>0</v>
          </cell>
          <cell r="G21">
            <v>600000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U21">
            <v>650000</v>
          </cell>
          <cell r="Y21">
            <v>50000</v>
          </cell>
          <cell r="AQ21">
            <v>0</v>
          </cell>
          <cell r="AR21">
            <v>0</v>
          </cell>
          <cell r="AS21">
            <v>625000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11</v>
          </cell>
          <cell r="BO21" t="str">
            <v>RETRAIT COMPTE FOYER</v>
          </cell>
          <cell r="BQ21">
            <v>371000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U22">
            <v>325000</v>
          </cell>
          <cell r="Y22">
            <v>325000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C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RETRAIT AIDE</v>
          </cell>
          <cell r="BQ22">
            <v>30000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U24">
            <v>125000</v>
          </cell>
          <cell r="Y24">
            <v>125000</v>
          </cell>
          <cell r="AD24">
            <v>7500</v>
          </cell>
          <cell r="AF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892500</v>
          </cell>
          <cell r="AY24">
            <v>0</v>
          </cell>
          <cell r="AZ24">
            <v>892500</v>
          </cell>
          <cell r="BA24">
            <v>32000</v>
          </cell>
          <cell r="BC24">
            <v>0</v>
          </cell>
          <cell r="BD24">
            <v>860500</v>
          </cell>
          <cell r="BE24" t="str">
            <v>OK</v>
          </cell>
          <cell r="BF24">
            <v>0</v>
          </cell>
          <cell r="BG24">
            <v>11</v>
          </cell>
          <cell r="BO24" t="str">
            <v>S/TOTAL</v>
          </cell>
          <cell r="BQ24">
            <v>401000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U25">
            <v>260000</v>
          </cell>
          <cell r="Y25">
            <v>250000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C25">
            <v>0</v>
          </cell>
          <cell r="BD25">
            <v>0</v>
          </cell>
          <cell r="BF25">
            <v>0</v>
          </cell>
          <cell r="BG25">
            <v>11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U26">
            <v>240000</v>
          </cell>
          <cell r="Y26">
            <v>225000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890000</v>
          </cell>
          <cell r="BC26">
            <v>0</v>
          </cell>
          <cell r="BD26">
            <v>890000</v>
          </cell>
          <cell r="BE26" t="str">
            <v>OK</v>
          </cell>
          <cell r="BF26">
            <v>110000</v>
          </cell>
          <cell r="BG26">
            <v>11</v>
          </cell>
          <cell r="BO26" t="str">
            <v>GRATIFICATION BUREAU 2023</v>
          </cell>
          <cell r="BP26" t="str">
            <v>FRAIS EXEPTIONNEL</v>
          </cell>
          <cell r="BQ26">
            <v>200000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U27">
            <v>250000</v>
          </cell>
          <cell r="Y27">
            <v>250000</v>
          </cell>
          <cell r="AE27">
            <v>120000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1080000</v>
          </cell>
          <cell r="AZ27">
            <v>1080000</v>
          </cell>
          <cell r="BC27">
            <v>0</v>
          </cell>
          <cell r="BD27">
            <v>1080000</v>
          </cell>
          <cell r="BE27" t="str">
            <v>OK</v>
          </cell>
          <cell r="BF27">
            <v>0</v>
          </cell>
          <cell r="BG27">
            <v>11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U28">
            <v>50000</v>
          </cell>
          <cell r="Y28">
            <v>50000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41000</v>
          </cell>
          <cell r="AX28">
            <v>0</v>
          </cell>
          <cell r="AY28">
            <v>0</v>
          </cell>
          <cell r="AZ28">
            <v>41000</v>
          </cell>
          <cell r="BA28">
            <v>41000</v>
          </cell>
          <cell r="BC28">
            <v>0</v>
          </cell>
          <cell r="BD28">
            <v>0</v>
          </cell>
          <cell r="BF28">
            <v>0</v>
          </cell>
          <cell r="BG28">
            <v>11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100000</v>
          </cell>
          <cell r="BA30">
            <v>100000</v>
          </cell>
          <cell r="BC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>S/TOTAL</v>
          </cell>
          <cell r="BQ30">
            <v>200000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U31">
            <v>50000</v>
          </cell>
          <cell r="Y31">
            <v>50000</v>
          </cell>
          <cell r="AC31">
            <v>30000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270000</v>
          </cell>
          <cell r="AX31">
            <v>0</v>
          </cell>
          <cell r="AY31">
            <v>0</v>
          </cell>
          <cell r="AZ31">
            <v>270000</v>
          </cell>
          <cell r="BC31">
            <v>0</v>
          </cell>
          <cell r="BD31">
            <v>270000</v>
          </cell>
          <cell r="BE31" t="str">
            <v>OK</v>
          </cell>
          <cell r="BF31">
            <v>0</v>
          </cell>
          <cell r="BG31">
            <v>11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11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100000</v>
          </cell>
          <cell r="BC34">
            <v>0</v>
          </cell>
          <cell r="BD34">
            <v>100000</v>
          </cell>
          <cell r="BE34" t="str">
            <v>OK</v>
          </cell>
          <cell r="BF34">
            <v>0</v>
          </cell>
          <cell r="BG34">
            <v>11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11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100000</v>
          </cell>
          <cell r="E39">
            <v>25000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11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100000</v>
          </cell>
          <cell r="BC41">
            <v>0</v>
          </cell>
          <cell r="BD41">
            <v>100000</v>
          </cell>
          <cell r="BE41" t="str">
            <v>OK</v>
          </cell>
          <cell r="BF41">
            <v>0</v>
          </cell>
          <cell r="BG41">
            <v>11</v>
          </cell>
          <cell r="BK41">
            <v>100000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11</v>
          </cell>
        </row>
        <row r="44">
          <cell r="B44" t="str">
            <v>TOTAUX</v>
          </cell>
          <cell r="C44">
            <v>0</v>
          </cell>
          <cell r="D44">
            <v>5395000</v>
          </cell>
          <cell r="E44">
            <v>275000</v>
          </cell>
          <cell r="F44">
            <v>346500</v>
          </cell>
          <cell r="G44">
            <v>695000</v>
          </cell>
          <cell r="H44">
            <v>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0</v>
          </cell>
          <cell r="Q44">
            <v>0</v>
          </cell>
          <cell r="R44">
            <v>0</v>
          </cell>
          <cell r="S44">
            <v>346500</v>
          </cell>
          <cell r="U44">
            <v>6016500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2000000</v>
          </cell>
          <cell r="AA44">
            <v>0</v>
          </cell>
          <cell r="AC44">
            <v>91000</v>
          </cell>
          <cell r="AD44">
            <v>7500</v>
          </cell>
          <cell r="AE44">
            <v>340000</v>
          </cell>
          <cell r="AG44">
            <v>0</v>
          </cell>
          <cell r="AI44">
            <v>41000</v>
          </cell>
          <cell r="AJ44">
            <v>0</v>
          </cell>
          <cell r="AK44">
            <v>0</v>
          </cell>
          <cell r="AL44">
            <v>1000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1545000</v>
          </cell>
          <cell r="AT44">
            <v>0</v>
          </cell>
          <cell r="AU44">
            <v>0</v>
          </cell>
          <cell r="AV44">
            <v>0</v>
          </cell>
          <cell r="AW44">
            <v>850000</v>
          </cell>
          <cell r="AX44">
            <v>892500</v>
          </cell>
          <cell r="AY44">
            <v>3260000</v>
          </cell>
          <cell r="AZ44">
            <v>7755500</v>
          </cell>
          <cell r="BA44">
            <v>275000</v>
          </cell>
          <cell r="BB44">
            <v>0</v>
          </cell>
          <cell r="BC44">
            <v>346500</v>
          </cell>
          <cell r="BD44">
            <v>7134000</v>
          </cell>
          <cell r="BE44">
            <v>0</v>
          </cell>
          <cell r="BF44">
            <v>220000</v>
          </cell>
          <cell r="BH44">
            <v>72000</v>
          </cell>
          <cell r="BI44">
            <v>200000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275000</v>
          </cell>
          <cell r="BB46" t="str">
            <v>ESPECES EN CAISSE</v>
          </cell>
          <cell r="BD46">
            <v>7134000</v>
          </cell>
          <cell r="BE46" t="str">
            <v>CHEQUE TIRE</v>
          </cell>
        </row>
        <row r="47">
          <cell r="C47" t="str">
            <v>BANQUE</v>
          </cell>
          <cell r="G47" t="str">
            <v>ESPECES</v>
          </cell>
          <cell r="BA47">
            <v>0</v>
          </cell>
          <cell r="BD47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P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36000</v>
          </cell>
          <cell r="BA6">
            <v>30000</v>
          </cell>
          <cell r="BC6">
            <v>0</v>
          </cell>
          <cell r="BD6">
            <v>6000</v>
          </cell>
          <cell r="BE6" t="str">
            <v>OK</v>
          </cell>
          <cell r="BF6">
            <v>0</v>
          </cell>
          <cell r="BG6">
            <v>10</v>
          </cell>
          <cell r="BH6">
            <v>36000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M7">
            <v>2000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J8">
            <v>100000</v>
          </cell>
          <cell r="AM8">
            <v>3000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  <cell r="BC8">
            <v>0</v>
          </cell>
          <cell r="BD8">
            <v>100000</v>
          </cell>
          <cell r="BE8" t="str">
            <v>OK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  <cell r="BQ8">
            <v>30000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E9">
            <v>80000</v>
          </cell>
          <cell r="AF9" t="str">
            <v>BANQUE</v>
          </cell>
          <cell r="AK9">
            <v>200000</v>
          </cell>
          <cell r="AN9">
            <v>7500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1320000</v>
          </cell>
          <cell r="AZ9">
            <v>1320000</v>
          </cell>
          <cell r="BC9">
            <v>0</v>
          </cell>
          <cell r="BD9">
            <v>1320000</v>
          </cell>
          <cell r="BE9" t="str">
            <v>OK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C10">
            <v>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150375</v>
          </cell>
          <cell r="E11">
            <v>0</v>
          </cell>
          <cell r="F11">
            <v>0</v>
          </cell>
          <cell r="G11">
            <v>375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150375</v>
          </cell>
          <cell r="Y11">
            <v>150000</v>
          </cell>
          <cell r="AK11">
            <v>200000</v>
          </cell>
          <cell r="AN11">
            <v>4500</v>
          </cell>
          <cell r="AP11" t="str">
            <v>BANQUE</v>
          </cell>
          <cell r="AQ11">
            <v>0</v>
          </cell>
          <cell r="AR11">
            <v>0</v>
          </cell>
          <cell r="AS11">
            <v>25375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A11">
            <v>149000</v>
          </cell>
          <cell r="BC11">
            <v>0</v>
          </cell>
          <cell r="BD11">
            <v>51000</v>
          </cell>
          <cell r="BE11" t="str">
            <v>OK</v>
          </cell>
          <cell r="BF11">
            <v>0</v>
          </cell>
          <cell r="BG11">
            <v>10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910000</v>
          </cell>
          <cell r="E12">
            <v>0</v>
          </cell>
          <cell r="F12">
            <v>0</v>
          </cell>
          <cell r="G12">
            <v>660000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910000</v>
          </cell>
          <cell r="Y12">
            <v>250000</v>
          </cell>
          <cell r="AQ12">
            <v>0</v>
          </cell>
          <cell r="AR12">
            <v>0</v>
          </cell>
          <cell r="AS12">
            <v>685000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-50000</v>
          </cell>
          <cell r="D15">
            <v>0</v>
          </cell>
          <cell r="E15">
            <v>125000</v>
          </cell>
          <cell r="F15">
            <v>0</v>
          </cell>
          <cell r="H15">
            <v>0</v>
          </cell>
          <cell r="I15" t="str">
            <v>ESPECES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175000</v>
          </cell>
          <cell r="W15">
            <v>25000</v>
          </cell>
          <cell r="Y15">
            <v>150000</v>
          </cell>
          <cell r="AQ15">
            <v>0</v>
          </cell>
          <cell r="AR15">
            <v>0</v>
          </cell>
          <cell r="AS15">
            <v>50000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10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260000</v>
          </cell>
          <cell r="E17">
            <v>0</v>
          </cell>
          <cell r="F17">
            <v>0</v>
          </cell>
          <cell r="G17">
            <v>35000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260000</v>
          </cell>
          <cell r="Y17">
            <v>225000</v>
          </cell>
          <cell r="AQ17">
            <v>0</v>
          </cell>
          <cell r="AR17">
            <v>0</v>
          </cell>
          <cell r="AS17">
            <v>60000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C17">
            <v>0</v>
          </cell>
          <cell r="BD17">
            <v>0</v>
          </cell>
          <cell r="BF17">
            <v>0</v>
          </cell>
          <cell r="BG17">
            <v>10</v>
          </cell>
          <cell r="BO17" t="str">
            <v>S/TOTAL</v>
          </cell>
          <cell r="BQ17">
            <v>36000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Z18">
            <v>500000</v>
          </cell>
          <cell r="AA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470000</v>
          </cell>
          <cell r="BC18">
            <v>0</v>
          </cell>
          <cell r="BD18">
            <v>470000</v>
          </cell>
          <cell r="BE18" t="str">
            <v>OK</v>
          </cell>
          <cell r="BF18">
            <v>30000</v>
          </cell>
          <cell r="BG18">
            <v>6</v>
          </cell>
        </row>
        <row r="19">
          <cell r="A19" t="str">
            <v>AS201619</v>
          </cell>
          <cell r="B19" t="str">
            <v>KOUATCHO MESSACK</v>
          </cell>
          <cell r="C19">
            <v>75000</v>
          </cell>
          <cell r="D19">
            <v>310000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C19">
            <v>26000</v>
          </cell>
          <cell r="AF19" t="str">
            <v>BANQUE</v>
          </cell>
          <cell r="AJ19">
            <v>53000</v>
          </cell>
          <cell r="AM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274000</v>
          </cell>
          <cell r="AX19">
            <v>53000</v>
          </cell>
          <cell r="AY19">
            <v>0</v>
          </cell>
          <cell r="AZ19">
            <v>327000</v>
          </cell>
          <cell r="BC19">
            <v>0</v>
          </cell>
          <cell r="BD19">
            <v>327000</v>
          </cell>
          <cell r="BE19" t="str">
            <v>OK</v>
          </cell>
          <cell r="BF19">
            <v>0</v>
          </cell>
          <cell r="BG19">
            <v>10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10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0</v>
          </cell>
          <cell r="U22">
            <v>325000</v>
          </cell>
          <cell r="Y22">
            <v>325000</v>
          </cell>
          <cell r="AD22">
            <v>45000</v>
          </cell>
          <cell r="AE22">
            <v>85000</v>
          </cell>
          <cell r="AF22" t="str">
            <v>BANQUE</v>
          </cell>
          <cell r="AJ22">
            <v>50000</v>
          </cell>
          <cell r="AM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905000</v>
          </cell>
          <cell r="AY22">
            <v>1115000</v>
          </cell>
          <cell r="AZ22">
            <v>2020000</v>
          </cell>
          <cell r="BC22">
            <v>0</v>
          </cell>
          <cell r="BD22">
            <v>1127500</v>
          </cell>
          <cell r="BE22" t="str">
            <v>OK</v>
          </cell>
          <cell r="BF22">
            <v>0</v>
          </cell>
          <cell r="BG22">
            <v>10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892500</v>
          </cell>
          <cell r="G24">
            <v>892500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1017500</v>
          </cell>
          <cell r="Y24">
            <v>125000</v>
          </cell>
          <cell r="AQ24">
            <v>0</v>
          </cell>
          <cell r="AR24">
            <v>0</v>
          </cell>
          <cell r="AS24">
            <v>917500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C24">
            <v>892500</v>
          </cell>
          <cell r="BD24">
            <v>600000</v>
          </cell>
          <cell r="BE24" t="str">
            <v>OK</v>
          </cell>
          <cell r="BF24">
            <v>0</v>
          </cell>
          <cell r="BG24">
            <v>10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0</v>
          </cell>
          <cell r="U25">
            <v>260000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100000</v>
          </cell>
          <cell r="BE25" t="str">
            <v>OK</v>
          </cell>
          <cell r="BF25">
            <v>0</v>
          </cell>
          <cell r="BG25">
            <v>10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C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0</v>
          </cell>
          <cell r="U27">
            <v>250000</v>
          </cell>
          <cell r="Y27">
            <v>250000</v>
          </cell>
          <cell r="AC27">
            <v>26000</v>
          </cell>
          <cell r="AF27" t="str">
            <v>BANQUE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274000</v>
          </cell>
          <cell r="AX27">
            <v>0</v>
          </cell>
          <cell r="AY27">
            <v>200000</v>
          </cell>
          <cell r="AZ27">
            <v>474000</v>
          </cell>
          <cell r="BC27">
            <v>0</v>
          </cell>
          <cell r="BD27">
            <v>474000</v>
          </cell>
          <cell r="BE27" t="str">
            <v>OK</v>
          </cell>
          <cell r="BF27">
            <v>0</v>
          </cell>
          <cell r="BG27">
            <v>10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100000</v>
          </cell>
          <cell r="E28">
            <v>0</v>
          </cell>
          <cell r="F28">
            <v>0</v>
          </cell>
          <cell r="G28">
            <v>8000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U28">
            <v>100000</v>
          </cell>
          <cell r="Y28">
            <v>50000</v>
          </cell>
          <cell r="AC28">
            <v>27000</v>
          </cell>
          <cell r="AF28" t="str">
            <v>BANQUE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33000</v>
          </cell>
          <cell r="AW28">
            <v>314000</v>
          </cell>
          <cell r="AX28">
            <v>0</v>
          </cell>
          <cell r="AY28">
            <v>0</v>
          </cell>
          <cell r="AZ28">
            <v>314000</v>
          </cell>
          <cell r="BA28">
            <v>41000</v>
          </cell>
          <cell r="BC28">
            <v>0</v>
          </cell>
          <cell r="BD28">
            <v>273000</v>
          </cell>
          <cell r="BE28" t="str">
            <v>OK</v>
          </cell>
          <cell r="BF28">
            <v>0</v>
          </cell>
          <cell r="BG28">
            <v>10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10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U31">
            <v>50000</v>
          </cell>
          <cell r="Y31">
            <v>50000</v>
          </cell>
          <cell r="AI31">
            <v>40000</v>
          </cell>
          <cell r="AL31">
            <v>1000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40000</v>
          </cell>
          <cell r="AX31">
            <v>0</v>
          </cell>
          <cell r="AY31">
            <v>0</v>
          </cell>
          <cell r="AZ31">
            <v>40000</v>
          </cell>
          <cell r="BA31">
            <v>40000</v>
          </cell>
          <cell r="BC31">
            <v>0</v>
          </cell>
          <cell r="BD31">
            <v>0</v>
          </cell>
          <cell r="BF31">
            <v>0</v>
          </cell>
          <cell r="BG31">
            <v>10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E34">
            <v>70000</v>
          </cell>
          <cell r="AF34" t="str">
            <v>BANQUE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1130000</v>
          </cell>
          <cell r="AZ34">
            <v>1130000</v>
          </cell>
          <cell r="BC34">
            <v>0</v>
          </cell>
          <cell r="BD34">
            <v>1130000</v>
          </cell>
          <cell r="BE34" t="str">
            <v>OK</v>
          </cell>
          <cell r="BF34">
            <v>0</v>
          </cell>
          <cell r="BG34">
            <v>10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100000</v>
          </cell>
          <cell r="BC37">
            <v>0</v>
          </cell>
          <cell r="BD37">
            <v>100000</v>
          </cell>
          <cell r="BE37" t="str">
            <v>OK</v>
          </cell>
          <cell r="BF37">
            <v>0</v>
          </cell>
          <cell r="BG37">
            <v>10</v>
          </cell>
          <cell r="BK37">
            <v>100000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10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10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10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10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V42">
            <v>100000</v>
          </cell>
          <cell r="AW42">
            <v>0</v>
          </cell>
          <cell r="AX42">
            <v>0</v>
          </cell>
          <cell r="AY42">
            <v>0</v>
          </cell>
          <cell r="AZ42">
            <v>100000</v>
          </cell>
          <cell r="BC42">
            <v>0</v>
          </cell>
          <cell r="BD42">
            <v>100000</v>
          </cell>
          <cell r="BE42" t="str">
            <v>OK</v>
          </cell>
          <cell r="BF42">
            <v>0</v>
          </cell>
          <cell r="BG42">
            <v>10</v>
          </cell>
        </row>
        <row r="44">
          <cell r="B44" t="str">
            <v>TOTAUX</v>
          </cell>
          <cell r="C44">
            <v>25000</v>
          </cell>
          <cell r="D44">
            <v>5655375</v>
          </cell>
          <cell r="E44">
            <v>300000</v>
          </cell>
          <cell r="F44">
            <v>892500</v>
          </cell>
          <cell r="G44">
            <v>1627875</v>
          </cell>
          <cell r="H44">
            <v>3000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42000</v>
          </cell>
          <cell r="Q44">
            <v>0</v>
          </cell>
          <cell r="R44">
            <v>0</v>
          </cell>
          <cell r="S44">
            <v>0</v>
          </cell>
          <cell r="U44">
            <v>6822875</v>
          </cell>
          <cell r="V44">
            <v>0</v>
          </cell>
          <cell r="W44">
            <v>25000</v>
          </cell>
          <cell r="X44">
            <v>0</v>
          </cell>
          <cell r="Y44">
            <v>5125000</v>
          </cell>
          <cell r="Z44">
            <v>500000</v>
          </cell>
          <cell r="AA44">
            <v>0</v>
          </cell>
          <cell r="AC44">
            <v>79000</v>
          </cell>
          <cell r="AD44">
            <v>45000</v>
          </cell>
          <cell r="AE44">
            <v>235000</v>
          </cell>
          <cell r="AF44">
            <v>0</v>
          </cell>
          <cell r="AG44">
            <v>0</v>
          </cell>
          <cell r="AI44">
            <v>121000</v>
          </cell>
          <cell r="AJ44">
            <v>203000</v>
          </cell>
          <cell r="AK44">
            <v>700000</v>
          </cell>
          <cell r="AL44">
            <v>3000</v>
          </cell>
          <cell r="AM44">
            <v>7500</v>
          </cell>
          <cell r="AN44">
            <v>19500</v>
          </cell>
          <cell r="AO44">
            <v>0</v>
          </cell>
          <cell r="AQ44">
            <v>0</v>
          </cell>
          <cell r="AR44">
            <v>0</v>
          </cell>
          <cell r="AS44">
            <v>2527875</v>
          </cell>
          <cell r="AT44">
            <v>0</v>
          </cell>
          <cell r="AU44">
            <v>0</v>
          </cell>
          <cell r="AV44">
            <v>700000</v>
          </cell>
          <cell r="AW44">
            <v>942000</v>
          </cell>
          <cell r="AX44">
            <v>1058000</v>
          </cell>
          <cell r="AY44">
            <v>4065000</v>
          </cell>
          <cell r="AZ44">
            <v>7371000</v>
          </cell>
          <cell r="BA44">
            <v>300000</v>
          </cell>
          <cell r="BB44">
            <v>0</v>
          </cell>
          <cell r="BC44">
            <v>892500</v>
          </cell>
          <cell r="BD44">
            <v>6178500</v>
          </cell>
          <cell r="BE44">
            <v>0</v>
          </cell>
          <cell r="BF44">
            <v>30000</v>
          </cell>
          <cell r="BH44">
            <v>36000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300000</v>
          </cell>
          <cell r="BB46" t="str">
            <v>ESPECES EN CAISSE</v>
          </cell>
          <cell r="BD46">
            <v>5578500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  <cell r="BD47">
            <v>-600000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352000</v>
          </cell>
          <cell r="BC6">
            <v>0</v>
          </cell>
          <cell r="BD6">
            <v>352000</v>
          </cell>
          <cell r="BF6">
            <v>0</v>
          </cell>
          <cell r="BG6">
            <v>9</v>
          </cell>
          <cell r="BH6">
            <v>52000</v>
          </cell>
          <cell r="BI6">
            <v>0</v>
          </cell>
          <cell r="BJ6">
            <v>300000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228000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103000</v>
          </cell>
          <cell r="R8">
            <v>0</v>
          </cell>
          <cell r="S8">
            <v>500000</v>
          </cell>
          <cell r="T8" t="str">
            <v>AUTRES</v>
          </cell>
          <cell r="U8">
            <v>728000</v>
          </cell>
          <cell r="Y8">
            <v>125000</v>
          </cell>
          <cell r="Z8">
            <v>500000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C8">
            <v>0</v>
          </cell>
          <cell r="BD8">
            <v>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457500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207500</v>
          </cell>
          <cell r="U9">
            <v>457500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100500</v>
          </cell>
          <cell r="E10">
            <v>0</v>
          </cell>
          <cell r="F10">
            <v>0</v>
          </cell>
          <cell r="G10">
            <v>9500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41000</v>
          </cell>
          <cell r="Q10">
            <v>0</v>
          </cell>
          <cell r="R10">
            <v>0</v>
          </cell>
          <cell r="U10">
            <v>100500</v>
          </cell>
          <cell r="Y10">
            <v>50000</v>
          </cell>
          <cell r="AI10">
            <v>40000</v>
          </cell>
          <cell r="AL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34500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C10">
            <v>0</v>
          </cell>
          <cell r="BD10">
            <v>0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-1339500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204500</v>
          </cell>
          <cell r="S11">
            <v>1135000</v>
          </cell>
          <cell r="T11" t="str">
            <v>EN COMPTE</v>
          </cell>
          <cell r="U11">
            <v>1489500</v>
          </cell>
          <cell r="Y11">
            <v>150000</v>
          </cell>
          <cell r="Z11">
            <v>1000000</v>
          </cell>
          <cell r="AA11" t="str">
            <v>BANQUE</v>
          </cell>
          <cell r="AC11">
            <v>6500</v>
          </cell>
          <cell r="AE11">
            <v>35000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293500</v>
          </cell>
          <cell r="AX11">
            <v>0</v>
          </cell>
          <cell r="AY11">
            <v>1165000</v>
          </cell>
          <cell r="AZ11">
            <v>2233500</v>
          </cell>
          <cell r="BC11">
            <v>0</v>
          </cell>
          <cell r="BD11">
            <v>894000</v>
          </cell>
          <cell r="BE11" t="str">
            <v>OK</v>
          </cell>
          <cell r="BF11">
            <v>225000</v>
          </cell>
          <cell r="BG11">
            <v>9</v>
          </cell>
          <cell r="BO11" t="str">
            <v>PRODUCTION RAPPORT</v>
          </cell>
          <cell r="BP11" t="str">
            <v>FONDS DE ROULEMENT</v>
          </cell>
          <cell r="BQ11">
            <v>40000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C12">
            <v>7000</v>
          </cell>
          <cell r="AE12">
            <v>30000</v>
          </cell>
          <cell r="AF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293000</v>
          </cell>
          <cell r="AX12">
            <v>0</v>
          </cell>
          <cell r="AY12">
            <v>1170000</v>
          </cell>
          <cell r="AZ12">
            <v>1463000</v>
          </cell>
          <cell r="BC12">
            <v>0</v>
          </cell>
          <cell r="BD12">
            <v>1463000</v>
          </cell>
          <cell r="BE12" t="str">
            <v>OK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226000</v>
          </cell>
          <cell r="D15">
            <v>376000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9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100000</v>
          </cell>
          <cell r="D16">
            <v>1275000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1050000</v>
          </cell>
          <cell r="U16">
            <v>1175000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-55000</v>
          </cell>
          <cell r="BC16">
            <v>0</v>
          </cell>
          <cell r="BD16">
            <v>-55000</v>
          </cell>
          <cell r="BE16" t="str">
            <v>OK</v>
          </cell>
          <cell r="BF16">
            <v>155000</v>
          </cell>
          <cell r="BG16">
            <v>9</v>
          </cell>
          <cell r="BK16">
            <v>100000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250000</v>
          </cell>
          <cell r="Y17">
            <v>225000</v>
          </cell>
          <cell r="AD17">
            <v>7500</v>
          </cell>
          <cell r="AF17" t="str">
            <v>BANQUE</v>
          </cell>
          <cell r="AJ17">
            <v>91125</v>
          </cell>
          <cell r="AM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983625</v>
          </cell>
          <cell r="AY17">
            <v>0</v>
          </cell>
          <cell r="AZ17">
            <v>983625</v>
          </cell>
          <cell r="BA17">
            <v>50000</v>
          </cell>
          <cell r="BC17">
            <v>0</v>
          </cell>
          <cell r="BD17">
            <v>933625</v>
          </cell>
          <cell r="BE17" t="str">
            <v>OK</v>
          </cell>
          <cell r="BF17">
            <v>0</v>
          </cell>
          <cell r="BG17">
            <v>9</v>
          </cell>
          <cell r="BO17" t="str">
            <v>S/TOTAL</v>
          </cell>
          <cell r="BQ17">
            <v>52000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E18" t="str">
            <v>OK</v>
          </cell>
          <cell r="BF18">
            <v>0</v>
          </cell>
          <cell r="BG18">
            <v>9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291000</v>
          </cell>
          <cell r="E19">
            <v>0</v>
          </cell>
          <cell r="F19">
            <v>0</v>
          </cell>
          <cell r="G19">
            <v>11500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54500</v>
          </cell>
          <cell r="R19">
            <v>0</v>
          </cell>
          <cell r="U19">
            <v>291000</v>
          </cell>
          <cell r="Y19">
            <v>225000</v>
          </cell>
          <cell r="AK19">
            <v>205500</v>
          </cell>
          <cell r="AN19">
            <v>2000</v>
          </cell>
          <cell r="AP19" t="str">
            <v>BANQUE</v>
          </cell>
          <cell r="AQ19">
            <v>0</v>
          </cell>
          <cell r="AR19">
            <v>0</v>
          </cell>
          <cell r="AS19">
            <v>36500</v>
          </cell>
          <cell r="AW19">
            <v>0</v>
          </cell>
          <cell r="AX19">
            <v>0</v>
          </cell>
          <cell r="AY19">
            <v>205500</v>
          </cell>
          <cell r="AZ19">
            <v>205500</v>
          </cell>
          <cell r="BC19">
            <v>0</v>
          </cell>
          <cell r="BD19">
            <v>205500</v>
          </cell>
          <cell r="BE19" t="str">
            <v>OK</v>
          </cell>
          <cell r="BF19">
            <v>0</v>
          </cell>
          <cell r="BG19">
            <v>9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9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376000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51000</v>
          </cell>
          <cell r="R22">
            <v>0</v>
          </cell>
          <cell r="S22">
            <v>1000000</v>
          </cell>
          <cell r="T22" t="str">
            <v>AUTRES</v>
          </cell>
          <cell r="U22">
            <v>1376000</v>
          </cell>
          <cell r="Y22">
            <v>325000</v>
          </cell>
          <cell r="Z22">
            <v>1000000</v>
          </cell>
          <cell r="AC22">
            <v>7500</v>
          </cell>
          <cell r="AF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292500</v>
          </cell>
          <cell r="AX22">
            <v>100000</v>
          </cell>
          <cell r="AY22">
            <v>200000</v>
          </cell>
          <cell r="AZ22">
            <v>1562500</v>
          </cell>
          <cell r="BA22">
            <v>166000</v>
          </cell>
          <cell r="BC22">
            <v>0</v>
          </cell>
          <cell r="BD22">
            <v>426500</v>
          </cell>
          <cell r="BE22" t="str">
            <v>OK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9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C24">
            <v>0</v>
          </cell>
          <cell r="BD24">
            <v>600000</v>
          </cell>
          <cell r="BE24" t="str">
            <v>OK</v>
          </cell>
          <cell r="BF24">
            <v>0</v>
          </cell>
          <cell r="BG24">
            <v>9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361000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27000</v>
          </cell>
          <cell r="BE25" t="str">
            <v>OK</v>
          </cell>
          <cell r="BF25">
            <v>0</v>
          </cell>
          <cell r="BG25">
            <v>9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C26">
            <v>0</v>
          </cell>
          <cell r="BD26">
            <v>0</v>
          </cell>
          <cell r="BF26">
            <v>0</v>
          </cell>
          <cell r="BG26">
            <v>9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>
            <v>100000</v>
          </cell>
          <cell r="BC27">
            <v>0</v>
          </cell>
          <cell r="BD27">
            <v>100000</v>
          </cell>
          <cell r="BE27" t="str">
            <v>OK</v>
          </cell>
          <cell r="BF27">
            <v>0</v>
          </cell>
          <cell r="BG27">
            <v>9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-970000</v>
          </cell>
          <cell r="D28">
            <v>122000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S28">
            <v>1000000</v>
          </cell>
          <cell r="U28">
            <v>1092000</v>
          </cell>
          <cell r="Y28">
            <v>50000</v>
          </cell>
          <cell r="Z28">
            <v>1000000</v>
          </cell>
          <cell r="AA28" t="str">
            <v>AUTRES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1000000</v>
          </cell>
          <cell r="BC28">
            <v>0</v>
          </cell>
          <cell r="BD28">
            <v>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Z29">
            <v>150000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136500</v>
          </cell>
          <cell r="BC29">
            <v>0</v>
          </cell>
          <cell r="BD29">
            <v>136500</v>
          </cell>
          <cell r="BE29" t="str">
            <v>OK</v>
          </cell>
          <cell r="BF29">
            <v>13500</v>
          </cell>
          <cell r="BG29">
            <v>9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91000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41000</v>
          </cell>
          <cell r="Q31">
            <v>0</v>
          </cell>
          <cell r="R31">
            <v>0</v>
          </cell>
          <cell r="U31">
            <v>91000</v>
          </cell>
          <cell r="Y31">
            <v>50000</v>
          </cell>
          <cell r="AI31">
            <v>80000</v>
          </cell>
          <cell r="AL31">
            <v>3000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80000</v>
          </cell>
          <cell r="AX31">
            <v>0</v>
          </cell>
          <cell r="AY31">
            <v>0</v>
          </cell>
          <cell r="AZ31">
            <v>80000</v>
          </cell>
          <cell r="BA31">
            <v>80000</v>
          </cell>
          <cell r="BC31">
            <v>0</v>
          </cell>
          <cell r="BD31">
            <v>0</v>
          </cell>
          <cell r="BF31">
            <v>0</v>
          </cell>
          <cell r="BG31">
            <v>9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0</v>
          </cell>
          <cell r="E32">
            <v>253000</v>
          </cell>
          <cell r="F32">
            <v>0</v>
          </cell>
          <cell r="H32">
            <v>3000</v>
          </cell>
          <cell r="I32" t="str">
            <v>ESPECES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AUTRES</v>
          </cell>
          <cell r="U32">
            <v>1253000</v>
          </cell>
          <cell r="Y32">
            <v>250000</v>
          </cell>
          <cell r="Z32">
            <v>1000000</v>
          </cell>
          <cell r="AA32" t="str">
            <v>AUTRES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C32">
            <v>0</v>
          </cell>
          <cell r="BD32">
            <v>0</v>
          </cell>
          <cell r="BF32">
            <v>30000</v>
          </cell>
          <cell r="BG32">
            <v>3</v>
          </cell>
          <cell r="BO32" t="str">
            <v>DECES ELLE MERE DJOUKWE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DECES ELLE MERE MASSEUGO</v>
          </cell>
          <cell r="BQ33">
            <v>100000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DECES ELLE MERE MBONING</v>
          </cell>
          <cell r="BQ34">
            <v>100000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J35">
            <v>100000</v>
          </cell>
          <cell r="AM35">
            <v>2000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C35">
            <v>0</v>
          </cell>
          <cell r="BD35">
            <v>100000</v>
          </cell>
          <cell r="BE35" t="str">
            <v>OK</v>
          </cell>
          <cell r="BF35">
            <v>0</v>
          </cell>
          <cell r="BG35">
            <v>9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S/TOTAL</v>
          </cell>
          <cell r="BQ36">
            <v>300000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S/TOTAL</v>
          </cell>
          <cell r="BQ37">
            <v>400000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9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130000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130000</v>
          </cell>
          <cell r="Y39">
            <v>125000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9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9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9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725000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>
            <v>500000</v>
          </cell>
          <cell r="T42" t="str">
            <v>BANQUE</v>
          </cell>
          <cell r="U42">
            <v>725000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9</v>
          </cell>
        </row>
        <row r="44">
          <cell r="B44" t="str">
            <v>TOTAUX</v>
          </cell>
          <cell r="C44">
            <v>-4483500</v>
          </cell>
          <cell r="D44">
            <v>7358000</v>
          </cell>
          <cell r="E44">
            <v>636000</v>
          </cell>
          <cell r="F44">
            <v>0</v>
          </cell>
          <cell r="G44">
            <v>76500</v>
          </cell>
          <cell r="H44">
            <v>9000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124000</v>
          </cell>
          <cell r="Q44">
            <v>208500</v>
          </cell>
          <cell r="R44">
            <v>719500</v>
          </cell>
          <cell r="S44">
            <v>6185000</v>
          </cell>
          <cell r="U44">
            <v>12447500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4650000</v>
          </cell>
          <cell r="AA44">
            <v>0</v>
          </cell>
          <cell r="AC44">
            <v>21000</v>
          </cell>
          <cell r="AD44">
            <v>7500</v>
          </cell>
          <cell r="AE44">
            <v>65000</v>
          </cell>
          <cell r="AF44">
            <v>0</v>
          </cell>
          <cell r="AG44">
            <v>0</v>
          </cell>
          <cell r="AI44">
            <v>120000</v>
          </cell>
          <cell r="AJ44">
            <v>291125</v>
          </cell>
          <cell r="AK44">
            <v>905500</v>
          </cell>
          <cell r="AL44">
            <v>5000</v>
          </cell>
          <cell r="AM44">
            <v>6000</v>
          </cell>
          <cell r="AN44">
            <v>11000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951500</v>
          </cell>
          <cell r="AT44">
            <v>0</v>
          </cell>
          <cell r="AU44">
            <v>0</v>
          </cell>
          <cell r="AV44">
            <v>600000</v>
          </cell>
          <cell r="AW44">
            <v>999000</v>
          </cell>
          <cell r="AX44">
            <v>1183625</v>
          </cell>
          <cell r="AY44">
            <v>3240500</v>
          </cell>
          <cell r="AZ44">
            <v>10656625</v>
          </cell>
          <cell r="BA44">
            <v>636000</v>
          </cell>
          <cell r="BB44">
            <v>0</v>
          </cell>
          <cell r="BC44">
            <v>0</v>
          </cell>
          <cell r="BD44">
            <v>5183125</v>
          </cell>
          <cell r="BE44">
            <v>0</v>
          </cell>
          <cell r="BF44">
            <v>498500</v>
          </cell>
          <cell r="BH44">
            <v>52000</v>
          </cell>
          <cell r="BI44">
            <v>0</v>
          </cell>
          <cell r="BJ44">
            <v>300000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636000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  <cell r="BD47">
            <v>-5183125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406000</v>
          </cell>
          <cell r="BC6">
            <v>0</v>
          </cell>
          <cell r="BD6">
            <v>406000</v>
          </cell>
          <cell r="BE6" t="str">
            <v>0K</v>
          </cell>
          <cell r="BF6">
            <v>0</v>
          </cell>
          <cell r="BG6">
            <v>8</v>
          </cell>
          <cell r="BH6">
            <v>6000</v>
          </cell>
          <cell r="BI6">
            <v>0</v>
          </cell>
          <cell r="BJ6">
            <v>0</v>
          </cell>
          <cell r="BN6">
            <v>400000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H7">
            <v>0</v>
          </cell>
          <cell r="I7" t="str">
            <v>ECHEC</v>
          </cell>
          <cell r="J7">
            <v>1</v>
          </cell>
          <cell r="K7">
            <v>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0</v>
          </cell>
          <cell r="Y7">
            <v>0</v>
          </cell>
          <cell r="AQ7">
            <v>0</v>
          </cell>
          <cell r="AR7">
            <v>0</v>
          </cell>
          <cell r="AS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-205000</v>
          </cell>
          <cell r="D9">
            <v>0</v>
          </cell>
          <cell r="E9">
            <v>253500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458500</v>
          </cell>
          <cell r="V9">
            <v>5000</v>
          </cell>
          <cell r="Y9">
            <v>250000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C9">
            <v>0</v>
          </cell>
          <cell r="BD9">
            <v>200000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-42000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42000</v>
          </cell>
          <cell r="Q10">
            <v>0</v>
          </cell>
          <cell r="R10">
            <v>0</v>
          </cell>
          <cell r="U10">
            <v>92000</v>
          </cell>
          <cell r="Y10">
            <v>50000</v>
          </cell>
          <cell r="AI10">
            <v>30000</v>
          </cell>
          <cell r="AL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C10">
            <v>0</v>
          </cell>
          <cell r="BD10">
            <v>30000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50000</v>
          </cell>
          <cell r="E11">
            <v>100000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8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-26000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26000</v>
          </cell>
          <cell r="U15">
            <v>176000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8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5000</v>
          </cell>
          <cell r="D16">
            <v>125000</v>
          </cell>
          <cell r="E16">
            <v>0</v>
          </cell>
          <cell r="F16">
            <v>0</v>
          </cell>
          <cell r="G16">
            <v>-5000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120000</v>
          </cell>
          <cell r="Y16">
            <v>125000</v>
          </cell>
          <cell r="AQ16">
            <v>0</v>
          </cell>
          <cell r="AR16">
            <v>0</v>
          </cell>
          <cell r="AS16">
            <v>20000</v>
          </cell>
          <cell r="AW16">
            <v>0</v>
          </cell>
          <cell r="AX16">
            <v>0</v>
          </cell>
          <cell r="AY16">
            <v>0</v>
          </cell>
          <cell r="AZ16">
            <v>150000</v>
          </cell>
          <cell r="BC16">
            <v>0</v>
          </cell>
          <cell r="BD16">
            <v>0</v>
          </cell>
          <cell r="BF16">
            <v>0</v>
          </cell>
          <cell r="BG16">
            <v>8</v>
          </cell>
          <cell r="BL16">
            <v>150000</v>
          </cell>
        </row>
        <row r="17">
          <cell r="A17" t="str">
            <v>AS201613</v>
          </cell>
          <cell r="B17" t="str">
            <v>HOTCHO BENJAMIN</v>
          </cell>
          <cell r="C17">
            <v>-93125</v>
          </cell>
          <cell r="D17">
            <v>220000</v>
          </cell>
          <cell r="E17">
            <v>0</v>
          </cell>
          <cell r="F17">
            <v>0</v>
          </cell>
          <cell r="G17">
            <v>-5000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93125</v>
          </cell>
          <cell r="R17">
            <v>0</v>
          </cell>
          <cell r="U17">
            <v>313125</v>
          </cell>
          <cell r="Y17">
            <v>225000</v>
          </cell>
          <cell r="AE17">
            <v>30000</v>
          </cell>
          <cell r="AF17" t="str">
            <v>BANQUE</v>
          </cell>
          <cell r="AJ17">
            <v>50000</v>
          </cell>
          <cell r="AK17">
            <v>100000</v>
          </cell>
          <cell r="AM17">
            <v>1000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0</v>
          </cell>
          <cell r="AX17">
            <v>50000</v>
          </cell>
          <cell r="AY17">
            <v>1270000</v>
          </cell>
          <cell r="AZ17">
            <v>1320000</v>
          </cell>
          <cell r="BC17">
            <v>0</v>
          </cell>
          <cell r="BD17">
            <v>1320000</v>
          </cell>
          <cell r="BE17" t="str">
            <v>OK</v>
          </cell>
          <cell r="BF17">
            <v>0</v>
          </cell>
          <cell r="BG17">
            <v>8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C18">
            <v>20000</v>
          </cell>
          <cell r="AQ18">
            <v>0</v>
          </cell>
          <cell r="AR18">
            <v>0</v>
          </cell>
          <cell r="AS18">
            <v>25000</v>
          </cell>
          <cell r="AW18">
            <v>280000</v>
          </cell>
          <cell r="AX18">
            <v>0</v>
          </cell>
          <cell r="AY18">
            <v>0</v>
          </cell>
          <cell r="AZ18">
            <v>280000</v>
          </cell>
          <cell r="BC18">
            <v>0</v>
          </cell>
          <cell r="BD18">
            <v>280000</v>
          </cell>
          <cell r="BF18">
            <v>0</v>
          </cell>
          <cell r="BG18">
            <v>8</v>
          </cell>
        </row>
        <row r="19">
          <cell r="A19" t="str">
            <v>AS201619</v>
          </cell>
          <cell r="B19" t="str">
            <v>KOUATCHO MESSACK</v>
          </cell>
          <cell r="C19">
            <v>-290500</v>
          </cell>
          <cell r="D19">
            <v>150000</v>
          </cell>
          <cell r="E19">
            <v>0</v>
          </cell>
          <cell r="F19">
            <v>0</v>
          </cell>
          <cell r="G19">
            <v>8000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207500</v>
          </cell>
          <cell r="U19">
            <v>440500</v>
          </cell>
          <cell r="Y19">
            <v>225000</v>
          </cell>
          <cell r="AD19">
            <v>7500</v>
          </cell>
          <cell r="AF19" t="str">
            <v>BANQUE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33000</v>
          </cell>
          <cell r="AW19">
            <v>0</v>
          </cell>
          <cell r="AX19">
            <v>892500</v>
          </cell>
          <cell r="AY19">
            <v>100000</v>
          </cell>
          <cell r="AZ19">
            <v>992500</v>
          </cell>
          <cell r="BC19">
            <v>0</v>
          </cell>
          <cell r="BD19">
            <v>992500</v>
          </cell>
          <cell r="BE19" t="str">
            <v>OK</v>
          </cell>
          <cell r="BF19">
            <v>0</v>
          </cell>
          <cell r="BG19">
            <v>8</v>
          </cell>
          <cell r="BO19" t="str">
            <v>TERRAIN NYOM</v>
          </cell>
          <cell r="BP19" t="str">
            <v>AUTRES DEPENSES</v>
          </cell>
          <cell r="BQ19">
            <v>50000</v>
          </cell>
        </row>
        <row r="20">
          <cell r="A20" t="str">
            <v>AS201620</v>
          </cell>
          <cell r="B20" t="str">
            <v>LOWE JEAN</v>
          </cell>
          <cell r="G20">
            <v>200000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Z21">
            <v>300000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291000</v>
          </cell>
          <cell r="BC21">
            <v>0</v>
          </cell>
          <cell r="BD21">
            <v>291000</v>
          </cell>
          <cell r="BE21" t="str">
            <v>OK</v>
          </cell>
          <cell r="BF21">
            <v>9000</v>
          </cell>
          <cell r="BG21">
            <v>3</v>
          </cell>
          <cell r="BO21" t="str">
            <v>SOLDE TERRAIN</v>
          </cell>
          <cell r="BQ21">
            <v>350000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C22">
            <v>0</v>
          </cell>
          <cell r="BD22">
            <v>300000</v>
          </cell>
          <cell r="BE22" t="str">
            <v>OK</v>
          </cell>
          <cell r="BF22">
            <v>0</v>
          </cell>
          <cell r="BG22">
            <v>8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C23">
            <v>10000</v>
          </cell>
          <cell r="AQ23">
            <v>0</v>
          </cell>
          <cell r="AR23">
            <v>0</v>
          </cell>
          <cell r="AS23">
            <v>25000</v>
          </cell>
          <cell r="AW23">
            <v>290000</v>
          </cell>
          <cell r="AX23">
            <v>0</v>
          </cell>
          <cell r="AY23">
            <v>0</v>
          </cell>
          <cell r="AZ23">
            <v>290000</v>
          </cell>
          <cell r="BC23">
            <v>0</v>
          </cell>
          <cell r="BD23">
            <v>290000</v>
          </cell>
          <cell r="BF23">
            <v>0</v>
          </cell>
          <cell r="BG23">
            <v>8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8</v>
          </cell>
          <cell r="BO24" t="str">
            <v>S/TOTAL</v>
          </cell>
          <cell r="BQ24">
            <v>400000</v>
          </cell>
        </row>
        <row r="25">
          <cell r="A25" t="str">
            <v>AS201622</v>
          </cell>
          <cell r="B25" t="str">
            <v>NDJOMO ETIENNE</v>
          </cell>
          <cell r="C25">
            <v>-101000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193000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193000</v>
          </cell>
          <cell r="AZ25">
            <v>193000</v>
          </cell>
          <cell r="BC25">
            <v>0</v>
          </cell>
          <cell r="BD25">
            <v>193000</v>
          </cell>
          <cell r="BE25" t="str">
            <v>OK</v>
          </cell>
          <cell r="BF25">
            <v>0</v>
          </cell>
          <cell r="BG25">
            <v>8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E26">
            <v>40000</v>
          </cell>
          <cell r="AF26" t="str">
            <v>BANQUE</v>
          </cell>
          <cell r="AJ26">
            <v>79625</v>
          </cell>
          <cell r="AK26">
            <v>200000</v>
          </cell>
          <cell r="AM26">
            <v>1000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79625</v>
          </cell>
          <cell r="AY26">
            <v>1360000</v>
          </cell>
          <cell r="AZ26">
            <v>1439625</v>
          </cell>
          <cell r="BC26">
            <v>0</v>
          </cell>
          <cell r="BD26">
            <v>1439625</v>
          </cell>
          <cell r="BE26" t="str">
            <v>OK</v>
          </cell>
          <cell r="BF26">
            <v>0</v>
          </cell>
          <cell r="BG26">
            <v>8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-118000</v>
          </cell>
          <cell r="D27">
            <v>300000</v>
          </cell>
          <cell r="E27">
            <v>35000</v>
          </cell>
          <cell r="F27">
            <v>0</v>
          </cell>
          <cell r="G27">
            <v>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202500</v>
          </cell>
          <cell r="U27">
            <v>453000</v>
          </cell>
          <cell r="Y27">
            <v>250000</v>
          </cell>
          <cell r="AI27">
            <v>32000</v>
          </cell>
          <cell r="AL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25500</v>
          </cell>
          <cell r="AW27">
            <v>32000</v>
          </cell>
          <cell r="AX27">
            <v>0</v>
          </cell>
          <cell r="AY27">
            <v>0</v>
          </cell>
          <cell r="AZ27">
            <v>32000</v>
          </cell>
          <cell r="BC27">
            <v>0</v>
          </cell>
          <cell r="BD27">
            <v>32000</v>
          </cell>
          <cell r="BF27">
            <v>0</v>
          </cell>
          <cell r="BG27">
            <v>8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8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-83000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83000</v>
          </cell>
          <cell r="Q31">
            <v>0</v>
          </cell>
          <cell r="R31">
            <v>0</v>
          </cell>
          <cell r="U31">
            <v>133000</v>
          </cell>
          <cell r="Y31">
            <v>50000</v>
          </cell>
          <cell r="AI31">
            <v>83000</v>
          </cell>
          <cell r="AL31">
            <v>6000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83000</v>
          </cell>
          <cell r="AX31">
            <v>0</v>
          </cell>
          <cell r="AY31">
            <v>0</v>
          </cell>
          <cell r="AZ31">
            <v>83000</v>
          </cell>
          <cell r="BC31">
            <v>0</v>
          </cell>
          <cell r="BD31">
            <v>83000</v>
          </cell>
          <cell r="BF31">
            <v>0</v>
          </cell>
          <cell r="BG31">
            <v>8</v>
          </cell>
        </row>
        <row r="32">
          <cell r="A32" t="str">
            <v>AS201653</v>
          </cell>
          <cell r="B32" t="str">
            <v>SIME BRICE</v>
          </cell>
          <cell r="C32">
            <v>50000</v>
          </cell>
          <cell r="D32">
            <v>250000</v>
          </cell>
          <cell r="E32">
            <v>50000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100000</v>
          </cell>
          <cell r="BC32">
            <v>0</v>
          </cell>
          <cell r="BD32">
            <v>100000</v>
          </cell>
          <cell r="BE32" t="str">
            <v>0K</v>
          </cell>
          <cell r="BF32">
            <v>0</v>
          </cell>
          <cell r="BG32">
            <v>8</v>
          </cell>
          <cell r="BK32">
            <v>100000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8</v>
          </cell>
        </row>
        <row r="34">
          <cell r="A34" t="str">
            <v>AS201638</v>
          </cell>
          <cell r="B34" t="str">
            <v>SIMO PIERRE</v>
          </cell>
          <cell r="C34">
            <v>-50000</v>
          </cell>
          <cell r="D34">
            <v>100000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8</v>
          </cell>
        </row>
        <row r="35">
          <cell r="A35" t="str">
            <v>AS201641</v>
          </cell>
          <cell r="B35" t="str">
            <v>TCHOUAMOU MATHIEU</v>
          </cell>
          <cell r="C35">
            <v>-102000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50000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50000</v>
          </cell>
          <cell r="AY35">
            <v>0</v>
          </cell>
          <cell r="AZ35">
            <v>50000</v>
          </cell>
          <cell r="BC35">
            <v>0</v>
          </cell>
          <cell r="BD35">
            <v>50000</v>
          </cell>
          <cell r="BE35" t="str">
            <v>OK</v>
          </cell>
          <cell r="BF35">
            <v>0</v>
          </cell>
          <cell r="BG35">
            <v>8</v>
          </cell>
        </row>
        <row r="36">
          <cell r="A36" t="str">
            <v>AS201660</v>
          </cell>
          <cell r="B36" t="str">
            <v>TCHOUATEU AUGUSTIN</v>
          </cell>
          <cell r="C36">
            <v>102000</v>
          </cell>
          <cell r="D36">
            <v>150000</v>
          </cell>
          <cell r="E36">
            <v>102000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1000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C36">
            <v>0</v>
          </cell>
          <cell r="BD36">
            <v>100000</v>
          </cell>
          <cell r="BE36" t="str">
            <v>OK</v>
          </cell>
          <cell r="BF36">
            <v>0</v>
          </cell>
          <cell r="BG36">
            <v>8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3000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47000</v>
          </cell>
          <cell r="Y37">
            <v>50000</v>
          </cell>
          <cell r="AQ37">
            <v>0</v>
          </cell>
          <cell r="AR37">
            <v>0</v>
          </cell>
          <cell r="AS37">
            <v>22000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8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C39">
            <v>40000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260000</v>
          </cell>
          <cell r="AX39">
            <v>100000</v>
          </cell>
          <cell r="AY39">
            <v>0</v>
          </cell>
          <cell r="AZ39">
            <v>360000</v>
          </cell>
          <cell r="BC39">
            <v>0</v>
          </cell>
          <cell r="BD39">
            <v>360000</v>
          </cell>
          <cell r="BE39" t="str">
            <v>OK</v>
          </cell>
          <cell r="BF39">
            <v>0</v>
          </cell>
          <cell r="BG39">
            <v>8</v>
          </cell>
        </row>
        <row r="40">
          <cell r="A40" t="str">
            <v>AS201646</v>
          </cell>
          <cell r="B40" t="str">
            <v>YEPMOU JEAN JACQUES</v>
          </cell>
          <cell r="C40">
            <v>-3000</v>
          </cell>
          <cell r="D40">
            <v>0</v>
          </cell>
          <cell r="E40">
            <v>50000</v>
          </cell>
          <cell r="F40">
            <v>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53000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8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8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8</v>
          </cell>
        </row>
        <row r="44">
          <cell r="B44" t="str">
            <v>TOTAUX</v>
          </cell>
          <cell r="C44">
            <v>-1055625</v>
          </cell>
          <cell r="D44">
            <v>4280000</v>
          </cell>
          <cell r="E44">
            <v>1145500</v>
          </cell>
          <cell r="F44">
            <v>0</v>
          </cell>
          <cell r="G44">
            <v>224500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125000</v>
          </cell>
          <cell r="Q44">
            <v>297125</v>
          </cell>
          <cell r="R44">
            <v>942500</v>
          </cell>
          <cell r="S44">
            <v>0</v>
          </cell>
          <cell r="U44">
            <v>6481125</v>
          </cell>
          <cell r="V44">
            <v>5000</v>
          </cell>
          <cell r="W44">
            <v>0</v>
          </cell>
          <cell r="X44">
            <v>0</v>
          </cell>
          <cell r="Y44">
            <v>5075000</v>
          </cell>
          <cell r="Z44">
            <v>300000</v>
          </cell>
          <cell r="AA44">
            <v>0</v>
          </cell>
          <cell r="AC44">
            <v>70000</v>
          </cell>
          <cell r="AD44">
            <v>7500</v>
          </cell>
          <cell r="AE44">
            <v>70000</v>
          </cell>
          <cell r="AF44">
            <v>0</v>
          </cell>
          <cell r="AG44">
            <v>0</v>
          </cell>
          <cell r="AI44">
            <v>145000</v>
          </cell>
          <cell r="AJ44">
            <v>379625</v>
          </cell>
          <cell r="AK44">
            <v>1093000</v>
          </cell>
          <cell r="AL44">
            <v>11500</v>
          </cell>
          <cell r="AM44">
            <v>7000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874500</v>
          </cell>
          <cell r="AT44">
            <v>0</v>
          </cell>
          <cell r="AU44">
            <v>0</v>
          </cell>
          <cell r="AV44">
            <v>0</v>
          </cell>
          <cell r="AW44">
            <v>975000</v>
          </cell>
          <cell r="AX44">
            <v>1272125</v>
          </cell>
          <cell r="AY44">
            <v>3423000</v>
          </cell>
          <cell r="AZ44">
            <v>6617125</v>
          </cell>
          <cell r="BA44">
            <v>0</v>
          </cell>
          <cell r="BB44">
            <v>0</v>
          </cell>
          <cell r="BC44">
            <v>0</v>
          </cell>
          <cell r="BD44">
            <v>6467125</v>
          </cell>
          <cell r="BE44">
            <v>0</v>
          </cell>
          <cell r="BF44">
            <v>9000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150000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1145500</v>
          </cell>
          <cell r="BB46" t="str">
            <v>ESPECES EN CAISSE</v>
          </cell>
          <cell r="BD46">
            <v>5069625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1145500</v>
          </cell>
          <cell r="BD47">
            <v>-1397500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C6">
            <v>0</v>
          </cell>
          <cell r="BD6">
            <v>6000</v>
          </cell>
          <cell r="BF6">
            <v>0</v>
          </cell>
          <cell r="BG6">
            <v>7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100000</v>
          </cell>
          <cell r="E7">
            <v>0</v>
          </cell>
          <cell r="F7">
            <v>0</v>
          </cell>
          <cell r="G7">
            <v>-5000</v>
          </cell>
          <cell r="H7">
            <v>5000</v>
          </cell>
          <cell r="I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45000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</v>
          </cell>
          <cell r="D9">
            <v>250000</v>
          </cell>
          <cell r="E9">
            <v>252000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202000</v>
          </cell>
          <cell r="U9">
            <v>452000</v>
          </cell>
          <cell r="Y9">
            <v>250000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C9">
            <v>0</v>
          </cell>
          <cell r="BD9">
            <v>100000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1500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32500</v>
          </cell>
          <cell r="Q10">
            <v>0</v>
          </cell>
          <cell r="R10">
            <v>0</v>
          </cell>
          <cell r="U10">
            <v>82500</v>
          </cell>
          <cell r="Y10">
            <v>50000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C10">
            <v>0</v>
          </cell>
          <cell r="BD10">
            <v>30000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100000</v>
          </cell>
          <cell r="AN11">
            <v>1000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100000</v>
          </cell>
          <cell r="AZ11">
            <v>100000</v>
          </cell>
          <cell r="BC11">
            <v>0</v>
          </cell>
          <cell r="BD11">
            <v>100000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I12">
            <v>53000</v>
          </cell>
          <cell r="AL12">
            <v>1000</v>
          </cell>
          <cell r="AQ12">
            <v>0</v>
          </cell>
          <cell r="AR12">
            <v>0</v>
          </cell>
          <cell r="AS12">
            <v>35000</v>
          </cell>
          <cell r="AW12">
            <v>53000</v>
          </cell>
          <cell r="AX12">
            <v>0</v>
          </cell>
          <cell r="AY12">
            <v>0</v>
          </cell>
          <cell r="AZ12">
            <v>53000</v>
          </cell>
          <cell r="BC12">
            <v>0</v>
          </cell>
          <cell r="BD12">
            <v>53000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C13">
            <v>5500</v>
          </cell>
          <cell r="AQ13">
            <v>0</v>
          </cell>
          <cell r="AR13">
            <v>0</v>
          </cell>
          <cell r="AS13">
            <v>25000</v>
          </cell>
          <cell r="AW13">
            <v>294500</v>
          </cell>
          <cell r="AX13">
            <v>0</v>
          </cell>
          <cell r="AY13">
            <v>0</v>
          </cell>
          <cell r="AZ13">
            <v>294500</v>
          </cell>
          <cell r="BC13">
            <v>0</v>
          </cell>
          <cell r="BD13">
            <v>294500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7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7</v>
          </cell>
        </row>
        <row r="17">
          <cell r="A17" t="str">
            <v>AS201613</v>
          </cell>
          <cell r="B17" t="str">
            <v>HOTCHO BENJAMIN</v>
          </cell>
          <cell r="C17">
            <v>-152000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101000</v>
          </cell>
          <cell r="U17">
            <v>402000</v>
          </cell>
          <cell r="Y17">
            <v>225000</v>
          </cell>
          <cell r="AC17">
            <v>4500</v>
          </cell>
          <cell r="AJ17">
            <v>50000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295500</v>
          </cell>
          <cell r="AX17">
            <v>50000</v>
          </cell>
          <cell r="AY17">
            <v>0</v>
          </cell>
          <cell r="AZ17">
            <v>345500</v>
          </cell>
          <cell r="BC17">
            <v>0</v>
          </cell>
          <cell r="BD17">
            <v>345500</v>
          </cell>
          <cell r="BF17">
            <v>0</v>
          </cell>
          <cell r="BG17">
            <v>7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102000</v>
          </cell>
          <cell r="D18">
            <v>150000</v>
          </cell>
          <cell r="E18">
            <v>102000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K18">
            <v>100000</v>
          </cell>
          <cell r="AN18">
            <v>2000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C18">
            <v>0</v>
          </cell>
          <cell r="BD18">
            <v>100000</v>
          </cell>
          <cell r="BF18">
            <v>0</v>
          </cell>
          <cell r="BG18">
            <v>7</v>
          </cell>
        </row>
        <row r="19">
          <cell r="A19" t="str">
            <v>AS201619</v>
          </cell>
          <cell r="B19" t="str">
            <v>KOUATCHO MESSACK</v>
          </cell>
          <cell r="C19">
            <v>-500</v>
          </cell>
          <cell r="D19">
            <v>298500</v>
          </cell>
          <cell r="E19">
            <v>27000</v>
          </cell>
          <cell r="F19">
            <v>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101000</v>
          </cell>
          <cell r="U19">
            <v>326000</v>
          </cell>
          <cell r="Y19">
            <v>225000</v>
          </cell>
          <cell r="AK19">
            <v>100000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100000</v>
          </cell>
          <cell r="AZ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7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7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U22">
            <v>629000</v>
          </cell>
          <cell r="Y22">
            <v>325000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C22">
            <v>0</v>
          </cell>
          <cell r="BD22">
            <v>300000</v>
          </cell>
          <cell r="BF22">
            <v>0</v>
          </cell>
          <cell r="BG22">
            <v>7</v>
          </cell>
        </row>
        <row r="23">
          <cell r="A23" t="str">
            <v>AS201639</v>
          </cell>
          <cell r="B23" t="str">
            <v>NANGUEN MARTIN</v>
          </cell>
          <cell r="C23">
            <v>150000</v>
          </cell>
          <cell r="D23">
            <v>0</v>
          </cell>
          <cell r="E23">
            <v>203000</v>
          </cell>
          <cell r="F23">
            <v>0</v>
          </cell>
          <cell r="H23">
            <v>3000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53000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7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7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-195500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195500</v>
          </cell>
          <cell r="U25">
            <v>455500</v>
          </cell>
          <cell r="Y25">
            <v>250000</v>
          </cell>
          <cell r="AE25">
            <v>10000</v>
          </cell>
          <cell r="AK25">
            <v>200000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C25">
            <v>0</v>
          </cell>
          <cell r="BD25">
            <v>1390000</v>
          </cell>
          <cell r="BF25">
            <v>0</v>
          </cell>
          <cell r="BG25">
            <v>7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283625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80625</v>
          </cell>
          <cell r="R26">
            <v>203000</v>
          </cell>
          <cell r="U26">
            <v>523625</v>
          </cell>
          <cell r="Y26">
            <v>225000</v>
          </cell>
          <cell r="AJ26">
            <v>119125</v>
          </cell>
          <cell r="AK26">
            <v>130500</v>
          </cell>
          <cell r="AM26">
            <v>2000</v>
          </cell>
          <cell r="AN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119125</v>
          </cell>
          <cell r="AY26">
            <v>130500</v>
          </cell>
          <cell r="AZ26">
            <v>249625</v>
          </cell>
          <cell r="BC26">
            <v>0</v>
          </cell>
          <cell r="BD26">
            <v>249625</v>
          </cell>
          <cell r="BF26">
            <v>0</v>
          </cell>
          <cell r="BG26">
            <v>7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-35000</v>
          </cell>
          <cell r="D27">
            <v>250000</v>
          </cell>
          <cell r="E27">
            <v>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35000</v>
          </cell>
          <cell r="Q27">
            <v>0</v>
          </cell>
          <cell r="R27">
            <v>0</v>
          </cell>
          <cell r="U27">
            <v>285000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200000</v>
          </cell>
          <cell r="AZ27">
            <v>300000</v>
          </cell>
          <cell r="BC27">
            <v>0</v>
          </cell>
          <cell r="BD27">
            <v>300000</v>
          </cell>
          <cell r="BF27">
            <v>0</v>
          </cell>
          <cell r="BG27">
            <v>7</v>
          </cell>
          <cell r="BK27">
            <v>100000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295000</v>
          </cell>
          <cell r="D28">
            <v>345000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7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D30">
            <v>7500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892500</v>
          </cell>
          <cell r="AY30">
            <v>0</v>
          </cell>
          <cell r="AZ30">
            <v>892500</v>
          </cell>
          <cell r="BC30">
            <v>0</v>
          </cell>
          <cell r="BD30">
            <v>892500</v>
          </cell>
          <cell r="BF30">
            <v>0</v>
          </cell>
          <cell r="BG30">
            <v>7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30000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89000</v>
          </cell>
          <cell r="Q31">
            <v>0</v>
          </cell>
          <cell r="R31">
            <v>0</v>
          </cell>
          <cell r="U31">
            <v>139000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7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C32">
            <v>5500</v>
          </cell>
          <cell r="AE32">
            <v>15000</v>
          </cell>
          <cell r="AQ32">
            <v>0</v>
          </cell>
          <cell r="AR32">
            <v>0</v>
          </cell>
          <cell r="AS32">
            <v>25000</v>
          </cell>
          <cell r="AW32">
            <v>294500</v>
          </cell>
          <cell r="AX32">
            <v>0</v>
          </cell>
          <cell r="AY32">
            <v>1185000</v>
          </cell>
          <cell r="AZ32">
            <v>1479500</v>
          </cell>
          <cell r="BC32">
            <v>0</v>
          </cell>
          <cell r="BD32">
            <v>1479500</v>
          </cell>
          <cell r="BF32">
            <v>0</v>
          </cell>
          <cell r="BG32">
            <v>7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53000</v>
          </cell>
          <cell r="F33">
            <v>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53000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7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C34">
            <v>0</v>
          </cell>
          <cell r="BD34">
            <v>30000</v>
          </cell>
          <cell r="BF34">
            <v>0</v>
          </cell>
          <cell r="BG34">
            <v>7</v>
          </cell>
        </row>
        <row r="35">
          <cell r="A35" t="str">
            <v>AS201641</v>
          </cell>
          <cell r="B35" t="str">
            <v>TCHOUAMOU MATHIEU</v>
          </cell>
          <cell r="C35">
            <v>-51000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51000</v>
          </cell>
          <cell r="R35">
            <v>0</v>
          </cell>
          <cell r="U35">
            <v>176000</v>
          </cell>
          <cell r="Y35">
            <v>125000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C35">
            <v>0</v>
          </cell>
          <cell r="BD35">
            <v>100000</v>
          </cell>
          <cell r="BF35">
            <v>0</v>
          </cell>
          <cell r="BG35">
            <v>7</v>
          </cell>
        </row>
        <row r="36">
          <cell r="A36" t="str">
            <v>AS201660</v>
          </cell>
          <cell r="B36" t="str">
            <v>TCHOUATEU AUGUSTIN</v>
          </cell>
          <cell r="C36">
            <v>-101000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101000</v>
          </cell>
          <cell r="U36">
            <v>251000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7</v>
          </cell>
        </row>
        <row r="39">
          <cell r="A39" t="str">
            <v>AS201658</v>
          </cell>
          <cell r="B39" t="str">
            <v>YANTCHOU GERVAIS</v>
          </cell>
          <cell r="C39">
            <v>-102000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J39">
            <v>100000</v>
          </cell>
          <cell r="AM39">
            <v>2000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C39">
            <v>0</v>
          </cell>
          <cell r="BD39">
            <v>100000</v>
          </cell>
          <cell r="BF39">
            <v>0</v>
          </cell>
          <cell r="BG39">
            <v>7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7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7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7</v>
          </cell>
        </row>
        <row r="44">
          <cell r="B44" t="str">
            <v>TOTAUX</v>
          </cell>
          <cell r="C44">
            <v>-151000</v>
          </cell>
          <cell r="D44">
            <v>5484500</v>
          </cell>
          <cell r="E44">
            <v>1204125</v>
          </cell>
          <cell r="F44">
            <v>0</v>
          </cell>
          <cell r="G44">
            <v>52000</v>
          </cell>
          <cell r="H44">
            <v>14000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156500</v>
          </cell>
          <cell r="Q44">
            <v>386625</v>
          </cell>
          <cell r="R44">
            <v>1105500</v>
          </cell>
          <cell r="S44">
            <v>0</v>
          </cell>
          <cell r="U44">
            <v>6839625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0</v>
          </cell>
          <cell r="AA44">
            <v>0</v>
          </cell>
          <cell r="AC44">
            <v>15500</v>
          </cell>
          <cell r="AD44">
            <v>7500</v>
          </cell>
          <cell r="AE44">
            <v>25000</v>
          </cell>
          <cell r="AF44">
            <v>0</v>
          </cell>
          <cell r="AG44">
            <v>0</v>
          </cell>
          <cell r="AI44">
            <v>172000</v>
          </cell>
          <cell r="AJ44">
            <v>469125</v>
          </cell>
          <cell r="AK44">
            <v>1130500</v>
          </cell>
          <cell r="AL44">
            <v>2000</v>
          </cell>
          <cell r="AM44">
            <v>9000</v>
          </cell>
          <cell r="AN44">
            <v>14000</v>
          </cell>
          <cell r="AO44">
            <v>0</v>
          </cell>
          <cell r="AQ44">
            <v>0</v>
          </cell>
          <cell r="AR44">
            <v>0</v>
          </cell>
          <cell r="AS44">
            <v>952000</v>
          </cell>
          <cell r="AT44">
            <v>0</v>
          </cell>
          <cell r="AU44">
            <v>0</v>
          </cell>
          <cell r="AV44">
            <v>0</v>
          </cell>
          <cell r="AW44">
            <v>1056500</v>
          </cell>
          <cell r="AX44">
            <v>1361625</v>
          </cell>
          <cell r="AY44">
            <v>3505500</v>
          </cell>
          <cell r="AZ44">
            <v>6029625</v>
          </cell>
          <cell r="BA44">
            <v>0</v>
          </cell>
          <cell r="BB44">
            <v>0</v>
          </cell>
          <cell r="BC44">
            <v>0</v>
          </cell>
          <cell r="BD44">
            <v>6029625</v>
          </cell>
          <cell r="BE44">
            <v>0</v>
          </cell>
          <cell r="BF44">
            <v>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1204125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1204125</v>
          </cell>
          <cell r="BD47">
            <v>-6029625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C6">
            <v>0</v>
          </cell>
          <cell r="BD6">
            <v>2088500</v>
          </cell>
          <cell r="BF6">
            <v>0</v>
          </cell>
          <cell r="BG6">
            <v>6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BANQUE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C8">
            <v>0</v>
          </cell>
          <cell r="BD8">
            <v>485000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101000</v>
          </cell>
          <cell r="D9">
            <v>0</v>
          </cell>
          <cell r="E9">
            <v>351000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Y9">
            <v>250000</v>
          </cell>
          <cell r="AI9">
            <v>39500</v>
          </cell>
          <cell r="AL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39500</v>
          </cell>
          <cell r="AX9">
            <v>0</v>
          </cell>
          <cell r="AY9">
            <v>0</v>
          </cell>
          <cell r="AZ9">
            <v>139500</v>
          </cell>
          <cell r="BA9">
            <v>139500</v>
          </cell>
          <cell r="BC9">
            <v>0</v>
          </cell>
          <cell r="BD9">
            <v>0</v>
          </cell>
          <cell r="BF9">
            <v>0</v>
          </cell>
          <cell r="BG9">
            <v>6</v>
          </cell>
          <cell r="BK9">
            <v>100000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81000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C10">
            <v>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-106500</v>
          </cell>
          <cell r="D11">
            <v>251000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207500</v>
          </cell>
          <cell r="U11">
            <v>357500</v>
          </cell>
          <cell r="Y11">
            <v>150000</v>
          </cell>
          <cell r="AI11">
            <v>30000</v>
          </cell>
          <cell r="AK11">
            <v>200000</v>
          </cell>
          <cell r="AL11">
            <v>1000</v>
          </cell>
          <cell r="AN11">
            <v>7500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30000</v>
          </cell>
          <cell r="AX11">
            <v>0</v>
          </cell>
          <cell r="AY11">
            <v>200000</v>
          </cell>
          <cell r="AZ11">
            <v>230000</v>
          </cell>
          <cell r="BA11">
            <v>230000</v>
          </cell>
          <cell r="BC11">
            <v>0</v>
          </cell>
          <cell r="BD11">
            <v>0</v>
          </cell>
          <cell r="BF11">
            <v>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-203000</v>
          </cell>
          <cell r="D12">
            <v>315000</v>
          </cell>
          <cell r="E12">
            <v>0</v>
          </cell>
          <cell r="F12">
            <v>0</v>
          </cell>
          <cell r="G12">
            <v>11000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54000</v>
          </cell>
          <cell r="Q12">
            <v>0</v>
          </cell>
          <cell r="R12">
            <v>203000</v>
          </cell>
          <cell r="U12">
            <v>518000</v>
          </cell>
          <cell r="Y12">
            <v>250000</v>
          </cell>
          <cell r="AI12">
            <v>30000</v>
          </cell>
          <cell r="AK12">
            <v>200000</v>
          </cell>
          <cell r="AL12">
            <v>1000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36000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130000</v>
          </cell>
          <cell r="BC12">
            <v>0</v>
          </cell>
          <cell r="BD12">
            <v>100000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6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6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6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301000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0</v>
          </cell>
          <cell r="U17">
            <v>301000</v>
          </cell>
          <cell r="Y17">
            <v>225000</v>
          </cell>
          <cell r="AJ17">
            <v>100000</v>
          </cell>
          <cell r="AM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A17">
            <v>25000</v>
          </cell>
          <cell r="BC17">
            <v>0</v>
          </cell>
          <cell r="BD17">
            <v>75000</v>
          </cell>
          <cell r="BF17">
            <v>0</v>
          </cell>
          <cell r="BG17">
            <v>6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-106000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U18">
            <v>256000</v>
          </cell>
          <cell r="Y18">
            <v>150000</v>
          </cell>
          <cell r="AK18">
            <v>102000</v>
          </cell>
          <cell r="AN18">
            <v>4000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102000</v>
          </cell>
          <cell r="AZ18">
            <v>102000</v>
          </cell>
          <cell r="BC18">
            <v>0</v>
          </cell>
          <cell r="BD18">
            <v>102000</v>
          </cell>
          <cell r="BF18">
            <v>0</v>
          </cell>
          <cell r="BG18">
            <v>6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235000</v>
          </cell>
          <cell r="Y19">
            <v>225000</v>
          </cell>
          <cell r="AJ19">
            <v>138500</v>
          </cell>
          <cell r="AM19">
            <v>2500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138500</v>
          </cell>
          <cell r="AY19">
            <v>0</v>
          </cell>
          <cell r="AZ19">
            <v>138500</v>
          </cell>
          <cell r="BA19">
            <v>38500</v>
          </cell>
          <cell r="BC19">
            <v>0</v>
          </cell>
          <cell r="BD19">
            <v>-1000</v>
          </cell>
          <cell r="BF19">
            <v>0</v>
          </cell>
          <cell r="BG19">
            <v>6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100000</v>
          </cell>
        </row>
        <row r="21">
          <cell r="A21" t="str">
            <v>AS201661</v>
          </cell>
          <cell r="B21" t="str">
            <v>MASSEUNGOUE DAGOBERT</v>
          </cell>
          <cell r="C21">
            <v>-300000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 t="str">
            <v>BANQUE</v>
          </cell>
          <cell r="U21">
            <v>350000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6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-1002500</v>
          </cell>
          <cell r="D22">
            <v>628000</v>
          </cell>
          <cell r="E22">
            <v>0</v>
          </cell>
          <cell r="F22">
            <v>0</v>
          </cell>
          <cell r="G22">
            <v>-1000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S22">
            <v>1000000</v>
          </cell>
          <cell r="T22" t="str">
            <v>BANQUE</v>
          </cell>
          <cell r="U22">
            <v>1630500</v>
          </cell>
          <cell r="Y22">
            <v>325000</v>
          </cell>
          <cell r="Z22">
            <v>1000000</v>
          </cell>
          <cell r="AA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24000</v>
          </cell>
          <cell r="AW22">
            <v>0</v>
          </cell>
          <cell r="AX22">
            <v>100000</v>
          </cell>
          <cell r="AY22">
            <v>200000</v>
          </cell>
          <cell r="AZ22">
            <v>1270000</v>
          </cell>
          <cell r="BA22">
            <v>100000</v>
          </cell>
          <cell r="BC22">
            <v>0</v>
          </cell>
          <cell r="BD22">
            <v>1170000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6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6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-4000</v>
          </cell>
          <cell r="D25">
            <v>260000</v>
          </cell>
          <cell r="E25">
            <v>202500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K25">
            <v>200000</v>
          </cell>
          <cell r="AN25">
            <v>6500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C25">
            <v>0</v>
          </cell>
          <cell r="BD25">
            <v>200000</v>
          </cell>
          <cell r="BF25">
            <v>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-257625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121125</v>
          </cell>
          <cell r="R26">
            <v>136500</v>
          </cell>
          <cell r="U26">
            <v>497625</v>
          </cell>
          <cell r="Y26">
            <v>225000</v>
          </cell>
          <cell r="AJ26">
            <v>121125</v>
          </cell>
          <cell r="AK26">
            <v>132500</v>
          </cell>
          <cell r="AM26">
            <v>4000</v>
          </cell>
          <cell r="AN26">
            <v>4000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121125</v>
          </cell>
          <cell r="AY26">
            <v>132500</v>
          </cell>
          <cell r="AZ26">
            <v>253625</v>
          </cell>
          <cell r="BC26">
            <v>0</v>
          </cell>
          <cell r="BD26">
            <v>253625</v>
          </cell>
          <cell r="BF26">
            <v>0</v>
          </cell>
          <cell r="BG26">
            <v>6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99000</v>
          </cell>
          <cell r="D27">
            <v>450000</v>
          </cell>
          <cell r="E27">
            <v>0</v>
          </cell>
          <cell r="F27">
            <v>0</v>
          </cell>
          <cell r="G27">
            <v>-2000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351000</v>
          </cell>
          <cell r="Y27">
            <v>250000</v>
          </cell>
          <cell r="AK27">
            <v>100000</v>
          </cell>
          <cell r="AN27">
            <v>3000</v>
          </cell>
          <cell r="AP27" t="str">
            <v>BANQUE</v>
          </cell>
          <cell r="AQ27">
            <v>0</v>
          </cell>
          <cell r="AR27">
            <v>0</v>
          </cell>
          <cell r="AS27">
            <v>23000</v>
          </cell>
          <cell r="AW27">
            <v>0</v>
          </cell>
          <cell r="AX27">
            <v>0</v>
          </cell>
          <cell r="AY27">
            <v>100000</v>
          </cell>
          <cell r="AZ27">
            <v>100000</v>
          </cell>
          <cell r="BC27">
            <v>0</v>
          </cell>
          <cell r="BD27">
            <v>100000</v>
          </cell>
          <cell r="BF27">
            <v>0</v>
          </cell>
          <cell r="BG27">
            <v>6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0</v>
          </cell>
          <cell r="E28">
            <v>53000</v>
          </cell>
          <cell r="F28">
            <v>0</v>
          </cell>
          <cell r="H28">
            <v>3000</v>
          </cell>
          <cell r="I28" t="str">
            <v>ESPECES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1053000</v>
          </cell>
          <cell r="Y28">
            <v>50000</v>
          </cell>
          <cell r="Z28">
            <v>1000000</v>
          </cell>
          <cell r="AA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C28">
            <v>0</v>
          </cell>
          <cell r="BD28">
            <v>970000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6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6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BANQUE</v>
          </cell>
          <cell r="U32">
            <v>1250000</v>
          </cell>
          <cell r="Y32">
            <v>250000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C32">
            <v>0</v>
          </cell>
          <cell r="BD32">
            <v>970000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6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181000</v>
          </cell>
          <cell r="E34">
            <v>0</v>
          </cell>
          <cell r="F34">
            <v>0</v>
          </cell>
          <cell r="G34">
            <v>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181000</v>
          </cell>
          <cell r="Y34">
            <v>150000</v>
          </cell>
          <cell r="AC34">
            <v>3500</v>
          </cell>
          <cell r="AP34" t="str">
            <v>BANQUE</v>
          </cell>
          <cell r="AQ34">
            <v>0</v>
          </cell>
          <cell r="AR34">
            <v>0</v>
          </cell>
          <cell r="AS34">
            <v>25500</v>
          </cell>
          <cell r="AW34">
            <v>296500</v>
          </cell>
          <cell r="AX34">
            <v>0</v>
          </cell>
          <cell r="AY34">
            <v>0</v>
          </cell>
          <cell r="AZ34">
            <v>296500</v>
          </cell>
          <cell r="BC34">
            <v>0</v>
          </cell>
          <cell r="BD34">
            <v>296500</v>
          </cell>
          <cell r="BF34">
            <v>0</v>
          </cell>
          <cell r="BG34">
            <v>6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102000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C35">
            <v>2500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297500</v>
          </cell>
          <cell r="AX35">
            <v>100000</v>
          </cell>
          <cell r="AY35">
            <v>0</v>
          </cell>
          <cell r="AZ35">
            <v>397500</v>
          </cell>
          <cell r="BA35">
            <v>100000</v>
          </cell>
          <cell r="BC35">
            <v>0</v>
          </cell>
          <cell r="BD35">
            <v>297500</v>
          </cell>
          <cell r="BF35">
            <v>0</v>
          </cell>
          <cell r="BG35">
            <v>6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6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227000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227000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6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22000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6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C41">
            <v>3500</v>
          </cell>
          <cell r="AE41">
            <v>10000</v>
          </cell>
          <cell r="AQ41">
            <v>0</v>
          </cell>
          <cell r="AR41">
            <v>0</v>
          </cell>
          <cell r="AS41">
            <v>25000</v>
          </cell>
          <cell r="AW41">
            <v>296500</v>
          </cell>
          <cell r="AX41">
            <v>0</v>
          </cell>
          <cell r="AY41">
            <v>1190000</v>
          </cell>
          <cell r="AZ41">
            <v>1486500</v>
          </cell>
          <cell r="BC41">
            <v>0</v>
          </cell>
          <cell r="BD41">
            <v>1486500</v>
          </cell>
          <cell r="BF41">
            <v>0</v>
          </cell>
          <cell r="BG41">
            <v>6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6</v>
          </cell>
        </row>
        <row r="44">
          <cell r="B44" t="str">
            <v>TOTAUX</v>
          </cell>
          <cell r="C44">
            <v>-4338625</v>
          </cell>
          <cell r="D44">
            <v>5319000</v>
          </cell>
          <cell r="E44">
            <v>1161500</v>
          </cell>
          <cell r="F44">
            <v>0</v>
          </cell>
          <cell r="G44">
            <v>160000</v>
          </cell>
          <cell r="H44">
            <v>15000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174000</v>
          </cell>
          <cell r="Q44">
            <v>478125</v>
          </cell>
          <cell r="R44">
            <v>1167000</v>
          </cell>
          <cell r="S44">
            <v>3800000</v>
          </cell>
          <cell r="U44">
            <v>10819125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3500000</v>
          </cell>
          <cell r="AA44">
            <v>0</v>
          </cell>
          <cell r="AC44">
            <v>9500</v>
          </cell>
          <cell r="AD44">
            <v>7500</v>
          </cell>
          <cell r="AE44">
            <v>20000</v>
          </cell>
          <cell r="AF44">
            <v>0</v>
          </cell>
          <cell r="AG44">
            <v>0</v>
          </cell>
          <cell r="AI44">
            <v>158500</v>
          </cell>
          <cell r="AJ44">
            <v>559625</v>
          </cell>
          <cell r="AK44">
            <v>1134500</v>
          </cell>
          <cell r="AL44">
            <v>4000</v>
          </cell>
          <cell r="AM44">
            <v>13000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935000</v>
          </cell>
          <cell r="AT44">
            <v>0</v>
          </cell>
          <cell r="AU44">
            <v>0</v>
          </cell>
          <cell r="AV44">
            <v>0</v>
          </cell>
          <cell r="AW44">
            <v>1049000</v>
          </cell>
          <cell r="AX44">
            <v>1452125</v>
          </cell>
          <cell r="AY44">
            <v>3514500</v>
          </cell>
          <cell r="AZ44">
            <v>9516625</v>
          </cell>
          <cell r="BA44">
            <v>763000</v>
          </cell>
          <cell r="BB44">
            <v>0</v>
          </cell>
          <cell r="BC44">
            <v>0</v>
          </cell>
          <cell r="BD44">
            <v>8652625</v>
          </cell>
          <cell r="BE44">
            <v>0</v>
          </cell>
          <cell r="BF44">
            <v>105000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1161500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398500</v>
          </cell>
          <cell r="BD47">
            <v>-8652625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</v>
          </cell>
          <cell r="BC6">
            <v>0</v>
          </cell>
          <cell r="BD6">
            <v>76000</v>
          </cell>
          <cell r="BF6">
            <v>0</v>
          </cell>
          <cell r="BG6">
            <v>5</v>
          </cell>
          <cell r="BH6">
            <v>6000</v>
          </cell>
          <cell r="BI6">
            <v>0</v>
          </cell>
          <cell r="BJ6">
            <v>0</v>
          </cell>
          <cell r="BK6">
            <v>70000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291500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41500</v>
          </cell>
          <cell r="Q9">
            <v>0</v>
          </cell>
          <cell r="R9">
            <v>0</v>
          </cell>
          <cell r="U9">
            <v>291500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26000</v>
          </cell>
          <cell r="AL10">
            <v>500</v>
          </cell>
          <cell r="AQ10">
            <v>0</v>
          </cell>
          <cell r="AR10">
            <v>0</v>
          </cell>
          <cell r="AS10">
            <v>25000</v>
          </cell>
          <cell r="AW10">
            <v>26000</v>
          </cell>
          <cell r="AX10">
            <v>0</v>
          </cell>
          <cell r="AY10">
            <v>0</v>
          </cell>
          <cell r="AZ10">
            <v>26000</v>
          </cell>
          <cell r="BC10">
            <v>0</v>
          </cell>
          <cell r="BD10">
            <v>26000</v>
          </cell>
          <cell r="BE10" t="str">
            <v>OK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-98500</v>
          </cell>
          <cell r="D11">
            <v>290000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31000</v>
          </cell>
          <cell r="Q11">
            <v>0</v>
          </cell>
          <cell r="R11">
            <v>207500</v>
          </cell>
          <cell r="U11">
            <v>388500</v>
          </cell>
          <cell r="Y11">
            <v>150000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466500</v>
          </cell>
          <cell r="E12">
            <v>31000</v>
          </cell>
          <cell r="F12">
            <v>0</v>
          </cell>
          <cell r="G12">
            <v>13500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31000</v>
          </cell>
          <cell r="Q12">
            <v>0</v>
          </cell>
          <cell r="R12">
            <v>203000</v>
          </cell>
          <cell r="U12">
            <v>497500</v>
          </cell>
          <cell r="Y12">
            <v>250000</v>
          </cell>
          <cell r="AI12">
            <v>30000</v>
          </cell>
          <cell r="AK12">
            <v>200000</v>
          </cell>
          <cell r="AL12">
            <v>500</v>
          </cell>
          <cell r="AN12">
            <v>6500</v>
          </cell>
          <cell r="AP12" t="str">
            <v>BANQUE</v>
          </cell>
          <cell r="AQ12">
            <v>0</v>
          </cell>
          <cell r="AR12">
            <v>0</v>
          </cell>
          <cell r="AS12">
            <v>38500</v>
          </cell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50000</v>
          </cell>
          <cell r="BC12">
            <v>0</v>
          </cell>
          <cell r="BD12">
            <v>180000</v>
          </cell>
          <cell r="BE12" t="str">
            <v>OK</v>
          </cell>
          <cell r="BF12">
            <v>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100000</v>
          </cell>
          <cell r="BC14">
            <v>0</v>
          </cell>
          <cell r="BD14">
            <v>100000</v>
          </cell>
          <cell r="BE14" t="str">
            <v>OK</v>
          </cell>
          <cell r="BF14">
            <v>0</v>
          </cell>
          <cell r="BG14">
            <v>5</v>
          </cell>
          <cell r="BK14">
            <v>100000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C15">
            <v>2500</v>
          </cell>
          <cell r="AK15">
            <v>100000</v>
          </cell>
          <cell r="AN15">
            <v>2000</v>
          </cell>
          <cell r="AQ15">
            <v>0</v>
          </cell>
          <cell r="AR15">
            <v>0</v>
          </cell>
          <cell r="AS15">
            <v>25000</v>
          </cell>
          <cell r="AW15">
            <v>297500</v>
          </cell>
          <cell r="AX15">
            <v>0</v>
          </cell>
          <cell r="AY15">
            <v>100000</v>
          </cell>
          <cell r="AZ15">
            <v>397500</v>
          </cell>
          <cell r="BC15">
            <v>0</v>
          </cell>
          <cell r="BD15">
            <v>397500</v>
          </cell>
          <cell r="BE15" t="str">
            <v>OK</v>
          </cell>
          <cell r="BF15">
            <v>0</v>
          </cell>
          <cell r="BG15">
            <v>5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5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14500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102500</v>
          </cell>
          <cell r="R17">
            <v>0</v>
          </cell>
          <cell r="U17">
            <v>342000</v>
          </cell>
          <cell r="Y17">
            <v>225000</v>
          </cell>
          <cell r="Z17">
            <v>500000</v>
          </cell>
          <cell r="AP17" t="str">
            <v>BANQUE</v>
          </cell>
          <cell r="AQ17">
            <v>0</v>
          </cell>
          <cell r="AR17">
            <v>0</v>
          </cell>
          <cell r="AS17">
            <v>39500</v>
          </cell>
          <cell r="AW17">
            <v>0</v>
          </cell>
          <cell r="AX17">
            <v>0</v>
          </cell>
          <cell r="AY17">
            <v>0</v>
          </cell>
          <cell r="AZ17">
            <v>485000</v>
          </cell>
          <cell r="BC17">
            <v>0</v>
          </cell>
          <cell r="BD17">
            <v>485000</v>
          </cell>
          <cell r="BE17" t="str">
            <v>OK</v>
          </cell>
          <cell r="BF17">
            <v>15000</v>
          </cell>
          <cell r="BG17">
            <v>3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-576000</v>
          </cell>
          <cell r="D18">
            <v>180000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S18">
            <v>500000</v>
          </cell>
          <cell r="U18">
            <v>756000</v>
          </cell>
          <cell r="Y18">
            <v>150000</v>
          </cell>
          <cell r="Z18">
            <v>500000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A18">
            <v>50000</v>
          </cell>
          <cell r="BC18">
            <v>0</v>
          </cell>
          <cell r="BD18">
            <v>349000</v>
          </cell>
          <cell r="BE18" t="str">
            <v>OK</v>
          </cell>
          <cell r="BF18">
            <v>25000</v>
          </cell>
          <cell r="BG18">
            <v>5</v>
          </cell>
        </row>
        <row r="19">
          <cell r="A19" t="str">
            <v>AS201619</v>
          </cell>
          <cell r="B19" t="str">
            <v>KOUATCHO MESSACK</v>
          </cell>
          <cell r="C19">
            <v>1000</v>
          </cell>
          <cell r="D19">
            <v>376000</v>
          </cell>
          <cell r="E19">
            <v>0</v>
          </cell>
          <cell r="F19">
            <v>0</v>
          </cell>
          <cell r="G19">
            <v>9000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141000</v>
          </cell>
          <cell r="R19">
            <v>0</v>
          </cell>
          <cell r="U19">
            <v>375000</v>
          </cell>
          <cell r="Y19">
            <v>225000</v>
          </cell>
          <cell r="AJ19">
            <v>50000</v>
          </cell>
          <cell r="AK19">
            <v>79500</v>
          </cell>
          <cell r="AM19">
            <v>1000</v>
          </cell>
          <cell r="AN19">
            <v>1500</v>
          </cell>
          <cell r="AP19" t="str">
            <v>BANQUE</v>
          </cell>
          <cell r="AQ19">
            <v>0</v>
          </cell>
          <cell r="AR19">
            <v>0</v>
          </cell>
          <cell r="AS19">
            <v>34000</v>
          </cell>
          <cell r="AW19">
            <v>0</v>
          </cell>
          <cell r="AX19">
            <v>50000</v>
          </cell>
          <cell r="AY19">
            <v>79500</v>
          </cell>
          <cell r="AZ19">
            <v>129500</v>
          </cell>
          <cell r="BA19">
            <v>74500</v>
          </cell>
          <cell r="BC19">
            <v>0</v>
          </cell>
          <cell r="BD19">
            <v>55000</v>
          </cell>
          <cell r="BE19" t="str">
            <v>OK</v>
          </cell>
          <cell r="BF19">
            <v>0</v>
          </cell>
          <cell r="BG19">
            <v>5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25000</v>
          </cell>
          <cell r="D21">
            <v>75000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5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-101500</v>
          </cell>
          <cell r="D22">
            <v>530000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U22">
            <v>631500</v>
          </cell>
          <cell r="Y22">
            <v>325000</v>
          </cell>
          <cell r="AE22">
            <v>60000</v>
          </cell>
          <cell r="AJ22">
            <v>100000</v>
          </cell>
          <cell r="AK22">
            <v>100000</v>
          </cell>
          <cell r="AM22">
            <v>2000</v>
          </cell>
          <cell r="AN22">
            <v>4500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100000</v>
          </cell>
          <cell r="AY22">
            <v>1240000</v>
          </cell>
          <cell r="AZ22">
            <v>1340000</v>
          </cell>
          <cell r="BA22">
            <v>100000</v>
          </cell>
          <cell r="BC22">
            <v>0</v>
          </cell>
          <cell r="BD22">
            <v>1040000</v>
          </cell>
          <cell r="BE22" t="str">
            <v>OK</v>
          </cell>
          <cell r="BF22">
            <v>0</v>
          </cell>
          <cell r="BG22">
            <v>5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5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5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15000</v>
          </cell>
          <cell r="D25">
            <v>481500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U25">
            <v>466500</v>
          </cell>
          <cell r="Y25">
            <v>250000</v>
          </cell>
          <cell r="AC25">
            <v>2500</v>
          </cell>
          <cell r="AK25">
            <v>200000</v>
          </cell>
          <cell r="AN25">
            <v>6000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297500</v>
          </cell>
          <cell r="AX25">
            <v>0</v>
          </cell>
          <cell r="AY25">
            <v>200000</v>
          </cell>
          <cell r="AZ25">
            <v>497500</v>
          </cell>
          <cell r="BC25">
            <v>0</v>
          </cell>
          <cell r="BD25">
            <v>497500</v>
          </cell>
          <cell r="BE25" t="str">
            <v>OK</v>
          </cell>
          <cell r="BF25">
            <v>15000</v>
          </cell>
          <cell r="BG25">
            <v>5</v>
          </cell>
        </row>
        <row r="26">
          <cell r="A26" t="str">
            <v>AS201624</v>
          </cell>
          <cell r="B26" t="str">
            <v>NGONDIEP CLAUDE</v>
          </cell>
          <cell r="C26">
            <v>-261625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125125</v>
          </cell>
          <cell r="R26">
            <v>136500</v>
          </cell>
          <cell r="U26">
            <v>501625</v>
          </cell>
          <cell r="Y26">
            <v>225000</v>
          </cell>
          <cell r="AJ26">
            <v>121500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121500</v>
          </cell>
          <cell r="AY26">
            <v>0</v>
          </cell>
          <cell r="AZ26">
            <v>121500</v>
          </cell>
          <cell r="BC26">
            <v>0</v>
          </cell>
          <cell r="BD26">
            <v>0</v>
          </cell>
          <cell r="BF26">
            <v>0</v>
          </cell>
          <cell r="BG26">
            <v>5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343000</v>
          </cell>
          <cell r="E27">
            <v>0</v>
          </cell>
          <cell r="F27">
            <v>0</v>
          </cell>
          <cell r="G27">
            <v>-10000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U27">
            <v>343000</v>
          </cell>
          <cell r="Y27">
            <v>250000</v>
          </cell>
          <cell r="AK27">
            <v>200000</v>
          </cell>
          <cell r="AN27">
            <v>3500</v>
          </cell>
          <cell r="AP27" t="str">
            <v>BANQUE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E27" t="str">
            <v>OK</v>
          </cell>
          <cell r="BF27">
            <v>0</v>
          </cell>
          <cell r="BG27">
            <v>5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5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5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5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5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3000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5</v>
          </cell>
        </row>
        <row r="34">
          <cell r="A34" t="str">
            <v>AS201638</v>
          </cell>
          <cell r="B34" t="str">
            <v>SIMO PIERRE</v>
          </cell>
          <cell r="C34">
            <v>25000</v>
          </cell>
          <cell r="D34">
            <v>175000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I34">
            <v>30000</v>
          </cell>
          <cell r="AL34">
            <v>500</v>
          </cell>
          <cell r="AQ34">
            <v>0</v>
          </cell>
          <cell r="AR34">
            <v>0</v>
          </cell>
          <cell r="AS34">
            <v>25000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C34">
            <v>0</v>
          </cell>
          <cell r="BD34">
            <v>30000</v>
          </cell>
          <cell r="BE34" t="str">
            <v>OK</v>
          </cell>
          <cell r="BF34">
            <v>0</v>
          </cell>
          <cell r="BG34">
            <v>5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D35">
            <v>7500</v>
          </cell>
          <cell r="AJ35">
            <v>100000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992500</v>
          </cell>
          <cell r="AY35">
            <v>0</v>
          </cell>
          <cell r="AZ35">
            <v>992500</v>
          </cell>
          <cell r="BA35">
            <v>50000</v>
          </cell>
          <cell r="BC35">
            <v>0</v>
          </cell>
          <cell r="BD35">
            <v>942500</v>
          </cell>
          <cell r="BE35" t="str">
            <v>OK</v>
          </cell>
          <cell r="BF35">
            <v>0</v>
          </cell>
          <cell r="BG35">
            <v>5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C36">
            <v>2500</v>
          </cell>
          <cell r="AE36">
            <v>65000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1135000</v>
          </cell>
          <cell r="AZ36">
            <v>1432500</v>
          </cell>
          <cell r="BC36">
            <v>0</v>
          </cell>
          <cell r="BD36">
            <v>1432500</v>
          </cell>
          <cell r="BE36" t="str">
            <v>OK</v>
          </cell>
          <cell r="BF36">
            <v>0</v>
          </cell>
          <cell r="BG36">
            <v>5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53000</v>
          </cell>
          <cell r="F38">
            <v>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53000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5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5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5</v>
          </cell>
          <cell r="BO40" t="str">
            <v>BOISSON DALLE</v>
          </cell>
          <cell r="BP40" t="str">
            <v>COLLATION</v>
          </cell>
          <cell r="BQ40">
            <v>70000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5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5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-1027625</v>
          </cell>
          <cell r="D44">
            <v>6076000</v>
          </cell>
          <cell r="E44">
            <v>525500</v>
          </cell>
          <cell r="F44">
            <v>0</v>
          </cell>
          <cell r="G44">
            <v>99000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162500</v>
          </cell>
          <cell r="Q44">
            <v>572625</v>
          </cell>
          <cell r="R44">
            <v>1167000</v>
          </cell>
          <cell r="S44">
            <v>500000</v>
          </cell>
          <cell r="U44">
            <v>7582125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7500</v>
          </cell>
          <cell r="AD44">
            <v>7500</v>
          </cell>
          <cell r="AE44">
            <v>125000</v>
          </cell>
          <cell r="AF44">
            <v>0</v>
          </cell>
          <cell r="AG44">
            <v>0</v>
          </cell>
          <cell r="AI44">
            <v>145000</v>
          </cell>
          <cell r="AJ44">
            <v>371500</v>
          </cell>
          <cell r="AK44">
            <v>1079500</v>
          </cell>
          <cell r="AL44">
            <v>1500</v>
          </cell>
          <cell r="AM44">
            <v>5000</v>
          </cell>
          <cell r="AN44">
            <v>27500</v>
          </cell>
          <cell r="AO44">
            <v>0</v>
          </cell>
          <cell r="AQ44">
            <v>0</v>
          </cell>
          <cell r="AR44">
            <v>0</v>
          </cell>
          <cell r="AS44">
            <v>924000</v>
          </cell>
          <cell r="AT44">
            <v>0</v>
          </cell>
          <cell r="AU44">
            <v>0</v>
          </cell>
          <cell r="AV44">
            <v>0</v>
          </cell>
          <cell r="AW44">
            <v>1037500</v>
          </cell>
          <cell r="AX44">
            <v>1264000</v>
          </cell>
          <cell r="AY44">
            <v>3354500</v>
          </cell>
          <cell r="AZ44">
            <v>6792000</v>
          </cell>
          <cell r="BA44">
            <v>524500</v>
          </cell>
          <cell r="BB44">
            <v>0</v>
          </cell>
          <cell r="BC44">
            <v>0</v>
          </cell>
          <cell r="BD44">
            <v>5870000</v>
          </cell>
          <cell r="BE44">
            <v>0</v>
          </cell>
          <cell r="BF44">
            <v>55000</v>
          </cell>
          <cell r="BH44">
            <v>6000</v>
          </cell>
          <cell r="BI44">
            <v>0</v>
          </cell>
          <cell r="BJ44">
            <v>0</v>
          </cell>
          <cell r="BK44">
            <v>170000</v>
          </cell>
          <cell r="BL44">
            <v>0</v>
          </cell>
          <cell r="BM44">
            <v>0</v>
          </cell>
          <cell r="BO44" t="str">
            <v>S/TOTAL</v>
          </cell>
          <cell r="BQ44">
            <v>70000</v>
          </cell>
        </row>
        <row r="46">
          <cell r="BA46">
            <v>525500</v>
          </cell>
          <cell r="BB46" t="str">
            <v>ESPECES EN CAISSE</v>
          </cell>
          <cell r="BD46">
            <v>5911000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1000</v>
          </cell>
          <cell r="BD47">
            <v>41000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666000</v>
          </cell>
          <cell r="BA6">
            <v>106000</v>
          </cell>
          <cell r="BC6">
            <v>0</v>
          </cell>
          <cell r="BD6">
            <v>560000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660000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C7">
            <v>2500</v>
          </cell>
          <cell r="AQ7">
            <v>0</v>
          </cell>
          <cell r="AR7">
            <v>0</v>
          </cell>
          <cell r="AS7">
            <v>25000</v>
          </cell>
          <cell r="AW7">
            <v>297500</v>
          </cell>
          <cell r="AX7">
            <v>0</v>
          </cell>
          <cell r="AY7">
            <v>0</v>
          </cell>
          <cell r="AZ7">
            <v>297500</v>
          </cell>
          <cell r="BC7">
            <v>0</v>
          </cell>
          <cell r="BD7">
            <v>297500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4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453500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U9">
            <v>453500</v>
          </cell>
          <cell r="Y9">
            <v>250000</v>
          </cell>
          <cell r="AE9">
            <v>10000</v>
          </cell>
          <cell r="AI9">
            <v>30000</v>
          </cell>
          <cell r="AK9">
            <v>100000</v>
          </cell>
          <cell r="AL9">
            <v>500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30000</v>
          </cell>
          <cell r="AX9">
            <v>0</v>
          </cell>
          <cell r="AY9">
            <v>1290000</v>
          </cell>
          <cell r="AZ9">
            <v>1320000</v>
          </cell>
          <cell r="BC9">
            <v>0</v>
          </cell>
          <cell r="BD9">
            <v>1320000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77000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26500</v>
          </cell>
          <cell r="Q10">
            <v>0</v>
          </cell>
          <cell r="R10">
            <v>0</v>
          </cell>
          <cell r="U10">
            <v>77000</v>
          </cell>
          <cell r="Y10">
            <v>50000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C10">
            <v>0</v>
          </cell>
          <cell r="BD10">
            <v>0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400000</v>
          </cell>
          <cell r="E11">
            <v>0</v>
          </cell>
          <cell r="F11">
            <v>0</v>
          </cell>
          <cell r="G11">
            <v>250000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400000</v>
          </cell>
          <cell r="Y11">
            <v>150000</v>
          </cell>
          <cell r="AQ11">
            <v>0</v>
          </cell>
          <cell r="AR11">
            <v>0</v>
          </cell>
          <cell r="AS11">
            <v>275000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-970000</v>
          </cell>
          <cell r="D12">
            <v>529500</v>
          </cell>
          <cell r="E12">
            <v>0</v>
          </cell>
          <cell r="F12">
            <v>0</v>
          </cell>
          <cell r="G12">
            <v>12500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206500</v>
          </cell>
          <cell r="S12">
            <v>1000000</v>
          </cell>
          <cell r="U12">
            <v>1499500</v>
          </cell>
          <cell r="Y12">
            <v>250000</v>
          </cell>
          <cell r="Z12">
            <v>1000000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37500</v>
          </cell>
          <cell r="AW12">
            <v>0</v>
          </cell>
          <cell r="AX12">
            <v>0</v>
          </cell>
          <cell r="AY12">
            <v>100000</v>
          </cell>
          <cell r="AZ12">
            <v>1100000</v>
          </cell>
          <cell r="BC12">
            <v>0</v>
          </cell>
          <cell r="BD12">
            <v>1100000</v>
          </cell>
          <cell r="BF12">
            <v>30000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251000</v>
          </cell>
          <cell r="E15">
            <v>0</v>
          </cell>
          <cell r="F15">
            <v>0</v>
          </cell>
          <cell r="G15">
            <v>-1000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102000</v>
          </cell>
          <cell r="U15">
            <v>251000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24000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4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C16">
            <v>3500</v>
          </cell>
          <cell r="AQ16">
            <v>0</v>
          </cell>
          <cell r="AR16">
            <v>0</v>
          </cell>
          <cell r="AS16">
            <v>25000</v>
          </cell>
          <cell r="AW16">
            <v>296500</v>
          </cell>
          <cell r="AX16">
            <v>0</v>
          </cell>
          <cell r="AY16">
            <v>0</v>
          </cell>
          <cell r="AZ16">
            <v>296500</v>
          </cell>
          <cell r="BC16">
            <v>0</v>
          </cell>
          <cell r="BD16">
            <v>296500</v>
          </cell>
          <cell r="BF16">
            <v>0</v>
          </cell>
          <cell r="BG16">
            <v>4</v>
          </cell>
        </row>
        <row r="17">
          <cell r="A17" t="str">
            <v>AS201613</v>
          </cell>
          <cell r="B17" t="str">
            <v>HOTCHO BENJAMIN</v>
          </cell>
          <cell r="C17">
            <v>-100000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S17">
            <v>100000</v>
          </cell>
          <cell r="T17" t="str">
            <v>BANQUE</v>
          </cell>
          <cell r="U17">
            <v>350000</v>
          </cell>
          <cell r="Y17">
            <v>225000</v>
          </cell>
          <cell r="AK17">
            <v>232000</v>
          </cell>
          <cell r="AN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232000</v>
          </cell>
          <cell r="AZ17">
            <v>232000</v>
          </cell>
          <cell r="BA17">
            <v>132000</v>
          </cell>
          <cell r="BC17">
            <v>0</v>
          </cell>
          <cell r="BD17">
            <v>100000</v>
          </cell>
          <cell r="BF17">
            <v>0</v>
          </cell>
          <cell r="BG17">
            <v>4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F18">
            <v>0</v>
          </cell>
          <cell r="BG18">
            <v>4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370000</v>
          </cell>
          <cell r="E19">
            <v>0</v>
          </cell>
          <cell r="F19">
            <v>0</v>
          </cell>
          <cell r="G19">
            <v>13000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51000</v>
          </cell>
          <cell r="R19">
            <v>81000</v>
          </cell>
          <cell r="U19">
            <v>370000</v>
          </cell>
          <cell r="Y19">
            <v>225000</v>
          </cell>
          <cell r="AI19">
            <v>30000</v>
          </cell>
          <cell r="AJ19">
            <v>200000</v>
          </cell>
          <cell r="AK19">
            <v>200000</v>
          </cell>
          <cell r="AL19">
            <v>500</v>
          </cell>
          <cell r="AM19">
            <v>3000</v>
          </cell>
          <cell r="AN19">
            <v>3000</v>
          </cell>
          <cell r="AP19" t="str">
            <v>BANQUE</v>
          </cell>
          <cell r="AQ19">
            <v>0</v>
          </cell>
          <cell r="AR19">
            <v>0</v>
          </cell>
          <cell r="AS19">
            <v>38000</v>
          </cell>
          <cell r="AW19">
            <v>30000</v>
          </cell>
          <cell r="AX19">
            <v>200000</v>
          </cell>
          <cell r="AY19">
            <v>200000</v>
          </cell>
          <cell r="AZ19">
            <v>430000</v>
          </cell>
          <cell r="BA19">
            <v>430000</v>
          </cell>
          <cell r="BC19">
            <v>0</v>
          </cell>
          <cell r="BD19">
            <v>0</v>
          </cell>
          <cell r="BF19">
            <v>0</v>
          </cell>
          <cell r="BG19">
            <v>4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4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100000</v>
          </cell>
          <cell r="D22">
            <v>634500</v>
          </cell>
          <cell r="E22">
            <v>0</v>
          </cell>
          <cell r="F22">
            <v>0</v>
          </cell>
          <cell r="G22">
            <v>3000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104500</v>
          </cell>
          <cell r="U22">
            <v>534500</v>
          </cell>
          <cell r="Y22">
            <v>325000</v>
          </cell>
          <cell r="AJ22">
            <v>200000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28000</v>
          </cell>
          <cell r="AW22">
            <v>0</v>
          </cell>
          <cell r="AX22">
            <v>200000</v>
          </cell>
          <cell r="AY22">
            <v>200000</v>
          </cell>
          <cell r="AZ22">
            <v>400000</v>
          </cell>
          <cell r="BC22">
            <v>0</v>
          </cell>
          <cell r="BD22">
            <v>400000</v>
          </cell>
          <cell r="BF22">
            <v>0</v>
          </cell>
          <cell r="BG22">
            <v>4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4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4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466000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206000</v>
          </cell>
          <cell r="U25">
            <v>466000</v>
          </cell>
          <cell r="Y25">
            <v>250000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C25">
            <v>0</v>
          </cell>
          <cell r="BD25">
            <v>200000</v>
          </cell>
          <cell r="BF25">
            <v>0</v>
          </cell>
          <cell r="BG25">
            <v>4</v>
          </cell>
        </row>
        <row r="26">
          <cell r="A26" t="str">
            <v>AS201624</v>
          </cell>
          <cell r="B26" t="str">
            <v>NGONDIEP CLAUDE</v>
          </cell>
          <cell r="C26">
            <v>4000</v>
          </cell>
          <cell r="D26">
            <v>365000</v>
          </cell>
          <cell r="E26">
            <v>0</v>
          </cell>
          <cell r="F26">
            <v>0</v>
          </cell>
          <cell r="G26">
            <v>14500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121500</v>
          </cell>
          <cell r="R26">
            <v>0</v>
          </cell>
          <cell r="U26">
            <v>361000</v>
          </cell>
          <cell r="Y26">
            <v>225000</v>
          </cell>
          <cell r="AD26">
            <v>15000</v>
          </cell>
          <cell r="AJ26">
            <v>51500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39500</v>
          </cell>
          <cell r="AW26">
            <v>0</v>
          </cell>
          <cell r="AX26">
            <v>936500</v>
          </cell>
          <cell r="AY26">
            <v>0</v>
          </cell>
          <cell r="AZ26">
            <v>936500</v>
          </cell>
          <cell r="BC26">
            <v>0</v>
          </cell>
          <cell r="BD26">
            <v>936500</v>
          </cell>
          <cell r="BF26">
            <v>0</v>
          </cell>
          <cell r="BG26">
            <v>4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320000</v>
          </cell>
          <cell r="E27">
            <v>0</v>
          </cell>
          <cell r="F27">
            <v>133500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203500</v>
          </cell>
          <cell r="U27">
            <v>453500</v>
          </cell>
          <cell r="Y27">
            <v>250000</v>
          </cell>
          <cell r="AE27">
            <v>15000</v>
          </cell>
          <cell r="AK27">
            <v>100000</v>
          </cell>
          <cell r="AN27">
            <v>1000</v>
          </cell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1285000</v>
          </cell>
          <cell r="AZ27">
            <v>1285000</v>
          </cell>
          <cell r="BC27">
            <v>133500</v>
          </cell>
          <cell r="BD27">
            <v>1151500</v>
          </cell>
          <cell r="BF27">
            <v>0</v>
          </cell>
          <cell r="BG27">
            <v>4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4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4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4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4</v>
          </cell>
          <cell r="BO32" t="str">
            <v xml:space="preserve">DECES 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300000</v>
          </cell>
          <cell r="BC33">
            <v>0</v>
          </cell>
          <cell r="BD33">
            <v>0</v>
          </cell>
          <cell r="BF33">
            <v>0</v>
          </cell>
          <cell r="BG33">
            <v>4</v>
          </cell>
          <cell r="BP33" t="str">
            <v>MUTUELLE</v>
          </cell>
          <cell r="BQ33">
            <v>560000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185000</v>
          </cell>
          <cell r="E34">
            <v>0</v>
          </cell>
          <cell r="F34">
            <v>0</v>
          </cell>
          <cell r="G34">
            <v>4500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U34">
            <v>185000</v>
          </cell>
          <cell r="Y34">
            <v>150000</v>
          </cell>
          <cell r="AI34">
            <v>30000</v>
          </cell>
          <cell r="AL34">
            <v>500</v>
          </cell>
          <cell r="AP34" t="str">
            <v>BANQUE</v>
          </cell>
          <cell r="AQ34">
            <v>0</v>
          </cell>
          <cell r="AR34">
            <v>0</v>
          </cell>
          <cell r="AS34">
            <v>29500</v>
          </cell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A34">
            <v>30000</v>
          </cell>
          <cell r="BC34">
            <v>0</v>
          </cell>
          <cell r="BD34">
            <v>0</v>
          </cell>
          <cell r="BF34">
            <v>0</v>
          </cell>
          <cell r="BG34">
            <v>4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U35">
            <v>227000</v>
          </cell>
          <cell r="Y35">
            <v>125000</v>
          </cell>
          <cell r="AJ35">
            <v>200000</v>
          </cell>
          <cell r="AM35">
            <v>2000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C35">
            <v>0</v>
          </cell>
          <cell r="BD35">
            <v>200000</v>
          </cell>
          <cell r="BF35">
            <v>0</v>
          </cell>
          <cell r="BG35">
            <v>4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A36">
            <v>48500</v>
          </cell>
          <cell r="BC36">
            <v>0</v>
          </cell>
          <cell r="BD36">
            <v>103000</v>
          </cell>
          <cell r="BF36">
            <v>0</v>
          </cell>
          <cell r="BG36">
            <v>4</v>
          </cell>
          <cell r="BK36">
            <v>100000</v>
          </cell>
          <cell r="BO36" t="str">
            <v>S/TOTAL</v>
          </cell>
          <cell r="BQ36">
            <v>660000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S/TOTAL</v>
          </cell>
          <cell r="BQ37">
            <v>660000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4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J39">
            <v>100000</v>
          </cell>
          <cell r="AM39">
            <v>2000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A39">
            <v>100000</v>
          </cell>
          <cell r="BC39">
            <v>0</v>
          </cell>
          <cell r="BD39">
            <v>0</v>
          </cell>
          <cell r="BF39">
            <v>0</v>
          </cell>
          <cell r="BG39">
            <v>4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4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4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4</v>
          </cell>
        </row>
        <row r="44">
          <cell r="B44" t="str">
            <v>TOTAUX</v>
          </cell>
          <cell r="C44">
            <v>-1025000</v>
          </cell>
          <cell r="D44">
            <v>6225000</v>
          </cell>
          <cell r="E44">
            <v>906500</v>
          </cell>
          <cell r="F44">
            <v>133500</v>
          </cell>
          <cell r="G44">
            <v>379000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146500</v>
          </cell>
          <cell r="Q44">
            <v>376500</v>
          </cell>
          <cell r="R44">
            <v>1107000</v>
          </cell>
          <cell r="S44">
            <v>1100000</v>
          </cell>
          <cell r="U44">
            <v>8190000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6000</v>
          </cell>
          <cell r="AD44">
            <v>15000</v>
          </cell>
          <cell r="AE44">
            <v>25000</v>
          </cell>
          <cell r="AF44">
            <v>0</v>
          </cell>
          <cell r="AG44">
            <v>0</v>
          </cell>
          <cell r="AI44">
            <v>209000</v>
          </cell>
          <cell r="AJ44">
            <v>751500</v>
          </cell>
          <cell r="AK44">
            <v>1132000</v>
          </cell>
          <cell r="AL44">
            <v>2500</v>
          </cell>
          <cell r="AM44">
            <v>10000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1204000</v>
          </cell>
          <cell r="AT44">
            <v>0</v>
          </cell>
          <cell r="AU44">
            <v>0</v>
          </cell>
          <cell r="AV44">
            <v>0</v>
          </cell>
          <cell r="AW44">
            <v>803000</v>
          </cell>
          <cell r="AX44">
            <v>1636500</v>
          </cell>
          <cell r="AY44">
            <v>3507000</v>
          </cell>
          <cell r="AZ44">
            <v>7712500</v>
          </cell>
          <cell r="BA44">
            <v>906500</v>
          </cell>
          <cell r="BB44">
            <v>300000</v>
          </cell>
          <cell r="BC44">
            <v>133500</v>
          </cell>
          <cell r="BD44">
            <v>6724000</v>
          </cell>
          <cell r="BE44">
            <v>0</v>
          </cell>
          <cell r="BF44">
            <v>30000</v>
          </cell>
          <cell r="BH44">
            <v>6000</v>
          </cell>
          <cell r="BI44">
            <v>0</v>
          </cell>
          <cell r="BJ44">
            <v>660000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906500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  <cell r="BD47">
            <v>-6724000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C6">
            <v>0</v>
          </cell>
          <cell r="BD6">
            <v>12000</v>
          </cell>
          <cell r="BF6">
            <v>0</v>
          </cell>
          <cell r="BG6">
            <v>3</v>
          </cell>
          <cell r="BH6">
            <v>12000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Y8">
            <v>125000</v>
          </cell>
          <cell r="AC8">
            <v>2500</v>
          </cell>
          <cell r="AF8" t="str">
            <v>BANQUE</v>
          </cell>
          <cell r="AJ8">
            <v>100000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100000</v>
          </cell>
          <cell r="AY8">
            <v>0</v>
          </cell>
          <cell r="AZ8">
            <v>397500</v>
          </cell>
          <cell r="BA8">
            <v>100000</v>
          </cell>
          <cell r="BC8">
            <v>0</v>
          </cell>
          <cell r="BD8">
            <v>297500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382000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30500</v>
          </cell>
          <cell r="Q9">
            <v>0</v>
          </cell>
          <cell r="R9">
            <v>101500</v>
          </cell>
          <cell r="U9">
            <v>382000</v>
          </cell>
          <cell r="Y9">
            <v>250000</v>
          </cell>
          <cell r="AK9">
            <v>174500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174500</v>
          </cell>
          <cell r="AZ9">
            <v>174500</v>
          </cell>
          <cell r="BA9">
            <v>174500</v>
          </cell>
          <cell r="BC9">
            <v>0</v>
          </cell>
          <cell r="BD9">
            <v>0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61000</v>
          </cell>
          <cell r="F10">
            <v>0</v>
          </cell>
          <cell r="G10">
            <v>-3000</v>
          </cell>
          <cell r="H10">
            <v>3000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61000</v>
          </cell>
          <cell r="Q10">
            <v>0</v>
          </cell>
          <cell r="R10">
            <v>0</v>
          </cell>
          <cell r="U10">
            <v>111000</v>
          </cell>
          <cell r="Y10">
            <v>50000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C10">
            <v>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150000</v>
          </cell>
          <cell r="Y11">
            <v>150000</v>
          </cell>
          <cell r="AK11">
            <v>200000</v>
          </cell>
          <cell r="AN11">
            <v>3500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C11">
            <v>0</v>
          </cell>
          <cell r="BD11">
            <v>200000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361000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361000</v>
          </cell>
          <cell r="Y12">
            <v>250000</v>
          </cell>
          <cell r="AE12">
            <v>15000</v>
          </cell>
          <cell r="AF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1185000</v>
          </cell>
          <cell r="AZ12">
            <v>1185000</v>
          </cell>
          <cell r="BC12">
            <v>0</v>
          </cell>
          <cell r="BD12">
            <v>1185000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800000</v>
          </cell>
          <cell r="G15">
            <v>800000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950000</v>
          </cell>
          <cell r="Y15">
            <v>150000</v>
          </cell>
          <cell r="AE15">
            <v>15000</v>
          </cell>
          <cell r="AF15" t="str">
            <v>BANQUE</v>
          </cell>
          <cell r="AQ15">
            <v>0</v>
          </cell>
          <cell r="AR15">
            <v>0</v>
          </cell>
          <cell r="AS15">
            <v>825000</v>
          </cell>
          <cell r="AT15">
            <v>120000</v>
          </cell>
          <cell r="AW15">
            <v>0</v>
          </cell>
          <cell r="AX15">
            <v>0</v>
          </cell>
          <cell r="AY15">
            <v>1185000</v>
          </cell>
          <cell r="AZ15">
            <v>90000</v>
          </cell>
          <cell r="BA15">
            <v>90000</v>
          </cell>
          <cell r="BB15">
            <v>175000</v>
          </cell>
          <cell r="BC15">
            <v>800000</v>
          </cell>
          <cell r="BF15">
            <v>0</v>
          </cell>
          <cell r="BG15">
            <v>3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D16">
            <v>8500</v>
          </cell>
          <cell r="AF16" t="str">
            <v>BANQUE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891500</v>
          </cell>
          <cell r="AY16">
            <v>0</v>
          </cell>
          <cell r="AZ16">
            <v>891500</v>
          </cell>
          <cell r="BC16">
            <v>0</v>
          </cell>
          <cell r="BD16">
            <v>891500</v>
          </cell>
          <cell r="BF16">
            <v>0</v>
          </cell>
          <cell r="BG16">
            <v>3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484000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234000</v>
          </cell>
          <cell r="U17">
            <v>484000</v>
          </cell>
          <cell r="Y17">
            <v>225000</v>
          </cell>
          <cell r="AJ17">
            <v>100000</v>
          </cell>
          <cell r="AM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C17">
            <v>0</v>
          </cell>
          <cell r="BD17">
            <v>100000</v>
          </cell>
          <cell r="BF17">
            <v>0</v>
          </cell>
          <cell r="BG17">
            <v>3</v>
          </cell>
          <cell r="BO17" t="str">
            <v>S/TOTAL</v>
          </cell>
          <cell r="BQ17">
            <v>12000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F18">
            <v>0</v>
          </cell>
          <cell r="BG18">
            <v>3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641000</v>
          </cell>
          <cell r="E19">
            <v>30500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30500</v>
          </cell>
          <cell r="Q19">
            <v>203000</v>
          </cell>
          <cell r="R19">
            <v>203000</v>
          </cell>
          <cell r="U19">
            <v>671500</v>
          </cell>
          <cell r="Y19">
            <v>225000</v>
          </cell>
          <cell r="AJ19">
            <v>100000</v>
          </cell>
          <cell r="AK19">
            <v>100000</v>
          </cell>
          <cell r="AM19">
            <v>1000</v>
          </cell>
          <cell r="AN19">
            <v>1000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100000</v>
          </cell>
          <cell r="AY19">
            <v>100000</v>
          </cell>
          <cell r="AZ19">
            <v>200000</v>
          </cell>
          <cell r="BA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3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C21">
            <v>2500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297500</v>
          </cell>
          <cell r="AX21">
            <v>0</v>
          </cell>
          <cell r="AY21">
            <v>0</v>
          </cell>
          <cell r="AZ21">
            <v>297500</v>
          </cell>
          <cell r="BA21">
            <v>15000</v>
          </cell>
          <cell r="BC21">
            <v>0</v>
          </cell>
          <cell r="BD21">
            <v>282500</v>
          </cell>
          <cell r="BF21">
            <v>0</v>
          </cell>
          <cell r="BG21">
            <v>3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471000</v>
          </cell>
          <cell r="E22">
            <v>261000</v>
          </cell>
          <cell r="F22">
            <v>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202000</v>
          </cell>
          <cell r="U22">
            <v>732000</v>
          </cell>
          <cell r="Y22">
            <v>325000</v>
          </cell>
          <cell r="AJ22">
            <v>200000</v>
          </cell>
          <cell r="AK22">
            <v>100000</v>
          </cell>
          <cell r="AM22">
            <v>2000</v>
          </cell>
          <cell r="AN22">
            <v>1000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200000</v>
          </cell>
          <cell r="AY22">
            <v>100000</v>
          </cell>
          <cell r="AZ22">
            <v>300000</v>
          </cell>
          <cell r="BA22">
            <v>200000</v>
          </cell>
          <cell r="BC22">
            <v>0</v>
          </cell>
          <cell r="BD22">
            <v>100000</v>
          </cell>
          <cell r="BF22">
            <v>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100000</v>
          </cell>
          <cell r="BC23">
            <v>0</v>
          </cell>
          <cell r="BD23">
            <v>100000</v>
          </cell>
          <cell r="BF23">
            <v>0</v>
          </cell>
          <cell r="BG23">
            <v>3</v>
          </cell>
          <cell r="BK23">
            <v>100000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3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462000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202000</v>
          </cell>
          <cell r="U25">
            <v>462000</v>
          </cell>
          <cell r="Y25">
            <v>250000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100000</v>
          </cell>
          <cell r="BF25">
            <v>0</v>
          </cell>
          <cell r="BG25">
            <v>3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52500</v>
          </cell>
          <cell r="E26">
            <v>240000</v>
          </cell>
          <cell r="F26">
            <v>0</v>
          </cell>
          <cell r="G26">
            <v>12000</v>
          </cell>
          <cell r="H26">
            <v>3000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52500</v>
          </cell>
          <cell r="R26">
            <v>0</v>
          </cell>
          <cell r="U26">
            <v>292500</v>
          </cell>
          <cell r="Y26">
            <v>225000</v>
          </cell>
          <cell r="AJ26">
            <v>100000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37000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C26">
            <v>0</v>
          </cell>
          <cell r="BD26">
            <v>0</v>
          </cell>
          <cell r="BF26">
            <v>0</v>
          </cell>
          <cell r="BG26">
            <v>3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350000</v>
          </cell>
          <cell r="E27">
            <v>0</v>
          </cell>
          <cell r="F27">
            <v>0</v>
          </cell>
          <cell r="G27">
            <v>-1000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101000</v>
          </cell>
          <cell r="U27">
            <v>350000</v>
          </cell>
          <cell r="Y27">
            <v>250000</v>
          </cell>
          <cell r="AK27">
            <v>200000</v>
          </cell>
          <cell r="AN27">
            <v>5000</v>
          </cell>
          <cell r="AP27" t="str">
            <v>BANQUE</v>
          </cell>
          <cell r="AQ27">
            <v>0</v>
          </cell>
          <cell r="AR27">
            <v>0</v>
          </cell>
          <cell r="AS27">
            <v>24000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F27">
            <v>0</v>
          </cell>
          <cell r="BG27">
            <v>3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50000</v>
          </cell>
          <cell r="Y28">
            <v>50000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C28">
            <v>0</v>
          </cell>
          <cell r="BD28">
            <v>0</v>
          </cell>
          <cell r="BF28">
            <v>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C29">
            <v>2500</v>
          </cell>
          <cell r="AF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297500</v>
          </cell>
          <cell r="AX29">
            <v>0</v>
          </cell>
          <cell r="AY29">
            <v>0</v>
          </cell>
          <cell r="AZ29">
            <v>297500</v>
          </cell>
          <cell r="BA29">
            <v>297500</v>
          </cell>
          <cell r="BC29">
            <v>0</v>
          </cell>
          <cell r="BD29">
            <v>0</v>
          </cell>
          <cell r="BF29">
            <v>0</v>
          </cell>
          <cell r="BG29">
            <v>3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C30">
            <v>2500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297500</v>
          </cell>
          <cell r="AX30">
            <v>0</v>
          </cell>
          <cell r="AY30">
            <v>0</v>
          </cell>
          <cell r="AZ30">
            <v>297500</v>
          </cell>
          <cell r="BC30">
            <v>0</v>
          </cell>
          <cell r="BD30">
            <v>297500</v>
          </cell>
          <cell r="BF30">
            <v>0</v>
          </cell>
          <cell r="BG30">
            <v>3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3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U32">
            <v>250000</v>
          </cell>
          <cell r="Y32">
            <v>250000</v>
          </cell>
          <cell r="AK32">
            <v>200000</v>
          </cell>
          <cell r="AN32">
            <v>3500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C32">
            <v>0</v>
          </cell>
          <cell r="BD32">
            <v>200000</v>
          </cell>
          <cell r="BF32">
            <v>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3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3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327000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202000</v>
          </cell>
          <cell r="R35">
            <v>0</v>
          </cell>
          <cell r="U35">
            <v>327000</v>
          </cell>
          <cell r="Y35">
            <v>125000</v>
          </cell>
          <cell r="AJ35">
            <v>200000</v>
          </cell>
          <cell r="AM35">
            <v>2500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C35">
            <v>0</v>
          </cell>
          <cell r="BD35">
            <v>200000</v>
          </cell>
          <cell r="BF35">
            <v>0</v>
          </cell>
          <cell r="BG35">
            <v>3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3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3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U39">
            <v>232000</v>
          </cell>
          <cell r="Y39">
            <v>125000</v>
          </cell>
          <cell r="AP39" t="str">
            <v>BANQUE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3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3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3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3</v>
          </cell>
        </row>
        <row r="44">
          <cell r="B44" t="str">
            <v>TOTAUX</v>
          </cell>
          <cell r="C44">
            <v>-59000</v>
          </cell>
          <cell r="D44">
            <v>6055500</v>
          </cell>
          <cell r="E44">
            <v>1024500</v>
          </cell>
          <cell r="F44">
            <v>800000</v>
          </cell>
          <cell r="G44">
            <v>868000</v>
          </cell>
          <cell r="H44">
            <v>9000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211500</v>
          </cell>
          <cell r="Q44">
            <v>761500</v>
          </cell>
          <cell r="R44">
            <v>1144500</v>
          </cell>
          <cell r="S44">
            <v>0</v>
          </cell>
          <cell r="U44">
            <v>7969500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0</v>
          </cell>
          <cell r="AA44">
            <v>0</v>
          </cell>
          <cell r="AC44">
            <v>10000</v>
          </cell>
          <cell r="AD44">
            <v>8500</v>
          </cell>
          <cell r="AE44">
            <v>30000</v>
          </cell>
          <cell r="AF44">
            <v>0</v>
          </cell>
          <cell r="AG44">
            <v>0</v>
          </cell>
          <cell r="AI44">
            <v>89500</v>
          </cell>
          <cell r="AJ44">
            <v>800000</v>
          </cell>
          <cell r="AK44">
            <v>1074500</v>
          </cell>
          <cell r="AL44">
            <v>0</v>
          </cell>
          <cell r="AM44">
            <v>9000</v>
          </cell>
          <cell r="AN44">
            <v>18500</v>
          </cell>
          <cell r="AO44">
            <v>0</v>
          </cell>
          <cell r="AQ44">
            <v>0</v>
          </cell>
          <cell r="AR44">
            <v>0</v>
          </cell>
          <cell r="AS44">
            <v>1718000</v>
          </cell>
          <cell r="AT44">
            <v>120000</v>
          </cell>
          <cell r="AU44">
            <v>0</v>
          </cell>
          <cell r="AV44">
            <v>0</v>
          </cell>
          <cell r="AW44">
            <v>1279500</v>
          </cell>
          <cell r="AX44">
            <v>1691500</v>
          </cell>
          <cell r="AY44">
            <v>3444500</v>
          </cell>
          <cell r="AZ44">
            <v>5432500</v>
          </cell>
          <cell r="BA44">
            <v>1077000</v>
          </cell>
          <cell r="BB44">
            <v>175000</v>
          </cell>
          <cell r="BC44">
            <v>800000</v>
          </cell>
          <cell r="BD44">
            <v>4355500</v>
          </cell>
          <cell r="BE44">
            <v>0</v>
          </cell>
          <cell r="BF44">
            <v>0</v>
          </cell>
          <cell r="BH44">
            <v>12000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1024500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-52500</v>
          </cell>
          <cell r="BD47">
            <v>-4355500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A6">
            <v>5500</v>
          </cell>
          <cell r="BC6">
            <v>0</v>
          </cell>
          <cell r="BD6">
            <v>500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101000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101000</v>
          </cell>
          <cell r="R8">
            <v>0</v>
          </cell>
          <cell r="S8">
            <v>500000</v>
          </cell>
          <cell r="T8" t="str">
            <v>BANQUE</v>
          </cell>
          <cell r="U8">
            <v>726000</v>
          </cell>
          <cell r="Y8">
            <v>125000</v>
          </cell>
          <cell r="Z8">
            <v>500000</v>
          </cell>
          <cell r="AA8" t="str">
            <v>BANQUE</v>
          </cell>
          <cell r="AD8">
            <v>7500</v>
          </cell>
          <cell r="AI8">
            <v>50000</v>
          </cell>
          <cell r="AJ8">
            <v>200000</v>
          </cell>
          <cell r="AL8">
            <v>500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50000</v>
          </cell>
          <cell r="AX8">
            <v>1092500</v>
          </cell>
          <cell r="AY8">
            <v>0</v>
          </cell>
          <cell r="AZ8">
            <v>1727500</v>
          </cell>
          <cell r="BA8">
            <v>350000</v>
          </cell>
          <cell r="BC8">
            <v>0</v>
          </cell>
          <cell r="BD8">
            <v>1377500</v>
          </cell>
          <cell r="BF8">
            <v>15000</v>
          </cell>
          <cell r="BG8">
            <v>3</v>
          </cell>
          <cell r="BK8">
            <v>100000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426500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176500</v>
          </cell>
          <cell r="U9">
            <v>426500</v>
          </cell>
          <cell r="Y9">
            <v>250000</v>
          </cell>
          <cell r="AI9">
            <v>50000</v>
          </cell>
          <cell r="AK9">
            <v>200000</v>
          </cell>
          <cell r="AL9">
            <v>500</v>
          </cell>
          <cell r="AN9">
            <v>4000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50000</v>
          </cell>
          <cell r="AX9">
            <v>0</v>
          </cell>
          <cell r="AY9">
            <v>200000</v>
          </cell>
          <cell r="AZ9">
            <v>250000</v>
          </cell>
          <cell r="BA9">
            <v>250000</v>
          </cell>
          <cell r="BC9">
            <v>0</v>
          </cell>
          <cell r="BD9">
            <v>0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50000</v>
          </cell>
          <cell r="Y10">
            <v>50000</v>
          </cell>
          <cell r="AI10">
            <v>50000</v>
          </cell>
          <cell r="AL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50000</v>
          </cell>
          <cell r="AX10">
            <v>0</v>
          </cell>
          <cell r="AY10">
            <v>0</v>
          </cell>
          <cell r="AZ10">
            <v>50000</v>
          </cell>
          <cell r="BA10">
            <v>50000</v>
          </cell>
          <cell r="BC10">
            <v>0</v>
          </cell>
          <cell r="BD10">
            <v>0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-1000</v>
          </cell>
          <cell r="D11">
            <v>150000</v>
          </cell>
          <cell r="E11">
            <v>205500</v>
          </cell>
          <cell r="F11">
            <v>0</v>
          </cell>
          <cell r="H11">
            <v>3000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203500</v>
          </cell>
          <cell r="U11">
            <v>356500</v>
          </cell>
          <cell r="Y11">
            <v>150000</v>
          </cell>
          <cell r="AI11">
            <v>50000</v>
          </cell>
          <cell r="AK11">
            <v>159500</v>
          </cell>
          <cell r="AL11">
            <v>500</v>
          </cell>
          <cell r="AN11">
            <v>6000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50000</v>
          </cell>
          <cell r="AX11">
            <v>0</v>
          </cell>
          <cell r="AY11">
            <v>159500</v>
          </cell>
          <cell r="AZ11">
            <v>209500</v>
          </cell>
          <cell r="BA11">
            <v>209500</v>
          </cell>
          <cell r="BC11">
            <v>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-148500</v>
          </cell>
          <cell r="D12">
            <v>1125000</v>
          </cell>
          <cell r="E12">
            <v>0</v>
          </cell>
          <cell r="F12">
            <v>0</v>
          </cell>
          <cell r="G12">
            <v>23500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1273500</v>
          </cell>
          <cell r="Y12">
            <v>250000</v>
          </cell>
          <cell r="Z12">
            <v>150000</v>
          </cell>
          <cell r="AQ12">
            <v>0</v>
          </cell>
          <cell r="AR12">
            <v>0</v>
          </cell>
          <cell r="AS12">
            <v>48500</v>
          </cell>
          <cell r="AW12">
            <v>0</v>
          </cell>
          <cell r="AX12">
            <v>0</v>
          </cell>
          <cell r="AY12">
            <v>0</v>
          </cell>
          <cell r="AZ12">
            <v>148500</v>
          </cell>
          <cell r="BC12">
            <v>0</v>
          </cell>
          <cell r="BD12">
            <v>148500</v>
          </cell>
          <cell r="BF12">
            <v>1500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-3000</v>
          </cell>
          <cell r="H14">
            <v>3000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22000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2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2</v>
          </cell>
        </row>
        <row r="17">
          <cell r="A17" t="str">
            <v>AS201613</v>
          </cell>
          <cell r="B17" t="str">
            <v>HOTCHO BENJAMIN</v>
          </cell>
          <cell r="C17">
            <v>-400000</v>
          </cell>
          <cell r="D17">
            <v>351500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101500</v>
          </cell>
          <cell r="R17">
            <v>0</v>
          </cell>
          <cell r="S17">
            <v>400000</v>
          </cell>
          <cell r="T17" t="str">
            <v>BANQUE</v>
          </cell>
          <cell r="U17">
            <v>751500</v>
          </cell>
          <cell r="Y17">
            <v>225000</v>
          </cell>
          <cell r="Z17">
            <v>400000</v>
          </cell>
          <cell r="AA17" t="str">
            <v>BANQUE</v>
          </cell>
          <cell r="AI17">
            <v>50000</v>
          </cell>
          <cell r="AJ17">
            <v>100000</v>
          </cell>
          <cell r="AL17">
            <v>500</v>
          </cell>
          <cell r="AM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50000</v>
          </cell>
          <cell r="AX17">
            <v>100000</v>
          </cell>
          <cell r="AY17">
            <v>0</v>
          </cell>
          <cell r="AZ17">
            <v>546000</v>
          </cell>
          <cell r="BA17">
            <v>150000</v>
          </cell>
          <cell r="BC17">
            <v>0</v>
          </cell>
          <cell r="BD17">
            <v>396000</v>
          </cell>
          <cell r="BF17">
            <v>4000</v>
          </cell>
          <cell r="BG17">
            <v>1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100000</v>
          </cell>
          <cell r="E18">
            <v>50000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I18">
            <v>50000</v>
          </cell>
          <cell r="AK18">
            <v>100000</v>
          </cell>
          <cell r="AL18">
            <v>1000</v>
          </cell>
          <cell r="AN18">
            <v>2500</v>
          </cell>
          <cell r="AQ18">
            <v>0</v>
          </cell>
          <cell r="AR18">
            <v>0</v>
          </cell>
          <cell r="AS18">
            <v>25000</v>
          </cell>
          <cell r="AW18">
            <v>50000</v>
          </cell>
          <cell r="AX18">
            <v>0</v>
          </cell>
          <cell r="AY18">
            <v>100000</v>
          </cell>
          <cell r="AZ18">
            <v>150000</v>
          </cell>
          <cell r="BA18">
            <v>90000</v>
          </cell>
          <cell r="BC18">
            <v>0</v>
          </cell>
          <cell r="BD18">
            <v>10000</v>
          </cell>
          <cell r="BF18">
            <v>0</v>
          </cell>
          <cell r="BG18">
            <v>2</v>
          </cell>
        </row>
        <row r="19">
          <cell r="A19" t="str">
            <v>AS201619</v>
          </cell>
          <cell r="B19" t="str">
            <v>KOUATCHO MESSACK</v>
          </cell>
          <cell r="C19">
            <v>-101000</v>
          </cell>
          <cell r="D19">
            <v>0</v>
          </cell>
          <cell r="E19">
            <v>336000</v>
          </cell>
          <cell r="F19">
            <v>0</v>
          </cell>
          <cell r="G19">
            <v>7000</v>
          </cell>
          <cell r="H19">
            <v>3000</v>
          </cell>
          <cell r="I19" t="str">
            <v>ESPECES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101000</v>
          </cell>
          <cell r="R19">
            <v>101000</v>
          </cell>
          <cell r="U19">
            <v>437000</v>
          </cell>
          <cell r="Y19">
            <v>225000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C19">
            <v>0</v>
          </cell>
          <cell r="BD19">
            <v>0</v>
          </cell>
          <cell r="BF19">
            <v>0</v>
          </cell>
          <cell r="BG19">
            <v>2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I21">
            <v>50000</v>
          </cell>
          <cell r="AL21">
            <v>1000</v>
          </cell>
          <cell r="AQ21">
            <v>0</v>
          </cell>
          <cell r="AR21">
            <v>0</v>
          </cell>
          <cell r="AS21">
            <v>25000</v>
          </cell>
          <cell r="AW21">
            <v>50000</v>
          </cell>
          <cell r="AX21">
            <v>0</v>
          </cell>
          <cell r="AY21">
            <v>0</v>
          </cell>
          <cell r="AZ21">
            <v>50000</v>
          </cell>
          <cell r="BA21">
            <v>50000</v>
          </cell>
          <cell r="BC21">
            <v>0</v>
          </cell>
          <cell r="BD21">
            <v>0</v>
          </cell>
          <cell r="BF21">
            <v>0</v>
          </cell>
          <cell r="BG21">
            <v>2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428500</v>
          </cell>
          <cell r="E22">
            <v>205000</v>
          </cell>
          <cell r="F22">
            <v>0</v>
          </cell>
          <cell r="G22">
            <v>2500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101000</v>
          </cell>
          <cell r="S22">
            <v>1000000</v>
          </cell>
          <cell r="T22" t="str">
            <v>BANQUE</v>
          </cell>
          <cell r="U22">
            <v>1633500</v>
          </cell>
          <cell r="Y22">
            <v>325000</v>
          </cell>
          <cell r="Z22">
            <v>1000000</v>
          </cell>
          <cell r="AA22" t="str">
            <v>BANQUE</v>
          </cell>
          <cell r="AI22">
            <v>50000</v>
          </cell>
          <cell r="AJ22">
            <v>200000</v>
          </cell>
          <cell r="AK22">
            <v>200000</v>
          </cell>
          <cell r="AL22">
            <v>1000</v>
          </cell>
          <cell r="AM22">
            <v>2500</v>
          </cell>
          <cell r="AN22">
            <v>5500</v>
          </cell>
          <cell r="AP22" t="str">
            <v>BANQUE</v>
          </cell>
          <cell r="AQ22">
            <v>0</v>
          </cell>
          <cell r="AR22">
            <v>0</v>
          </cell>
          <cell r="AS22">
            <v>27500</v>
          </cell>
          <cell r="AW22">
            <v>50000</v>
          </cell>
          <cell r="AX22">
            <v>200000</v>
          </cell>
          <cell r="AY22">
            <v>200000</v>
          </cell>
          <cell r="AZ22">
            <v>1420000</v>
          </cell>
          <cell r="BA22">
            <v>371000</v>
          </cell>
          <cell r="BC22">
            <v>0</v>
          </cell>
          <cell r="BD22">
            <v>1049000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2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C24">
            <v>0</v>
          </cell>
          <cell r="BD24">
            <v>0</v>
          </cell>
          <cell r="BF24">
            <v>0</v>
          </cell>
          <cell r="BG24">
            <v>2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-500000</v>
          </cell>
          <cell r="D25">
            <v>275000</v>
          </cell>
          <cell r="E25">
            <v>102500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S25">
            <v>500000</v>
          </cell>
          <cell r="T25" t="str">
            <v>BANQUE</v>
          </cell>
          <cell r="U25">
            <v>862500</v>
          </cell>
          <cell r="Y25">
            <v>250000</v>
          </cell>
          <cell r="Z25">
            <v>500000</v>
          </cell>
          <cell r="AA25" t="str">
            <v>BANQUE</v>
          </cell>
          <cell r="AK25">
            <v>100000</v>
          </cell>
          <cell r="AN25">
            <v>2500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600000</v>
          </cell>
          <cell r="BA25">
            <v>100000</v>
          </cell>
          <cell r="BC25">
            <v>0</v>
          </cell>
          <cell r="BD25">
            <v>500000</v>
          </cell>
          <cell r="BF25">
            <v>15000</v>
          </cell>
          <cell r="BG25">
            <v>3</v>
          </cell>
        </row>
        <row r="26">
          <cell r="A26" t="str">
            <v>AS201624</v>
          </cell>
          <cell r="B26" t="str">
            <v>NGONDIEP CLAUDE</v>
          </cell>
          <cell r="C26">
            <v>136500</v>
          </cell>
          <cell r="D26">
            <v>240000</v>
          </cell>
          <cell r="E26">
            <v>237500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101000</v>
          </cell>
          <cell r="R26">
            <v>0</v>
          </cell>
          <cell r="U26">
            <v>341000</v>
          </cell>
          <cell r="Y26">
            <v>225000</v>
          </cell>
          <cell r="AJ26">
            <v>100000</v>
          </cell>
          <cell r="AM26">
            <v>1500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C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460000</v>
          </cell>
          <cell r="E27">
            <v>0</v>
          </cell>
          <cell r="F27">
            <v>0</v>
          </cell>
          <cell r="G27">
            <v>5000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205000</v>
          </cell>
          <cell r="U27">
            <v>460000</v>
          </cell>
          <cell r="Y27">
            <v>250000</v>
          </cell>
          <cell r="AI27">
            <v>50000</v>
          </cell>
          <cell r="AK27">
            <v>100000</v>
          </cell>
          <cell r="AL27">
            <v>500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30000</v>
          </cell>
          <cell r="AW27">
            <v>50000</v>
          </cell>
          <cell r="AX27">
            <v>0</v>
          </cell>
          <cell r="AY27">
            <v>100000</v>
          </cell>
          <cell r="AZ27">
            <v>150000</v>
          </cell>
          <cell r="BA27">
            <v>50000</v>
          </cell>
          <cell r="BC27">
            <v>0</v>
          </cell>
          <cell r="BD27">
            <v>100000</v>
          </cell>
          <cell r="BF27">
            <v>0</v>
          </cell>
          <cell r="BG27">
            <v>2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1050000</v>
          </cell>
          <cell r="Y28">
            <v>50000</v>
          </cell>
          <cell r="Z28">
            <v>1000000</v>
          </cell>
          <cell r="AA28" t="str">
            <v>BANQUE</v>
          </cell>
          <cell r="AI28">
            <v>50000</v>
          </cell>
          <cell r="AL28">
            <v>500</v>
          </cell>
          <cell r="AQ28">
            <v>0</v>
          </cell>
          <cell r="AR28">
            <v>0</v>
          </cell>
          <cell r="AS28">
            <v>25000</v>
          </cell>
          <cell r="AW28">
            <v>50000</v>
          </cell>
          <cell r="AX28">
            <v>0</v>
          </cell>
          <cell r="AY28">
            <v>0</v>
          </cell>
          <cell r="AZ28">
            <v>1020000</v>
          </cell>
          <cell r="BA28">
            <v>50000</v>
          </cell>
          <cell r="BC28">
            <v>0</v>
          </cell>
          <cell r="BD28">
            <v>970000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2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206500</v>
          </cell>
          <cell r="F32">
            <v>0</v>
          </cell>
          <cell r="H32">
            <v>3000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203500</v>
          </cell>
          <cell r="S32">
            <v>1000000</v>
          </cell>
          <cell r="T32" t="str">
            <v>BANQUE</v>
          </cell>
          <cell r="U32">
            <v>1456500</v>
          </cell>
          <cell r="Y32">
            <v>250000</v>
          </cell>
          <cell r="Z32">
            <v>1000000</v>
          </cell>
          <cell r="AA32" t="str">
            <v>BANQUE</v>
          </cell>
          <cell r="AE32">
            <v>15000</v>
          </cell>
          <cell r="AI32">
            <v>50000</v>
          </cell>
          <cell r="AK32">
            <v>200000</v>
          </cell>
          <cell r="AL32">
            <v>1000</v>
          </cell>
          <cell r="AN32">
            <v>7000</v>
          </cell>
          <cell r="AQ32">
            <v>0</v>
          </cell>
          <cell r="AR32">
            <v>0</v>
          </cell>
          <cell r="AS32">
            <v>25000</v>
          </cell>
          <cell r="AW32">
            <v>50000</v>
          </cell>
          <cell r="AX32">
            <v>0</v>
          </cell>
          <cell r="AY32">
            <v>1385000</v>
          </cell>
          <cell r="AZ32">
            <v>2405000</v>
          </cell>
          <cell r="BA32">
            <v>250000</v>
          </cell>
          <cell r="BC32">
            <v>0</v>
          </cell>
          <cell r="BD32">
            <v>2155000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2</v>
          </cell>
        </row>
        <row r="34">
          <cell r="A34" t="str">
            <v>AS201638</v>
          </cell>
          <cell r="B34" t="str">
            <v>SIMO PIERRE</v>
          </cell>
          <cell r="C34">
            <v>-30500</v>
          </cell>
          <cell r="D34">
            <v>0</v>
          </cell>
          <cell r="E34">
            <v>500000</v>
          </cell>
          <cell r="F34">
            <v>0</v>
          </cell>
          <cell r="H34">
            <v>0</v>
          </cell>
          <cell r="I34" t="str">
            <v>ESPECES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BANQUE</v>
          </cell>
          <cell r="U34">
            <v>530500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-25000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2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202500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202500</v>
          </cell>
          <cell r="R35">
            <v>0</v>
          </cell>
          <cell r="U35">
            <v>327500</v>
          </cell>
          <cell r="Y35">
            <v>125000</v>
          </cell>
          <cell r="AI35">
            <v>50000</v>
          </cell>
          <cell r="AJ35">
            <v>100000</v>
          </cell>
          <cell r="AL35">
            <v>1000</v>
          </cell>
          <cell r="AM35">
            <v>1000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50000</v>
          </cell>
          <cell r="AX35">
            <v>100000</v>
          </cell>
          <cell r="AY35">
            <v>0</v>
          </cell>
          <cell r="AZ35">
            <v>150000</v>
          </cell>
          <cell r="BA35">
            <v>150000</v>
          </cell>
          <cell r="BC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K36">
            <v>100000</v>
          </cell>
          <cell r="AN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C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2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125000</v>
          </cell>
          <cell r="Y39">
            <v>125000</v>
          </cell>
          <cell r="AI39">
            <v>50000</v>
          </cell>
          <cell r="AJ39">
            <v>100000</v>
          </cell>
          <cell r="AL39">
            <v>1000</v>
          </cell>
          <cell r="AM39">
            <v>1500</v>
          </cell>
          <cell r="AQ39">
            <v>0</v>
          </cell>
          <cell r="AR39">
            <v>0</v>
          </cell>
          <cell r="AS39">
            <v>25000</v>
          </cell>
          <cell r="AW39">
            <v>50000</v>
          </cell>
          <cell r="AX39">
            <v>100000</v>
          </cell>
          <cell r="AY39">
            <v>0</v>
          </cell>
          <cell r="AZ39">
            <v>150000</v>
          </cell>
          <cell r="BA39">
            <v>150000</v>
          </cell>
          <cell r="BC39">
            <v>0</v>
          </cell>
          <cell r="BD39">
            <v>0</v>
          </cell>
          <cell r="BF39">
            <v>0</v>
          </cell>
          <cell r="BG39">
            <v>2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2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E41">
            <v>15000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1185000</v>
          </cell>
          <cell r="AZ41">
            <v>1185000</v>
          </cell>
          <cell r="BA41">
            <v>500000</v>
          </cell>
          <cell r="BC41">
            <v>0</v>
          </cell>
          <cell r="BD41">
            <v>685000</v>
          </cell>
          <cell r="BF41">
            <v>0</v>
          </cell>
          <cell r="BG41">
            <v>2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2</v>
          </cell>
        </row>
        <row r="43">
          <cell r="B43" t="str">
            <v>LOWE</v>
          </cell>
          <cell r="E43">
            <v>50000</v>
          </cell>
        </row>
        <row r="44">
          <cell r="B44" t="str">
            <v>TOTAUX</v>
          </cell>
          <cell r="C44">
            <v>-4603500</v>
          </cell>
          <cell r="D44">
            <v>5455000</v>
          </cell>
          <cell r="E44">
            <v>2976000</v>
          </cell>
          <cell r="F44">
            <v>0</v>
          </cell>
          <cell r="G44">
            <v>132000</v>
          </cell>
          <cell r="H44">
            <v>21000</v>
          </cell>
          <cell r="I44">
            <v>0</v>
          </cell>
          <cell r="J44">
            <v>34</v>
          </cell>
          <cell r="K44">
            <v>1700000</v>
          </cell>
          <cell r="L44">
            <v>13</v>
          </cell>
          <cell r="M44">
            <v>975000</v>
          </cell>
          <cell r="N44">
            <v>23</v>
          </cell>
          <cell r="O44">
            <v>2300000</v>
          </cell>
          <cell r="P44">
            <v>89500</v>
          </cell>
          <cell r="Q44">
            <v>809000</v>
          </cell>
          <cell r="R44">
            <v>1093000</v>
          </cell>
          <cell r="S44">
            <v>5900000</v>
          </cell>
          <cell r="U44">
            <v>12969500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4550000</v>
          </cell>
          <cell r="AA44">
            <v>0</v>
          </cell>
          <cell r="AC44">
            <v>0</v>
          </cell>
          <cell r="AD44">
            <v>7500</v>
          </cell>
          <cell r="AE44">
            <v>30000</v>
          </cell>
          <cell r="AF44">
            <v>0</v>
          </cell>
          <cell r="AG44">
            <v>0</v>
          </cell>
          <cell r="AI44">
            <v>739500</v>
          </cell>
          <cell r="AJ44">
            <v>800000</v>
          </cell>
          <cell r="AK44">
            <v>1159500</v>
          </cell>
          <cell r="AL44">
            <v>10000</v>
          </cell>
          <cell r="AM44">
            <v>9500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907000</v>
          </cell>
          <cell r="AT44">
            <v>0</v>
          </cell>
          <cell r="AU44">
            <v>0</v>
          </cell>
          <cell r="AV44">
            <v>0</v>
          </cell>
          <cell r="AW44">
            <v>739500</v>
          </cell>
          <cell r="AX44">
            <v>1692500</v>
          </cell>
          <cell r="AY44">
            <v>3529500</v>
          </cell>
          <cell r="AZ44">
            <v>10507000</v>
          </cell>
          <cell r="BA44">
            <v>2976000</v>
          </cell>
          <cell r="BB44">
            <v>0</v>
          </cell>
          <cell r="BC44">
            <v>0</v>
          </cell>
          <cell r="BD44">
            <v>7481000</v>
          </cell>
          <cell r="BE44">
            <v>0</v>
          </cell>
          <cell r="BF44">
            <v>125500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2976000</v>
          </cell>
          <cell r="BB46" t="str">
            <v>ESPECES EN CAISSE</v>
          </cell>
          <cell r="BD46">
            <v>2873000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0</v>
          </cell>
          <cell r="BD47">
            <v>-4608000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C6">
            <v>0</v>
          </cell>
          <cell r="BD6">
            <v>106000</v>
          </cell>
          <cell r="BF6">
            <v>0</v>
          </cell>
          <cell r="BG6">
            <v>1</v>
          </cell>
          <cell r="BH6">
            <v>6000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500</v>
          </cell>
          <cell r="D8">
            <v>378000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50500</v>
          </cell>
          <cell r="Q8">
            <v>202000</v>
          </cell>
          <cell r="R8">
            <v>0</v>
          </cell>
          <cell r="U8">
            <v>377500</v>
          </cell>
          <cell r="Y8">
            <v>125000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100000</v>
          </cell>
          <cell r="E9">
            <v>404500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50500</v>
          </cell>
          <cell r="Q9">
            <v>0</v>
          </cell>
          <cell r="R9">
            <v>204000</v>
          </cell>
          <cell r="U9">
            <v>504500</v>
          </cell>
          <cell r="Y9">
            <v>250000</v>
          </cell>
          <cell r="AK9">
            <v>200000</v>
          </cell>
          <cell r="AN9">
            <v>7000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101000</v>
          </cell>
          <cell r="E10">
            <v>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51000</v>
          </cell>
          <cell r="Q10">
            <v>0</v>
          </cell>
          <cell r="R10">
            <v>0</v>
          </cell>
          <cell r="U10">
            <v>101000</v>
          </cell>
          <cell r="Y10">
            <v>50000</v>
          </cell>
          <cell r="AI10">
            <v>20000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20000</v>
          </cell>
          <cell r="AX10">
            <v>0</v>
          </cell>
          <cell r="AY10">
            <v>0</v>
          </cell>
          <cell r="AZ10">
            <v>20000</v>
          </cell>
          <cell r="BA10">
            <v>20000</v>
          </cell>
          <cell r="BC10">
            <v>0</v>
          </cell>
          <cell r="BD10">
            <v>0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-216000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50500</v>
          </cell>
          <cell r="Q11">
            <v>0</v>
          </cell>
          <cell r="R11">
            <v>165500</v>
          </cell>
          <cell r="U11">
            <v>366000</v>
          </cell>
          <cell r="Y11">
            <v>150000</v>
          </cell>
          <cell r="AI11">
            <v>50500</v>
          </cell>
          <cell r="AK11">
            <v>165500</v>
          </cell>
          <cell r="AL11">
            <v>1000</v>
          </cell>
          <cell r="AN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50500</v>
          </cell>
          <cell r="AX11">
            <v>0</v>
          </cell>
          <cell r="AY11">
            <v>165500</v>
          </cell>
          <cell r="AZ11">
            <v>216000</v>
          </cell>
          <cell r="BC11">
            <v>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600000</v>
          </cell>
          <cell r="E12">
            <v>0</v>
          </cell>
          <cell r="F12">
            <v>0</v>
          </cell>
          <cell r="G12">
            <v>200000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150000</v>
          </cell>
          <cell r="T12" t="str">
            <v>BANQUE</v>
          </cell>
          <cell r="U12">
            <v>600000</v>
          </cell>
          <cell r="Y12">
            <v>250000</v>
          </cell>
          <cell r="AK12">
            <v>100000</v>
          </cell>
          <cell r="AN12">
            <v>1500</v>
          </cell>
          <cell r="AP12" t="str">
            <v>BANQUE</v>
          </cell>
          <cell r="AQ12">
            <v>0</v>
          </cell>
          <cell r="AR12">
            <v>0</v>
          </cell>
          <cell r="AS12">
            <v>225000</v>
          </cell>
          <cell r="AW12">
            <v>0</v>
          </cell>
          <cell r="AX12">
            <v>0</v>
          </cell>
          <cell r="AY12">
            <v>100000</v>
          </cell>
          <cell r="AZ12">
            <v>101500</v>
          </cell>
          <cell r="BC12">
            <v>0</v>
          </cell>
          <cell r="BD12">
            <v>101500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C14">
            <v>2500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A14">
            <v>197500</v>
          </cell>
          <cell r="BC14">
            <v>0</v>
          </cell>
          <cell r="BD14">
            <v>0</v>
          </cell>
          <cell r="BF14">
            <v>0</v>
          </cell>
          <cell r="BG14">
            <v>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K15">
            <v>200000</v>
          </cell>
          <cell r="AN15">
            <v>3000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200000</v>
          </cell>
          <cell r="AZ15">
            <v>200000</v>
          </cell>
          <cell r="BC15">
            <v>0</v>
          </cell>
          <cell r="BD15">
            <v>200000</v>
          </cell>
          <cell r="BF15">
            <v>0</v>
          </cell>
          <cell r="BG15">
            <v>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</v>
          </cell>
        </row>
        <row r="17">
          <cell r="A17" t="str">
            <v>AS201613</v>
          </cell>
          <cell r="B17" t="str">
            <v>HOTCHO BENJAMIN</v>
          </cell>
          <cell r="C17">
            <v>-345500</v>
          </cell>
          <cell r="D17">
            <v>395500</v>
          </cell>
          <cell r="E17">
            <v>50500</v>
          </cell>
          <cell r="F17">
            <v>0</v>
          </cell>
          <cell r="G17">
            <v>15000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50500</v>
          </cell>
          <cell r="Q17">
            <v>101000</v>
          </cell>
          <cell r="R17">
            <v>0</v>
          </cell>
          <cell r="S17">
            <v>400000</v>
          </cell>
          <cell r="T17" t="str">
            <v>BANQUE</v>
          </cell>
          <cell r="U17">
            <v>791500</v>
          </cell>
          <cell r="Y17">
            <v>225000</v>
          </cell>
          <cell r="Z17">
            <v>400000</v>
          </cell>
          <cell r="AA17" t="str">
            <v>BANQUE</v>
          </cell>
          <cell r="AK17">
            <v>200000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40000</v>
          </cell>
          <cell r="AW17">
            <v>0</v>
          </cell>
          <cell r="AX17">
            <v>0</v>
          </cell>
          <cell r="AY17">
            <v>200000</v>
          </cell>
          <cell r="AZ17">
            <v>596000</v>
          </cell>
          <cell r="BC17">
            <v>0</v>
          </cell>
          <cell r="BD17">
            <v>600000</v>
          </cell>
          <cell r="BF17">
            <v>4000</v>
          </cell>
          <cell r="BG17">
            <v>1</v>
          </cell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-153500</v>
          </cell>
          <cell r="D18">
            <v>0</v>
          </cell>
          <cell r="E18">
            <v>150000</v>
          </cell>
          <cell r="F18">
            <v>0</v>
          </cell>
          <cell r="G18">
            <v>-3000</v>
          </cell>
          <cell r="H18">
            <v>3000</v>
          </cell>
          <cell r="I18" t="str">
            <v>ESPECES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51000</v>
          </cell>
          <cell r="Q18">
            <v>0</v>
          </cell>
          <cell r="R18">
            <v>102500</v>
          </cell>
          <cell r="U18">
            <v>303500</v>
          </cell>
          <cell r="Y18">
            <v>150000</v>
          </cell>
          <cell r="AI18">
            <v>51000</v>
          </cell>
          <cell r="AK18">
            <v>207500</v>
          </cell>
          <cell r="AL18">
            <v>2000</v>
          </cell>
          <cell r="AN18">
            <v>3000</v>
          </cell>
          <cell r="AP18" t="str">
            <v>BANQUE</v>
          </cell>
          <cell r="AQ18">
            <v>0</v>
          </cell>
          <cell r="AR18">
            <v>0</v>
          </cell>
          <cell r="AS18">
            <v>22000</v>
          </cell>
          <cell r="AW18">
            <v>51000</v>
          </cell>
          <cell r="AX18">
            <v>0</v>
          </cell>
          <cell r="AY18">
            <v>207500</v>
          </cell>
          <cell r="AZ18">
            <v>358500</v>
          </cell>
          <cell r="BA18">
            <v>100000</v>
          </cell>
          <cell r="BC18">
            <v>0</v>
          </cell>
          <cell r="BD18">
            <v>100000</v>
          </cell>
          <cell r="BF18">
            <v>0</v>
          </cell>
          <cell r="BG18">
            <v>1</v>
          </cell>
          <cell r="BK18">
            <v>100000</v>
          </cell>
        </row>
        <row r="19">
          <cell r="A19" t="str">
            <v>AS201619</v>
          </cell>
          <cell r="B19" t="str">
            <v>KOUATCHO MESSACK</v>
          </cell>
          <cell r="C19">
            <v>103000</v>
          </cell>
          <cell r="D19">
            <v>335000</v>
          </cell>
          <cell r="E19">
            <v>0</v>
          </cell>
          <cell r="F19">
            <v>0</v>
          </cell>
          <cell r="G19">
            <v>7000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U19">
            <v>232000</v>
          </cell>
          <cell r="Y19">
            <v>225000</v>
          </cell>
          <cell r="AK19">
            <v>200000</v>
          </cell>
          <cell r="AN19">
            <v>8000</v>
          </cell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W19">
            <v>0</v>
          </cell>
          <cell r="AX19">
            <v>0</v>
          </cell>
          <cell r="AY19">
            <v>200000</v>
          </cell>
          <cell r="AZ19">
            <v>200000</v>
          </cell>
          <cell r="BA19">
            <v>100000</v>
          </cell>
          <cell r="BC19">
            <v>0</v>
          </cell>
          <cell r="BD19">
            <v>100000</v>
          </cell>
          <cell r="BF19">
            <v>0</v>
          </cell>
          <cell r="BG19">
            <v>1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-51000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51000</v>
          </cell>
          <cell r="Q21">
            <v>0</v>
          </cell>
          <cell r="R21">
            <v>0</v>
          </cell>
          <cell r="U21">
            <v>101000</v>
          </cell>
          <cell r="Y21">
            <v>50000</v>
          </cell>
          <cell r="AI21">
            <v>51000</v>
          </cell>
          <cell r="AL21">
            <v>2000</v>
          </cell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51000</v>
          </cell>
          <cell r="AX21">
            <v>0</v>
          </cell>
          <cell r="AY21">
            <v>0</v>
          </cell>
          <cell r="AZ21">
            <v>51000</v>
          </cell>
          <cell r="BC21">
            <v>0</v>
          </cell>
          <cell r="BD21">
            <v>0</v>
          </cell>
          <cell r="BF21">
            <v>0</v>
          </cell>
          <cell r="BG21">
            <v>1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784400</v>
          </cell>
          <cell r="E22">
            <v>0</v>
          </cell>
          <cell r="F22">
            <v>0</v>
          </cell>
          <cell r="G22">
            <v>400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51000</v>
          </cell>
          <cell r="Q22">
            <v>202500</v>
          </cell>
          <cell r="R22">
            <v>205500</v>
          </cell>
          <cell r="U22">
            <v>784400</v>
          </cell>
          <cell r="Y22">
            <v>325000</v>
          </cell>
          <cell r="AK22">
            <v>144000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25400</v>
          </cell>
          <cell r="AW22">
            <v>0</v>
          </cell>
          <cell r="AX22">
            <v>0</v>
          </cell>
          <cell r="AY22">
            <v>144000</v>
          </cell>
          <cell r="AZ22">
            <v>144000</v>
          </cell>
          <cell r="BA22">
            <v>44000</v>
          </cell>
          <cell r="BC22">
            <v>0</v>
          </cell>
          <cell r="BD22">
            <v>100000</v>
          </cell>
          <cell r="BF22">
            <v>0</v>
          </cell>
          <cell r="BG22">
            <v>1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C24">
            <v>2500</v>
          </cell>
          <cell r="AQ24">
            <v>0</v>
          </cell>
          <cell r="AR24">
            <v>0</v>
          </cell>
          <cell r="AS24">
            <v>25000</v>
          </cell>
          <cell r="AW24">
            <v>297500</v>
          </cell>
          <cell r="AX24">
            <v>0</v>
          </cell>
          <cell r="AY24">
            <v>0</v>
          </cell>
          <cell r="AZ24">
            <v>297500</v>
          </cell>
          <cell r="BA24">
            <v>297500</v>
          </cell>
          <cell r="BC24">
            <v>0</v>
          </cell>
          <cell r="BD24">
            <v>0</v>
          </cell>
          <cell r="BF24">
            <v>0</v>
          </cell>
          <cell r="BG24">
            <v>1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362500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U25">
            <v>362500</v>
          </cell>
          <cell r="Y25">
            <v>250000</v>
          </cell>
          <cell r="AE25">
            <v>10000</v>
          </cell>
          <cell r="AK25">
            <v>200000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C25">
            <v>0</v>
          </cell>
          <cell r="BD25">
            <v>1390000</v>
          </cell>
          <cell r="BF25">
            <v>0</v>
          </cell>
          <cell r="BG25">
            <v>1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101500</v>
          </cell>
          <cell r="R26">
            <v>0</v>
          </cell>
          <cell r="U26">
            <v>341500</v>
          </cell>
          <cell r="Y26">
            <v>225000</v>
          </cell>
          <cell r="AJ26">
            <v>101500</v>
          </cell>
          <cell r="AK26">
            <v>200000</v>
          </cell>
          <cell r="AM26">
            <v>3000</v>
          </cell>
          <cell r="AN26">
            <v>3000</v>
          </cell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101500</v>
          </cell>
          <cell r="AY26">
            <v>200000</v>
          </cell>
          <cell r="AZ26">
            <v>301500</v>
          </cell>
          <cell r="BA26">
            <v>12000</v>
          </cell>
          <cell r="BC26">
            <v>0</v>
          </cell>
          <cell r="BD26">
            <v>200000</v>
          </cell>
          <cell r="BF26">
            <v>0</v>
          </cell>
          <cell r="BG26">
            <v>1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410500</v>
          </cell>
          <cell r="E27">
            <v>0</v>
          </cell>
          <cell r="F27">
            <v>0</v>
          </cell>
          <cell r="G27">
            <v>7500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50500</v>
          </cell>
          <cell r="Q27">
            <v>0</v>
          </cell>
          <cell r="R27">
            <v>102500</v>
          </cell>
          <cell r="U27">
            <v>410500</v>
          </cell>
          <cell r="Y27">
            <v>250000</v>
          </cell>
          <cell r="AK27">
            <v>200000</v>
          </cell>
          <cell r="AN27">
            <v>6500</v>
          </cell>
          <cell r="AP27" t="str">
            <v>BANQUE</v>
          </cell>
          <cell r="AQ27">
            <v>0</v>
          </cell>
          <cell r="AR27">
            <v>0</v>
          </cell>
          <cell r="AS27">
            <v>32500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C27">
            <v>0</v>
          </cell>
          <cell r="BD27">
            <v>200000</v>
          </cell>
          <cell r="BF27">
            <v>0</v>
          </cell>
          <cell r="BG27">
            <v>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1000</v>
          </cell>
          <cell r="D28">
            <v>100500</v>
          </cell>
          <cell r="E28">
            <v>0</v>
          </cell>
          <cell r="F28">
            <v>0</v>
          </cell>
          <cell r="G28">
            <v>-1000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50500</v>
          </cell>
          <cell r="Q28">
            <v>0</v>
          </cell>
          <cell r="R28">
            <v>0</v>
          </cell>
          <cell r="U28">
            <v>99500</v>
          </cell>
          <cell r="Y28">
            <v>50000</v>
          </cell>
          <cell r="AI28">
            <v>50500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24000</v>
          </cell>
          <cell r="AW28">
            <v>50500</v>
          </cell>
          <cell r="AX28">
            <v>0</v>
          </cell>
          <cell r="AY28">
            <v>0</v>
          </cell>
          <cell r="AZ28">
            <v>50500</v>
          </cell>
          <cell r="BC28">
            <v>0</v>
          </cell>
          <cell r="BD28">
            <v>51000</v>
          </cell>
          <cell r="BF28">
            <v>0</v>
          </cell>
          <cell r="BG28">
            <v>1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150000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150000</v>
          </cell>
          <cell r="T29" t="str">
            <v>BANQUE</v>
          </cell>
          <cell r="U29">
            <v>200000</v>
          </cell>
          <cell r="Y29">
            <v>50000</v>
          </cell>
          <cell r="Z29">
            <v>250000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247500</v>
          </cell>
          <cell r="BC29">
            <v>0</v>
          </cell>
          <cell r="BD29">
            <v>347500</v>
          </cell>
          <cell r="BF29">
            <v>2500</v>
          </cell>
          <cell r="BG29">
            <v>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U31">
            <v>109000</v>
          </cell>
          <cell r="Y31">
            <v>50000</v>
          </cell>
          <cell r="AI31">
            <v>59000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C31">
            <v>0</v>
          </cell>
          <cell r="BD31">
            <v>59000</v>
          </cell>
          <cell r="BF31">
            <v>0</v>
          </cell>
          <cell r="BG31">
            <v>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508000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51000</v>
          </cell>
          <cell r="Q32">
            <v>0</v>
          </cell>
          <cell r="R32">
            <v>207000</v>
          </cell>
          <cell r="U32">
            <v>508000</v>
          </cell>
          <cell r="Y32">
            <v>250000</v>
          </cell>
          <cell r="AK32">
            <v>200000</v>
          </cell>
          <cell r="AN32">
            <v>3000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C32">
            <v>0</v>
          </cell>
          <cell r="BD32">
            <v>200000</v>
          </cell>
          <cell r="BF32">
            <v>0</v>
          </cell>
          <cell r="BG32">
            <v>1</v>
          </cell>
          <cell r="BO32" t="str">
            <v xml:space="preserve">DECES 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U34">
            <v>30500</v>
          </cell>
          <cell r="Y34">
            <v>0</v>
          </cell>
          <cell r="AI34">
            <v>30500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C34">
            <v>0</v>
          </cell>
          <cell r="BD34">
            <v>30500</v>
          </cell>
          <cell r="BF34">
            <v>0</v>
          </cell>
          <cell r="BG34">
            <v>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277000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51000</v>
          </cell>
          <cell r="Q35">
            <v>101000</v>
          </cell>
          <cell r="R35">
            <v>0</v>
          </cell>
          <cell r="U35">
            <v>277000</v>
          </cell>
          <cell r="Y35">
            <v>125000</v>
          </cell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-200000</v>
          </cell>
          <cell r="BF35">
            <v>0</v>
          </cell>
          <cell r="BG35">
            <v>1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102500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102500</v>
          </cell>
          <cell r="U36">
            <v>252500</v>
          </cell>
          <cell r="Y36">
            <v>150000</v>
          </cell>
          <cell r="AK36">
            <v>100000</v>
          </cell>
          <cell r="AN36">
            <v>3500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C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S/TOTAL</v>
          </cell>
          <cell r="BQ36">
            <v>100000</v>
          </cell>
        </row>
        <row r="37">
          <cell r="A37" t="str">
            <v>AS201643</v>
          </cell>
          <cell r="B37" t="str">
            <v>TCHOUTOU NANA CLAUDE</v>
          </cell>
          <cell r="C37">
            <v>-217500</v>
          </cell>
          <cell r="D37">
            <v>50000</v>
          </cell>
          <cell r="E37">
            <v>0</v>
          </cell>
          <cell r="F37">
            <v>0</v>
          </cell>
          <cell r="G37">
            <v>217500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267500</v>
          </cell>
          <cell r="Y37">
            <v>50000</v>
          </cell>
          <cell r="AC37">
            <v>2500</v>
          </cell>
          <cell r="AQ37">
            <v>0</v>
          </cell>
          <cell r="AR37">
            <v>0</v>
          </cell>
          <cell r="AS37">
            <v>242500</v>
          </cell>
          <cell r="AW37">
            <v>297500</v>
          </cell>
          <cell r="AX37">
            <v>0</v>
          </cell>
          <cell r="AY37">
            <v>0</v>
          </cell>
          <cell r="AZ37">
            <v>297500</v>
          </cell>
          <cell r="BA37">
            <v>80000</v>
          </cell>
          <cell r="BC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S/TOTAL</v>
          </cell>
          <cell r="BQ37">
            <v>100000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</v>
          </cell>
        </row>
        <row r="39">
          <cell r="A39" t="str">
            <v>AS201658</v>
          </cell>
          <cell r="B39" t="str">
            <v>YANTCHOU GERVAIS</v>
          </cell>
          <cell r="C39">
            <v>-892500</v>
          </cell>
          <cell r="D39">
            <v>125000</v>
          </cell>
          <cell r="E39">
            <v>152500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51000</v>
          </cell>
          <cell r="Q39">
            <v>101500</v>
          </cell>
          <cell r="R39">
            <v>0</v>
          </cell>
          <cell r="S39">
            <v>892500</v>
          </cell>
          <cell r="T39" t="str">
            <v>BANQUE</v>
          </cell>
          <cell r="U39">
            <v>1170000</v>
          </cell>
          <cell r="Y39">
            <v>125000</v>
          </cell>
          <cell r="AD39">
            <v>7500</v>
          </cell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892500</v>
          </cell>
          <cell r="AY39">
            <v>0</v>
          </cell>
          <cell r="AZ39">
            <v>892500</v>
          </cell>
          <cell r="BC39">
            <v>0</v>
          </cell>
          <cell r="BD39">
            <v>-5000</v>
          </cell>
          <cell r="BF39">
            <v>0</v>
          </cell>
          <cell r="BG39">
            <v>1</v>
          </cell>
        </row>
        <row r="40">
          <cell r="A40" t="str">
            <v>AS201646</v>
          </cell>
          <cell r="B40" t="str">
            <v>YEPMOU JEAN JACQUES</v>
          </cell>
          <cell r="C40">
            <v>3000</v>
          </cell>
          <cell r="D40">
            <v>50000</v>
          </cell>
          <cell r="E40">
            <v>0</v>
          </cell>
          <cell r="F40">
            <v>0</v>
          </cell>
          <cell r="G40">
            <v>-3000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47000</v>
          </cell>
          <cell r="Y40">
            <v>50000</v>
          </cell>
          <cell r="AC40">
            <v>2500</v>
          </cell>
          <cell r="AQ40">
            <v>0</v>
          </cell>
          <cell r="AR40">
            <v>0</v>
          </cell>
          <cell r="AS40">
            <v>22000</v>
          </cell>
          <cell r="AW40">
            <v>297500</v>
          </cell>
          <cell r="AX40">
            <v>0</v>
          </cell>
          <cell r="AY40">
            <v>0</v>
          </cell>
          <cell r="AZ40">
            <v>297500</v>
          </cell>
          <cell r="BA40">
            <v>262500</v>
          </cell>
          <cell r="BC40">
            <v>0</v>
          </cell>
          <cell r="BD40">
            <v>35000</v>
          </cell>
          <cell r="BF40">
            <v>0</v>
          </cell>
          <cell r="BG40">
            <v>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K41">
            <v>200000</v>
          </cell>
          <cell r="AN41">
            <v>3000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200000</v>
          </cell>
          <cell r="AZ41">
            <v>200000</v>
          </cell>
          <cell r="BC41">
            <v>0</v>
          </cell>
          <cell r="BD41">
            <v>200000</v>
          </cell>
          <cell r="BF41">
            <v>0</v>
          </cell>
          <cell r="BG41">
            <v>1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C42">
            <v>2500</v>
          </cell>
          <cell r="AD42">
            <v>7500</v>
          </cell>
          <cell r="AE42">
            <v>10000</v>
          </cell>
          <cell r="AQ42">
            <v>0</v>
          </cell>
          <cell r="AR42">
            <v>0</v>
          </cell>
          <cell r="AS42">
            <v>25000</v>
          </cell>
          <cell r="AW42">
            <v>297500</v>
          </cell>
          <cell r="AX42">
            <v>892500</v>
          </cell>
          <cell r="AY42">
            <v>1190000</v>
          </cell>
          <cell r="AZ42">
            <v>2380000</v>
          </cell>
          <cell r="BC42">
            <v>0</v>
          </cell>
          <cell r="BD42">
            <v>2380000</v>
          </cell>
          <cell r="BF42">
            <v>0</v>
          </cell>
          <cell r="BG42">
            <v>1</v>
          </cell>
        </row>
        <row r="44">
          <cell r="B44" t="str">
            <v>TOTAUX</v>
          </cell>
          <cell r="C44">
            <v>-1827500</v>
          </cell>
          <cell r="D44">
            <v>6417400</v>
          </cell>
          <cell r="E44">
            <v>1413000</v>
          </cell>
          <cell r="F44">
            <v>0</v>
          </cell>
          <cell r="G44">
            <v>459400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749500</v>
          </cell>
          <cell r="Q44">
            <v>809500</v>
          </cell>
          <cell r="R44">
            <v>1192000</v>
          </cell>
          <cell r="S44">
            <v>1592500</v>
          </cell>
          <cell r="U44">
            <v>9789900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650000</v>
          </cell>
          <cell r="AA44">
            <v>0</v>
          </cell>
          <cell r="AC44">
            <v>12500</v>
          </cell>
          <cell r="AD44">
            <v>15000</v>
          </cell>
          <cell r="AE44">
            <v>20000</v>
          </cell>
          <cell r="AF44">
            <v>0</v>
          </cell>
          <cell r="AG44">
            <v>0</v>
          </cell>
          <cell r="AI44">
            <v>312500</v>
          </cell>
          <cell r="AJ44">
            <v>101500</v>
          </cell>
          <cell r="AK44">
            <v>2517000</v>
          </cell>
          <cell r="AL44">
            <v>6500</v>
          </cell>
          <cell r="AM44">
            <v>3000</v>
          </cell>
          <cell r="AN44">
            <v>52500</v>
          </cell>
          <cell r="AO44">
            <v>0</v>
          </cell>
          <cell r="AQ44">
            <v>0</v>
          </cell>
          <cell r="AR44">
            <v>0</v>
          </cell>
          <cell r="AS44">
            <v>1309400</v>
          </cell>
          <cell r="AT44">
            <v>0</v>
          </cell>
          <cell r="AU44">
            <v>0</v>
          </cell>
          <cell r="AV44">
            <v>0</v>
          </cell>
          <cell r="AW44">
            <v>1800000</v>
          </cell>
          <cell r="AX44">
            <v>1886500</v>
          </cell>
          <cell r="AY44">
            <v>4897000</v>
          </cell>
          <cell r="AZ44">
            <v>9434500</v>
          </cell>
          <cell r="BA44">
            <v>1413500</v>
          </cell>
          <cell r="BB44">
            <v>0</v>
          </cell>
          <cell r="BC44">
            <v>0</v>
          </cell>
          <cell r="BD44">
            <v>6195500</v>
          </cell>
          <cell r="BE44">
            <v>0</v>
          </cell>
          <cell r="BF44">
            <v>6500</v>
          </cell>
          <cell r="BH44">
            <v>6000</v>
          </cell>
          <cell r="BI44">
            <v>0</v>
          </cell>
          <cell r="BJ44">
            <v>100000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1413000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-500</v>
          </cell>
          <cell r="BD47">
            <v>-6195500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80000</v>
          </cell>
          <cell r="D6">
            <v>250000</v>
          </cell>
          <cell r="E6">
            <v>80000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D6">
            <v>7500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0</v>
          </cell>
          <cell r="AZ6">
            <v>944500</v>
          </cell>
          <cell r="BA6">
            <v>46000</v>
          </cell>
          <cell r="BC6">
            <v>0</v>
          </cell>
          <cell r="BD6">
            <v>898500</v>
          </cell>
          <cell r="BF6">
            <v>0</v>
          </cell>
          <cell r="BG6">
            <v>1</v>
          </cell>
          <cell r="BH6">
            <v>52000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 t="str">
            <v>ESPECES</v>
          </cell>
          <cell r="U7">
            <v>1050000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980000</v>
          </cell>
          <cell r="BA7">
            <v>980000</v>
          </cell>
          <cell r="BC7">
            <v>0</v>
          </cell>
          <cell r="BD7">
            <v>0</v>
          </cell>
          <cell r="BF7">
            <v>20000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ESPECES</v>
          </cell>
          <cell r="U8">
            <v>625000</v>
          </cell>
          <cell r="Y8">
            <v>125000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490000</v>
          </cell>
          <cell r="BA8">
            <v>490000</v>
          </cell>
          <cell r="BC8">
            <v>0</v>
          </cell>
          <cell r="BD8">
            <v>0</v>
          </cell>
          <cell r="BF8">
            <v>10000</v>
          </cell>
          <cell r="BG8">
            <v>2</v>
          </cell>
          <cell r="BO8" t="str">
            <v>COMMISSION</v>
          </cell>
          <cell r="BP8" t="str">
            <v>FONDS DE ROULEMENT</v>
          </cell>
          <cell r="BQ8">
            <v>46000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1457000</v>
          </cell>
          <cell r="F9">
            <v>0</v>
          </cell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207000</v>
          </cell>
          <cell r="S9">
            <v>1000000</v>
          </cell>
          <cell r="T9" t="str">
            <v>ESPECES</v>
          </cell>
          <cell r="U9">
            <v>1457000</v>
          </cell>
          <cell r="Y9">
            <v>250000</v>
          </cell>
          <cell r="Z9">
            <v>1000000</v>
          </cell>
          <cell r="AA9" t="str">
            <v>BANQUE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C9">
            <v>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70000</v>
          </cell>
          <cell r="E10">
            <v>1000500</v>
          </cell>
          <cell r="F10">
            <v>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20500</v>
          </cell>
          <cell r="Q10">
            <v>0</v>
          </cell>
          <cell r="R10">
            <v>0</v>
          </cell>
          <cell r="S10">
            <v>1000000</v>
          </cell>
          <cell r="T10" t="str">
            <v>ESPECES</v>
          </cell>
          <cell r="U10">
            <v>1070500</v>
          </cell>
          <cell r="Y10">
            <v>50000</v>
          </cell>
          <cell r="Z10">
            <v>1000000</v>
          </cell>
          <cell r="AA10" t="str">
            <v>BANQUE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A10">
            <v>880000</v>
          </cell>
          <cell r="BC10">
            <v>0</v>
          </cell>
          <cell r="BD10">
            <v>0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1101500</v>
          </cell>
          <cell r="F11">
            <v>268500</v>
          </cell>
          <cell r="H11">
            <v>0</v>
          </cell>
          <cell r="I11" t="str">
            <v>ESPECES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51500</v>
          </cell>
          <cell r="Q11">
            <v>0</v>
          </cell>
          <cell r="R11">
            <v>168500</v>
          </cell>
          <cell r="S11">
            <v>1000000</v>
          </cell>
          <cell r="T11" t="str">
            <v>ESPECES</v>
          </cell>
          <cell r="U11">
            <v>1370000</v>
          </cell>
          <cell r="Y11">
            <v>150000</v>
          </cell>
          <cell r="Z11">
            <v>1000000</v>
          </cell>
          <cell r="AA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A11">
            <v>980000</v>
          </cell>
          <cell r="BC11">
            <v>268500</v>
          </cell>
          <cell r="BD11">
            <v>-268500</v>
          </cell>
          <cell r="BF11">
            <v>120000</v>
          </cell>
          <cell r="BG11">
            <v>12</v>
          </cell>
          <cell r="BK11">
            <v>100000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101500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101500</v>
          </cell>
          <cell r="U12">
            <v>361500</v>
          </cell>
          <cell r="Y12">
            <v>250000</v>
          </cell>
          <cell r="Z12">
            <v>1000000</v>
          </cell>
          <cell r="AA12" t="str">
            <v>BANQUE</v>
          </cell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C12">
            <v>0</v>
          </cell>
          <cell r="BD12">
            <v>1340000</v>
          </cell>
          <cell r="BE12" t="str">
            <v>0K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H14">
            <v>0</v>
          </cell>
          <cell r="I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203000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203000</v>
          </cell>
          <cell r="U15">
            <v>353000</v>
          </cell>
          <cell r="Y15">
            <v>150000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26000</v>
          </cell>
          <cell r="D16">
            <v>125000</v>
          </cell>
          <cell r="E16">
            <v>26000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603000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203000</v>
          </cell>
          <cell r="S17">
            <v>400000</v>
          </cell>
          <cell r="T17" t="str">
            <v>ESPECES</v>
          </cell>
          <cell r="U17">
            <v>853000</v>
          </cell>
          <cell r="Y17">
            <v>225000</v>
          </cell>
          <cell r="Z17">
            <v>400000</v>
          </cell>
          <cell r="AA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0</v>
          </cell>
          <cell r="AY17">
            <v>0</v>
          </cell>
          <cell r="AZ17">
            <v>392000</v>
          </cell>
          <cell r="BA17">
            <v>392000</v>
          </cell>
          <cell r="BC17">
            <v>0</v>
          </cell>
          <cell r="BD17">
            <v>0</v>
          </cell>
          <cell r="BF17">
            <v>8000</v>
          </cell>
          <cell r="BG17">
            <v>2</v>
          </cell>
          <cell r="BO17" t="str">
            <v>S/TOTAL</v>
          </cell>
          <cell r="BQ17">
            <v>52000</v>
          </cell>
        </row>
        <row r="18">
          <cell r="A18" t="str">
            <v>AS201617</v>
          </cell>
          <cell r="B18" t="str">
            <v>KOUAMOU MOISE</v>
          </cell>
          <cell r="C18">
            <v>-500000</v>
          </cell>
          <cell r="D18">
            <v>250000</v>
          </cell>
          <cell r="E18">
            <v>20000</v>
          </cell>
          <cell r="F18">
            <v>143500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53000</v>
          </cell>
          <cell r="Q18">
            <v>0</v>
          </cell>
          <cell r="R18">
            <v>210500</v>
          </cell>
          <cell r="S18">
            <v>500000</v>
          </cell>
          <cell r="T18" t="str">
            <v>ESPECES</v>
          </cell>
          <cell r="U18">
            <v>913500</v>
          </cell>
          <cell r="Y18">
            <v>150000</v>
          </cell>
          <cell r="Z18">
            <v>500000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C18">
            <v>143500</v>
          </cell>
          <cell r="BD18">
            <v>331500</v>
          </cell>
          <cell r="BF18">
            <v>25000</v>
          </cell>
          <cell r="BG18">
            <v>1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208000</v>
          </cell>
          <cell r="E19">
            <v>1235000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208000</v>
          </cell>
          <cell r="S19">
            <v>1000000</v>
          </cell>
          <cell r="T19" t="str">
            <v>ESPECES</v>
          </cell>
          <cell r="U19">
            <v>1443000</v>
          </cell>
          <cell r="Y19">
            <v>225000</v>
          </cell>
          <cell r="Z19">
            <v>1000000</v>
          </cell>
          <cell r="AA19" t="str">
            <v>BANQUE</v>
          </cell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0</v>
          </cell>
          <cell r="AZ19">
            <v>880000</v>
          </cell>
          <cell r="BC19">
            <v>0</v>
          </cell>
          <cell r="BD19">
            <v>880000</v>
          </cell>
          <cell r="BE19" t="str">
            <v>OK</v>
          </cell>
          <cell r="BF19">
            <v>120000</v>
          </cell>
          <cell r="BG19">
            <v>12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  <cell r="E20">
            <v>50000</v>
          </cell>
          <cell r="G20">
            <v>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53000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53000</v>
          </cell>
          <cell r="Q21">
            <v>0</v>
          </cell>
          <cell r="R21">
            <v>0</v>
          </cell>
          <cell r="U21">
            <v>103000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0</v>
          </cell>
          <cell r="E22">
            <v>1471000</v>
          </cell>
          <cell r="F22">
            <v>0</v>
          </cell>
          <cell r="H22">
            <v>0</v>
          </cell>
          <cell r="I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146000</v>
          </cell>
          <cell r="S22">
            <v>1000000</v>
          </cell>
          <cell r="T22" t="str">
            <v>ESPECES</v>
          </cell>
          <cell r="U22">
            <v>1471000</v>
          </cell>
          <cell r="Y22">
            <v>325000</v>
          </cell>
          <cell r="Z22">
            <v>1000000</v>
          </cell>
          <cell r="AA22" t="str">
            <v>BANQUE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A22">
            <v>970000</v>
          </cell>
          <cell r="BC22">
            <v>0</v>
          </cell>
          <cell r="BD22">
            <v>-90000</v>
          </cell>
          <cell r="BF22">
            <v>120000</v>
          </cell>
          <cell r="BG22">
            <v>12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0</v>
          </cell>
          <cell r="E23">
            <v>50000</v>
          </cell>
          <cell r="F23">
            <v>0</v>
          </cell>
          <cell r="H23">
            <v>0</v>
          </cell>
          <cell r="I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AS201621</v>
          </cell>
          <cell r="B24" t="str">
            <v>NANKAM APPOLINAIRE</v>
          </cell>
          <cell r="C24">
            <v>26000</v>
          </cell>
          <cell r="D24">
            <v>125000</v>
          </cell>
          <cell r="E24">
            <v>26000</v>
          </cell>
          <cell r="F24">
            <v>900000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 t="str">
            <v>EN COMPTE</v>
          </cell>
          <cell r="U24">
            <v>1025000</v>
          </cell>
          <cell r="Y24">
            <v>125000</v>
          </cell>
          <cell r="Z24">
            <v>900000</v>
          </cell>
          <cell r="AA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652000</v>
          </cell>
          <cell r="BC24">
            <v>900000</v>
          </cell>
          <cell r="BD24">
            <v>-248000</v>
          </cell>
          <cell r="BF24">
            <v>108000</v>
          </cell>
          <cell r="BG24">
            <v>12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760000</v>
          </cell>
          <cell r="E25">
            <v>203000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203000</v>
          </cell>
          <cell r="S25">
            <v>500000</v>
          </cell>
          <cell r="T25" t="str">
            <v>BANQUE</v>
          </cell>
          <cell r="U25">
            <v>963000</v>
          </cell>
          <cell r="Y25">
            <v>250000</v>
          </cell>
          <cell r="Z25">
            <v>500000</v>
          </cell>
          <cell r="AA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470000</v>
          </cell>
          <cell r="BA25">
            <v>376500</v>
          </cell>
          <cell r="BC25">
            <v>0</v>
          </cell>
          <cell r="BD25">
            <v>93500</v>
          </cell>
          <cell r="BE25" t="str">
            <v>OK</v>
          </cell>
          <cell r="BF25">
            <v>30000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1550000</v>
          </cell>
          <cell r="E26">
            <v>0</v>
          </cell>
          <cell r="F26">
            <v>0</v>
          </cell>
          <cell r="G26">
            <v>17500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104500</v>
          </cell>
          <cell r="R26">
            <v>203000</v>
          </cell>
          <cell r="S26">
            <v>1000000</v>
          </cell>
          <cell r="T26" t="str">
            <v>BANQUE</v>
          </cell>
          <cell r="U26">
            <v>1550000</v>
          </cell>
          <cell r="Y26">
            <v>225000</v>
          </cell>
          <cell r="Z26">
            <v>1000000</v>
          </cell>
          <cell r="AA26" t="str">
            <v>BANQUE</v>
          </cell>
          <cell r="AC26">
            <v>2500</v>
          </cell>
          <cell r="AP26" t="str">
            <v>BANQUE</v>
          </cell>
          <cell r="AQ26">
            <v>0</v>
          </cell>
          <cell r="AR26">
            <v>0</v>
          </cell>
          <cell r="AS26">
            <v>42500</v>
          </cell>
          <cell r="AW26">
            <v>297500</v>
          </cell>
          <cell r="AX26">
            <v>0</v>
          </cell>
          <cell r="AY26">
            <v>0</v>
          </cell>
          <cell r="AZ26">
            <v>1177500</v>
          </cell>
          <cell r="BC26">
            <v>0</v>
          </cell>
          <cell r="BD26">
            <v>1177500</v>
          </cell>
          <cell r="BE26" t="str">
            <v>OK</v>
          </cell>
          <cell r="BF26">
            <v>120000</v>
          </cell>
          <cell r="BG26">
            <v>12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Z27">
            <v>1000000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0</v>
          </cell>
          <cell r="AZ27">
            <v>950000</v>
          </cell>
          <cell r="BC27">
            <v>0</v>
          </cell>
          <cell r="BD27">
            <v>950000</v>
          </cell>
          <cell r="BF27">
            <v>50000</v>
          </cell>
          <cell r="BG27">
            <v>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51500</v>
          </cell>
          <cell r="E28">
            <v>1050000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51500</v>
          </cell>
          <cell r="Q28">
            <v>0</v>
          </cell>
          <cell r="R28">
            <v>0</v>
          </cell>
          <cell r="S28">
            <v>1000000</v>
          </cell>
          <cell r="T28" t="str">
            <v>ESPECES</v>
          </cell>
          <cell r="U28">
            <v>1101500</v>
          </cell>
          <cell r="Y28">
            <v>50000</v>
          </cell>
          <cell r="Z28">
            <v>1000000</v>
          </cell>
          <cell r="AA28" t="str">
            <v>BANQUE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A28">
            <v>479500</v>
          </cell>
          <cell r="BC28">
            <v>0</v>
          </cell>
          <cell r="BD28">
            <v>490500</v>
          </cell>
          <cell r="BE28" t="str">
            <v>OK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300000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250000</v>
          </cell>
          <cell r="T29" t="str">
            <v>BANQUE</v>
          </cell>
          <cell r="U29">
            <v>300000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1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-1000000</v>
          </cell>
          <cell r="D31">
            <v>110000</v>
          </cell>
          <cell r="E31">
            <v>0</v>
          </cell>
          <cell r="F31">
            <v>0</v>
          </cell>
          <cell r="G31">
            <v>1000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>
            <v>1000000</v>
          </cell>
          <cell r="T31" t="str">
            <v>BANQUE</v>
          </cell>
          <cell r="U31">
            <v>1110000</v>
          </cell>
          <cell r="Y31">
            <v>50000</v>
          </cell>
          <cell r="Z31">
            <v>900000</v>
          </cell>
          <cell r="AQ31">
            <v>0</v>
          </cell>
          <cell r="AR31">
            <v>0</v>
          </cell>
          <cell r="AS31">
            <v>26000</v>
          </cell>
          <cell r="AW31">
            <v>0</v>
          </cell>
          <cell r="AX31">
            <v>0</v>
          </cell>
          <cell r="AY31">
            <v>0</v>
          </cell>
          <cell r="AZ31">
            <v>855000</v>
          </cell>
          <cell r="BC31">
            <v>0</v>
          </cell>
          <cell r="BD31">
            <v>855000</v>
          </cell>
          <cell r="BF31">
            <v>45000</v>
          </cell>
          <cell r="BG31">
            <v>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1203000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203000</v>
          </cell>
          <cell r="S32">
            <v>1000000</v>
          </cell>
          <cell r="T32" t="str">
            <v>ESPECES</v>
          </cell>
          <cell r="U32">
            <v>1453000</v>
          </cell>
          <cell r="Y32">
            <v>250000</v>
          </cell>
          <cell r="Z32">
            <v>1000000</v>
          </cell>
          <cell r="AA32" t="str">
            <v>BANQUE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>
            <v>970000</v>
          </cell>
          <cell r="BC32">
            <v>0</v>
          </cell>
          <cell r="BD32">
            <v>0</v>
          </cell>
          <cell r="BF32">
            <v>30000</v>
          </cell>
          <cell r="BG32">
            <v>3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-294500</v>
          </cell>
          <cell r="D33">
            <v>50000</v>
          </cell>
          <cell r="E33">
            <v>10000</v>
          </cell>
          <cell r="F33">
            <v>0</v>
          </cell>
          <cell r="G33">
            <v>307500</v>
          </cell>
          <cell r="H33">
            <v>-3000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354500</v>
          </cell>
          <cell r="Y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332500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C33">
            <v>0</v>
          </cell>
          <cell r="BD33">
            <v>297500</v>
          </cell>
          <cell r="BF33">
            <v>0</v>
          </cell>
          <cell r="BG33">
            <v>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530500</v>
          </cell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EN COMPTE</v>
          </cell>
          <cell r="U34">
            <v>530500</v>
          </cell>
          <cell r="Y34">
            <v>0</v>
          </cell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530500</v>
          </cell>
          <cell r="BD34">
            <v>-530500</v>
          </cell>
          <cell r="BF34">
            <v>0</v>
          </cell>
          <cell r="BG34">
            <v>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1000000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 t="str">
            <v>ESPECES</v>
          </cell>
          <cell r="U35">
            <v>1125000</v>
          </cell>
          <cell r="Y35">
            <v>125000</v>
          </cell>
          <cell r="Z35">
            <v>1000000</v>
          </cell>
          <cell r="AA35" t="str">
            <v>BANQUE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940000</v>
          </cell>
          <cell r="BA35">
            <v>1163500</v>
          </cell>
          <cell r="BC35">
            <v>0</v>
          </cell>
          <cell r="BD35">
            <v>-223500</v>
          </cell>
          <cell r="BF35">
            <v>60000</v>
          </cell>
          <cell r="BG35">
            <v>6</v>
          </cell>
        </row>
        <row r="36">
          <cell r="A36" t="str">
            <v>AS201660</v>
          </cell>
          <cell r="B36" t="str">
            <v>TCHOUATEU AUGUSTIN</v>
          </cell>
          <cell r="C36">
            <v>-100000</v>
          </cell>
          <cell r="D36">
            <v>1150000</v>
          </cell>
          <cell r="E36">
            <v>3500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103500</v>
          </cell>
          <cell r="S36">
            <v>1000000</v>
          </cell>
          <cell r="T36" t="str">
            <v>BANQUE</v>
          </cell>
          <cell r="U36">
            <v>1253500</v>
          </cell>
          <cell r="Y36">
            <v>150000</v>
          </cell>
          <cell r="Z36">
            <v>1000000</v>
          </cell>
          <cell r="AA36" t="str">
            <v>BANQUE</v>
          </cell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880000</v>
          </cell>
          <cell r="BC36">
            <v>0</v>
          </cell>
          <cell r="BD36">
            <v>880000</v>
          </cell>
          <cell r="BE36" t="str">
            <v>OK</v>
          </cell>
          <cell r="BF36">
            <v>120000</v>
          </cell>
          <cell r="BG36">
            <v>12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-284200</v>
          </cell>
          <cell r="D38">
            <v>50000</v>
          </cell>
          <cell r="E38">
            <v>13300</v>
          </cell>
          <cell r="F38">
            <v>0</v>
          </cell>
          <cell r="G38">
            <v>297500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347500</v>
          </cell>
          <cell r="Y38">
            <v>50000</v>
          </cell>
          <cell r="AC38">
            <v>2500</v>
          </cell>
          <cell r="AQ38">
            <v>0</v>
          </cell>
          <cell r="AR38">
            <v>0</v>
          </cell>
          <cell r="AS38">
            <v>322500</v>
          </cell>
          <cell r="AW38">
            <v>297500</v>
          </cell>
          <cell r="AX38">
            <v>0</v>
          </cell>
          <cell r="AY38">
            <v>0</v>
          </cell>
          <cell r="AZ38">
            <v>297500</v>
          </cell>
          <cell r="BC38">
            <v>0</v>
          </cell>
          <cell r="BD38">
            <v>297500</v>
          </cell>
          <cell r="BF38">
            <v>0</v>
          </cell>
          <cell r="BG38">
            <v>1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232500</v>
          </cell>
          <cell r="E39">
            <v>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107500</v>
          </cell>
          <cell r="T39" t="str">
            <v>BANQUE</v>
          </cell>
          <cell r="U39">
            <v>232500</v>
          </cell>
          <cell r="Y39">
            <v>125000</v>
          </cell>
          <cell r="Z39">
            <v>500000</v>
          </cell>
          <cell r="AA39" t="str">
            <v>BANQUE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470000</v>
          </cell>
          <cell r="BA39">
            <v>470000</v>
          </cell>
          <cell r="BC39">
            <v>0</v>
          </cell>
          <cell r="BD39">
            <v>0</v>
          </cell>
          <cell r="BF39">
            <v>30000</v>
          </cell>
          <cell r="BG39">
            <v>6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453000</v>
          </cell>
          <cell r="F41">
            <v>0</v>
          </cell>
          <cell r="H41">
            <v>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203000</v>
          </cell>
          <cell r="U41">
            <v>453000</v>
          </cell>
          <cell r="Y41">
            <v>250000</v>
          </cell>
          <cell r="AP41" t="str">
            <v>BANQUE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1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U42">
            <v>225000</v>
          </cell>
          <cell r="Y42">
            <v>225000</v>
          </cell>
          <cell r="AP42" t="str">
            <v>BANQUE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</v>
          </cell>
        </row>
        <row r="44">
          <cell r="B44" t="str">
            <v>TOTAUX</v>
          </cell>
          <cell r="C44">
            <v>-2046700</v>
          </cell>
          <cell r="D44">
            <v>7392000</v>
          </cell>
          <cell r="E44">
            <v>13063300</v>
          </cell>
          <cell r="F44">
            <v>1842500</v>
          </cell>
          <cell r="G44">
            <v>722000</v>
          </cell>
          <cell r="H44">
            <v>-3000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319000</v>
          </cell>
          <cell r="Q44">
            <v>104500</v>
          </cell>
          <cell r="R44">
            <v>2569500</v>
          </cell>
          <cell r="S44">
            <v>15657500</v>
          </cell>
          <cell r="U44">
            <v>24294500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17200000</v>
          </cell>
          <cell r="AA44">
            <v>0</v>
          </cell>
          <cell r="AC44">
            <v>7500</v>
          </cell>
          <cell r="AD44">
            <v>7500</v>
          </cell>
          <cell r="AE44">
            <v>0</v>
          </cell>
          <cell r="AF44">
            <v>0</v>
          </cell>
          <cell r="AG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Q44">
            <v>0</v>
          </cell>
          <cell r="AR44">
            <v>0</v>
          </cell>
          <cell r="AS44">
            <v>1522000</v>
          </cell>
          <cell r="AT44">
            <v>0</v>
          </cell>
          <cell r="AU44">
            <v>0</v>
          </cell>
          <cell r="AV44">
            <v>0</v>
          </cell>
          <cell r="AW44">
            <v>892500</v>
          </cell>
          <cell r="AX44">
            <v>892500</v>
          </cell>
          <cell r="AY44">
            <v>0</v>
          </cell>
          <cell r="AZ44">
            <v>17651000</v>
          </cell>
          <cell r="BA44">
            <v>9077500</v>
          </cell>
          <cell r="BB44">
            <v>0</v>
          </cell>
          <cell r="BC44">
            <v>1842500</v>
          </cell>
          <cell r="BD44">
            <v>7131000</v>
          </cell>
          <cell r="BE44">
            <v>0</v>
          </cell>
          <cell r="BF44">
            <v>1346000</v>
          </cell>
          <cell r="BH44">
            <v>52000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AZ46">
            <v>12931300</v>
          </cell>
          <cell r="BA46">
            <v>13063300</v>
          </cell>
          <cell r="BB46" t="str">
            <v>ESPECES EN CAISSE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G47" t="str">
            <v>ESPECES</v>
          </cell>
          <cell r="BA47">
            <v>3985800</v>
          </cell>
          <cell r="BD47">
            <v>-7131000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B36">
            <v>32</v>
          </cell>
          <cell r="C36" t="str">
            <v>SIMO FONGANG ERIC</v>
          </cell>
        </row>
        <row r="37">
          <cell r="A37" t="str">
            <v>AS201659</v>
          </cell>
          <cell r="B37">
            <v>33</v>
          </cell>
          <cell r="C37" t="str">
            <v>YIALA ALAIN OSCAR</v>
          </cell>
        </row>
        <row r="38">
          <cell r="A38" t="str">
            <v>AS201660</v>
          </cell>
          <cell r="B38">
            <v>34</v>
          </cell>
          <cell r="C38" t="str">
            <v>TCHOUATEU AUGUSTIN</v>
          </cell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DEFAILLANCETONT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W42">
            <v>26499.999999999942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5"/>
      <sheetName val="TONTFEV25"/>
      <sheetName val="TONTMARS25"/>
      <sheetName val="TONTAVRIL25"/>
      <sheetName val="TONTMAI25"/>
      <sheetName val="TONTJUIN25"/>
      <sheetName val="TONTJUIL25"/>
      <sheetName val="TONTAOUT25"/>
      <sheetName val="TONTSEPT25"/>
      <sheetName val="TONTOCT25"/>
      <sheetName val="TONTNOV25"/>
      <sheetName val="TONTDEC25"/>
      <sheetName val="TONTRESUME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">
          <cell r="V20">
            <v>15499.999999999971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227000</v>
          </cell>
          <cell r="BA6">
            <v>27000</v>
          </cell>
          <cell r="BD6">
            <v>200000</v>
          </cell>
          <cell r="BE6" t="str">
            <v>OK</v>
          </cell>
          <cell r="BF6">
            <v>0</v>
          </cell>
          <cell r="BG6">
            <v>11</v>
          </cell>
          <cell r="BH6">
            <v>27000</v>
          </cell>
          <cell r="BI6">
            <v>200000</v>
          </cell>
          <cell r="BJ6">
            <v>0</v>
          </cell>
          <cell r="BN6">
            <v>300000</v>
          </cell>
          <cell r="BO6" t="str">
            <v>ACHAT FOURNITURE</v>
          </cell>
          <cell r="BP6" t="str">
            <v>FONDS DE ROULEMENT</v>
          </cell>
          <cell r="BQ6">
            <v>8500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600000</v>
          </cell>
          <cell r="BD7">
            <v>0</v>
          </cell>
          <cell r="BF7">
            <v>6000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E9">
            <v>115000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1085000</v>
          </cell>
          <cell r="AZ9">
            <v>1085000</v>
          </cell>
          <cell r="BA9">
            <v>500000</v>
          </cell>
          <cell r="BD9">
            <v>585000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  <cell r="BQ9">
            <v>18500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J10">
            <v>100000</v>
          </cell>
          <cell r="AM10">
            <v>2000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  <cell r="BD10">
            <v>100000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125000</v>
          </cell>
          <cell r="AJ11">
            <v>100000</v>
          </cell>
          <cell r="AM11">
            <v>2000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D12">
            <v>60000</v>
          </cell>
          <cell r="AF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840000</v>
          </cell>
          <cell r="AY12">
            <v>0</v>
          </cell>
          <cell r="AZ12">
            <v>840000</v>
          </cell>
          <cell r="BD12">
            <v>840000</v>
          </cell>
          <cell r="BE12" t="str">
            <v>OK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>
            <v>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C16">
            <v>12000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288000</v>
          </cell>
          <cell r="AX16">
            <v>0</v>
          </cell>
          <cell r="AY16">
            <v>0</v>
          </cell>
          <cell r="AZ16">
            <v>288000</v>
          </cell>
          <cell r="BD16">
            <v>288000</v>
          </cell>
          <cell r="BE16" t="str">
            <v>OK</v>
          </cell>
          <cell r="BF16">
            <v>0</v>
          </cell>
          <cell r="BG16">
            <v>11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150000</v>
          </cell>
          <cell r="Z17">
            <v>1000000</v>
          </cell>
          <cell r="AK17">
            <v>100000</v>
          </cell>
          <cell r="AN17">
            <v>1000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100000</v>
          </cell>
          <cell r="AZ17">
            <v>1150000</v>
          </cell>
          <cell r="BA17">
            <v>100000</v>
          </cell>
          <cell r="BD17">
            <v>1050000</v>
          </cell>
          <cell r="BE17" t="str">
            <v>OK</v>
          </cell>
          <cell r="BF17">
            <v>110000</v>
          </cell>
          <cell r="BG17">
            <v>11</v>
          </cell>
          <cell r="BK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AC18">
            <v>13000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287000</v>
          </cell>
          <cell r="AX18">
            <v>0</v>
          </cell>
          <cell r="AY18">
            <v>0</v>
          </cell>
          <cell r="AZ18">
            <v>287000</v>
          </cell>
          <cell r="BD18">
            <v>287000</v>
          </cell>
          <cell r="BE18" t="str">
            <v>OK</v>
          </cell>
          <cell r="BF18">
            <v>0</v>
          </cell>
          <cell r="BG18">
            <v>11</v>
          </cell>
          <cell r="BO18" t="str">
            <v>TERRAIN NYOM</v>
          </cell>
          <cell r="BP18" t="str">
            <v>AUTRES DEPENSES</v>
          </cell>
          <cell r="BQ18">
            <v>300000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25000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75000</v>
          </cell>
          <cell r="W19">
            <v>25000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E20">
            <v>115000</v>
          </cell>
          <cell r="AF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1085000</v>
          </cell>
          <cell r="AZ20">
            <v>1085000</v>
          </cell>
          <cell r="BD20">
            <v>1085000</v>
          </cell>
          <cell r="BE20" t="str">
            <v>OK</v>
          </cell>
          <cell r="BF20">
            <v>0</v>
          </cell>
          <cell r="BG20">
            <v>11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S/TOTAL</v>
          </cell>
          <cell r="BQ22">
            <v>300000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56000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11</v>
          </cell>
          <cell r="BO24" t="str">
            <v>GRATIFICATION BUREAU 2023</v>
          </cell>
          <cell r="BP24" t="str">
            <v>FRAIS EXEPTIONNEL</v>
          </cell>
          <cell r="BQ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D25">
            <v>65000</v>
          </cell>
          <cell r="AE25">
            <v>125000</v>
          </cell>
          <cell r="AF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835000</v>
          </cell>
          <cell r="AY25">
            <v>1075000</v>
          </cell>
          <cell r="AZ25">
            <v>1910000</v>
          </cell>
          <cell r="BD25">
            <v>1910000</v>
          </cell>
          <cell r="BE25" t="str">
            <v>OK</v>
          </cell>
          <cell r="BF25">
            <v>0</v>
          </cell>
          <cell r="BG25">
            <v>11</v>
          </cell>
          <cell r="BO25" t="str">
            <v>DOSSIER TECHNIQUE NGIEMENI</v>
          </cell>
          <cell r="BP25" t="str">
            <v>FRAIS EXEPTIONNEL</v>
          </cell>
          <cell r="BQ25"/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50000</v>
          </cell>
          <cell r="E26">
            <v>50000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C26">
            <v>13000</v>
          </cell>
          <cell r="AF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287000</v>
          </cell>
          <cell r="AX26">
            <v>0</v>
          </cell>
          <cell r="AY26">
            <v>0</v>
          </cell>
          <cell r="AZ26">
            <v>287000</v>
          </cell>
          <cell r="BA26">
            <v>7000</v>
          </cell>
          <cell r="BD26">
            <v>280000</v>
          </cell>
          <cell r="BE26" t="str">
            <v>OK</v>
          </cell>
          <cell r="BF26">
            <v>0</v>
          </cell>
          <cell r="BG26">
            <v>11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O28" t="str">
            <v>S/TOTAL</v>
          </cell>
          <cell r="BQ28">
            <v>200000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450000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500000</v>
          </cell>
          <cell r="AQ29">
            <v>0</v>
          </cell>
          <cell r="AR29">
            <v>0</v>
          </cell>
          <cell r="AS29">
            <v>475000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940000</v>
          </cell>
          <cell r="BD32">
            <v>940000</v>
          </cell>
          <cell r="BE32" t="str">
            <v>OK</v>
          </cell>
          <cell r="BF32">
            <v>60000</v>
          </cell>
          <cell r="BG32">
            <v>6</v>
          </cell>
        </row>
        <row r="33">
          <cell r="A33" t="str">
            <v>AS201660</v>
          </cell>
          <cell r="B33" t="str">
            <v>TCHOUATEU AUGUSTIN</v>
          </cell>
          <cell r="C33">
            <v>120000</v>
          </cell>
          <cell r="D33">
            <v>540000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245000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420000</v>
          </cell>
          <cell r="W33">
            <v>25000</v>
          </cell>
          <cell r="AQ33">
            <v>0</v>
          </cell>
          <cell r="AR33">
            <v>0</v>
          </cell>
          <cell r="AS33">
            <v>270000</v>
          </cell>
          <cell r="AT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AS201646</v>
          </cell>
          <cell r="B36" t="str">
            <v>YEPMOU JEAN JACQUES</v>
          </cell>
          <cell r="C36">
            <v>53000</v>
          </cell>
          <cell r="D36">
            <v>50000</v>
          </cell>
          <cell r="E36">
            <v>50000</v>
          </cell>
          <cell r="F36">
            <v>0</v>
          </cell>
          <cell r="G36">
            <v>-3000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47000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25000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175000</v>
          </cell>
          <cell r="W37">
            <v>25000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229000</v>
          </cell>
          <cell r="D40">
            <v>5456000</v>
          </cell>
          <cell r="E40">
            <v>200000</v>
          </cell>
          <cell r="F40">
            <v>0</v>
          </cell>
          <cell r="G40">
            <v>-3000</v>
          </cell>
          <cell r="H40">
            <v>0</v>
          </cell>
          <cell r="I40">
            <v>755000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5427000</v>
          </cell>
          <cell r="V40">
            <v>0</v>
          </cell>
          <cell r="W40">
            <v>75000</v>
          </cell>
          <cell r="X40">
            <v>0</v>
          </cell>
          <cell r="Y40">
            <v>0</v>
          </cell>
          <cell r="Z40">
            <v>2000000</v>
          </cell>
          <cell r="AA40">
            <v>0</v>
          </cell>
          <cell r="AC40">
            <v>38000</v>
          </cell>
          <cell r="AD40">
            <v>125000</v>
          </cell>
          <cell r="AE40">
            <v>355000</v>
          </cell>
          <cell r="AF40">
            <v>0</v>
          </cell>
          <cell r="AG40">
            <v>0</v>
          </cell>
          <cell r="AI40">
            <v>0</v>
          </cell>
          <cell r="AJ40">
            <v>200000</v>
          </cell>
          <cell r="AK40">
            <v>100000</v>
          </cell>
          <cell r="AL40">
            <v>0</v>
          </cell>
          <cell r="AM40">
            <v>4000</v>
          </cell>
          <cell r="AN40">
            <v>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1555000</v>
          </cell>
          <cell r="AT40">
            <v>120000</v>
          </cell>
          <cell r="AU40">
            <v>0</v>
          </cell>
          <cell r="AV40">
            <v>0</v>
          </cell>
          <cell r="AW40">
            <v>862000</v>
          </cell>
          <cell r="AX40">
            <v>1875000</v>
          </cell>
          <cell r="AY40">
            <v>3345000</v>
          </cell>
          <cell r="AZ40">
            <v>8899000</v>
          </cell>
          <cell r="BA40">
            <v>790000</v>
          </cell>
          <cell r="BB40">
            <v>0</v>
          </cell>
          <cell r="BC40">
            <v>0</v>
          </cell>
          <cell r="BD40">
            <v>7565000</v>
          </cell>
          <cell r="BE40">
            <v>0</v>
          </cell>
          <cell r="BF40">
            <v>176000</v>
          </cell>
          <cell r="BH40">
            <v>27000</v>
          </cell>
          <cell r="BI40">
            <v>200000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EN COMPTE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OPERATIONS DU JOUR</v>
          </cell>
          <cell r="C47">
            <v>7565000</v>
          </cell>
          <cell r="D47">
            <v>5456000</v>
          </cell>
          <cell r="E47">
            <v>2109000</v>
          </cell>
          <cell r="F47">
            <v>200000</v>
          </cell>
          <cell r="G47">
            <v>790000</v>
          </cell>
          <cell r="H47">
            <v>-590000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127000</v>
          </cell>
          <cell r="BD6">
            <v>127000</v>
          </cell>
          <cell r="BE6" t="str">
            <v>OK</v>
          </cell>
          <cell r="BF6">
            <v>0</v>
          </cell>
          <cell r="BG6">
            <v>10</v>
          </cell>
          <cell r="BH6">
            <v>27000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  <cell r="BQ6">
            <v>3000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60000</v>
          </cell>
          <cell r="AL7">
            <v>1000</v>
          </cell>
          <cell r="AQ7">
            <v>0</v>
          </cell>
          <cell r="AR7">
            <v>0</v>
          </cell>
          <cell r="AS7">
            <v>25000</v>
          </cell>
          <cell r="AW7">
            <v>60000</v>
          </cell>
          <cell r="AX7">
            <v>0</v>
          </cell>
          <cell r="AY7">
            <v>0</v>
          </cell>
          <cell r="AZ7">
            <v>60000</v>
          </cell>
          <cell r="BD7">
            <v>60000</v>
          </cell>
          <cell r="BE7" t="str">
            <v>OK</v>
          </cell>
          <cell r="BF7">
            <v>6000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100000</v>
          </cell>
          <cell r="E8">
            <v>25000</v>
          </cell>
          <cell r="F8">
            <v>0</v>
          </cell>
          <cell r="G8">
            <v>3000</v>
          </cell>
          <cell r="H8" t="str">
            <v>BANQUE</v>
          </cell>
          <cell r="I8">
            <v>-3000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  <cell r="BQ8">
            <v>12000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105000</v>
          </cell>
          <cell r="F10">
            <v>0</v>
          </cell>
          <cell r="G10">
            <v>3000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R10">
            <v>0</v>
          </cell>
          <cell r="U10">
            <v>230000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227000</v>
          </cell>
          <cell r="E11">
            <v>0</v>
          </cell>
          <cell r="F11">
            <v>1000000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102000</v>
          </cell>
          <cell r="R11">
            <v>0</v>
          </cell>
          <cell r="S11">
            <v>1000000</v>
          </cell>
          <cell r="U11">
            <v>1227000</v>
          </cell>
          <cell r="Z11">
            <v>1000000</v>
          </cell>
          <cell r="AC11">
            <v>16000</v>
          </cell>
          <cell r="AD11">
            <v>16000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284000</v>
          </cell>
          <cell r="AX11">
            <v>884000</v>
          </cell>
          <cell r="AY11">
            <v>0</v>
          </cell>
          <cell r="AZ11">
            <v>1148000</v>
          </cell>
          <cell r="BA11">
            <v>168000</v>
          </cell>
          <cell r="BD11">
            <v>878000</v>
          </cell>
          <cell r="BE11" t="str">
            <v>OK</v>
          </cell>
          <cell r="BF11">
            <v>20000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K12">
            <v>131000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131000</v>
          </cell>
          <cell r="AZ12">
            <v>131000</v>
          </cell>
          <cell r="BA12">
            <v>66700</v>
          </cell>
          <cell r="BD12">
            <v>69300</v>
          </cell>
          <cell r="BE12" t="str">
            <v>OK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10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251000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251000</v>
          </cell>
          <cell r="AC17">
            <v>17000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283000</v>
          </cell>
          <cell r="AX17">
            <v>0</v>
          </cell>
          <cell r="AY17">
            <v>0</v>
          </cell>
          <cell r="AZ17">
            <v>283000</v>
          </cell>
          <cell r="BD17">
            <v>283000</v>
          </cell>
          <cell r="BE17" t="str">
            <v>OK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E18">
            <v>40000</v>
          </cell>
          <cell r="AF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1160000</v>
          </cell>
          <cell r="AZ18">
            <v>1160000</v>
          </cell>
          <cell r="BD18">
            <v>1160000</v>
          </cell>
          <cell r="BE18" t="str">
            <v>OK</v>
          </cell>
          <cell r="BF18">
            <v>0</v>
          </cell>
          <cell r="BG18">
            <v>10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D20">
            <v>16000</v>
          </cell>
          <cell r="AF20" t="str">
            <v>BANQUE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884000</v>
          </cell>
          <cell r="AY20">
            <v>200000</v>
          </cell>
          <cell r="AZ20">
            <v>1084000</v>
          </cell>
          <cell r="BA20">
            <v>140000</v>
          </cell>
          <cell r="BD20">
            <v>944000</v>
          </cell>
          <cell r="BE20" t="str">
            <v>OK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0</v>
          </cell>
          <cell r="AZ24">
            <v>100000</v>
          </cell>
          <cell r="BD24">
            <v>100000</v>
          </cell>
          <cell r="BE24" t="str">
            <v>OK</v>
          </cell>
          <cell r="BF24">
            <v>0</v>
          </cell>
          <cell r="BG24">
            <v>10</v>
          </cell>
          <cell r="BK24">
            <v>100000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K25">
            <v>100000</v>
          </cell>
          <cell r="AN25">
            <v>1500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  <cell r="BD25">
            <v>0</v>
          </cell>
          <cell r="BF25">
            <v>0</v>
          </cell>
          <cell r="BG25">
            <v>10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51000</v>
          </cell>
          <cell r="AL29">
            <v>1000</v>
          </cell>
          <cell r="AQ29">
            <v>0</v>
          </cell>
          <cell r="AR29">
            <v>0</v>
          </cell>
          <cell r="AS29">
            <v>25000</v>
          </cell>
          <cell r="AW29">
            <v>51000</v>
          </cell>
          <cell r="AX29">
            <v>0</v>
          </cell>
          <cell r="AY29">
            <v>0</v>
          </cell>
          <cell r="AZ29">
            <v>51000</v>
          </cell>
          <cell r="BD29">
            <v>51000</v>
          </cell>
          <cell r="BE29" t="str">
            <v>OK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E30">
            <v>35000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1165000</v>
          </cell>
          <cell r="AZ30">
            <v>1165000</v>
          </cell>
          <cell r="BD30">
            <v>1165000</v>
          </cell>
          <cell r="BE30" t="str">
            <v>OK</v>
          </cell>
          <cell r="BF30">
            <v>0</v>
          </cell>
          <cell r="BG30">
            <v>10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>FUNERAILLE JOSUE DJOSSE</v>
          </cell>
          <cell r="BQ32">
            <v>100000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180000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30000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180000</v>
          </cell>
          <cell r="AQ33">
            <v>0</v>
          </cell>
          <cell r="AR33">
            <v>0</v>
          </cell>
          <cell r="AS33">
            <v>55000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  <cell r="BO34" t="str">
            <v>S/TOTAL</v>
          </cell>
          <cell r="BQ34">
            <v>200000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10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6000</v>
          </cell>
          <cell r="D40">
            <v>4749000</v>
          </cell>
          <cell r="E40">
            <v>534700</v>
          </cell>
          <cell r="F40">
            <v>1000000</v>
          </cell>
          <cell r="G40">
            <v>9000</v>
          </cell>
          <cell r="H40">
            <v>0</v>
          </cell>
          <cell r="I40">
            <v>112000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204000</v>
          </cell>
          <cell r="R40">
            <v>101000</v>
          </cell>
          <cell r="S40">
            <v>1000000</v>
          </cell>
          <cell r="U40">
            <v>6026000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33000</v>
          </cell>
          <cell r="AD40">
            <v>32000</v>
          </cell>
          <cell r="AE40">
            <v>75000</v>
          </cell>
          <cell r="AF40">
            <v>0</v>
          </cell>
          <cell r="AG40">
            <v>0</v>
          </cell>
          <cell r="AI40">
            <v>171000</v>
          </cell>
          <cell r="AJ40">
            <v>0</v>
          </cell>
          <cell r="AK40">
            <v>431000</v>
          </cell>
          <cell r="AL40">
            <v>3000</v>
          </cell>
          <cell r="AM40">
            <v>0</v>
          </cell>
          <cell r="AN40">
            <v>4500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912000</v>
          </cell>
          <cell r="AT40">
            <v>0</v>
          </cell>
          <cell r="AU40">
            <v>0</v>
          </cell>
          <cell r="AV40">
            <v>0</v>
          </cell>
          <cell r="AW40">
            <v>738000</v>
          </cell>
          <cell r="AX40">
            <v>1768000</v>
          </cell>
          <cell r="AY40">
            <v>2756000</v>
          </cell>
          <cell r="AZ40">
            <v>5469000</v>
          </cell>
          <cell r="BA40">
            <v>534700</v>
          </cell>
          <cell r="BB40">
            <v>0</v>
          </cell>
          <cell r="BC40">
            <v>0</v>
          </cell>
          <cell r="BD40">
            <v>4837300</v>
          </cell>
          <cell r="BE40">
            <v>0</v>
          </cell>
          <cell r="BF40">
            <v>26000</v>
          </cell>
          <cell r="BH40">
            <v>27000</v>
          </cell>
          <cell r="BI40">
            <v>0</v>
          </cell>
          <cell r="BJ40">
            <v>100000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5469000</v>
          </cell>
          <cell r="D47">
            <v>4518000</v>
          </cell>
          <cell r="F47">
            <v>534700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48000</v>
          </cell>
          <cell r="BD6">
            <v>48000</v>
          </cell>
          <cell r="BE6" t="str">
            <v>OK</v>
          </cell>
          <cell r="BF6">
            <v>0</v>
          </cell>
          <cell r="BG6">
            <v>9</v>
          </cell>
          <cell r="BH6">
            <v>48000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78000</v>
          </cell>
          <cell r="E7">
            <v>61000</v>
          </cell>
          <cell r="F7">
            <v>0</v>
          </cell>
          <cell r="G7">
            <v>0</v>
          </cell>
          <cell r="H7" t="str">
            <v>BANQUE</v>
          </cell>
          <cell r="I7">
            <v>22000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61000</v>
          </cell>
          <cell r="U7">
            <v>133000</v>
          </cell>
          <cell r="AC7">
            <v>10000</v>
          </cell>
          <cell r="AF7" t="str">
            <v>BANQUE</v>
          </cell>
          <cell r="AQ7">
            <v>0</v>
          </cell>
          <cell r="AR7">
            <v>0</v>
          </cell>
          <cell r="AS7">
            <v>47000</v>
          </cell>
          <cell r="AW7">
            <v>290000</v>
          </cell>
          <cell r="AX7">
            <v>0</v>
          </cell>
          <cell r="AY7">
            <v>0</v>
          </cell>
          <cell r="AZ7">
            <v>284000</v>
          </cell>
          <cell r="BD7">
            <v>290000</v>
          </cell>
          <cell r="BE7" t="str">
            <v>OK</v>
          </cell>
          <cell r="BF7">
            <v>6000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25000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25000</v>
          </cell>
          <cell r="BG8">
            <v>9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C9">
            <v>18000</v>
          </cell>
          <cell r="AF9" t="str">
            <v>BANQUE</v>
          </cell>
          <cell r="AK9">
            <v>205500</v>
          </cell>
          <cell r="AN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282000</v>
          </cell>
          <cell r="AX9">
            <v>0</v>
          </cell>
          <cell r="AY9">
            <v>205500</v>
          </cell>
          <cell r="AZ9">
            <v>487500</v>
          </cell>
          <cell r="BA9">
            <v>282000</v>
          </cell>
          <cell r="BD9">
            <v>205500</v>
          </cell>
          <cell r="BE9" t="str">
            <v>OK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180000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-6000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0</v>
          </cell>
          <cell r="U10">
            <v>180000</v>
          </cell>
          <cell r="AD10">
            <v>28000</v>
          </cell>
          <cell r="AF10" t="str">
            <v>BANQUE</v>
          </cell>
          <cell r="AI10">
            <v>39000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19000</v>
          </cell>
          <cell r="AW10">
            <v>39000</v>
          </cell>
          <cell r="AX10">
            <v>872000</v>
          </cell>
          <cell r="AY10">
            <v>0</v>
          </cell>
          <cell r="AZ10">
            <v>911000</v>
          </cell>
          <cell r="BA10">
            <v>39000</v>
          </cell>
          <cell r="BD10">
            <v>872000</v>
          </cell>
          <cell r="BE10" t="str">
            <v>OK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125000</v>
          </cell>
          <cell r="AI11">
            <v>40000</v>
          </cell>
          <cell r="AJ11">
            <v>100000</v>
          </cell>
          <cell r="AL11">
            <v>1000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40000</v>
          </cell>
          <cell r="AX11">
            <v>100000</v>
          </cell>
          <cell r="AY11">
            <v>0</v>
          </cell>
          <cell r="AZ11">
            <v>140000</v>
          </cell>
          <cell r="BA11">
            <v>100000</v>
          </cell>
          <cell r="BD11">
            <v>40000</v>
          </cell>
          <cell r="BE11" t="str">
            <v>OK</v>
          </cell>
          <cell r="BF11">
            <v>0</v>
          </cell>
          <cell r="BG11">
            <v>9</v>
          </cell>
          <cell r="BO11" t="str">
            <v>PRODUCTION RAPPORT</v>
          </cell>
          <cell r="BP11" t="str">
            <v>FONDS DE ROULEMENT</v>
          </cell>
          <cell r="BQ11">
            <v>30000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132000</v>
          </cell>
          <cell r="U12">
            <v>462000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  <cell r="BQ13">
            <v>18000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9</v>
          </cell>
          <cell r="BO16" t="str">
            <v>S/TOTAL</v>
          </cell>
          <cell r="BQ16">
            <v>48000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500000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500000</v>
          </cell>
          <cell r="T17" t="str">
            <v>BANQUE</v>
          </cell>
          <cell r="U17">
            <v>650000</v>
          </cell>
          <cell r="AE17">
            <v>70000</v>
          </cell>
          <cell r="AF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1130000</v>
          </cell>
          <cell r="AZ17">
            <v>630000</v>
          </cell>
          <cell r="BD17">
            <v>630000</v>
          </cell>
          <cell r="BE17" t="str">
            <v>OK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9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427000</v>
          </cell>
          <cell r="AJ20">
            <v>89000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89000</v>
          </cell>
          <cell r="AY20">
            <v>200000</v>
          </cell>
          <cell r="AZ20">
            <v>289000</v>
          </cell>
          <cell r="BA20">
            <v>145500</v>
          </cell>
          <cell r="BD20">
            <v>143500</v>
          </cell>
          <cell r="BE20" t="str">
            <v>OK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C22">
            <v>17000</v>
          </cell>
          <cell r="AF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283000</v>
          </cell>
          <cell r="AX22">
            <v>0</v>
          </cell>
          <cell r="AY22">
            <v>0</v>
          </cell>
          <cell r="AZ22">
            <v>283000</v>
          </cell>
          <cell r="BD22">
            <v>283000</v>
          </cell>
          <cell r="BE22" t="str">
            <v>OK</v>
          </cell>
          <cell r="BF22">
            <v>0</v>
          </cell>
          <cell r="BG22">
            <v>9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170000</v>
          </cell>
          <cell r="BE23" t="str">
            <v>OK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K24">
            <v>100000</v>
          </cell>
          <cell r="AN24">
            <v>1000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100000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104500</v>
          </cell>
          <cell r="F25">
            <v>0</v>
          </cell>
          <cell r="G25">
            <v>3000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101500</v>
          </cell>
          <cell r="U25">
            <v>479500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9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30000</v>
          </cell>
          <cell r="BG26">
            <v>9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Z27">
            <v>50000</v>
          </cell>
          <cell r="AA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48500</v>
          </cell>
          <cell r="BD27">
            <v>48500</v>
          </cell>
          <cell r="BE27" t="str">
            <v>OK</v>
          </cell>
          <cell r="BF27">
            <v>1500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52000</v>
          </cell>
          <cell r="U29">
            <v>102000</v>
          </cell>
          <cell r="AI29">
            <v>40000</v>
          </cell>
          <cell r="AL29">
            <v>2500</v>
          </cell>
          <cell r="AQ29">
            <v>0</v>
          </cell>
          <cell r="AR29">
            <v>0</v>
          </cell>
          <cell r="AS29">
            <v>25000</v>
          </cell>
          <cell r="AW29">
            <v>40000</v>
          </cell>
          <cell r="AX29">
            <v>0</v>
          </cell>
          <cell r="AY29">
            <v>0</v>
          </cell>
          <cell r="AZ29">
            <v>40000</v>
          </cell>
          <cell r="BA29">
            <v>40000</v>
          </cell>
          <cell r="BD29">
            <v>0</v>
          </cell>
          <cell r="BE29">
            <v>2889015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400000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S31">
            <v>250000</v>
          </cell>
          <cell r="U31">
            <v>400000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1000000</v>
          </cell>
          <cell r="BD31">
            <v>970000</v>
          </cell>
          <cell r="BE31" t="str">
            <v>OK</v>
          </cell>
          <cell r="BF31">
            <v>30000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9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200000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50000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200000</v>
          </cell>
          <cell r="AQ33">
            <v>0</v>
          </cell>
          <cell r="AR33">
            <v>0</v>
          </cell>
          <cell r="AS33">
            <v>75000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100000</v>
          </cell>
          <cell r="BD38">
            <v>100000</v>
          </cell>
          <cell r="BE38" t="str">
            <v>OK</v>
          </cell>
          <cell r="BF38">
            <v>0</v>
          </cell>
          <cell r="BG38">
            <v>9</v>
          </cell>
          <cell r="BK38">
            <v>100000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31000</v>
          </cell>
          <cell r="D40">
            <v>5329000</v>
          </cell>
          <cell r="E40">
            <v>318500</v>
          </cell>
          <cell r="F40">
            <v>500000</v>
          </cell>
          <cell r="G40">
            <v>6000</v>
          </cell>
          <cell r="H40">
            <v>0</v>
          </cell>
          <cell r="I40">
            <v>151000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174000</v>
          </cell>
          <cell r="Q40">
            <v>0</v>
          </cell>
          <cell r="R40">
            <v>435500</v>
          </cell>
          <cell r="S40">
            <v>750000</v>
          </cell>
          <cell r="U40">
            <v>6116500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1050000</v>
          </cell>
          <cell r="AA40">
            <v>0</v>
          </cell>
          <cell r="AC40">
            <v>45000</v>
          </cell>
          <cell r="AD40">
            <v>28000</v>
          </cell>
          <cell r="AE40">
            <v>70000</v>
          </cell>
          <cell r="AF40">
            <v>0</v>
          </cell>
          <cell r="AG40">
            <v>0</v>
          </cell>
          <cell r="AI40">
            <v>119000</v>
          </cell>
          <cell r="AJ40">
            <v>189000</v>
          </cell>
          <cell r="AK40">
            <v>1105500</v>
          </cell>
          <cell r="AL40">
            <v>4500</v>
          </cell>
          <cell r="AM40">
            <v>5000</v>
          </cell>
          <cell r="AN40">
            <v>11000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951000</v>
          </cell>
          <cell r="AT40">
            <v>0</v>
          </cell>
          <cell r="AU40">
            <v>0</v>
          </cell>
          <cell r="AV40">
            <v>0</v>
          </cell>
          <cell r="AW40">
            <v>974000</v>
          </cell>
          <cell r="AX40">
            <v>1061000</v>
          </cell>
          <cell r="AY40">
            <v>2235500</v>
          </cell>
          <cell r="AZ40">
            <v>4861000</v>
          </cell>
          <cell r="BA40">
            <v>606500</v>
          </cell>
          <cell r="BB40">
            <v>0</v>
          </cell>
          <cell r="BC40">
            <v>0</v>
          </cell>
          <cell r="BD40">
            <v>4200500</v>
          </cell>
          <cell r="BE40">
            <v>2889015</v>
          </cell>
          <cell r="BF40">
            <v>92500</v>
          </cell>
          <cell r="BH40">
            <v>48000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4861000</v>
          </cell>
          <cell r="D47">
            <v>5076000</v>
          </cell>
          <cell r="F47">
            <v>318500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221000</v>
          </cell>
          <cell r="BD6">
            <v>221000</v>
          </cell>
          <cell r="BE6" t="str">
            <v>OK</v>
          </cell>
          <cell r="BF6">
            <v>0</v>
          </cell>
          <cell r="BG6">
            <v>8</v>
          </cell>
          <cell r="BH6">
            <v>21000</v>
          </cell>
          <cell r="BI6">
            <v>100000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  <cell r="BQ8">
            <v>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-2500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207500</v>
          </cell>
          <cell r="U9">
            <v>455000</v>
          </cell>
          <cell r="AP9" t="str">
            <v>BANQUE</v>
          </cell>
          <cell r="AQ9">
            <v>0</v>
          </cell>
          <cell r="AR9">
            <v>0</v>
          </cell>
          <cell r="AS9">
            <v>22500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165000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40000</v>
          </cell>
          <cell r="Q10">
            <v>0</v>
          </cell>
          <cell r="U10">
            <v>165000</v>
          </cell>
          <cell r="AJ10">
            <v>101500</v>
          </cell>
          <cell r="AM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101500</v>
          </cell>
          <cell r="AY10">
            <v>0</v>
          </cell>
          <cell r="AZ10">
            <v>101500</v>
          </cell>
          <cell r="BA10">
            <v>100000</v>
          </cell>
          <cell r="BD10">
            <v>1500</v>
          </cell>
          <cell r="BE10" t="str">
            <v>OK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-41000</v>
          </cell>
          <cell r="D11">
            <v>238000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10000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41000</v>
          </cell>
          <cell r="Q11">
            <v>103000</v>
          </cell>
          <cell r="U11">
            <v>279000</v>
          </cell>
          <cell r="AI11">
            <v>41000</v>
          </cell>
          <cell r="AJ11">
            <v>200000</v>
          </cell>
          <cell r="AL11">
            <v>2000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35000</v>
          </cell>
          <cell r="AW11">
            <v>41000</v>
          </cell>
          <cell r="AX11">
            <v>200000</v>
          </cell>
          <cell r="AY11">
            <v>0</v>
          </cell>
          <cell r="AZ11">
            <v>200000</v>
          </cell>
          <cell r="BA11">
            <v>200000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C15">
            <v>10000</v>
          </cell>
          <cell r="AF15" t="str">
            <v>BANQUE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290000</v>
          </cell>
          <cell r="AX15">
            <v>0</v>
          </cell>
          <cell r="AY15">
            <v>0</v>
          </cell>
          <cell r="AZ15">
            <v>290000</v>
          </cell>
          <cell r="BD15">
            <v>290000</v>
          </cell>
          <cell r="BE15" t="str">
            <v>OK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E16">
            <v>15000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1185000</v>
          </cell>
          <cell r="AZ16">
            <v>1185000</v>
          </cell>
          <cell r="BD16">
            <v>1185000</v>
          </cell>
          <cell r="BE16" t="str">
            <v>OK</v>
          </cell>
          <cell r="BF16">
            <v>0</v>
          </cell>
          <cell r="BG16">
            <v>8</v>
          </cell>
          <cell r="BO16" t="str">
            <v>S/TOTAL</v>
          </cell>
          <cell r="BQ16">
            <v>21000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202000</v>
          </cell>
          <cell r="U18">
            <v>362000</v>
          </cell>
          <cell r="AK18">
            <v>200000</v>
          </cell>
          <cell r="AN18">
            <v>5000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8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8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91000</v>
          </cell>
          <cell r="R20">
            <v>202000</v>
          </cell>
          <cell r="U20">
            <v>517000</v>
          </cell>
          <cell r="AJ20">
            <v>100000</v>
          </cell>
          <cell r="AK20">
            <v>70500</v>
          </cell>
          <cell r="AM20">
            <v>1500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24000</v>
          </cell>
          <cell r="AW20">
            <v>0</v>
          </cell>
          <cell r="AX20">
            <v>100000</v>
          </cell>
          <cell r="AY20">
            <v>70500</v>
          </cell>
          <cell r="AZ20">
            <v>170500</v>
          </cell>
          <cell r="BA20">
            <v>80000</v>
          </cell>
          <cell r="BD20">
            <v>90500</v>
          </cell>
          <cell r="BE20" t="str">
            <v>OK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462000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-101000</v>
          </cell>
          <cell r="D24">
            <v>0</v>
          </cell>
          <cell r="E24">
            <v>250000</v>
          </cell>
          <cell r="F24">
            <v>0</v>
          </cell>
          <cell r="G24">
            <v>3000</v>
          </cell>
          <cell r="H24" t="str">
            <v>ESPECES</v>
          </cell>
          <cell r="I24">
            <v>22000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101000</v>
          </cell>
          <cell r="U24">
            <v>351000</v>
          </cell>
          <cell r="AK24">
            <v>101500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47000</v>
          </cell>
          <cell r="AW24">
            <v>0</v>
          </cell>
          <cell r="AX24">
            <v>0</v>
          </cell>
          <cell r="AY24">
            <v>101500</v>
          </cell>
          <cell r="AZ24">
            <v>101500</v>
          </cell>
          <cell r="BD24">
            <v>0</v>
          </cell>
          <cell r="BF24">
            <v>0</v>
          </cell>
          <cell r="BG24">
            <v>8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-2000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575000</v>
          </cell>
          <cell r="AC25">
            <v>11000</v>
          </cell>
          <cell r="AF25" t="str">
            <v>BANQUE</v>
          </cell>
          <cell r="AK25">
            <v>200000</v>
          </cell>
          <cell r="AN25">
            <v>5500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289000</v>
          </cell>
          <cell r="AX25">
            <v>0</v>
          </cell>
          <cell r="AY25">
            <v>200000</v>
          </cell>
          <cell r="AZ25">
            <v>489000</v>
          </cell>
          <cell r="BD25">
            <v>489000</v>
          </cell>
          <cell r="BE25" t="str">
            <v>OK</v>
          </cell>
          <cell r="BF25">
            <v>0</v>
          </cell>
          <cell r="BG25">
            <v>8</v>
          </cell>
          <cell r="BO25" t="str">
            <v>INSTALLATION CHEF LA AGWE</v>
          </cell>
          <cell r="BP25" t="str">
            <v>FRAIS EXEPTIONNEL</v>
          </cell>
          <cell r="BQ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8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O28" t="str">
            <v>S/TOTAL</v>
          </cell>
          <cell r="BQ28">
            <v>100000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92500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42500</v>
          </cell>
          <cell r="U29">
            <v>92500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E31">
            <v>40000</v>
          </cell>
          <cell r="AF31" t="str">
            <v>BANQUE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1160000</v>
          </cell>
          <cell r="AZ31">
            <v>1160000</v>
          </cell>
          <cell r="BD31">
            <v>1160000</v>
          </cell>
          <cell r="BE31" t="str">
            <v>OK</v>
          </cell>
          <cell r="BF31">
            <v>0</v>
          </cell>
          <cell r="BG31">
            <v>8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C32">
            <v>10500</v>
          </cell>
          <cell r="AD32">
            <v>7500</v>
          </cell>
          <cell r="AF32" t="str">
            <v>BANQUE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289500</v>
          </cell>
          <cell r="AX32">
            <v>992500</v>
          </cell>
          <cell r="AY32">
            <v>0</v>
          </cell>
          <cell r="AZ32">
            <v>1282000</v>
          </cell>
          <cell r="BA32">
            <v>20000</v>
          </cell>
          <cell r="BD32">
            <v>1262000</v>
          </cell>
          <cell r="BE32" t="str">
            <v>OK</v>
          </cell>
          <cell r="BF32">
            <v>0</v>
          </cell>
          <cell r="BG32">
            <v>8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80000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230000</v>
          </cell>
          <cell r="AQ33">
            <v>0</v>
          </cell>
          <cell r="AR33">
            <v>0</v>
          </cell>
          <cell r="AS33">
            <v>105000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50000</v>
          </cell>
          <cell r="F34">
            <v>0</v>
          </cell>
          <cell r="G34">
            <v>3000</v>
          </cell>
          <cell r="H34" t="str">
            <v>ESPECES</v>
          </cell>
          <cell r="I34">
            <v>-3000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8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8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-142000</v>
          </cell>
          <cell r="D40">
            <v>5671500</v>
          </cell>
          <cell r="E40">
            <v>403000</v>
          </cell>
          <cell r="F40">
            <v>0</v>
          </cell>
          <cell r="G40">
            <v>12000</v>
          </cell>
          <cell r="H40">
            <v>0</v>
          </cell>
          <cell r="I40">
            <v>170500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194000</v>
          </cell>
          <cell r="R40">
            <v>1116500</v>
          </cell>
          <cell r="S40">
            <v>0</v>
          </cell>
          <cell r="U40">
            <v>6216500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31500</v>
          </cell>
          <cell r="AD40">
            <v>7500</v>
          </cell>
          <cell r="AE40">
            <v>55000</v>
          </cell>
          <cell r="AF40">
            <v>0</v>
          </cell>
          <cell r="AG40">
            <v>0</v>
          </cell>
          <cell r="AI40">
            <v>41000</v>
          </cell>
          <cell r="AJ40">
            <v>501500</v>
          </cell>
          <cell r="AK40">
            <v>572000</v>
          </cell>
          <cell r="AL40">
            <v>2000</v>
          </cell>
          <cell r="AM40">
            <v>8000</v>
          </cell>
          <cell r="AN40">
            <v>13500</v>
          </cell>
          <cell r="AO40">
            <v>0</v>
          </cell>
          <cell r="AQ40">
            <v>0</v>
          </cell>
          <cell r="AR40">
            <v>0</v>
          </cell>
          <cell r="AS40">
            <v>970500</v>
          </cell>
          <cell r="AT40">
            <v>0</v>
          </cell>
          <cell r="AU40">
            <v>0</v>
          </cell>
          <cell r="AV40">
            <v>0</v>
          </cell>
          <cell r="AW40">
            <v>909500</v>
          </cell>
          <cell r="AX40">
            <v>1394000</v>
          </cell>
          <cell r="AY40">
            <v>2917000</v>
          </cell>
          <cell r="AZ40">
            <v>5400500</v>
          </cell>
          <cell r="BA40">
            <v>400000</v>
          </cell>
          <cell r="BB40">
            <v>0</v>
          </cell>
          <cell r="BC40">
            <v>0</v>
          </cell>
          <cell r="BD40">
            <v>4899000</v>
          </cell>
          <cell r="BE40">
            <v>0</v>
          </cell>
          <cell r="BF40">
            <v>0</v>
          </cell>
          <cell r="BH40">
            <v>21000</v>
          </cell>
          <cell r="BI40">
            <v>100000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5400500</v>
          </cell>
          <cell r="D47">
            <v>5496500</v>
          </cell>
          <cell r="F47">
            <v>403000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119000</v>
          </cell>
          <cell r="BA6">
            <v>19000</v>
          </cell>
          <cell r="BD6">
            <v>100000</v>
          </cell>
          <cell r="BF6">
            <v>0</v>
          </cell>
          <cell r="BG6">
            <v>7</v>
          </cell>
          <cell r="BH6">
            <v>19000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  <cell r="BQ8">
            <v>13000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227000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-2000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104000</v>
          </cell>
          <cell r="U10">
            <v>227000</v>
          </cell>
          <cell r="AP10" t="str">
            <v>BANQUE</v>
          </cell>
          <cell r="AQ10">
            <v>0</v>
          </cell>
          <cell r="AR10">
            <v>0</v>
          </cell>
          <cell r="AS10">
            <v>23000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376000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43000</v>
          </cell>
          <cell r="Q11">
            <v>203000</v>
          </cell>
          <cell r="U11">
            <v>376000</v>
          </cell>
          <cell r="AJ11">
            <v>150000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0</v>
          </cell>
          <cell r="AX11">
            <v>150000</v>
          </cell>
          <cell r="AY11">
            <v>0</v>
          </cell>
          <cell r="AZ11">
            <v>150000</v>
          </cell>
          <cell r="BA11">
            <v>100000</v>
          </cell>
          <cell r="BD11">
            <v>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825000</v>
          </cell>
          <cell r="E12">
            <v>5000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500000</v>
          </cell>
          <cell r="T12" t="str">
            <v>BANQUE</v>
          </cell>
          <cell r="U12">
            <v>830000</v>
          </cell>
          <cell r="AE12">
            <v>10000</v>
          </cell>
          <cell r="AF12" t="str">
            <v>BANQUE</v>
          </cell>
          <cell r="AJ12">
            <v>100000</v>
          </cell>
          <cell r="AM12">
            <v>1000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100000</v>
          </cell>
          <cell r="AY12">
            <v>1190000</v>
          </cell>
          <cell r="AZ12">
            <v>1190000</v>
          </cell>
          <cell r="BD12">
            <v>1190000</v>
          </cell>
          <cell r="BE12" t="str">
            <v>OK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Z15">
            <v>1000000</v>
          </cell>
          <cell r="AA15" t="str">
            <v>BQNAUE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930000</v>
          </cell>
          <cell r="BD15">
            <v>930000</v>
          </cell>
          <cell r="BE15" t="str">
            <v>OK</v>
          </cell>
          <cell r="BF15">
            <v>70000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7</v>
          </cell>
          <cell r="BO16" t="str">
            <v>S/TOTAL</v>
          </cell>
          <cell r="BQ16">
            <v>19000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I17">
            <v>50000</v>
          </cell>
          <cell r="AL17">
            <v>500</v>
          </cell>
          <cell r="AQ17">
            <v>0</v>
          </cell>
          <cell r="AR17">
            <v>0</v>
          </cell>
          <cell r="AS17">
            <v>25000</v>
          </cell>
          <cell r="AW17">
            <v>50000</v>
          </cell>
          <cell r="AX17">
            <v>0</v>
          </cell>
          <cell r="AY17">
            <v>0</v>
          </cell>
          <cell r="AZ17">
            <v>50000</v>
          </cell>
          <cell r="BA17">
            <v>50000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365000</v>
          </cell>
          <cell r="E18">
            <v>1003000</v>
          </cell>
          <cell r="F18">
            <v>0</v>
          </cell>
          <cell r="G18">
            <v>3000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205000</v>
          </cell>
          <cell r="S18">
            <v>1000000</v>
          </cell>
          <cell r="T18" t="str">
            <v>BANQUE</v>
          </cell>
          <cell r="U18">
            <v>1368000</v>
          </cell>
          <cell r="Z18">
            <v>350000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336000</v>
          </cell>
          <cell r="BA18">
            <v>336000</v>
          </cell>
          <cell r="BD18">
            <v>0</v>
          </cell>
          <cell r="BF18">
            <v>14000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7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296000</v>
          </cell>
          <cell r="E20">
            <v>101000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101500</v>
          </cell>
          <cell r="R20">
            <v>71500</v>
          </cell>
          <cell r="U20">
            <v>397500</v>
          </cell>
          <cell r="AJ20">
            <v>200000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24500</v>
          </cell>
          <cell r="AW20">
            <v>0</v>
          </cell>
          <cell r="AX20">
            <v>200000</v>
          </cell>
          <cell r="AY20">
            <v>0</v>
          </cell>
          <cell r="AZ20">
            <v>200000</v>
          </cell>
          <cell r="BA20">
            <v>200000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C21">
            <v>3000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297000</v>
          </cell>
          <cell r="AX21">
            <v>0</v>
          </cell>
          <cell r="AY21">
            <v>0</v>
          </cell>
          <cell r="AZ21">
            <v>297000</v>
          </cell>
          <cell r="BA21">
            <v>297000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270000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-500</v>
          </cell>
          <cell r="D24">
            <v>250000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25000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500</v>
          </cell>
          <cell r="U24">
            <v>250500</v>
          </cell>
          <cell r="AK24">
            <v>103000</v>
          </cell>
          <cell r="AN24">
            <v>0</v>
          </cell>
          <cell r="AP24" t="str">
            <v>BANQUE</v>
          </cell>
          <cell r="AQ24">
            <v>0</v>
          </cell>
          <cell r="AR24">
            <v>0</v>
          </cell>
          <cell r="AS24">
            <v>50000</v>
          </cell>
          <cell r="AW24">
            <v>0</v>
          </cell>
          <cell r="AX24">
            <v>0</v>
          </cell>
          <cell r="AY24">
            <v>103000</v>
          </cell>
          <cell r="AZ24">
            <v>103000</v>
          </cell>
          <cell r="BD24">
            <v>0</v>
          </cell>
          <cell r="BF24">
            <v>0</v>
          </cell>
          <cell r="BG24">
            <v>7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205500</v>
          </cell>
          <cell r="U25">
            <v>580000</v>
          </cell>
          <cell r="AD25">
            <v>25000</v>
          </cell>
          <cell r="AF25" t="str">
            <v>BANQUE</v>
          </cell>
          <cell r="AJ25">
            <v>34000</v>
          </cell>
          <cell r="AM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24500</v>
          </cell>
          <cell r="AW25">
            <v>0</v>
          </cell>
          <cell r="AX25">
            <v>909000</v>
          </cell>
          <cell r="AY25">
            <v>0</v>
          </cell>
          <cell r="AZ25">
            <v>909000</v>
          </cell>
          <cell r="BA25">
            <v>34000</v>
          </cell>
          <cell r="BD25">
            <v>875000</v>
          </cell>
          <cell r="BE25" t="str">
            <v>OK</v>
          </cell>
          <cell r="BF25">
            <v>0</v>
          </cell>
          <cell r="BG25">
            <v>7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I26">
            <v>50000</v>
          </cell>
          <cell r="AL26">
            <v>500</v>
          </cell>
          <cell r="AQ26">
            <v>0</v>
          </cell>
          <cell r="AR26">
            <v>0</v>
          </cell>
          <cell r="AS26">
            <v>25000</v>
          </cell>
          <cell r="AW26">
            <v>50000</v>
          </cell>
          <cell r="AX26">
            <v>0</v>
          </cell>
          <cell r="AY26">
            <v>0</v>
          </cell>
          <cell r="AZ26">
            <v>50000</v>
          </cell>
          <cell r="BA26">
            <v>50000</v>
          </cell>
          <cell r="BD26">
            <v>0</v>
          </cell>
          <cell r="BF26">
            <v>0</v>
          </cell>
          <cell r="BG26">
            <v>7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C31">
            <v>3500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296500</v>
          </cell>
          <cell r="AX31">
            <v>0</v>
          </cell>
          <cell r="AY31">
            <v>0</v>
          </cell>
          <cell r="AZ31">
            <v>296500</v>
          </cell>
          <cell r="BA31">
            <v>29500</v>
          </cell>
          <cell r="BD31">
            <v>267000</v>
          </cell>
          <cell r="BE31" t="str">
            <v>OK</v>
          </cell>
          <cell r="BF31">
            <v>0</v>
          </cell>
          <cell r="BG31">
            <v>7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A32">
            <v>200000</v>
          </cell>
          <cell r="BD32">
            <v>0</v>
          </cell>
          <cell r="BF32">
            <v>0</v>
          </cell>
          <cell r="BG32">
            <v>7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7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-1000</v>
          </cell>
          <cell r="D40">
            <v>5945000</v>
          </cell>
          <cell r="E40">
            <v>1315000</v>
          </cell>
          <cell r="F40">
            <v>0</v>
          </cell>
          <cell r="G40">
            <v>9000</v>
          </cell>
          <cell r="H40">
            <v>0</v>
          </cell>
          <cell r="I40">
            <v>117000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43000</v>
          </cell>
          <cell r="Q40">
            <v>509500</v>
          </cell>
          <cell r="R40">
            <v>482500</v>
          </cell>
          <cell r="S40">
            <v>1500000</v>
          </cell>
          <cell r="U40">
            <v>7261000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1350000</v>
          </cell>
          <cell r="AA40">
            <v>0</v>
          </cell>
          <cell r="AC40">
            <v>6500</v>
          </cell>
          <cell r="AD40">
            <v>25000</v>
          </cell>
          <cell r="AE40">
            <v>10000</v>
          </cell>
          <cell r="AF40">
            <v>0</v>
          </cell>
          <cell r="AG40">
            <v>0</v>
          </cell>
          <cell r="AI40">
            <v>100000</v>
          </cell>
          <cell r="AJ40">
            <v>684000</v>
          </cell>
          <cell r="AK40">
            <v>103000</v>
          </cell>
          <cell r="AL40">
            <v>1000</v>
          </cell>
          <cell r="AM40">
            <v>7500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917000</v>
          </cell>
          <cell r="AT40">
            <v>0</v>
          </cell>
          <cell r="AU40">
            <v>0</v>
          </cell>
          <cell r="AV40">
            <v>0</v>
          </cell>
          <cell r="AW40">
            <v>693500</v>
          </cell>
          <cell r="AX40">
            <v>1559000</v>
          </cell>
          <cell r="AY40">
            <v>1293000</v>
          </cell>
          <cell r="AZ40">
            <v>4830500</v>
          </cell>
          <cell r="BA40">
            <v>1315500</v>
          </cell>
          <cell r="BB40">
            <v>0</v>
          </cell>
          <cell r="BC40">
            <v>0</v>
          </cell>
          <cell r="BD40">
            <v>3362000</v>
          </cell>
          <cell r="BE40">
            <v>0</v>
          </cell>
          <cell r="BF40">
            <v>84000</v>
          </cell>
          <cell r="BH40">
            <v>19000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4830500</v>
          </cell>
          <cell r="D47">
            <v>5720000</v>
          </cell>
          <cell r="F47">
            <v>1315000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A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6</v>
          </cell>
          <cell r="BH6">
            <v>12000</v>
          </cell>
          <cell r="BI6">
            <v>0</v>
          </cell>
          <cell r="BJ6">
            <v>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54000</v>
          </cell>
          <cell r="D7">
            <v>50000</v>
          </cell>
          <cell r="E7">
            <v>50000</v>
          </cell>
          <cell r="F7">
            <v>0</v>
          </cell>
          <cell r="G7">
            <v>0</v>
          </cell>
          <cell r="H7" t="str">
            <v>BANQUE</v>
          </cell>
          <cell r="I7">
            <v>-4000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46000</v>
          </cell>
          <cell r="AQ7">
            <v>0</v>
          </cell>
          <cell r="AR7">
            <v>0</v>
          </cell>
          <cell r="AS7">
            <v>21000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6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128000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128000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>
            <v>30000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122000</v>
          </cell>
          <cell r="D11">
            <v>404000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282000</v>
          </cell>
          <cell r="AI11">
            <v>30000</v>
          </cell>
          <cell r="AJ11">
            <v>56500</v>
          </cell>
          <cell r="AL11">
            <v>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30000</v>
          </cell>
          <cell r="AX11">
            <v>56500</v>
          </cell>
          <cell r="AY11">
            <v>0</v>
          </cell>
          <cell r="AZ11">
            <v>86500</v>
          </cell>
          <cell r="BA11">
            <v>86500</v>
          </cell>
          <cell r="BD11">
            <v>0</v>
          </cell>
          <cell r="BF11">
            <v>20000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795000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9000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101000</v>
          </cell>
          <cell r="R12">
            <v>0</v>
          </cell>
          <cell r="S12">
            <v>360000</v>
          </cell>
          <cell r="T12" t="str">
            <v>BANQUE</v>
          </cell>
          <cell r="U12">
            <v>795000</v>
          </cell>
          <cell r="AQ12">
            <v>0</v>
          </cell>
          <cell r="AR12">
            <v>0</v>
          </cell>
          <cell r="AS12">
            <v>34000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892500</v>
          </cell>
          <cell r="AY15">
            <v>0</v>
          </cell>
          <cell r="AZ15">
            <v>892500</v>
          </cell>
          <cell r="BD15">
            <v>892500</v>
          </cell>
          <cell r="BE15" t="str">
            <v>OK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D16">
            <v>7500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892500</v>
          </cell>
          <cell r="AY16">
            <v>0</v>
          </cell>
          <cell r="AZ16">
            <v>892500</v>
          </cell>
          <cell r="BD16">
            <v>892500</v>
          </cell>
          <cell r="BE16" t="str">
            <v>OK</v>
          </cell>
          <cell r="BF16">
            <v>0</v>
          </cell>
          <cell r="BG16">
            <v>6</v>
          </cell>
          <cell r="BO16" t="str">
            <v>S/TOTAL</v>
          </cell>
          <cell r="BQ16">
            <v>12000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50500</v>
          </cell>
          <cell r="R17">
            <v>0</v>
          </cell>
          <cell r="U17">
            <v>201000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  <cell r="BD17">
            <v>100000</v>
          </cell>
          <cell r="BE17" t="str">
            <v>OK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6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0</v>
          </cell>
          <cell r="U20">
            <v>427000</v>
          </cell>
          <cell r="AI20">
            <v>30000</v>
          </cell>
          <cell r="AJ20">
            <v>100000</v>
          </cell>
          <cell r="AK20">
            <v>100000</v>
          </cell>
          <cell r="AL20">
            <v>500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30000</v>
          </cell>
          <cell r="AX20">
            <v>100000</v>
          </cell>
          <cell r="AY20">
            <v>100000</v>
          </cell>
          <cell r="AZ20">
            <v>230000</v>
          </cell>
          <cell r="BA20">
            <v>100000</v>
          </cell>
          <cell r="BD20">
            <v>100000</v>
          </cell>
          <cell r="BE20" t="str">
            <v>OK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128000</v>
          </cell>
          <cell r="F22">
            <v>0</v>
          </cell>
          <cell r="G22">
            <v>3000</v>
          </cell>
          <cell r="H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128000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6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C23">
            <v>3000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297000</v>
          </cell>
          <cell r="AX23">
            <v>0</v>
          </cell>
          <cell r="AY23">
            <v>200000</v>
          </cell>
          <cell r="AZ23">
            <v>497000</v>
          </cell>
          <cell r="BA23">
            <v>100000</v>
          </cell>
          <cell r="BD23">
            <v>397000</v>
          </cell>
          <cell r="BE23" t="str">
            <v>OK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343000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103000</v>
          </cell>
          <cell r="U24">
            <v>343000</v>
          </cell>
          <cell r="AC24">
            <v>3000</v>
          </cell>
          <cell r="AE24">
            <v>15000</v>
          </cell>
          <cell r="AF24" t="str">
            <v>BANQUE</v>
          </cell>
          <cell r="AK24">
            <v>100000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297000</v>
          </cell>
          <cell r="AX24">
            <v>0</v>
          </cell>
          <cell r="AY24">
            <v>1285000</v>
          </cell>
          <cell r="AZ24">
            <v>1582000</v>
          </cell>
          <cell r="BD24">
            <v>1582000</v>
          </cell>
          <cell r="BE24" t="str">
            <v>OK</v>
          </cell>
          <cell r="BF24">
            <v>0</v>
          </cell>
          <cell r="BG24">
            <v>6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415000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5500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34500</v>
          </cell>
          <cell r="R25">
            <v>0</v>
          </cell>
          <cell r="U25">
            <v>415000</v>
          </cell>
          <cell r="AI25">
            <v>60000</v>
          </cell>
          <cell r="AL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30500</v>
          </cell>
          <cell r="AW25">
            <v>60000</v>
          </cell>
          <cell r="AX25">
            <v>0</v>
          </cell>
          <cell r="AY25">
            <v>0</v>
          </cell>
          <cell r="AZ25">
            <v>60000</v>
          </cell>
          <cell r="BD25">
            <v>60000</v>
          </cell>
          <cell r="BE25" t="str">
            <v>OK</v>
          </cell>
          <cell r="BF25">
            <v>0</v>
          </cell>
          <cell r="BG25">
            <v>6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500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50500</v>
          </cell>
          <cell r="U26">
            <v>101000</v>
          </cell>
          <cell r="AI26">
            <v>23500</v>
          </cell>
          <cell r="AL26">
            <v>500</v>
          </cell>
          <cell r="AP26" t="str">
            <v>BANQUE</v>
          </cell>
          <cell r="AQ26">
            <v>0</v>
          </cell>
          <cell r="AR26">
            <v>0</v>
          </cell>
          <cell r="AS26">
            <v>25500</v>
          </cell>
          <cell r="AW26">
            <v>23500</v>
          </cell>
          <cell r="AX26">
            <v>0</v>
          </cell>
          <cell r="AY26">
            <v>0</v>
          </cell>
          <cell r="AZ26">
            <v>23500</v>
          </cell>
          <cell r="BA26">
            <v>2500</v>
          </cell>
          <cell r="BD26">
            <v>21000</v>
          </cell>
          <cell r="BE26" t="str">
            <v>OK</v>
          </cell>
          <cell r="BF26">
            <v>0</v>
          </cell>
          <cell r="BG26">
            <v>6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C30">
            <v>3000</v>
          </cell>
          <cell r="AE30">
            <v>15000</v>
          </cell>
          <cell r="AF30" t="str">
            <v>BANQUE</v>
          </cell>
          <cell r="AK30">
            <v>125000</v>
          </cell>
          <cell r="AN30">
            <v>1000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297000</v>
          </cell>
          <cell r="AX30">
            <v>0</v>
          </cell>
          <cell r="AY30">
            <v>1310000</v>
          </cell>
          <cell r="AZ30">
            <v>1607000</v>
          </cell>
          <cell r="BA30">
            <v>125000</v>
          </cell>
          <cell r="BD30">
            <v>1482000</v>
          </cell>
          <cell r="BE30" t="str">
            <v>OK</v>
          </cell>
          <cell r="BF30">
            <v>30000</v>
          </cell>
          <cell r="BG30">
            <v>6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60000</v>
          </cell>
          <cell r="D31">
            <v>200000</v>
          </cell>
          <cell r="E31">
            <v>10000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</v>
          </cell>
          <cell r="BD31">
            <v>100000</v>
          </cell>
          <cell r="BE31" t="str">
            <v>OK</v>
          </cell>
          <cell r="BF31">
            <v>60000</v>
          </cell>
          <cell r="BG31">
            <v>6</v>
          </cell>
          <cell r="BK31">
            <v>100000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U32">
            <v>327000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6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170000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170000</v>
          </cell>
          <cell r="AQ33">
            <v>0</v>
          </cell>
          <cell r="AR33">
            <v>0</v>
          </cell>
          <cell r="AS33">
            <v>45000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6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236000</v>
          </cell>
          <cell r="D40">
            <v>5888000</v>
          </cell>
          <cell r="E40">
            <v>326000</v>
          </cell>
          <cell r="F40">
            <v>0</v>
          </cell>
          <cell r="G40">
            <v>6000</v>
          </cell>
          <cell r="H40">
            <v>0</v>
          </cell>
          <cell r="I40">
            <v>116500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101000</v>
          </cell>
          <cell r="Q40">
            <v>691500</v>
          </cell>
          <cell r="R40">
            <v>103000</v>
          </cell>
          <cell r="S40">
            <v>360000</v>
          </cell>
          <cell r="U40">
            <v>5978000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9000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173500</v>
          </cell>
          <cell r="AJ40">
            <v>256500</v>
          </cell>
          <cell r="AK40">
            <v>625000</v>
          </cell>
          <cell r="AL40">
            <v>3000</v>
          </cell>
          <cell r="AM40">
            <v>5000</v>
          </cell>
          <cell r="AN40">
            <v>7000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916500</v>
          </cell>
          <cell r="AT40">
            <v>0</v>
          </cell>
          <cell r="AU40">
            <v>0</v>
          </cell>
          <cell r="AV40">
            <v>0</v>
          </cell>
          <cell r="AW40">
            <v>1064500</v>
          </cell>
          <cell r="AX40">
            <v>2041500</v>
          </cell>
          <cell r="AY40">
            <v>2995000</v>
          </cell>
          <cell r="AZ40">
            <v>6213000</v>
          </cell>
          <cell r="BA40">
            <v>550000</v>
          </cell>
          <cell r="BB40">
            <v>0</v>
          </cell>
          <cell r="BC40">
            <v>0</v>
          </cell>
          <cell r="BD40">
            <v>5633000</v>
          </cell>
          <cell r="BE40">
            <v>0</v>
          </cell>
          <cell r="BF40">
            <v>110000</v>
          </cell>
          <cell r="BH40">
            <v>12000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6213000</v>
          </cell>
          <cell r="D47">
            <v>5663000</v>
          </cell>
          <cell r="F47">
            <v>326000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651500</v>
          </cell>
          <cell r="BA6">
            <v>36000</v>
          </cell>
          <cell r="BD6">
            <v>56000</v>
          </cell>
          <cell r="BE6" t="str">
            <v>OK</v>
          </cell>
          <cell r="BF6">
            <v>0</v>
          </cell>
          <cell r="BG6">
            <v>5</v>
          </cell>
          <cell r="BH6">
            <v>42000</v>
          </cell>
          <cell r="BI6">
            <v>609500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  <cell r="BQ8">
            <v>36000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159000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3500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159000</v>
          </cell>
          <cell r="AP10" t="str">
            <v>BANQUE</v>
          </cell>
          <cell r="AQ10">
            <v>0</v>
          </cell>
          <cell r="AR10">
            <v>0</v>
          </cell>
          <cell r="AS10">
            <v>28500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216000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57500</v>
          </cell>
          <cell r="R11">
            <v>0</v>
          </cell>
          <cell r="U11">
            <v>216000</v>
          </cell>
          <cell r="AJ11">
            <v>169000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169000</v>
          </cell>
          <cell r="AY11">
            <v>0</v>
          </cell>
          <cell r="AZ11">
            <v>169000</v>
          </cell>
          <cell r="BD11">
            <v>109000</v>
          </cell>
          <cell r="BE11" t="str">
            <v>OK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8400</v>
          </cell>
          <cell r="D12">
            <v>340000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6600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331600</v>
          </cell>
          <cell r="AC12">
            <v>3000</v>
          </cell>
          <cell r="AE12">
            <v>10000</v>
          </cell>
          <cell r="AF12" t="str">
            <v>BANQUE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31600</v>
          </cell>
          <cell r="AW12">
            <v>297000</v>
          </cell>
          <cell r="AX12">
            <v>0</v>
          </cell>
          <cell r="AY12">
            <v>1290000</v>
          </cell>
          <cell r="AZ12">
            <v>1578600</v>
          </cell>
          <cell r="BD12">
            <v>1587000</v>
          </cell>
          <cell r="BE12" t="str">
            <v>OK</v>
          </cell>
          <cell r="BF12">
            <v>8400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C13">
            <v>2500</v>
          </cell>
          <cell r="AF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297500</v>
          </cell>
          <cell r="AX13">
            <v>0</v>
          </cell>
          <cell r="AY13">
            <v>0</v>
          </cell>
          <cell r="AZ13">
            <v>297500</v>
          </cell>
          <cell r="BA13">
            <v>100000</v>
          </cell>
          <cell r="BD13">
            <v>197500</v>
          </cell>
          <cell r="BE13" t="str">
            <v>OK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-238500</v>
          </cell>
          <cell r="D16">
            <v>240000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238500</v>
          </cell>
          <cell r="U16">
            <v>478500</v>
          </cell>
          <cell r="AK16">
            <v>100000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100000</v>
          </cell>
          <cell r="AZ16">
            <v>100000</v>
          </cell>
          <cell r="BD16">
            <v>100000</v>
          </cell>
          <cell r="BE16" t="str">
            <v>OK</v>
          </cell>
          <cell r="BF16">
            <v>0</v>
          </cell>
          <cell r="BG16">
            <v>5</v>
          </cell>
          <cell r="BO16" t="str">
            <v>S/TOTAL</v>
          </cell>
          <cell r="BQ16">
            <v>42000</v>
          </cell>
        </row>
        <row r="17">
          <cell r="A17" t="str">
            <v>AS201617</v>
          </cell>
          <cell r="B17" t="str">
            <v>KOUAMOU MOISE</v>
          </cell>
          <cell r="C17">
            <v>-4000</v>
          </cell>
          <cell r="D17">
            <v>150000</v>
          </cell>
          <cell r="E17">
            <v>100000</v>
          </cell>
          <cell r="F17">
            <v>0</v>
          </cell>
          <cell r="G17">
            <v>3000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254000</v>
          </cell>
          <cell r="AK17">
            <v>54000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54000</v>
          </cell>
          <cell r="AZ17">
            <v>54000</v>
          </cell>
          <cell r="BD17">
            <v>0</v>
          </cell>
          <cell r="BF17">
            <v>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5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</row>
        <row r="20">
          <cell r="A20" t="str">
            <v>AS201649</v>
          </cell>
          <cell r="B20" t="str">
            <v>MBOGNING TUGMA GUY</v>
          </cell>
          <cell r="C20">
            <v>57500</v>
          </cell>
          <cell r="D20">
            <v>516000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102000</v>
          </cell>
          <cell r="R20">
            <v>101000</v>
          </cell>
          <cell r="U20">
            <v>458500</v>
          </cell>
          <cell r="AC20">
            <v>2500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297500</v>
          </cell>
          <cell r="AX20">
            <v>200000</v>
          </cell>
          <cell r="AY20">
            <v>200000</v>
          </cell>
          <cell r="AZ20">
            <v>695000</v>
          </cell>
          <cell r="BA20">
            <v>23500</v>
          </cell>
          <cell r="BD20">
            <v>671500</v>
          </cell>
          <cell r="BF20">
            <v>60000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30000</v>
          </cell>
          <cell r="D23">
            <v>502000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472000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1390000</v>
          </cell>
          <cell r="AZ23">
            <v>1360000</v>
          </cell>
          <cell r="BD23">
            <v>1390000</v>
          </cell>
          <cell r="BE23" t="str">
            <v>OK</v>
          </cell>
          <cell r="BF23">
            <v>30000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-102000</v>
          </cell>
          <cell r="D24">
            <v>240000</v>
          </cell>
          <cell r="E24">
            <v>0</v>
          </cell>
          <cell r="F24">
            <v>500000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102000</v>
          </cell>
          <cell r="S24">
            <v>500000</v>
          </cell>
          <cell r="T24" t="str">
            <v>BANQUE</v>
          </cell>
          <cell r="U24">
            <v>842000</v>
          </cell>
          <cell r="AD24">
            <v>7500</v>
          </cell>
          <cell r="AF24" t="str">
            <v>BANQUE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892500</v>
          </cell>
          <cell r="AY24">
            <v>200000</v>
          </cell>
          <cell r="AZ24">
            <v>490500</v>
          </cell>
          <cell r="BD24">
            <v>490500</v>
          </cell>
          <cell r="BE24" t="str">
            <v>OK</v>
          </cell>
          <cell r="BF24">
            <v>0</v>
          </cell>
          <cell r="BG24">
            <v>5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436000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61000</v>
          </cell>
          <cell r="Q25">
            <v>0</v>
          </cell>
          <cell r="R25">
            <v>0</v>
          </cell>
          <cell r="U25">
            <v>436000</v>
          </cell>
          <cell r="AI25">
            <v>30000</v>
          </cell>
          <cell r="AJ25">
            <v>100000</v>
          </cell>
          <cell r="AK25">
            <v>100000</v>
          </cell>
          <cell r="AL25">
            <v>1000</v>
          </cell>
          <cell r="AM25">
            <v>1500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30000</v>
          </cell>
          <cell r="AX25">
            <v>100000</v>
          </cell>
          <cell r="AY25">
            <v>100000</v>
          </cell>
          <cell r="AZ25">
            <v>230000</v>
          </cell>
          <cell r="BA25">
            <v>4000</v>
          </cell>
          <cell r="BD25">
            <v>200000</v>
          </cell>
          <cell r="BE25" t="str">
            <v>OK</v>
          </cell>
          <cell r="BF25">
            <v>0</v>
          </cell>
          <cell r="BG25">
            <v>5</v>
          </cell>
          <cell r="BO25" t="str">
            <v>DEVELOPPEMENT LAGWEU</v>
          </cell>
          <cell r="BP25" t="str">
            <v>FRAIS EXEPTIONNEL</v>
          </cell>
          <cell r="BQ25">
            <v>50000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74000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24000</v>
          </cell>
          <cell r="Q26">
            <v>0</v>
          </cell>
          <cell r="R26">
            <v>0</v>
          </cell>
          <cell r="U26">
            <v>74000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F26">
            <v>30000</v>
          </cell>
          <cell r="BG26">
            <v>5</v>
          </cell>
          <cell r="BO26" t="str">
            <v>REMB DETTE NGONDIEP PLAQUETTE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  <cell r="BO27" t="str">
            <v>REMBOURSEMENT DETTE HOTCHO</v>
          </cell>
          <cell r="BP27" t="str">
            <v>FRAIS EXEPTIONNEL</v>
          </cell>
          <cell r="BQ27">
            <v>238500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O28" t="str">
            <v>S/TOTAL</v>
          </cell>
          <cell r="BQ28">
            <v>288500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54500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54500</v>
          </cell>
          <cell r="AX29">
            <v>0</v>
          </cell>
          <cell r="AY29">
            <v>0</v>
          </cell>
          <cell r="AZ29">
            <v>54500</v>
          </cell>
          <cell r="BD29">
            <v>54500</v>
          </cell>
          <cell r="BE29" t="str">
            <v>OK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379000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3000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126000</v>
          </cell>
          <cell r="U30">
            <v>379000</v>
          </cell>
          <cell r="AP30" t="str">
            <v>BANQUE</v>
          </cell>
          <cell r="AQ30">
            <v>0</v>
          </cell>
          <cell r="AR30">
            <v>0</v>
          </cell>
          <cell r="AS30">
            <v>28000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1000000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R32">
            <v>0</v>
          </cell>
          <cell r="S32">
            <v>1000000</v>
          </cell>
          <cell r="T32" t="str">
            <v>BANQUE</v>
          </cell>
          <cell r="U32">
            <v>2227000</v>
          </cell>
          <cell r="AJ32">
            <v>100000</v>
          </cell>
          <cell r="AM32">
            <v>1000</v>
          </cell>
          <cell r="AQ32">
            <v>0</v>
          </cell>
          <cell r="AR32">
            <v>0</v>
          </cell>
          <cell r="AS32">
            <v>1025000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20000</v>
          </cell>
          <cell r="BD32">
            <v>50000</v>
          </cell>
          <cell r="BE32" t="str">
            <v>OK</v>
          </cell>
          <cell r="BF32">
            <v>0</v>
          </cell>
          <cell r="BG32">
            <v>5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D36">
            <v>100000</v>
          </cell>
          <cell r="BE36" t="str">
            <v>OK</v>
          </cell>
          <cell r="BF36">
            <v>0</v>
          </cell>
          <cell r="BG36">
            <v>5</v>
          </cell>
          <cell r="BK36">
            <v>100000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5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-248600</v>
          </cell>
          <cell r="D40">
            <v>7609000</v>
          </cell>
          <cell r="E40">
            <v>150000</v>
          </cell>
          <cell r="F40">
            <v>500000</v>
          </cell>
          <cell r="G40">
            <v>9000</v>
          </cell>
          <cell r="H40">
            <v>0</v>
          </cell>
          <cell r="I40">
            <v>1090100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176500</v>
          </cell>
          <cell r="Q40">
            <v>261500</v>
          </cell>
          <cell r="R40">
            <v>632000</v>
          </cell>
          <cell r="S40">
            <v>1738500</v>
          </cell>
          <cell r="U40">
            <v>8507600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8000</v>
          </cell>
          <cell r="AD40">
            <v>7500</v>
          </cell>
          <cell r="AE40">
            <v>20000</v>
          </cell>
          <cell r="AF40">
            <v>0</v>
          </cell>
          <cell r="AG40">
            <v>0</v>
          </cell>
          <cell r="AI40">
            <v>84500</v>
          </cell>
          <cell r="AJ40">
            <v>569000</v>
          </cell>
          <cell r="AK40">
            <v>1154000</v>
          </cell>
          <cell r="AL40">
            <v>2500</v>
          </cell>
          <cell r="AM40">
            <v>7000</v>
          </cell>
          <cell r="AN40">
            <v>12000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1890100</v>
          </cell>
          <cell r="AT40">
            <v>0</v>
          </cell>
          <cell r="AU40">
            <v>0</v>
          </cell>
          <cell r="AV40">
            <v>0</v>
          </cell>
          <cell r="AW40">
            <v>976500</v>
          </cell>
          <cell r="AX40">
            <v>1461500</v>
          </cell>
          <cell r="AY40">
            <v>3534000</v>
          </cell>
          <cell r="AZ40">
            <v>6050600</v>
          </cell>
          <cell r="BA40">
            <v>183500</v>
          </cell>
          <cell r="BB40">
            <v>0</v>
          </cell>
          <cell r="BC40">
            <v>0</v>
          </cell>
          <cell r="BD40">
            <v>5206000</v>
          </cell>
          <cell r="BE40">
            <v>0</v>
          </cell>
          <cell r="BF40">
            <v>128400</v>
          </cell>
          <cell r="BH40">
            <v>42000</v>
          </cell>
          <cell r="BI40">
            <v>609500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0</v>
          </cell>
        </row>
        <row r="42">
          <cell r="BD42">
            <v>5208500</v>
          </cell>
        </row>
        <row r="43">
          <cell r="B43" t="str">
            <v>AS201643</v>
          </cell>
          <cell r="BD43">
            <v>-2500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E45">
            <v>-323500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6050600</v>
          </cell>
          <cell r="D47">
            <v>7434000</v>
          </cell>
          <cell r="F47">
            <v>150000</v>
          </cell>
          <cell r="BC47">
            <v>297000</v>
          </cell>
          <cell r="BD47" t="str">
            <v>OK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3000</v>
          </cell>
          <cell r="H7" t="str">
            <v>BANQUE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57000</v>
          </cell>
          <cell r="AL7">
            <v>1000</v>
          </cell>
          <cell r="AQ7">
            <v>0</v>
          </cell>
          <cell r="AR7">
            <v>0</v>
          </cell>
          <cell r="AS7">
            <v>22000</v>
          </cell>
          <cell r="AW7">
            <v>57000</v>
          </cell>
          <cell r="AX7">
            <v>0</v>
          </cell>
          <cell r="AY7">
            <v>0</v>
          </cell>
          <cell r="AZ7">
            <v>57000</v>
          </cell>
          <cell r="BA7">
            <v>10000</v>
          </cell>
          <cell r="BD7">
            <v>47000</v>
          </cell>
          <cell r="BE7" t="str">
            <v>OK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-12250</v>
          </cell>
          <cell r="BD8">
            <v>-12250</v>
          </cell>
          <cell r="BF8">
            <v>20000</v>
          </cell>
          <cell r="BG8">
            <v>4</v>
          </cell>
          <cell r="BL8">
            <v>7750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10000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-10000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240000</v>
          </cell>
          <cell r="AK9">
            <v>100000</v>
          </cell>
          <cell r="AN9">
            <v>1000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D9">
            <v>100000</v>
          </cell>
          <cell r="BE9" t="str">
            <v>OK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C10">
            <v>2500</v>
          </cell>
          <cell r="AI10">
            <v>60000</v>
          </cell>
          <cell r="AJ10">
            <v>100000</v>
          </cell>
          <cell r="AL10">
            <v>1000</v>
          </cell>
          <cell r="AM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357500</v>
          </cell>
          <cell r="AX10">
            <v>100000</v>
          </cell>
          <cell r="AY10">
            <v>0</v>
          </cell>
          <cell r="AZ10">
            <v>457500</v>
          </cell>
          <cell r="BA10">
            <v>40000</v>
          </cell>
          <cell r="BD10">
            <v>417500</v>
          </cell>
          <cell r="BE10" t="str">
            <v>OK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-2000</v>
          </cell>
          <cell r="D11">
            <v>294000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171000</v>
          </cell>
          <cell r="R11">
            <v>0</v>
          </cell>
          <cell r="U11">
            <v>296000</v>
          </cell>
          <cell r="AJ11">
            <v>101500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101500</v>
          </cell>
          <cell r="AY11">
            <v>0</v>
          </cell>
          <cell r="AZ11">
            <v>101500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431000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431000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4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360000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34000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101000</v>
          </cell>
          <cell r="U16">
            <v>360000</v>
          </cell>
          <cell r="AJ16">
            <v>200000</v>
          </cell>
          <cell r="AM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59000</v>
          </cell>
          <cell r="AW16">
            <v>0</v>
          </cell>
          <cell r="AX16">
            <v>200000</v>
          </cell>
          <cell r="AY16">
            <v>0</v>
          </cell>
          <cell r="AZ16">
            <v>200000</v>
          </cell>
          <cell r="BD16">
            <v>200000</v>
          </cell>
          <cell r="BE16" t="str">
            <v>OK</v>
          </cell>
          <cell r="BF16">
            <v>0</v>
          </cell>
          <cell r="BG16">
            <v>4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-5000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55000</v>
          </cell>
          <cell r="U17">
            <v>200000</v>
          </cell>
          <cell r="AI17">
            <v>30000</v>
          </cell>
          <cell r="AK17">
            <v>200000</v>
          </cell>
          <cell r="AL17">
            <v>500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30000</v>
          </cell>
          <cell r="AX17">
            <v>0</v>
          </cell>
          <cell r="AY17">
            <v>200000</v>
          </cell>
          <cell r="AZ17">
            <v>230000</v>
          </cell>
          <cell r="BD17">
            <v>230000</v>
          </cell>
          <cell r="BE17" t="str">
            <v>OK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-10000</v>
          </cell>
          <cell r="D18">
            <v>350000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8000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33000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-101500</v>
          </cell>
          <cell r="D20">
            <v>528000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202500</v>
          </cell>
          <cell r="R20">
            <v>202000</v>
          </cell>
          <cell r="U20">
            <v>629500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200000</v>
          </cell>
          <cell r="AY20">
            <v>200000</v>
          </cell>
          <cell r="AZ20">
            <v>400000</v>
          </cell>
          <cell r="BD20">
            <v>400000</v>
          </cell>
          <cell r="BE20" t="str">
            <v>OK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200000</v>
          </cell>
          <cell r="BE23" t="str">
            <v>OK</v>
          </cell>
          <cell r="BF23">
            <v>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442000</v>
          </cell>
          <cell r="AK24">
            <v>202000</v>
          </cell>
          <cell r="AN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D24">
            <v>0</v>
          </cell>
          <cell r="BF24">
            <v>0</v>
          </cell>
          <cell r="BG24">
            <v>4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-3500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31000</v>
          </cell>
          <cell r="Q25">
            <v>101500</v>
          </cell>
          <cell r="R25">
            <v>101000</v>
          </cell>
          <cell r="U25">
            <v>605000</v>
          </cell>
          <cell r="AJ25">
            <v>82000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21500</v>
          </cell>
          <cell r="AW25">
            <v>0</v>
          </cell>
          <cell r="AX25">
            <v>82000</v>
          </cell>
          <cell r="AY25">
            <v>0</v>
          </cell>
          <cell r="AZ25">
            <v>82000</v>
          </cell>
          <cell r="BD25">
            <v>82000</v>
          </cell>
          <cell r="BE25" t="str">
            <v>OK</v>
          </cell>
          <cell r="BF25">
            <v>0</v>
          </cell>
          <cell r="BG25">
            <v>4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I26">
            <v>60000</v>
          </cell>
          <cell r="AL26">
            <v>1000</v>
          </cell>
          <cell r="AQ26">
            <v>0</v>
          </cell>
          <cell r="AR26">
            <v>0</v>
          </cell>
          <cell r="AS26">
            <v>25000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D26">
            <v>60000</v>
          </cell>
          <cell r="BE26" t="str">
            <v>OK</v>
          </cell>
          <cell r="BF26">
            <v>0</v>
          </cell>
          <cell r="BG26">
            <v>4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100000</v>
          </cell>
          <cell r="BD27">
            <v>100000</v>
          </cell>
          <cell r="BE27" t="str">
            <v>OK</v>
          </cell>
          <cell r="BF27">
            <v>0</v>
          </cell>
          <cell r="BG27">
            <v>4</v>
          </cell>
          <cell r="BK27">
            <v>100000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25000</v>
          </cell>
          <cell r="AW28">
            <v>297500</v>
          </cell>
          <cell r="AX28">
            <v>892500</v>
          </cell>
          <cell r="AY28">
            <v>0</v>
          </cell>
          <cell r="AZ28">
            <v>1190000</v>
          </cell>
          <cell r="BD28">
            <v>1190000</v>
          </cell>
          <cell r="BE28" t="str">
            <v>OK</v>
          </cell>
          <cell r="BF28">
            <v>0</v>
          </cell>
          <cell r="BG28">
            <v>4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56000</v>
          </cell>
          <cell r="Q29">
            <v>0</v>
          </cell>
          <cell r="R29">
            <v>0</v>
          </cell>
          <cell r="U29">
            <v>105000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24000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D29">
            <v>60000</v>
          </cell>
          <cell r="BE29" t="str">
            <v>OK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R32">
            <v>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4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4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-103500</v>
          </cell>
          <cell r="D40">
            <v>6348000</v>
          </cell>
          <cell r="E40">
            <v>0</v>
          </cell>
          <cell r="F40">
            <v>0</v>
          </cell>
          <cell r="G40">
            <v>3000</v>
          </cell>
          <cell r="H40">
            <v>0</v>
          </cell>
          <cell r="I40">
            <v>69500</v>
          </cell>
          <cell r="J40">
            <v>32</v>
          </cell>
          <cell r="K40">
            <v>1550000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87000</v>
          </cell>
          <cell r="Q40">
            <v>576000</v>
          </cell>
          <cell r="R40">
            <v>1166000</v>
          </cell>
          <cell r="S40">
            <v>0</v>
          </cell>
          <cell r="U40">
            <v>6451500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267000</v>
          </cell>
          <cell r="AJ40">
            <v>883500</v>
          </cell>
          <cell r="AK40">
            <v>1302000</v>
          </cell>
          <cell r="AL40">
            <v>4500</v>
          </cell>
          <cell r="AM40">
            <v>9000</v>
          </cell>
          <cell r="AN40">
            <v>15000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844500</v>
          </cell>
          <cell r="AT40">
            <v>0</v>
          </cell>
          <cell r="AU40">
            <v>0</v>
          </cell>
          <cell r="AV40">
            <v>0</v>
          </cell>
          <cell r="AW40">
            <v>862000</v>
          </cell>
          <cell r="AX40">
            <v>1776000</v>
          </cell>
          <cell r="AY40">
            <v>1302000</v>
          </cell>
          <cell r="AZ40">
            <v>4033750</v>
          </cell>
          <cell r="BA40">
            <v>50000</v>
          </cell>
          <cell r="BB40">
            <v>0</v>
          </cell>
          <cell r="BC40">
            <v>0</v>
          </cell>
          <cell r="BD40">
            <v>3680250</v>
          </cell>
          <cell r="BE40">
            <v>0</v>
          </cell>
          <cell r="BF40">
            <v>20000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7750</v>
          </cell>
          <cell r="BM40">
            <v>0</v>
          </cell>
          <cell r="BO40" t="str">
            <v>S/TOTAL</v>
          </cell>
          <cell r="BQ40">
            <v>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4033750</v>
          </cell>
          <cell r="D47">
            <v>6123000</v>
          </cell>
          <cell r="F47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110000</v>
          </cell>
          <cell r="F7">
            <v>0</v>
          </cell>
          <cell r="G7">
            <v>3000</v>
          </cell>
          <cell r="H7" t="str">
            <v>ESPECES</v>
          </cell>
          <cell r="I7">
            <v>-1000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58000</v>
          </cell>
          <cell r="Q7">
            <v>0</v>
          </cell>
          <cell r="R7">
            <v>0</v>
          </cell>
          <cell r="U7">
            <v>110000</v>
          </cell>
          <cell r="AQ7">
            <v>0</v>
          </cell>
          <cell r="AR7">
            <v>0</v>
          </cell>
          <cell r="AS7">
            <v>24000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128000</v>
          </cell>
          <cell r="F8">
            <v>0</v>
          </cell>
          <cell r="G8">
            <v>3000</v>
          </cell>
          <cell r="H8" t="str">
            <v>ESPECES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128000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356000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U9">
            <v>356000</v>
          </cell>
          <cell r="AK9">
            <v>200000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30000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 t="str">
            <v>OK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290000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101000</v>
          </cell>
          <cell r="R10">
            <v>0</v>
          </cell>
          <cell r="U10">
            <v>290000</v>
          </cell>
          <cell r="AI10">
            <v>60000</v>
          </cell>
          <cell r="AJ10">
            <v>50000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50000</v>
          </cell>
          <cell r="AY10">
            <v>0</v>
          </cell>
          <cell r="AZ10">
            <v>110000</v>
          </cell>
          <cell r="BA10">
            <v>110000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2500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102500</v>
          </cell>
          <cell r="R11">
            <v>0</v>
          </cell>
          <cell r="U11">
            <v>230000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27500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  <cell r="BA11">
            <v>50000</v>
          </cell>
          <cell r="BD11">
            <v>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532000</v>
          </cell>
          <cell r="AK12">
            <v>200000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25000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0</v>
          </cell>
          <cell r="U16">
            <v>452000</v>
          </cell>
          <cell r="Z16">
            <v>1000000</v>
          </cell>
          <cell r="AA16" t="str">
            <v>BANQUE</v>
          </cell>
          <cell r="AK16">
            <v>200000</v>
          </cell>
          <cell r="AN16">
            <v>3500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1180000</v>
          </cell>
          <cell r="BD16">
            <v>1180000</v>
          </cell>
          <cell r="BE16" t="str">
            <v>OK</v>
          </cell>
          <cell r="BF16">
            <v>20000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170000</v>
          </cell>
          <cell r="E17">
            <v>210000</v>
          </cell>
          <cell r="F17">
            <v>0</v>
          </cell>
          <cell r="G17">
            <v>3000</v>
          </cell>
          <cell r="H17" t="str">
            <v>BANQUE</v>
          </cell>
          <cell r="I17">
            <v>-5500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30500</v>
          </cell>
          <cell r="Q17">
            <v>0</v>
          </cell>
          <cell r="R17">
            <v>202000</v>
          </cell>
          <cell r="U17">
            <v>380000</v>
          </cell>
          <cell r="AK17">
            <v>200000</v>
          </cell>
          <cell r="AN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19500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200000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362000</v>
          </cell>
          <cell r="AK18">
            <v>100000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3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202000</v>
          </cell>
          <cell r="U20">
            <v>629000</v>
          </cell>
          <cell r="AI20">
            <v>60000</v>
          </cell>
          <cell r="AJ20">
            <v>50000</v>
          </cell>
          <cell r="AK20">
            <v>200000</v>
          </cell>
          <cell r="AL20">
            <v>1000</v>
          </cell>
          <cell r="AM20">
            <v>1000</v>
          </cell>
          <cell r="AN20">
            <v>2500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60000</v>
          </cell>
          <cell r="AX20">
            <v>50000</v>
          </cell>
          <cell r="AY20">
            <v>200000</v>
          </cell>
          <cell r="AZ20">
            <v>310000</v>
          </cell>
          <cell r="BA20">
            <v>150000</v>
          </cell>
          <cell r="BD20">
            <v>160000</v>
          </cell>
          <cell r="BE20" t="str">
            <v>OK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2500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 t="str">
            <v>OK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209000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206000</v>
          </cell>
          <cell r="U24">
            <v>449000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0</v>
          </cell>
          <cell r="BE24" t="str">
            <v>OK</v>
          </cell>
          <cell r="BF24">
            <v>0</v>
          </cell>
          <cell r="BG24">
            <v>3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83000</v>
          </cell>
          <cell r="R25">
            <v>0</v>
          </cell>
          <cell r="U25">
            <v>458000</v>
          </cell>
          <cell r="AD25">
            <v>7500</v>
          </cell>
          <cell r="AF25" t="str">
            <v>BANQUE</v>
          </cell>
          <cell r="AJ25">
            <v>50000</v>
          </cell>
          <cell r="AK25">
            <v>200000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942500</v>
          </cell>
          <cell r="AY25">
            <v>200000</v>
          </cell>
          <cell r="AZ25">
            <v>1142500</v>
          </cell>
          <cell r="BA25">
            <v>150000</v>
          </cell>
          <cell r="BD25">
            <v>992500</v>
          </cell>
          <cell r="BE25" t="str">
            <v>OK</v>
          </cell>
          <cell r="BF25">
            <v>0</v>
          </cell>
          <cell r="BG25">
            <v>3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112000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1000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112000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26000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112000</v>
          </cell>
          <cell r="AC29">
            <v>3000</v>
          </cell>
          <cell r="AP29" t="str">
            <v>BANQUE</v>
          </cell>
          <cell r="AQ29">
            <v>0</v>
          </cell>
          <cell r="AR29">
            <v>0</v>
          </cell>
          <cell r="AS29">
            <v>26000</v>
          </cell>
          <cell r="AW29">
            <v>297000</v>
          </cell>
          <cell r="AX29">
            <v>0</v>
          </cell>
          <cell r="AY29">
            <v>0</v>
          </cell>
          <cell r="AZ29">
            <v>297000</v>
          </cell>
          <cell r="BD29">
            <v>297000</v>
          </cell>
          <cell r="BE29" t="str">
            <v>OK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3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I31">
            <v>29500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29500</v>
          </cell>
          <cell r="AX31">
            <v>0</v>
          </cell>
          <cell r="AY31">
            <v>0</v>
          </cell>
          <cell r="AZ31">
            <v>29500</v>
          </cell>
          <cell r="BA31">
            <v>29500</v>
          </cell>
          <cell r="BD31">
            <v>0</v>
          </cell>
          <cell r="BE31" t="str">
            <v>OK</v>
          </cell>
          <cell r="BF31">
            <v>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AI32">
            <v>0</v>
          </cell>
          <cell r="AJ32">
            <v>107500</v>
          </cell>
          <cell r="AL32">
            <v>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107500</v>
          </cell>
          <cell r="AY32">
            <v>0</v>
          </cell>
          <cell r="AZ32">
            <v>107500</v>
          </cell>
          <cell r="BA32">
            <v>60500</v>
          </cell>
          <cell r="BD32">
            <v>47000</v>
          </cell>
          <cell r="BE32" t="str">
            <v>OK</v>
          </cell>
          <cell r="BF32">
            <v>0</v>
          </cell>
          <cell r="BG32">
            <v>3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-304000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174000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324000</v>
          </cell>
          <cell r="AC33">
            <v>6000</v>
          </cell>
          <cell r="AE33">
            <v>10000</v>
          </cell>
          <cell r="AF33" t="str">
            <v>BANQUE</v>
          </cell>
          <cell r="AQ33">
            <v>0</v>
          </cell>
          <cell r="AR33">
            <v>0</v>
          </cell>
          <cell r="AS33">
            <v>199000</v>
          </cell>
          <cell r="AW33">
            <v>294000</v>
          </cell>
          <cell r="AX33">
            <v>0</v>
          </cell>
          <cell r="AY33">
            <v>1190000</v>
          </cell>
          <cell r="AZ33">
            <v>1484000</v>
          </cell>
          <cell r="BB33">
            <v>140000</v>
          </cell>
          <cell r="BD33">
            <v>1180000</v>
          </cell>
          <cell r="BE33" t="str">
            <v>OK</v>
          </cell>
          <cell r="BF33">
            <v>0</v>
          </cell>
          <cell r="BG33">
            <v>3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3750</v>
          </cell>
          <cell r="D34">
            <v>110000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6250</v>
          </cell>
          <cell r="J34">
            <v>1</v>
          </cell>
          <cell r="K34">
            <v>100000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106250</v>
          </cell>
          <cell r="AQ34">
            <v>0</v>
          </cell>
          <cell r="AR34">
            <v>3750</v>
          </cell>
          <cell r="AS34">
            <v>56250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100000</v>
          </cell>
          <cell r="BD35">
            <v>100000</v>
          </cell>
          <cell r="BE35" t="str">
            <v>OK</v>
          </cell>
          <cell r="BF35">
            <v>0</v>
          </cell>
          <cell r="BG35">
            <v>3</v>
          </cell>
          <cell r="BK35">
            <v>100000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-940000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I37">
            <v>700000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853000</v>
          </cell>
          <cell r="AC37">
            <v>4000</v>
          </cell>
          <cell r="AE37">
            <v>10000</v>
          </cell>
          <cell r="AF37" t="str">
            <v>BANQUE</v>
          </cell>
          <cell r="AQ37">
            <v>0</v>
          </cell>
          <cell r="AR37">
            <v>0</v>
          </cell>
          <cell r="AS37">
            <v>725000</v>
          </cell>
          <cell r="AT37">
            <v>120000</v>
          </cell>
          <cell r="AW37">
            <v>296000</v>
          </cell>
          <cell r="AX37">
            <v>0</v>
          </cell>
          <cell r="AY37">
            <v>1190000</v>
          </cell>
          <cell r="AZ37">
            <v>1486000</v>
          </cell>
          <cell r="BB37">
            <v>240000</v>
          </cell>
          <cell r="BD37">
            <v>426000</v>
          </cell>
          <cell r="BE37" t="str">
            <v>OK</v>
          </cell>
          <cell r="BF37">
            <v>0</v>
          </cell>
          <cell r="BG37">
            <v>3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-1240250</v>
          </cell>
          <cell r="D40">
            <v>6147000</v>
          </cell>
          <cell r="E40">
            <v>1100000</v>
          </cell>
          <cell r="F40">
            <v>0</v>
          </cell>
          <cell r="G40">
            <v>18000</v>
          </cell>
          <cell r="H40">
            <v>0</v>
          </cell>
          <cell r="I40">
            <v>958250</v>
          </cell>
          <cell r="J40">
            <v>32</v>
          </cell>
          <cell r="K40">
            <v>1650000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271500</v>
          </cell>
          <cell r="Q40">
            <v>892500</v>
          </cell>
          <cell r="R40">
            <v>1317000</v>
          </cell>
          <cell r="S40">
            <v>0</v>
          </cell>
          <cell r="U40">
            <v>8107250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13000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209500</v>
          </cell>
          <cell r="AJ40">
            <v>307500</v>
          </cell>
          <cell r="AK40">
            <v>1900000</v>
          </cell>
          <cell r="AL40">
            <v>3500</v>
          </cell>
          <cell r="AM40">
            <v>6000</v>
          </cell>
          <cell r="AN40">
            <v>25000</v>
          </cell>
          <cell r="AO40">
            <v>0</v>
          </cell>
          <cell r="AP40">
            <v>0</v>
          </cell>
          <cell r="AQ40">
            <v>0</v>
          </cell>
          <cell r="AR40">
            <v>3750</v>
          </cell>
          <cell r="AS40">
            <v>1783250</v>
          </cell>
          <cell r="AT40">
            <v>120000</v>
          </cell>
          <cell r="AU40">
            <v>0</v>
          </cell>
          <cell r="AV40">
            <v>0</v>
          </cell>
          <cell r="AW40">
            <v>1096500</v>
          </cell>
          <cell r="AX40">
            <v>2092500</v>
          </cell>
          <cell r="AY40">
            <v>5470000</v>
          </cell>
          <cell r="AZ40">
            <v>9745000</v>
          </cell>
          <cell r="BA40">
            <v>910000</v>
          </cell>
          <cell r="BB40">
            <v>380000</v>
          </cell>
          <cell r="BC40">
            <v>0</v>
          </cell>
          <cell r="BD40">
            <v>7271000</v>
          </cell>
          <cell r="BE40">
            <v>0</v>
          </cell>
          <cell r="BF40">
            <v>20000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9745000</v>
          </cell>
          <cell r="D47">
            <v>5972000</v>
          </cell>
          <cell r="F47">
            <v>1100000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1257000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0</v>
          </cell>
          <cell r="AY8">
            <v>0</v>
          </cell>
          <cell r="AZ8">
            <v>297500</v>
          </cell>
          <cell r="BD8">
            <v>297500</v>
          </cell>
          <cell r="BE8" t="str">
            <v>OK</v>
          </cell>
          <cell r="BF8">
            <v>0</v>
          </cell>
          <cell r="BG8">
            <v>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-1000</v>
          </cell>
          <cell r="D9">
            <v>452000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203000</v>
          </cell>
          <cell r="U9">
            <v>453000</v>
          </cell>
          <cell r="AE9">
            <v>10000</v>
          </cell>
          <cell r="AF9" t="str">
            <v>BANQUE</v>
          </cell>
          <cell r="AK9">
            <v>150000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1340000</v>
          </cell>
          <cell r="AZ9">
            <v>1340000</v>
          </cell>
          <cell r="BA9">
            <v>150000</v>
          </cell>
          <cell r="BD9">
            <v>1190000</v>
          </cell>
          <cell r="BE9" t="str">
            <v>OK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238000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51000</v>
          </cell>
          <cell r="R10">
            <v>0</v>
          </cell>
          <cell r="U10">
            <v>238000</v>
          </cell>
          <cell r="AI10">
            <v>60500</v>
          </cell>
          <cell r="AJ10">
            <v>100000</v>
          </cell>
          <cell r="AL10">
            <v>1500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26000</v>
          </cell>
          <cell r="AW10">
            <v>60500</v>
          </cell>
          <cell r="AX10">
            <v>100000</v>
          </cell>
          <cell r="AY10">
            <v>0</v>
          </cell>
          <cell r="AZ10">
            <v>160500</v>
          </cell>
          <cell r="BA10">
            <v>60500</v>
          </cell>
          <cell r="BD10">
            <v>100000</v>
          </cell>
          <cell r="BE10" t="str">
            <v>OK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176500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51000</v>
          </cell>
          <cell r="R11">
            <v>0</v>
          </cell>
          <cell r="U11">
            <v>176500</v>
          </cell>
          <cell r="AJ11">
            <v>100000</v>
          </cell>
          <cell r="AM11">
            <v>1000</v>
          </cell>
          <cell r="AN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25500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-1000</v>
          </cell>
          <cell r="D12">
            <v>632000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203000</v>
          </cell>
          <cell r="S12">
            <v>100000</v>
          </cell>
          <cell r="T12" t="str">
            <v>BANQUE</v>
          </cell>
          <cell r="U12">
            <v>633000</v>
          </cell>
          <cell r="AK12">
            <v>400000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400000</v>
          </cell>
          <cell r="AZ12">
            <v>400000</v>
          </cell>
          <cell r="BD12">
            <v>400000</v>
          </cell>
          <cell r="BE12" t="str">
            <v>OK</v>
          </cell>
          <cell r="BF12">
            <v>0</v>
          </cell>
          <cell r="BG12">
            <v>2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-1500</v>
          </cell>
          <cell r="D16">
            <v>442000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203500</v>
          </cell>
          <cell r="U16">
            <v>443500</v>
          </cell>
          <cell r="AK16">
            <v>300000</v>
          </cell>
          <cell r="AN16">
            <v>3000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300000</v>
          </cell>
          <cell r="AZ16">
            <v>300000</v>
          </cell>
          <cell r="BD16">
            <v>300000</v>
          </cell>
          <cell r="BE16" t="str">
            <v>OK</v>
          </cell>
          <cell r="BF16">
            <v>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353000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202500</v>
          </cell>
          <cell r="U17">
            <v>353000</v>
          </cell>
          <cell r="AK17">
            <v>150000</v>
          </cell>
          <cell r="AN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150000</v>
          </cell>
          <cell r="AZ17">
            <v>150000</v>
          </cell>
          <cell r="BA17">
            <v>100000</v>
          </cell>
          <cell r="BD17">
            <v>50000</v>
          </cell>
          <cell r="BE17" t="str">
            <v>OK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251000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U18">
            <v>251000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2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539000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51000</v>
          </cell>
          <cell r="R20">
            <v>202500</v>
          </cell>
          <cell r="U20">
            <v>539500</v>
          </cell>
          <cell r="AJ20">
            <v>50000</v>
          </cell>
          <cell r="AK20">
            <v>400000</v>
          </cell>
          <cell r="AM20">
            <v>1000</v>
          </cell>
          <cell r="AN20">
            <v>4000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50000</v>
          </cell>
          <cell r="AY20">
            <v>400000</v>
          </cell>
          <cell r="AZ20">
            <v>450000</v>
          </cell>
          <cell r="BA20">
            <v>62500</v>
          </cell>
          <cell r="BD20">
            <v>387500</v>
          </cell>
          <cell r="BE20" t="str">
            <v>OK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-500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202500</v>
          </cell>
          <cell r="U23">
            <v>462500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 t="str">
            <v>OK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430000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430000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521000</v>
          </cell>
          <cell r="BE24" t="str">
            <v>OK</v>
          </cell>
          <cell r="BF24">
            <v>0</v>
          </cell>
          <cell r="BG24">
            <v>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618000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-11000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203000</v>
          </cell>
          <cell r="U25">
            <v>618000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14000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 t="str">
            <v>OK</v>
          </cell>
          <cell r="BF25">
            <v>0</v>
          </cell>
          <cell r="BG25">
            <v>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111000</v>
          </cell>
          <cell r="AP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DEUIL TCHEMNOU EMMANUEL</v>
          </cell>
          <cell r="BP26" t="str">
            <v>FRAIS EXEPTIONNEL</v>
          </cell>
          <cell r="BQ26">
            <v>321500</v>
          </cell>
        </row>
        <row r="27">
          <cell r="A27" t="str">
            <v>AS201656</v>
          </cell>
          <cell r="B27" t="str">
            <v>NOUBE ETIENNE</v>
          </cell>
          <cell r="C27">
            <v>-20000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297500</v>
          </cell>
          <cell r="AX27">
            <v>0</v>
          </cell>
          <cell r="AY27">
            <v>0</v>
          </cell>
          <cell r="AZ27">
            <v>297500</v>
          </cell>
          <cell r="BB27">
            <v>20000</v>
          </cell>
          <cell r="BD27">
            <v>277500</v>
          </cell>
          <cell r="BE27" t="str">
            <v>OK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2</v>
          </cell>
          <cell r="BO28" t="str">
            <v>S/TOTAL</v>
          </cell>
          <cell r="BQ28">
            <v>321500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60000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A29">
            <v>60000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U30">
            <v>452000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180000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30000</v>
          </cell>
          <cell r="Q31">
            <v>0</v>
          </cell>
          <cell r="R31">
            <v>0</v>
          </cell>
          <cell r="U31">
            <v>180000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234500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109500</v>
          </cell>
          <cell r="R32">
            <v>0</v>
          </cell>
          <cell r="U32">
            <v>234500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-85000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95000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245000</v>
          </cell>
          <cell r="AQ33">
            <v>0</v>
          </cell>
          <cell r="AR33">
            <v>0</v>
          </cell>
          <cell r="AS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2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C38">
            <v>2500</v>
          </cell>
          <cell r="AD38">
            <v>7500</v>
          </cell>
          <cell r="AF38" t="str">
            <v>BANQUE</v>
          </cell>
          <cell r="AQ38">
            <v>0</v>
          </cell>
          <cell r="AR38">
            <v>0</v>
          </cell>
          <cell r="AS38">
            <v>25000</v>
          </cell>
          <cell r="AW38">
            <v>297500</v>
          </cell>
          <cell r="AX38">
            <v>892500</v>
          </cell>
          <cell r="AY38">
            <v>0</v>
          </cell>
          <cell r="AZ38">
            <v>1190000</v>
          </cell>
          <cell r="BD38">
            <v>1190000</v>
          </cell>
          <cell r="BE38" t="str">
            <v>OK</v>
          </cell>
          <cell r="BF38">
            <v>0</v>
          </cell>
          <cell r="BG38">
            <v>2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-109500</v>
          </cell>
          <cell r="D40">
            <v>6561000</v>
          </cell>
          <cell r="E40">
            <v>633000</v>
          </cell>
          <cell r="F40">
            <v>0</v>
          </cell>
          <cell r="G40">
            <v>6000</v>
          </cell>
          <cell r="H40">
            <v>0</v>
          </cell>
          <cell r="I40">
            <v>126000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213000</v>
          </cell>
          <cell r="Q40">
            <v>313500</v>
          </cell>
          <cell r="R40">
            <v>1925000</v>
          </cell>
          <cell r="S40">
            <v>100000</v>
          </cell>
          <cell r="U40">
            <v>7283500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120500</v>
          </cell>
          <cell r="AJ40">
            <v>250000</v>
          </cell>
          <cell r="AK40">
            <v>1900000</v>
          </cell>
          <cell r="AL40">
            <v>3000</v>
          </cell>
          <cell r="AM40">
            <v>3000</v>
          </cell>
          <cell r="AN40">
            <v>21000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926000</v>
          </cell>
          <cell r="AT40">
            <v>0</v>
          </cell>
          <cell r="AU40">
            <v>0</v>
          </cell>
          <cell r="AV40">
            <v>0</v>
          </cell>
          <cell r="AW40">
            <v>1013000</v>
          </cell>
          <cell r="AX40">
            <v>1142500</v>
          </cell>
          <cell r="AY40">
            <v>3090000</v>
          </cell>
          <cell r="AZ40">
            <v>5351500</v>
          </cell>
          <cell r="BA40">
            <v>633000</v>
          </cell>
          <cell r="BB40">
            <v>20000</v>
          </cell>
          <cell r="BC40">
            <v>0</v>
          </cell>
          <cell r="BD40">
            <v>6170500</v>
          </cell>
          <cell r="BE40">
            <v>0</v>
          </cell>
          <cell r="BF40">
            <v>0</v>
          </cell>
          <cell r="BH40">
            <v>6000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100000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5351500</v>
          </cell>
          <cell r="D47">
            <v>6386000</v>
          </cell>
          <cell r="F47">
            <v>633000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F6">
            <v>0</v>
          </cell>
          <cell r="BG6">
            <v>1</v>
          </cell>
          <cell r="BH6">
            <v>56000</v>
          </cell>
          <cell r="BI6">
            <v>0</v>
          </cell>
          <cell r="BJ6">
            <v>100000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401500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151500</v>
          </cell>
          <cell r="U9">
            <v>401500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A9">
            <v>100000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285000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-3000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62000</v>
          </cell>
          <cell r="Q10">
            <v>101000</v>
          </cell>
          <cell r="R10">
            <v>0</v>
          </cell>
          <cell r="U10">
            <v>285000</v>
          </cell>
          <cell r="AI10">
            <v>60000</v>
          </cell>
          <cell r="AJ10">
            <v>130000</v>
          </cell>
          <cell r="AL10">
            <v>1000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60000</v>
          </cell>
          <cell r="AX10">
            <v>130000</v>
          </cell>
          <cell r="AY10">
            <v>0</v>
          </cell>
          <cell r="AZ10">
            <v>190000</v>
          </cell>
          <cell r="BD10">
            <v>190000</v>
          </cell>
          <cell r="BE10" t="str">
            <v>OK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-101000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101000</v>
          </cell>
          <cell r="R11">
            <v>0</v>
          </cell>
          <cell r="U11">
            <v>226000</v>
          </cell>
          <cell r="AJ11">
            <v>101000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101000</v>
          </cell>
          <cell r="AY11">
            <v>0</v>
          </cell>
          <cell r="AZ11">
            <v>101000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736000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7000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404000</v>
          </cell>
          <cell r="U12">
            <v>736000</v>
          </cell>
          <cell r="AI12">
            <v>60000</v>
          </cell>
          <cell r="AJ12">
            <v>100500</v>
          </cell>
          <cell r="AK12">
            <v>500000</v>
          </cell>
          <cell r="AL12">
            <v>1000</v>
          </cell>
          <cell r="AM12">
            <v>1000</v>
          </cell>
          <cell r="AN12">
            <v>5000</v>
          </cell>
          <cell r="AP12" t="str">
            <v>BANQUE</v>
          </cell>
          <cell r="AQ12">
            <v>0</v>
          </cell>
          <cell r="AR12">
            <v>0</v>
          </cell>
          <cell r="AS12">
            <v>32000</v>
          </cell>
          <cell r="AW12">
            <v>60000</v>
          </cell>
          <cell r="AX12">
            <v>100500</v>
          </cell>
          <cell r="AY12">
            <v>500000</v>
          </cell>
          <cell r="AZ12">
            <v>660500</v>
          </cell>
          <cell r="BA12">
            <v>60000</v>
          </cell>
          <cell r="BD12">
            <v>600500</v>
          </cell>
          <cell r="BE12" t="str">
            <v>OK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P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-3000</v>
          </cell>
          <cell r="D14">
            <v>0</v>
          </cell>
          <cell r="E14">
            <v>50000</v>
          </cell>
          <cell r="F14">
            <v>0</v>
          </cell>
          <cell r="G14">
            <v>3000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53000</v>
          </cell>
          <cell r="AC14">
            <v>2500</v>
          </cell>
          <cell r="AP14" t="str">
            <v>BANQUE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D14">
            <v>297500</v>
          </cell>
          <cell r="BE14" t="str">
            <v>OK</v>
          </cell>
          <cell r="BF14">
            <v>0</v>
          </cell>
          <cell r="BG14">
            <v>1</v>
          </cell>
          <cell r="BO14" t="str">
            <v>AGENCE ASSOCIATION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10000</v>
          </cell>
          <cell r="D16">
            <v>543000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303000</v>
          </cell>
          <cell r="U16">
            <v>533000</v>
          </cell>
          <cell r="AJ16">
            <v>200000</v>
          </cell>
          <cell r="AK16">
            <v>200000</v>
          </cell>
          <cell r="AM16">
            <v>2000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0</v>
          </cell>
          <cell r="AX16">
            <v>200000</v>
          </cell>
          <cell r="AY16">
            <v>200000</v>
          </cell>
          <cell r="AZ16">
            <v>400000</v>
          </cell>
          <cell r="BD16">
            <v>400000</v>
          </cell>
          <cell r="BE16" t="str">
            <v>OK</v>
          </cell>
          <cell r="BF16">
            <v>0</v>
          </cell>
          <cell r="BG16">
            <v>1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-101500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151500</v>
          </cell>
          <cell r="U17">
            <v>301500</v>
          </cell>
          <cell r="AK17">
            <v>101500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101500</v>
          </cell>
          <cell r="AZ17">
            <v>101500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3000</v>
          </cell>
          <cell r="D18">
            <v>0</v>
          </cell>
          <cell r="E18">
            <v>160000</v>
          </cell>
          <cell r="F18">
            <v>0</v>
          </cell>
          <cell r="G18">
            <v>3000</v>
          </cell>
          <cell r="H18" t="str">
            <v>ESPECES</v>
          </cell>
          <cell r="I18">
            <v>4000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157000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29000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1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51000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51000</v>
          </cell>
          <cell r="R20">
            <v>404000</v>
          </cell>
          <cell r="U20">
            <v>680000</v>
          </cell>
          <cell r="AI20">
            <v>130000</v>
          </cell>
          <cell r="AJ20">
            <v>200000</v>
          </cell>
          <cell r="AK20">
            <v>200000</v>
          </cell>
          <cell r="AL20">
            <v>2000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130000</v>
          </cell>
          <cell r="AX20">
            <v>200000</v>
          </cell>
          <cell r="AY20">
            <v>200000</v>
          </cell>
          <cell r="AZ20">
            <v>536000</v>
          </cell>
          <cell r="BA20">
            <v>147000</v>
          </cell>
          <cell r="BD20">
            <v>389000</v>
          </cell>
          <cell r="BE20" t="str">
            <v>OK</v>
          </cell>
          <cell r="BF20">
            <v>0</v>
          </cell>
          <cell r="BG20">
            <v>1</v>
          </cell>
          <cell r="BK20">
            <v>6000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892500</v>
          </cell>
          <cell r="T22" t="str">
            <v>BANQUE</v>
          </cell>
          <cell r="U22">
            <v>1017500</v>
          </cell>
          <cell r="AD22">
            <v>7500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400000</v>
          </cell>
          <cell r="AN23">
            <v>4000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400000</v>
          </cell>
          <cell r="AZ23">
            <v>400000</v>
          </cell>
          <cell r="BD23">
            <v>400000</v>
          </cell>
          <cell r="BE23" t="str">
            <v>OK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205000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445000</v>
          </cell>
          <cell r="AK24">
            <v>202000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A24">
            <v>202000</v>
          </cell>
          <cell r="BD24">
            <v>0</v>
          </cell>
          <cell r="BF24">
            <v>0</v>
          </cell>
          <cell r="BG24">
            <v>1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4000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480000</v>
          </cell>
          <cell r="AP25" t="str">
            <v>BANQUE</v>
          </cell>
          <cell r="AQ25">
            <v>0</v>
          </cell>
          <cell r="AR25">
            <v>0</v>
          </cell>
          <cell r="AS25">
            <v>29000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2000000</v>
          </cell>
          <cell r="BE25" t="str">
            <v>OK</v>
          </cell>
          <cell r="BF25">
            <v>0</v>
          </cell>
          <cell r="BG25">
            <v>1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  <cell r="BO27" t="str">
            <v>ASCOBA</v>
          </cell>
          <cell r="BQ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</v>
          </cell>
          <cell r="BO28" t="str">
            <v>S/TOTAL</v>
          </cell>
          <cell r="BQ28">
            <v>50000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120000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8500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61500</v>
          </cell>
          <cell r="Q29">
            <v>0</v>
          </cell>
          <cell r="R29">
            <v>0</v>
          </cell>
          <cell r="U29">
            <v>120000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33500</v>
          </cell>
          <cell r="AW29">
            <v>60000</v>
          </cell>
          <cell r="AX29">
            <v>0</v>
          </cell>
          <cell r="AY29">
            <v>0</v>
          </cell>
          <cell r="AZ29">
            <v>160000</v>
          </cell>
          <cell r="BA29">
            <v>60000</v>
          </cell>
          <cell r="BD29">
            <v>100000</v>
          </cell>
          <cell r="BE29" t="str">
            <v>OK</v>
          </cell>
          <cell r="BF29">
            <v>0</v>
          </cell>
          <cell r="BG29">
            <v>1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1</v>
          </cell>
          <cell r="BO30" t="str">
            <v xml:space="preserve">DECES </v>
          </cell>
          <cell r="BP30" t="str">
            <v>MUTUELLE</v>
          </cell>
          <cell r="BQ30">
            <v>100000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J32">
            <v>200000</v>
          </cell>
          <cell r="AM32">
            <v>2000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1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  <cell r="BO34" t="str">
            <v>S/TOTAL</v>
          </cell>
          <cell r="BQ34">
            <v>100000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297500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297500</v>
          </cell>
          <cell r="T35" t="str">
            <v>BANQUE</v>
          </cell>
          <cell r="U35">
            <v>357500</v>
          </cell>
          <cell r="AC35">
            <v>2500</v>
          </cell>
          <cell r="AQ35">
            <v>0</v>
          </cell>
          <cell r="AR35">
            <v>0</v>
          </cell>
          <cell r="AS35">
            <v>35000</v>
          </cell>
          <cell r="AW35">
            <v>297500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-192500</v>
          </cell>
          <cell r="D40">
            <v>6116500</v>
          </cell>
          <cell r="E40">
            <v>669000</v>
          </cell>
          <cell r="F40">
            <v>1190000</v>
          </cell>
          <cell r="G40">
            <v>12000</v>
          </cell>
          <cell r="H40">
            <v>0</v>
          </cell>
          <cell r="I40">
            <v>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253000</v>
          </cell>
          <cell r="R40">
            <v>1919000</v>
          </cell>
          <cell r="S40">
            <v>1190000</v>
          </cell>
          <cell r="U40">
            <v>8168000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310000</v>
          </cell>
          <cell r="AJ40">
            <v>931500</v>
          </cell>
          <cell r="AK40">
            <v>2003500</v>
          </cell>
          <cell r="AL40">
            <v>5000</v>
          </cell>
          <cell r="AM40">
            <v>11000</v>
          </cell>
          <cell r="AN40">
            <v>22000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870500</v>
          </cell>
          <cell r="AT40">
            <v>0</v>
          </cell>
          <cell r="AU40">
            <v>0</v>
          </cell>
          <cell r="AV40">
            <v>0</v>
          </cell>
          <cell r="AW40">
            <v>905000</v>
          </cell>
          <cell r="AX40">
            <v>1824000</v>
          </cell>
          <cell r="AY40">
            <v>2003500</v>
          </cell>
          <cell r="AZ40">
            <v>3804500</v>
          </cell>
          <cell r="BA40">
            <v>669000</v>
          </cell>
          <cell r="BB40">
            <v>0</v>
          </cell>
          <cell r="BC40">
            <v>0</v>
          </cell>
          <cell r="BD40">
            <v>4933000</v>
          </cell>
          <cell r="BE40">
            <v>0</v>
          </cell>
          <cell r="BF40">
            <v>0</v>
          </cell>
          <cell r="BH40">
            <v>56000</v>
          </cell>
          <cell r="BI40">
            <v>0</v>
          </cell>
          <cell r="BJ40">
            <v>100000</v>
          </cell>
          <cell r="BK40">
            <v>106000</v>
          </cell>
          <cell r="BL40">
            <v>0</v>
          </cell>
          <cell r="BM40">
            <v>0</v>
          </cell>
          <cell r="BO40" t="str">
            <v>S/TOTAL</v>
          </cell>
          <cell r="BQ40">
            <v>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3804500</v>
          </cell>
          <cell r="D47">
            <v>5941500</v>
          </cell>
          <cell r="F47">
            <v>669000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  <cell r="BD6">
            <v>5026618</v>
          </cell>
          <cell r="BF6">
            <v>0</v>
          </cell>
          <cell r="BG6">
            <v>12</v>
          </cell>
          <cell r="BH6">
            <v>4031000</v>
          </cell>
          <cell r="BI6">
            <v>0</v>
          </cell>
          <cell r="BJ6">
            <v>0</v>
          </cell>
          <cell r="BN6">
            <v>1026618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93000</v>
          </cell>
          <cell r="BG7">
            <v>12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440000</v>
          </cell>
          <cell r="BA8">
            <v>440000</v>
          </cell>
          <cell r="BD8">
            <v>0</v>
          </cell>
          <cell r="BF8">
            <v>60000</v>
          </cell>
          <cell r="BG8">
            <v>12</v>
          </cell>
          <cell r="BO8" t="str">
            <v>COMMISSION</v>
          </cell>
          <cell r="BP8" t="str">
            <v>FONDS DE ROULEMENT</v>
          </cell>
          <cell r="BQ8">
            <v>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880000</v>
          </cell>
          <cell r="BE10" t="str">
            <v>OK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  <cell r="BD12">
            <v>0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O14" t="str">
            <v>ACHAT TERRAIN</v>
          </cell>
          <cell r="BP14" t="str">
            <v>FONDS DE ROULEMENT</v>
          </cell>
          <cell r="BQ14">
            <v>4000000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U16">
            <v>1684000</v>
          </cell>
          <cell r="AQ16">
            <v>0</v>
          </cell>
          <cell r="AR16">
            <v>0</v>
          </cell>
          <cell r="AS16">
            <v>80000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12</v>
          </cell>
          <cell r="BO16" t="str">
            <v>S/TOTAL</v>
          </cell>
          <cell r="BQ16">
            <v>4031000</v>
          </cell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U17">
            <v>430000</v>
          </cell>
          <cell r="AQ17">
            <v>0</v>
          </cell>
          <cell r="AR17">
            <v>0</v>
          </cell>
          <cell r="AS17">
            <v>30500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U18">
            <v>611000</v>
          </cell>
          <cell r="Z18">
            <v>1000000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880000</v>
          </cell>
          <cell r="BD18">
            <v>880000</v>
          </cell>
          <cell r="BE18" t="str">
            <v>OK</v>
          </cell>
          <cell r="BF18">
            <v>120000</v>
          </cell>
          <cell r="BG18">
            <v>12</v>
          </cell>
          <cell r="BO18" t="str">
            <v>TERRAIN NYOM</v>
          </cell>
          <cell r="BP18" t="str">
            <v>AUTRES DEPENSES</v>
          </cell>
          <cell r="BQ18">
            <v>1026618</v>
          </cell>
        </row>
        <row r="19">
          <cell r="A19" t="str">
            <v>AS201661</v>
          </cell>
          <cell r="B19" t="str">
            <v>MASSEUNGOUE DAGOBERT</v>
          </cell>
          <cell r="C19">
            <v>-297500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347500</v>
          </cell>
          <cell r="AC19">
            <v>2500</v>
          </cell>
          <cell r="AQ19">
            <v>0</v>
          </cell>
          <cell r="AR19">
            <v>0</v>
          </cell>
          <cell r="AS19">
            <v>322500</v>
          </cell>
          <cell r="AW19">
            <v>297500</v>
          </cell>
          <cell r="AX19">
            <v>0</v>
          </cell>
          <cell r="AY19">
            <v>0</v>
          </cell>
          <cell r="AZ19">
            <v>297500</v>
          </cell>
          <cell r="BA19">
            <v>297500</v>
          </cell>
          <cell r="BB19">
            <v>190000</v>
          </cell>
          <cell r="BD19">
            <v>0</v>
          </cell>
          <cell r="BF19">
            <v>0</v>
          </cell>
          <cell r="BG19">
            <v>12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U20">
            <v>1761000</v>
          </cell>
          <cell r="Z20">
            <v>1000000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0</v>
          </cell>
          <cell r="AZ20">
            <v>970000</v>
          </cell>
          <cell r="BA20">
            <v>970000</v>
          </cell>
          <cell r="BB20">
            <v>66700</v>
          </cell>
          <cell r="BD20">
            <v>0</v>
          </cell>
          <cell r="BF20">
            <v>30000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U21">
            <v>350000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46500</v>
          </cell>
          <cell r="BG21">
            <v>12</v>
          </cell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U22">
            <v>232500</v>
          </cell>
          <cell r="Z22">
            <v>900000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792000</v>
          </cell>
          <cell r="BD22">
            <v>792000</v>
          </cell>
          <cell r="BE22" t="str">
            <v>OK</v>
          </cell>
          <cell r="BF22">
            <v>108000</v>
          </cell>
          <cell r="BG22">
            <v>12</v>
          </cell>
          <cell r="BO22" t="str">
            <v>S/TOTAL</v>
          </cell>
          <cell r="BQ22">
            <v>1026618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U23">
            <v>1164000</v>
          </cell>
          <cell r="Z23">
            <v>500000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470000</v>
          </cell>
          <cell r="BE23" t="str">
            <v>OK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U24">
            <v>942000</v>
          </cell>
          <cell r="AQ24">
            <v>0</v>
          </cell>
          <cell r="AR24">
            <v>0</v>
          </cell>
          <cell r="AS24">
            <v>38000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U25">
            <v>1375000</v>
          </cell>
          <cell r="Z25">
            <v>1000000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E25" t="str">
            <v>OK</v>
          </cell>
          <cell r="BF25">
            <v>120000</v>
          </cell>
          <cell r="BG25">
            <v>12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U26">
            <v>1050000</v>
          </cell>
          <cell r="Z26">
            <v>1000000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A26">
            <v>144500</v>
          </cell>
          <cell r="BD26">
            <v>825500</v>
          </cell>
          <cell r="BE26" t="str">
            <v>OK</v>
          </cell>
          <cell r="BF26">
            <v>30000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U27">
            <v>100000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7750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152000</v>
          </cell>
          <cell r="AQ28">
            <v>0</v>
          </cell>
          <cell r="AR28">
            <v>0</v>
          </cell>
          <cell r="AS28">
            <v>52000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110000</v>
          </cell>
          <cell r="Z29">
            <v>1000000</v>
          </cell>
          <cell r="AQ29">
            <v>0</v>
          </cell>
          <cell r="AR29">
            <v>0</v>
          </cell>
          <cell r="AS29">
            <v>24000</v>
          </cell>
          <cell r="AW29">
            <v>0</v>
          </cell>
          <cell r="AX29">
            <v>0</v>
          </cell>
          <cell r="AY29">
            <v>0</v>
          </cell>
          <cell r="AZ29">
            <v>980000</v>
          </cell>
          <cell r="BA29">
            <v>980000</v>
          </cell>
          <cell r="BB29">
            <v>115000</v>
          </cell>
          <cell r="BD29">
            <v>0</v>
          </cell>
          <cell r="BF29">
            <v>120000</v>
          </cell>
          <cell r="BG29">
            <v>12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U30">
            <v>1452000</v>
          </cell>
          <cell r="Z30">
            <v>1000000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880000</v>
          </cell>
          <cell r="BA30">
            <v>880000</v>
          </cell>
          <cell r="BD30">
            <v>0</v>
          </cell>
          <cell r="BF30">
            <v>120000</v>
          </cell>
          <cell r="BG30">
            <v>12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U31">
            <v>1150000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880000</v>
          </cell>
          <cell r="BD31">
            <v>880000</v>
          </cell>
          <cell r="BE31" t="str">
            <v>OK</v>
          </cell>
          <cell r="BF31">
            <v>120000</v>
          </cell>
          <cell r="BG31">
            <v>12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E32" t="str">
            <v>OK</v>
          </cell>
          <cell r="BF32">
            <v>120000</v>
          </cell>
          <cell r="BG32">
            <v>12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Z33">
            <v>1000000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880000</v>
          </cell>
          <cell r="BA33">
            <v>880000</v>
          </cell>
          <cell r="BD33">
            <v>0</v>
          </cell>
          <cell r="BF33">
            <v>120000</v>
          </cell>
          <cell r="BG33">
            <v>12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347500</v>
          </cell>
          <cell r="AC34">
            <v>2500</v>
          </cell>
          <cell r="AQ34">
            <v>0</v>
          </cell>
          <cell r="AR34">
            <v>0</v>
          </cell>
          <cell r="AS34">
            <v>322500</v>
          </cell>
          <cell r="AW34">
            <v>297500</v>
          </cell>
          <cell r="AX34">
            <v>0</v>
          </cell>
          <cell r="AY34">
            <v>0</v>
          </cell>
          <cell r="AZ34">
            <v>297500</v>
          </cell>
          <cell r="BA34">
            <v>297500</v>
          </cell>
          <cell r="BD34">
            <v>0</v>
          </cell>
          <cell r="BF34">
            <v>0</v>
          </cell>
          <cell r="BG34">
            <v>12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U35">
            <v>350000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  <cell r="BD35">
            <v>880000</v>
          </cell>
          <cell r="BE35" t="str">
            <v>OK</v>
          </cell>
          <cell r="BF35">
            <v>120000</v>
          </cell>
          <cell r="BG35">
            <v>12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C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0</v>
          </cell>
          <cell r="AZ36">
            <v>297500</v>
          </cell>
          <cell r="BA36">
            <v>297500</v>
          </cell>
          <cell r="BD36">
            <v>0</v>
          </cell>
          <cell r="BF36">
            <v>0</v>
          </cell>
          <cell r="BG36">
            <v>12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Z38">
            <v>500000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485000</v>
          </cell>
          <cell r="BA38">
            <v>485000</v>
          </cell>
          <cell r="BD38">
            <v>0</v>
          </cell>
          <cell r="BF38">
            <v>15000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-2335000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1529500</v>
          </cell>
          <cell r="AT40">
            <v>0</v>
          </cell>
          <cell r="AU40">
            <v>0</v>
          </cell>
          <cell r="AV40">
            <v>0</v>
          </cell>
          <cell r="AW40">
            <v>892500</v>
          </cell>
          <cell r="AX40">
            <v>892500</v>
          </cell>
          <cell r="AY40">
            <v>1190000</v>
          </cell>
          <cell r="AZ40">
            <v>18890500</v>
          </cell>
          <cell r="BA40">
            <v>7523000</v>
          </cell>
          <cell r="BB40">
            <v>0</v>
          </cell>
          <cell r="BC40">
            <v>0</v>
          </cell>
          <cell r="BD40">
            <v>12394118</v>
          </cell>
          <cell r="BE40">
            <v>0</v>
          </cell>
          <cell r="BF40">
            <v>1680250</v>
          </cell>
          <cell r="BH40">
            <v>4031000</v>
          </cell>
          <cell r="BI40">
            <v>0</v>
          </cell>
          <cell r="BJ40">
            <v>0</v>
          </cell>
          <cell r="BK40">
            <v>100000</v>
          </cell>
          <cell r="BL40">
            <v>0</v>
          </cell>
          <cell r="BM40">
            <v>0</v>
          </cell>
          <cell r="BO40" t="str">
            <v>S/TOTAL</v>
          </cell>
          <cell r="BQ40">
            <v>0</v>
          </cell>
        </row>
        <row r="43">
          <cell r="B43" t="str">
            <v>AS201643</v>
          </cell>
          <cell r="BO43" t="str">
            <v>TRANSPORT DELEGUE</v>
          </cell>
          <cell r="BP43" t="str">
            <v>MUTUELLE</v>
          </cell>
        </row>
        <row r="44">
          <cell r="C44" t="str">
            <v>BANQUE</v>
          </cell>
          <cell r="F44" t="str">
            <v>ESPECES</v>
          </cell>
        </row>
        <row r="45">
          <cell r="B45" t="str">
            <v>LIBELLE</v>
          </cell>
          <cell r="C45" t="str">
            <v>SORTIE</v>
          </cell>
          <cell r="D45" t="str">
            <v>ENTREE</v>
          </cell>
          <cell r="E45" t="str">
            <v>SOLDE</v>
          </cell>
          <cell r="F45" t="str">
            <v>ENTREE</v>
          </cell>
          <cell r="G45" t="str">
            <v>SORTIE</v>
          </cell>
          <cell r="H45" t="str">
            <v>SOLDE</v>
          </cell>
          <cell r="BO45" t="str">
            <v>S/TOTAL</v>
          </cell>
          <cell r="BQ45">
            <v>0</v>
          </cell>
        </row>
        <row r="46">
          <cell r="B46" t="str">
            <v>REPORT</v>
          </cell>
        </row>
        <row r="47">
          <cell r="B47" t="str">
            <v>TONTINE</v>
          </cell>
          <cell r="C47">
            <v>18890500</v>
          </cell>
          <cell r="D47">
            <v>8928000</v>
          </cell>
          <cell r="F47">
            <v>9052000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32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33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  <cell r="D39"/>
          <cell r="E39"/>
          <cell r="F39"/>
          <cell r="G39"/>
          <cell r="H39"/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</row>
      </sheetData>
      <sheetData sheetId="3">
        <row r="6">
          <cell r="A6" t="str">
            <v>AS201601</v>
          </cell>
        </row>
      </sheetData>
      <sheetData sheetId="4">
        <row r="6">
          <cell r="A6" t="str">
            <v>AS201601</v>
          </cell>
        </row>
      </sheetData>
      <sheetData sheetId="5">
        <row r="6">
          <cell r="A6" t="str">
            <v>AS201601</v>
          </cell>
        </row>
      </sheetData>
      <sheetData sheetId="6">
        <row r="6">
          <cell r="A6" t="str">
            <v>AS201601</v>
          </cell>
        </row>
      </sheetData>
      <sheetData sheetId="7">
        <row r="6">
          <cell r="A6" t="str">
            <v>AS201601</v>
          </cell>
        </row>
      </sheetData>
      <sheetData sheetId="8">
        <row r="6">
          <cell r="A6" t="str">
            <v>AS201601</v>
          </cell>
        </row>
      </sheetData>
      <sheetData sheetId="9">
        <row r="6">
          <cell r="A6" t="str">
            <v>AS201601</v>
          </cell>
        </row>
      </sheetData>
      <sheetData sheetId="10">
        <row r="6">
          <cell r="A6" t="str">
            <v>AS201601</v>
          </cell>
        </row>
      </sheetData>
      <sheetData sheetId="11">
        <row r="6">
          <cell r="A6" t="str">
            <v>AS201601</v>
          </cell>
        </row>
      </sheetData>
      <sheetData sheetId="12">
        <row r="6">
          <cell r="A6" t="str">
            <v>AS201601</v>
          </cell>
        </row>
      </sheetData>
      <sheetData sheetId="13">
        <row r="35">
          <cell r="V35">
            <v>7000</v>
          </cell>
        </row>
        <row r="38">
          <cell r="X38">
            <v>28999.999999999913</v>
          </cell>
        </row>
      </sheetData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19029.411764705881</v>
          </cell>
        </row>
        <row r="23">
          <cell r="U23">
            <v>17499.999999999942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sqref="A1:A3"/>
    </sheetView>
  </sheetViews>
  <sheetFormatPr baseColWidth="10" defaultColWidth="11" defaultRowHeight="14.5" x14ac:dyDescent="0.35"/>
  <sheetData>
    <row r="1" spans="1:1" x14ac:dyDescent="0.35">
      <c r="A1" t="s">
        <v>7</v>
      </c>
    </row>
    <row r="2" spans="1:1" x14ac:dyDescent="0.35">
      <c r="A2" t="s">
        <v>11</v>
      </c>
    </row>
    <row r="3" spans="1:1" x14ac:dyDescent="0.35">
      <c r="A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9978-F52F-44F4-A6C0-2C1BE60D1BB9}">
  <dimension ref="A1:P37"/>
  <sheetViews>
    <sheetView zoomScale="91" zoomScaleNormal="91" workbookViewId="0">
      <pane xSplit="3" ySplit="5" topLeftCell="D6" activePane="bottomRight" state="frozen"/>
      <selection activeCell="G6" sqref="G6:G39"/>
      <selection pane="topRight" activeCell="G6" sqref="G6:G39"/>
      <selection pane="bottomLeft" activeCell="G6" sqref="G6:G39"/>
      <selection pane="bottomRight" activeCell="G6" sqref="G6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2</v>
      </c>
      <c r="E3" s="1"/>
      <c r="L3" s="1"/>
      <c r="M3" s="1"/>
    </row>
    <row r="4" spans="1:16" s="12" customFormat="1" ht="17.5" x14ac:dyDescent="0.35">
      <c r="B4" s="13"/>
      <c r="C4" s="37">
        <v>45670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IF(D6=0,0,VLOOKUP($A6,[6]HISTOJANV25!$A$6:$BQ$47,14,0))</f>
        <v>1</v>
      </c>
      <c r="C6" s="1" t="str">
        <f>VLOOKUP(A6,[7]LISTADHERENT!A$5:H$60,3,0)</f>
        <v>ASELBY</v>
      </c>
      <c r="D6" s="7">
        <f>IF(E6="ECHEC",0,VLOOKUP($A6,[6]HISTOJANV25!$A$6:$BB$47,15,0))</f>
        <v>100000</v>
      </c>
      <c r="E6" s="7" t="str">
        <f>VLOOKUP($A6,[6]HISTOJANV25!$A$6:$BB$47,9,0)</f>
        <v>BANQUE</v>
      </c>
      <c r="F6" s="7">
        <f>VLOOKUP($A6,[6]HISTOJANV25!$A$6:$BB$47,37,0)</f>
        <v>0</v>
      </c>
      <c r="G6" s="7">
        <f>VLOOKUP($A6,[6]HISTOJANV25!$A$6:$BB$47,40,0)</f>
        <v>0</v>
      </c>
      <c r="H6" s="7" t="str">
        <f>IF(G6=0,"",VLOOKUP($A6,[6]HISTOFEV25!$A$6:$AV$47,42,0))</f>
        <v/>
      </c>
      <c r="I6" s="7">
        <f>VLOOKUP($A6,[6]HISTOJANV25!$A$6:$BB$47,41,0)</f>
        <v>0</v>
      </c>
      <c r="J6"/>
      <c r="K6" s="7">
        <f>VLOOKUP($A6,[6]HISTOJANV25!$A$6:$BB$47,18,0)</f>
        <v>0</v>
      </c>
      <c r="L6" s="7" t="str">
        <f>IF(K6&lt;&gt;0,VLOOKUP($A6,[6]HISTOJANV25!$A$6:$BB$47,42,0),"ECHEC")</f>
        <v>ECHEC</v>
      </c>
      <c r="M6" s="7" t="str">
        <f>IF(P6&lt;&gt;0,VLOOKUP($A6,[6]HISTOJANV25!$A$6:$BB$47,32,0),"ECHEC")</f>
        <v>ECHEC</v>
      </c>
      <c r="N6" s="7">
        <f>VLOOKUP($A6,[6]HISTOJANV25!$A$6:$BB$47,33,0)</f>
        <v>0</v>
      </c>
      <c r="O6" s="7">
        <f t="shared" ref="O6:O21" si="0">IF(P6=0,0,($C$3-P6))</f>
        <v>0</v>
      </c>
      <c r="P6" s="7">
        <f>VLOOKUP($A6,[6]HISTOJANV25!$A$6:$BB$47,31,0)</f>
        <v>0</v>
      </c>
    </row>
    <row r="7" spans="1:16" x14ac:dyDescent="0.35">
      <c r="A7" s="1" t="s">
        <v>47</v>
      </c>
      <c r="B7" s="7">
        <f>IF(D7=0,0,VLOOKUP($A7,[6]HISTOJANV25!$A$6:$BQ$47,14,0))</f>
        <v>2</v>
      </c>
      <c r="C7" s="1" t="str">
        <f>VLOOKUP(A7,[7]LISTADHERENT!A$5:H$60,3,0)</f>
        <v xml:space="preserve">DJOMO JEAN PAUL </v>
      </c>
      <c r="D7" s="7">
        <f>IF(E7="ECHEC",0,VLOOKUP($A7,[6]HISTOJANV25!$A$6:$BB$47,15,0))</f>
        <v>200000</v>
      </c>
      <c r="E7" s="7" t="str">
        <f>VLOOKUP($A7,[6]HISTOJANV25!$A$6:$BB$47,9,0)</f>
        <v>BANQUE</v>
      </c>
      <c r="F7" s="7">
        <f>VLOOKUP($A7,[6]HISTOJANV25!$A$6:$BB$47,37,0)</f>
        <v>0</v>
      </c>
      <c r="G7" s="7">
        <f>VLOOKUP($A7,[6]HISTOJANV25!$A$6:$BB$47,40,0)</f>
        <v>0</v>
      </c>
      <c r="H7" s="7" t="str">
        <f>IF(G7=0,"",VLOOKUP($A7,[6]HISTOFEV25!$A$6:$AV$47,42,0))</f>
        <v/>
      </c>
      <c r="I7" s="7">
        <f>VLOOKUP($A7,[6]HISTOJANV25!$A$6:$BB$47,41,0)</f>
        <v>0</v>
      </c>
      <c r="J7"/>
      <c r="K7" s="7">
        <f>VLOOKUP($A7,[6]HISTOJANV25!$A$6:$BB$47,18,0)</f>
        <v>0</v>
      </c>
      <c r="L7" s="7" t="str">
        <f>IF(K7&lt;&gt;0,VLOOKUP($A7,[6]HISTOJANV25!$A$6:$BB$47,42,0),"ECHEC")</f>
        <v>ECHEC</v>
      </c>
      <c r="M7" s="7" t="str">
        <f>IF(P7&lt;&gt;0,VLOOKUP($A7,[6]HISTOJANV25!$A$6:$BB$47,32,0),"ECHEC")</f>
        <v>ECHEC</v>
      </c>
      <c r="N7" s="7">
        <f>VLOOKUP($A7,[6]HISTOJANV25!$A$6:$BB$47,33,0)</f>
        <v>0</v>
      </c>
      <c r="O7" s="7">
        <f t="shared" si="0"/>
        <v>0</v>
      </c>
      <c r="P7" s="7">
        <f>VLOOKUP($A7,[6]HISTOJANV25!$A$6:$BB$47,31,0)</f>
        <v>0</v>
      </c>
    </row>
    <row r="8" spans="1:16" x14ac:dyDescent="0.35">
      <c r="A8" s="1" t="s">
        <v>60</v>
      </c>
      <c r="B8" s="7">
        <f>IF(D8=0,0,VLOOKUP($A8,[6]HISTOJANV25!$A$6:$BQ$47,14,0))</f>
        <v>1</v>
      </c>
      <c r="C8" s="1" t="str">
        <f>VLOOKUP(A8,[7]LISTADHERENT!A$5:H$60,3,0)</f>
        <v>DJOUKWE NANGUEN GUY BLAISE</v>
      </c>
      <c r="D8" s="7">
        <f>IF(E8="ECHEC",0,VLOOKUP($A8,[6]HISTOJANV25!$A$6:$BB$47,15,0))</f>
        <v>100000</v>
      </c>
      <c r="E8" s="7" t="str">
        <f>VLOOKUP($A8,[6]HISTOJANV25!$A$6:$BB$47,9,0)</f>
        <v>BANQUE</v>
      </c>
      <c r="F8" s="7">
        <f>VLOOKUP($A8,[6]HISTOJANV25!$A$6:$BB$47,37,0)</f>
        <v>0</v>
      </c>
      <c r="G8" s="7">
        <f>VLOOKUP($A8,[6]HISTOJANV25!$A$6:$BB$47,40,0)</f>
        <v>0</v>
      </c>
      <c r="H8" s="7" t="str">
        <f>IF(G8=0,"",VLOOKUP($A8,[6]HISTOFEV25!$A$6:$AV$47,42,0))</f>
        <v/>
      </c>
      <c r="I8" s="7">
        <f>VLOOKUP($A8,[6]HISTOJANV25!$A$6:$BB$47,41,0)</f>
        <v>0</v>
      </c>
      <c r="J8"/>
      <c r="K8" s="7">
        <f>VLOOKUP($A8,[6]HISTOJANV25!$A$6:$BB$47,18,0)</f>
        <v>0</v>
      </c>
      <c r="L8" s="7" t="str">
        <f>IF(K8&lt;&gt;0,VLOOKUP($A8,[6]HISTOJANV25!$A$6:$BB$47,42,0),"ECHEC")</f>
        <v>ECHEC</v>
      </c>
      <c r="M8" s="7" t="str">
        <f>IF(P8&lt;&gt;0,VLOOKUP($A8,[6]HISTOJANV25!$A$6:$BB$47,32,0),"ECHEC")</f>
        <v>ECHEC</v>
      </c>
      <c r="N8" s="7">
        <f>VLOOKUP($A8,[6]HISTOJANV25!$A$6:$BB$47,33,0)</f>
        <v>0</v>
      </c>
      <c r="O8" s="7">
        <f t="shared" ref="O8" si="1">IF(P8=0,0,($C$3-P8))</f>
        <v>0</v>
      </c>
      <c r="P8" s="7">
        <f>VLOOKUP($A8,[6]HISTOJANV25!$A$6:$BB$47,31,0)</f>
        <v>0</v>
      </c>
    </row>
    <row r="9" spans="1:16" x14ac:dyDescent="0.35">
      <c r="A9" s="1" t="s">
        <v>20</v>
      </c>
      <c r="B9" s="7">
        <f>IF(D9=0,0,VLOOKUP($A9,[6]HISTOJANV25!$A$6:$BQ$47,14,0))</f>
        <v>2</v>
      </c>
      <c r="C9" s="1" t="str">
        <f>VLOOKUP(A9,[7]LISTADHERENT!A$5:H$60,3,0)</f>
        <v>DJUOMBESSY ANTOINE</v>
      </c>
      <c r="D9" s="7">
        <f>IF(E9="ECHEC",0,VLOOKUP($A9,[6]HISTOJANV25!$A$6:$BB$47,15,0))</f>
        <v>200000</v>
      </c>
      <c r="E9" s="7" t="str">
        <f>VLOOKUP($A9,[6]HISTOJANV25!$A$6:$BB$47,9,0)</f>
        <v>BANQUE</v>
      </c>
      <c r="F9" s="7">
        <f>VLOOKUP($A9,[6]HISTOJANV25!$A$6:$BB$47,37,0)</f>
        <v>0</v>
      </c>
      <c r="G9" s="7">
        <f>VLOOKUP($A9,[6]HISTOJANV25!$A$6:$BB$47,40,0)</f>
        <v>0</v>
      </c>
      <c r="H9" s="7" t="str">
        <f>IF(G9=0,"",VLOOKUP($A9,[6]HISTOFEV25!$A$6:$AV$47,42,0))</f>
        <v/>
      </c>
      <c r="I9" s="7">
        <f>VLOOKUP($A9,[6]HISTOJANV25!$A$6:$BB$47,41,0)</f>
        <v>0</v>
      </c>
      <c r="J9"/>
      <c r="K9" s="7">
        <f>VLOOKUP($A9,[6]HISTOJANV25!$A$6:$BB$47,18,0)</f>
        <v>0</v>
      </c>
      <c r="L9" s="7" t="str">
        <f>IF(K9&lt;&gt;0,VLOOKUP($A9,[6]HISTOJANV25!$A$6:$BB$47,42,0),"ECHEC")</f>
        <v>ECHEC</v>
      </c>
      <c r="M9" s="7" t="str">
        <f>IF(P9&lt;&gt;0,VLOOKUP($A9,[6]HISTOJANV25!$A$6:$BB$47,32,0),"ECHEC")</f>
        <v>ECHEC</v>
      </c>
      <c r="N9" s="7">
        <f>VLOOKUP($A9,[6]HISTOJANV25!$A$6:$BB$47,33,0)</f>
        <v>0</v>
      </c>
      <c r="O9" s="7">
        <f t="shared" si="0"/>
        <v>0</v>
      </c>
      <c r="P9" s="7">
        <f>VLOOKUP($A9,[6]HISTOJANV25!$A$6:$BB$47,31,0)</f>
        <v>0</v>
      </c>
    </row>
    <row r="10" spans="1:16" x14ac:dyDescent="0.35">
      <c r="A10" s="1" t="s">
        <v>62</v>
      </c>
      <c r="B10" s="7">
        <f>IF(D10=0,0,VLOOKUP($A10,[6]HISTOJANV25!$A$6:$BQ$47,14,0))</f>
        <v>0</v>
      </c>
      <c r="C10" s="1" t="str">
        <f>VLOOKUP(A10,[7]LISTADHERENT!A$5:H$60,3,0)</f>
        <v>FAMPOU PAUL</v>
      </c>
      <c r="D10" s="7">
        <f>IF(E10="ECHEC",0,VLOOKUP($A10,[6]HISTOJANV25!$A$6:$BB$47,15,0))</f>
        <v>0</v>
      </c>
      <c r="E10" s="7" t="str">
        <f>VLOOKUP($A10,[6]HISTOJANV25!$A$6:$BB$47,9,0)</f>
        <v>ECHEC</v>
      </c>
      <c r="F10" s="7">
        <f>VLOOKUP($A10,[6]HISTOJANV25!$A$6:$BB$47,37,0)</f>
        <v>0</v>
      </c>
      <c r="G10" s="7">
        <f>VLOOKUP($A10,[6]HISTOJANV25!$A$6:$BB$47,40,0)</f>
        <v>0</v>
      </c>
      <c r="H10" s="7" t="str">
        <f>IF(G10=0,"",VLOOKUP($A10,[6]HISTOFEV25!$A$6:$AV$47,42,0))</f>
        <v/>
      </c>
      <c r="I10" s="7">
        <f>VLOOKUP($A10,[6]HISTOJANV25!$A$6:$BB$47,41,0)</f>
        <v>0</v>
      </c>
      <c r="J10"/>
      <c r="K10" s="7">
        <f>VLOOKUP($A10,[6]HISTOJANV25!$A$6:$BB$47,18,0)</f>
        <v>0</v>
      </c>
      <c r="L10" s="7" t="str">
        <f>IF(K10&lt;&gt;0,VLOOKUP($A10,[6]HISTOJANV25!$A$6:$BB$47,42,0),"ECHEC")</f>
        <v>ECHEC</v>
      </c>
      <c r="M10" s="7" t="str">
        <f>IF(P10&lt;&gt;0,VLOOKUP($A10,[6]HISTOJANV25!$A$6:$BB$47,32,0),"ECHEC")</f>
        <v>ECHEC</v>
      </c>
      <c r="N10" s="7">
        <f>VLOOKUP($A10,[6]HISTOJANV25!$A$6:$BB$47,33,0)</f>
        <v>0</v>
      </c>
      <c r="O10" s="7">
        <f t="shared" ref="O10" si="2">IF(P10=0,0,($C$3-P10))</f>
        <v>0</v>
      </c>
      <c r="P10" s="7">
        <f>VLOOKUP($A10,[6]HISTOJANV25!$A$6:$BB$47,31,0)</f>
        <v>0</v>
      </c>
    </row>
    <row r="11" spans="1:16" x14ac:dyDescent="0.35">
      <c r="A11" s="1" t="s">
        <v>21</v>
      </c>
      <c r="B11" s="7">
        <f>IF(D11=0,0,VLOOKUP($A11,[6]HISTOJANV25!$A$6:$BQ$47,14,0))</f>
        <v>1</v>
      </c>
      <c r="C11" s="1" t="str">
        <f>VLOOKUP(A11,[7]LISTADHERENT!A$5:H$60,3,0)</f>
        <v>HOTCHO BENJAMIN</v>
      </c>
      <c r="D11" s="7">
        <f>IF(E11="ECHEC",0,VLOOKUP($A11,[6]HISTOJANV25!$A$6:$BB$47,15,0))</f>
        <v>100000</v>
      </c>
      <c r="E11" s="7" t="str">
        <f>VLOOKUP($A11,[6]HISTOJANV25!$A$6:$BB$47,9,0)</f>
        <v>BANQUE</v>
      </c>
      <c r="F11" s="7">
        <f>VLOOKUP($A11,[6]HISTOJANV25!$A$6:$BB$47,37,0)</f>
        <v>0</v>
      </c>
      <c r="G11" s="7">
        <f>VLOOKUP($A11,[6]HISTOJANV25!$A$6:$BB$47,40,0)</f>
        <v>0</v>
      </c>
      <c r="H11" s="7" t="str">
        <f>IF(G11=0,"",VLOOKUP($A11,[6]HISTOFEV25!$A$6:$AV$47,42,0))</f>
        <v/>
      </c>
      <c r="I11" s="7">
        <f>VLOOKUP($A11,[6]HISTOJANV25!$A$6:$BB$47,41,0)</f>
        <v>0</v>
      </c>
      <c r="J11"/>
      <c r="K11" s="7">
        <f>VLOOKUP($A11,[6]HISTOJANV25!$A$6:$BB$47,18,0)</f>
        <v>0</v>
      </c>
      <c r="L11" s="7" t="str">
        <f>IF(K11&lt;&gt;0,VLOOKUP($A11,[6]HISTOJANV25!$A$6:$BB$47,42,0),"ECHEC")</f>
        <v>ECHEC</v>
      </c>
      <c r="M11" s="7" t="str">
        <f>IF(P11&lt;&gt;0,VLOOKUP($A11,[6]HISTOJANV25!$A$6:$BB$47,32,0),"ECHEC")</f>
        <v>ECHEC</v>
      </c>
      <c r="N11" s="7">
        <f>VLOOKUP($A11,[6]HISTOJANV25!$A$6:$BB$47,33,0)</f>
        <v>0</v>
      </c>
      <c r="O11" s="7">
        <f t="shared" si="0"/>
        <v>0</v>
      </c>
      <c r="P11" s="7">
        <f>VLOOKUP($A11,[6]HISTOJANV25!$A$6:$BB$47,31,0)</f>
        <v>0</v>
      </c>
    </row>
    <row r="12" spans="1:16" x14ac:dyDescent="0.35">
      <c r="A12" s="1" t="s">
        <v>26</v>
      </c>
      <c r="B12" s="7">
        <f>IF(D12=0,0,VLOOKUP($A12,[6]HISTOJANV25!$A$6:$BQ$47,14,0))</f>
        <v>1</v>
      </c>
      <c r="C12" s="1" t="str">
        <f>VLOOKUP(A12,[7]LISTADHERENT!A$5:H$60,3,0)</f>
        <v>KOUAMOU MOISE</v>
      </c>
      <c r="D12" s="7">
        <f>IF(E12="ECHEC",0,VLOOKUP($A12,[6]HISTOJANV25!$A$6:$BB$47,15,0))</f>
        <v>100000</v>
      </c>
      <c r="E12" s="7" t="str">
        <f>VLOOKUP($A12,[6]HISTOJANV25!$A$6:$BB$47,9,0)</f>
        <v>BANQUE</v>
      </c>
      <c r="F12" s="7">
        <f>VLOOKUP($A12,[6]HISTOJANV25!$A$6:$BB$47,37,0)</f>
        <v>0</v>
      </c>
      <c r="G12" s="7">
        <f>VLOOKUP($A12,[6]HISTOJANV25!$A$6:$BB$47,40,0)</f>
        <v>0</v>
      </c>
      <c r="H12" s="7" t="str">
        <f>IF(G12=0,"",VLOOKUP($A12,[6]HISTOFEV25!$A$6:$AV$47,42,0))</f>
        <v/>
      </c>
      <c r="I12" s="7">
        <f>VLOOKUP($A12,[6]HISTOJANV25!$A$6:$BB$47,41,0)</f>
        <v>0</v>
      </c>
      <c r="J12"/>
      <c r="K12" s="7">
        <f>VLOOKUP($A12,[6]HISTOJANV25!$A$6:$BB$47,18,0)</f>
        <v>0</v>
      </c>
      <c r="L12" s="7" t="str">
        <f>IF(K12&lt;&gt;0,VLOOKUP($A12,[6]HISTOJANV25!$A$6:$BB$47,42,0),"ECHEC")</f>
        <v>ECHEC</v>
      </c>
      <c r="M12" s="7" t="str">
        <f>IF(P12&lt;&gt;0,VLOOKUP($A12,[6]HISTOJANV25!$A$6:$BB$47,32,0),"ECHEC")</f>
        <v>BANQUE</v>
      </c>
      <c r="N12" s="7">
        <f>VLOOKUP($A12,[6]HISTOJANV25!$A$6:$BB$47,33,0)</f>
        <v>0</v>
      </c>
      <c r="O12" s="7">
        <f t="shared" si="0"/>
        <v>1085000</v>
      </c>
      <c r="P12" s="7">
        <f>VLOOKUP($A12,[6]HISTOJANV25!$A$6:$BB$47,31,0)</f>
        <v>115000</v>
      </c>
    </row>
    <row r="13" spans="1:16" x14ac:dyDescent="0.35">
      <c r="A13" s="1" t="s">
        <v>8</v>
      </c>
      <c r="B13" s="7">
        <f>IF(D13=0,0,VLOOKUP($A13,[6]HISTOJANV25!$A$6:$BQ$47,14,0))</f>
        <v>1</v>
      </c>
      <c r="C13" s="1" t="str">
        <f>VLOOKUP(A13,[7]LISTADHERENT!A$5:H$60,3,0)</f>
        <v>KOUATCHO MESSACK</v>
      </c>
      <c r="D13" s="7">
        <f>IF(E13="ECHEC",0,VLOOKUP($A13,[6]HISTOJANV25!$A$6:$BB$47,15,0))</f>
        <v>100000</v>
      </c>
      <c r="E13" s="7" t="str">
        <f>VLOOKUP($A13,[6]HISTOJANV25!$A$6:$BB$47,9,0)</f>
        <v>BANQUE</v>
      </c>
      <c r="F13" s="7">
        <f>VLOOKUP($A13,[6]HISTOJANV25!$A$6:$BB$47,37,0)</f>
        <v>0</v>
      </c>
      <c r="G13" s="7">
        <f>VLOOKUP($A13,[6]HISTOJANV25!$A$6:$BB$47,40,0)</f>
        <v>0</v>
      </c>
      <c r="H13" s="7" t="str">
        <f>IF(G13=0,"",VLOOKUP($A13,[6]HISTOFEV25!$A$6:$AV$47,42,0))</f>
        <v/>
      </c>
      <c r="I13" s="7">
        <f>VLOOKUP($A13,[6]HISTOJANV25!$A$6:$BB$47,41,0)</f>
        <v>0</v>
      </c>
      <c r="J13"/>
      <c r="K13" s="7">
        <f>VLOOKUP($A13,[6]HISTOJANV25!$A$6:$BB$47,18,0)</f>
        <v>0</v>
      </c>
      <c r="L13" s="7" t="str">
        <f>IF(K13&lt;&gt;0,VLOOKUP($A13,[6]HISTOJANV25!$A$6:$BB$47,42,0),"ECHEC")</f>
        <v>ECHEC</v>
      </c>
      <c r="M13" s="7" t="str">
        <f>IF(P13&lt;&gt;0,VLOOKUP($A13,[6]HISTOJANV25!$A$6:$BB$47,32,0),"ECHEC")</f>
        <v>BANQUE</v>
      </c>
      <c r="N13" s="7">
        <f>VLOOKUP($A13,[6]HISTOJANV25!$A$6:$BB$47,33,0)</f>
        <v>0</v>
      </c>
      <c r="O13" s="7">
        <f t="shared" si="0"/>
        <v>1095000</v>
      </c>
      <c r="P13" s="7">
        <f>VLOOKUP($A13,[6]HISTOJANV25!$A$6:$BB$47,31,0)</f>
        <v>105000</v>
      </c>
    </row>
    <row r="14" spans="1:16" x14ac:dyDescent="0.35">
      <c r="A14" s="1" t="s">
        <v>22</v>
      </c>
      <c r="B14" s="7">
        <f>IF(D14=0,0,VLOOKUP($A14,[6]HISTOJANV25!$A$6:$BQ$47,14,0))</f>
        <v>2</v>
      </c>
      <c r="C14" s="1" t="str">
        <f>VLOOKUP(A14,[7]LISTADHERENT!A$5:H$60,3,0)</f>
        <v>MBOGNING TUGMA GUY</v>
      </c>
      <c r="D14" s="7">
        <f>IF(E14="ECHEC",0,VLOOKUP($A14,[6]HISTOJANV25!$A$6:$BB$47,15,0))</f>
        <v>200000</v>
      </c>
      <c r="E14" s="7" t="str">
        <f>VLOOKUP($A14,[6]HISTOJANV25!$A$6:$BB$47,9,0)</f>
        <v>BANQUE</v>
      </c>
      <c r="F14" s="7">
        <f>VLOOKUP($A14,[6]HISTOJANV25!$A$6:$BB$47,37,0)</f>
        <v>0</v>
      </c>
      <c r="G14" s="7">
        <f>VLOOKUP($A14,[6]HISTOJANV25!$A$6:$BB$47,40,0)</f>
        <v>0</v>
      </c>
      <c r="H14" s="7" t="str">
        <f>IF(G14=0,"",VLOOKUP($A14,[6]HISTOFEV25!$A$6:$AV$47,42,0))</f>
        <v/>
      </c>
      <c r="I14" s="7">
        <f>VLOOKUP($A14,[6]HISTOJANV25!$A$6:$BB$47,41,0)</f>
        <v>0</v>
      </c>
      <c r="J14"/>
      <c r="K14" s="7">
        <f>VLOOKUP($A14,[6]HISTOJANV25!$A$6:$BB$47,18,0)</f>
        <v>0</v>
      </c>
      <c r="L14" s="7" t="str">
        <f>IF(K14&lt;&gt;0,VLOOKUP($A14,[6]HISTOJANV25!$A$6:$BB$47,42,0),"ECHEC")</f>
        <v>ECHEC</v>
      </c>
      <c r="M14" s="7" t="str">
        <f>IF(P14&lt;&gt;0,VLOOKUP($A14,[6]HISTOJANV25!$A$6:$BB$47,32,0),"ECHEC")</f>
        <v>ECHEC</v>
      </c>
      <c r="N14" s="7">
        <f>VLOOKUP($A14,[6]HISTOJANV25!$A$6:$BB$47,33,0)</f>
        <v>0</v>
      </c>
      <c r="O14" s="7">
        <f t="shared" si="0"/>
        <v>0</v>
      </c>
      <c r="P14" s="7">
        <f>VLOOKUP($A14,[6]HISTOJANV25!$A$6:$BB$47,31,0)</f>
        <v>0</v>
      </c>
    </row>
    <row r="15" spans="1:16" x14ac:dyDescent="0.35">
      <c r="A15" s="1" t="s">
        <v>9</v>
      </c>
      <c r="B15" s="7">
        <f>IF(D15=0,0,VLOOKUP($A15,[6]HISTOJANV25!$A$6:$BQ$47,14,0))</f>
        <v>2</v>
      </c>
      <c r="C15" s="1" t="str">
        <f>VLOOKUP(A15,[7]LISTADHERENT!A$5:H$60,3,0)</f>
        <v>NDJOMO ETIENNE</v>
      </c>
      <c r="D15" s="7">
        <f>IF(E15="ECHEC",0,VLOOKUP($A15,[6]HISTOJANV25!$A$6:$BB$47,15,0))</f>
        <v>200000</v>
      </c>
      <c r="E15" s="7" t="str">
        <f>VLOOKUP($A15,[6]HISTOJANV25!$A$6:$BB$47,9,0)</f>
        <v>BANQUE</v>
      </c>
      <c r="F15" s="7">
        <f>VLOOKUP($A15,[6]HISTOJANV25!$A$6:$BB$47,37,0)</f>
        <v>0</v>
      </c>
      <c r="G15" s="7">
        <f>VLOOKUP($A15,[6]HISTOJANV25!$A$6:$BB$47,40,0)</f>
        <v>0</v>
      </c>
      <c r="H15" s="7" t="str">
        <f>IF(G15=0,"",VLOOKUP($A15,[6]HISTOFEV25!$A$6:$AV$47,42,0))</f>
        <v/>
      </c>
      <c r="I15" s="7">
        <f>VLOOKUP($A15,[6]HISTOJANV25!$A$6:$BB$47,41,0)</f>
        <v>0</v>
      </c>
      <c r="J15"/>
      <c r="K15" s="7">
        <f>VLOOKUP($A15,[6]HISTOJANV25!$A$6:$BB$47,18,0)</f>
        <v>0</v>
      </c>
      <c r="L15" s="7" t="str">
        <f>IF(K15&lt;&gt;0,VLOOKUP($A15,[6]HISTOJANV25!$A$6:$BB$47,42,0),"ECHEC")</f>
        <v>ECHEC</v>
      </c>
      <c r="M15" s="7" t="str">
        <f>IF(P15&lt;&gt;0,VLOOKUP($A15,[6]HISTOJANV25!$A$6:$BB$47,32,0),"ECHEC")</f>
        <v>ECHEC</v>
      </c>
      <c r="N15" s="7">
        <f>VLOOKUP($A15,[6]HISTOJANV25!$A$6:$BB$47,33,0)</f>
        <v>0</v>
      </c>
      <c r="O15" s="7">
        <f t="shared" si="0"/>
        <v>0</v>
      </c>
      <c r="P15" s="7">
        <f>VLOOKUP($A15,[6]HISTOJANV25!$A$6:$BB$47,31,0)</f>
        <v>0</v>
      </c>
    </row>
    <row r="16" spans="1:16" x14ac:dyDescent="0.35">
      <c r="A16" s="1" t="s">
        <v>10</v>
      </c>
      <c r="B16" s="7">
        <f>IF(D16=0,0,VLOOKUP($A16,[6]HISTOJANV25!$A$6:$BQ$47,14,0))</f>
        <v>1</v>
      </c>
      <c r="C16" s="1" t="str">
        <f>VLOOKUP(A16,[7]LISTADHERENT!A$5:H$60,3,0)</f>
        <v>NGONDIEP CLAUDE</v>
      </c>
      <c r="D16" s="7">
        <f>IF(E16="ECHEC",0,VLOOKUP($A16,[6]HISTOJANV25!$A$6:$BB$47,15,0))</f>
        <v>100000</v>
      </c>
      <c r="E16" s="7" t="str">
        <f>VLOOKUP($A16,[6]HISTOJANV25!$A$6:$BB$47,9,0)</f>
        <v>BANQUE</v>
      </c>
      <c r="F16" s="7">
        <f>VLOOKUP($A16,[6]HISTOJANV25!$A$6:$BB$47,37,0)</f>
        <v>0</v>
      </c>
      <c r="G16" s="7">
        <f>VLOOKUP($A16,[6]HISTOJANV25!$A$6:$BB$47,40,0)</f>
        <v>0</v>
      </c>
      <c r="H16" s="7" t="str">
        <f>IF(G16=0,"",VLOOKUP($A16,[6]HISTOFEV25!$A$6:$AV$47,42,0))</f>
        <v/>
      </c>
      <c r="I16" s="7">
        <f>VLOOKUP($A16,[6]HISTOJANV25!$A$6:$BB$47,41,0)</f>
        <v>0</v>
      </c>
      <c r="J16"/>
      <c r="K16" s="7">
        <f>VLOOKUP($A16,[6]HISTOJANV25!$A$6:$BB$47,18,0)</f>
        <v>0</v>
      </c>
      <c r="L16" s="7" t="str">
        <f>IF(K16&lt;&gt;0,VLOOKUP($A16,[6]HISTOJANV25!$A$6:$BB$47,42,0),"ECHEC")</f>
        <v>ECHEC</v>
      </c>
      <c r="M16" s="7" t="str">
        <f>IF(P16&lt;&gt;0,VLOOKUP($A16,[6]HISTOJANV25!$A$6:$BB$47,32,0),"ECHEC")</f>
        <v>ECHEC</v>
      </c>
      <c r="N16" s="7">
        <f>VLOOKUP($A16,[6]HISTOJANV25!$A$6:$BB$47,33,0)</f>
        <v>0</v>
      </c>
      <c r="O16" s="7">
        <f t="shared" si="0"/>
        <v>0</v>
      </c>
      <c r="P16" s="7">
        <f>VLOOKUP($A16,[6]HISTOJANV25!$A$6:$BB$47,31,0)</f>
        <v>0</v>
      </c>
    </row>
    <row r="17" spans="1:16" x14ac:dyDescent="0.35">
      <c r="A17" s="1" t="s">
        <v>43</v>
      </c>
      <c r="B17" s="7">
        <f>IF(D17=0,0,VLOOKUP($A17,[6]HISTOJANV25!$A$6:$BQ$47,14,0))</f>
        <v>2</v>
      </c>
      <c r="C17" s="1" t="str">
        <f>VLOOKUP(A17,[7]LISTADHERENT!A$5:H$60,3,0)</f>
        <v>NGUIEMEGNI MATHIEU BLAISE</v>
      </c>
      <c r="D17" s="7">
        <f>IF(E17="ECHEC",0,VLOOKUP($A17,[6]HISTOJANV25!$A$6:$BB$47,15,0))</f>
        <v>200000</v>
      </c>
      <c r="E17" s="7" t="str">
        <f>VLOOKUP($A17,[6]HISTOJANV25!$A$6:$BB$47,9,0)</f>
        <v>BANQUE</v>
      </c>
      <c r="F17" s="7">
        <f>VLOOKUP($A17,[6]HISTOJANV25!$A$6:$BB$47,37,0)</f>
        <v>0</v>
      </c>
      <c r="G17" s="7">
        <f>VLOOKUP($A17,[6]HISTOJANV25!$A$6:$BB$47,40,0)</f>
        <v>0</v>
      </c>
      <c r="H17" s="7" t="str">
        <f>IF(G17=0,"",VLOOKUP($A17,[6]HISTOFEV25!$A$6:$AV$47,42,0))</f>
        <v/>
      </c>
      <c r="I17" s="7">
        <f>VLOOKUP($A17,[6]HISTOJANV25!$A$6:$BB$47,41,0)</f>
        <v>0</v>
      </c>
      <c r="J17"/>
      <c r="K17" s="7">
        <f>VLOOKUP($A17,[6]HISTOJANV25!$A$6:$BB$47,18,0)</f>
        <v>0</v>
      </c>
      <c r="L17" s="7" t="str">
        <f>IF(K17&lt;&gt;0,VLOOKUP($A17,[6]HISTOJANV25!$A$6:$BB$47,42,0),"ECHEC")</f>
        <v>ECHEC</v>
      </c>
      <c r="M17" s="7" t="str">
        <f>IF(P17&lt;&gt;0,VLOOKUP($A17,[6]HISTOJANV25!$A$6:$BB$47,32,0),"ECHEC")</f>
        <v>BANQUE</v>
      </c>
      <c r="N17" s="7">
        <f>VLOOKUP($A17,[6]HISTOJANV25!$A$6:$BB$47,33,0)</f>
        <v>0</v>
      </c>
      <c r="O17" s="7">
        <f t="shared" si="0"/>
        <v>1080000</v>
      </c>
      <c r="P17" s="7">
        <f>VLOOKUP($A17,[6]HISTOJANV25!$A$6:$BB$47,31,0)</f>
        <v>120000</v>
      </c>
    </row>
    <row r="18" spans="1:16" x14ac:dyDescent="0.35">
      <c r="A18" s="1" t="s">
        <v>54</v>
      </c>
      <c r="B18" s="7">
        <f>IF(D18=0,0,VLOOKUP($A18,[6]HISTOJANV25!$A$6:$BQ$47,14,0))</f>
        <v>2</v>
      </c>
      <c r="C18" s="1" t="str">
        <f>VLOOKUP(A18,[7]LISTADHERENT!A$5:H$60,3,0)</f>
        <v>SIME BRICE</v>
      </c>
      <c r="D18" s="7">
        <f>IF(E18="ECHEC",0,VLOOKUP($A18,[6]HISTOJANV25!$A$6:$BB$47,15,0))</f>
        <v>200000</v>
      </c>
      <c r="E18" s="7" t="str">
        <f>VLOOKUP($A18,[6]HISTOJANV25!$A$6:$BB$47,9,0)</f>
        <v>BANQUE</v>
      </c>
      <c r="F18" s="7">
        <f>VLOOKUP($A18,[6]HISTOJANV25!$A$6:$BB$47,37,0)</f>
        <v>0</v>
      </c>
      <c r="G18" s="7">
        <f>VLOOKUP($A18,[6]HISTOJANV25!$A$6:$BB$47,40,0)</f>
        <v>0</v>
      </c>
      <c r="H18" s="7" t="str">
        <f>IF(G18=0,"",VLOOKUP($A18,[6]HISTOFEV25!$A$6:$AV$47,42,0))</f>
        <v/>
      </c>
      <c r="I18" s="7">
        <f>VLOOKUP($A18,[6]HISTOJANV25!$A$6:$BB$47,41,0)</f>
        <v>0</v>
      </c>
      <c r="J18"/>
      <c r="K18" s="7">
        <f>VLOOKUP($A18,[6]HISTOJANV25!$A$6:$BB$47,18,0)</f>
        <v>0</v>
      </c>
      <c r="L18" s="7" t="str">
        <f>IF(K18&lt;&gt;0,VLOOKUP($A18,[6]HISTOJANV25!$A$6:$BB$47,42,0),"ECHEC")</f>
        <v>ECHEC</v>
      </c>
      <c r="M18" s="7" t="str">
        <f>IF(P18&lt;&gt;0,VLOOKUP($A18,[6]HISTOJANV25!$A$6:$BB$47,32,0),"ECHEC")</f>
        <v>ECHEC</v>
      </c>
      <c r="N18" s="7">
        <f>VLOOKUP($A18,[6]HISTOJANV25!$A$6:$BB$47,33,0)</f>
        <v>0</v>
      </c>
      <c r="O18" s="7">
        <f t="shared" si="0"/>
        <v>0</v>
      </c>
      <c r="P18" s="7">
        <f>VLOOKUP($A18,[6]HISTOJANV25!$A$6:$BB$47,31,0)</f>
        <v>0</v>
      </c>
    </row>
    <row r="19" spans="1:16" x14ac:dyDescent="0.35">
      <c r="A19" s="1" t="s">
        <v>55</v>
      </c>
      <c r="B19" s="7">
        <f>IF(D19=0,0,VLOOKUP($A19,[6]HISTOJANV25!$A$6:$BQ$47,14,0))</f>
        <v>1</v>
      </c>
      <c r="C19" s="1" t="str">
        <f>VLOOKUP(A19,[7]LISTADHERENT!A$5:H$60,3,0)</f>
        <v>TCHOUATEU AUGUSTIN</v>
      </c>
      <c r="D19" s="7">
        <f>IF(E19="ECHEC",0,VLOOKUP($A19,[6]HISTOJANV25!$A$6:$BB$47,15,0))</f>
        <v>100000</v>
      </c>
      <c r="E19" s="7" t="str">
        <f>VLOOKUP($A19,[6]HISTOJANV25!$A$6:$BB$47,9,0)</f>
        <v>BANQUE</v>
      </c>
      <c r="F19" s="7">
        <f>VLOOKUP($A19,[6]HISTOJANV25!$A$6:$BB$47,37,0)</f>
        <v>0</v>
      </c>
      <c r="G19" s="7">
        <f>VLOOKUP($A19,[6]HISTOJANV25!$A$6:$BB$47,40,0)</f>
        <v>0</v>
      </c>
      <c r="H19" s="7" t="str">
        <f>IF(G19=0,"",VLOOKUP($A19,[6]HISTOFEV25!$A$6:$AV$47,42,0))</f>
        <v/>
      </c>
      <c r="I19" s="7">
        <f>VLOOKUP($A19,[6]HISTOJANV25!$A$6:$BB$47,41,0)</f>
        <v>0</v>
      </c>
      <c r="J19"/>
      <c r="K19" s="7">
        <f>VLOOKUP($A19,[6]HISTOJANV25!$A$6:$BB$47,18,0)</f>
        <v>0</v>
      </c>
      <c r="L19" s="7" t="str">
        <f>IF(K19&lt;&gt;0,VLOOKUP($A19,[6]HISTOJANV25!$A$6:$BB$47,42,0),"ECHEC")</f>
        <v>ECHEC</v>
      </c>
      <c r="M19" s="7" t="str">
        <f>IF(P19&lt;&gt;0,VLOOKUP($A19,[6]HISTOJANV25!$A$6:$BB$47,32,0),"ECHEC")</f>
        <v>ECHEC</v>
      </c>
      <c r="N19" s="7">
        <f>VLOOKUP($A19,[6]HISTOJANV25!$A$6:$BB$47,33,0)</f>
        <v>0</v>
      </c>
      <c r="O19" s="7">
        <f t="shared" si="0"/>
        <v>0</v>
      </c>
      <c r="P19" s="7">
        <f>VLOOKUP($A19,[6]HISTOJANV25!$A$6:$BB$47,31,0)</f>
        <v>0</v>
      </c>
    </row>
    <row r="20" spans="1:16" x14ac:dyDescent="0.35">
      <c r="A20" s="1" t="s">
        <v>46</v>
      </c>
      <c r="B20" s="7">
        <f>IF(D20=0,0,VLOOKUP($A20,[6]HISTOJANV25!$A$6:$BQ$47,14,0))</f>
        <v>1</v>
      </c>
      <c r="C20" s="1" t="str">
        <f>VLOOKUP(A20,[7]LISTADHERENT!A$5:H$60,3,0)</f>
        <v>SIMO PIERRE</v>
      </c>
      <c r="D20" s="7">
        <f>IF(E20="ECHEC",0,VLOOKUP($A20,[6]HISTOJANV25!$A$6:$BB$47,15,0))</f>
        <v>100000</v>
      </c>
      <c r="E20" s="7" t="str">
        <f>VLOOKUP($A20,[6]HISTOJANV25!$A$6:$BB$47,9,0)</f>
        <v>BANQUE</v>
      </c>
      <c r="F20" s="7">
        <f>VLOOKUP($A20,[6]HISTOJANV25!$A$6:$BB$47,37,0)</f>
        <v>0</v>
      </c>
      <c r="G20" s="7">
        <f>VLOOKUP($A20,[6]HISTOJANV25!$A$6:$BB$47,40,0)</f>
        <v>0</v>
      </c>
      <c r="H20" s="7" t="str">
        <f>IF(G20=0,"",VLOOKUP($A20,[6]HISTOFEV25!$A$6:$AV$47,42,0))</f>
        <v/>
      </c>
      <c r="I20" s="7">
        <f>VLOOKUP($A20,[6]HISTOJANV25!$A$6:$BB$47,41,0)</f>
        <v>0</v>
      </c>
      <c r="J20"/>
      <c r="K20" s="7">
        <f>VLOOKUP($A20,[6]HISTOJANV25!$A$6:$BB$47,18,0)</f>
        <v>0</v>
      </c>
      <c r="L20" s="7" t="str">
        <f>IF(K20&lt;&gt;0,VLOOKUP($A20,[6]HISTOJANV25!$A$6:$BB$47,42,0),"ECHEC")</f>
        <v>ECHEC</v>
      </c>
      <c r="M20" s="7" t="str">
        <f>IF(P20&lt;&gt;0,VLOOKUP($A20,[6]HISTOJANV25!$A$6:$BB$47,32,0),"ECHEC")</f>
        <v>ECHEC</v>
      </c>
      <c r="N20" s="7">
        <f>VLOOKUP($A20,[6]HISTOJANV25!$A$6:$BB$47,33,0)</f>
        <v>0</v>
      </c>
      <c r="O20" s="7">
        <f t="shared" si="0"/>
        <v>0</v>
      </c>
      <c r="P20" s="7">
        <f>VLOOKUP($A20,[6]HISTOJANV25!$A$6:$BB$47,31,0)</f>
        <v>0</v>
      </c>
    </row>
    <row r="21" spans="1:16" x14ac:dyDescent="0.35">
      <c r="A21" s="1" t="s">
        <v>53</v>
      </c>
      <c r="B21" s="7">
        <f>IF(D21=0,0,VLOOKUP($A21,[6]HISTOJANV25!$A$6:$BQ$47,14,0))</f>
        <v>2</v>
      </c>
      <c r="C21" s="1" t="str">
        <f>VLOOKUP(A21,[7]LISTADHERENT!A$5:H$60,3,0)</f>
        <v>YIALA ALAIN OSCAR</v>
      </c>
      <c r="D21" s="7">
        <f>IF(E21="ECHEC",0,VLOOKUP($A21,[6]HISTOJANV25!$A$6:$BB$47,15,0))</f>
        <v>200000</v>
      </c>
      <c r="E21" s="7" t="str">
        <f>VLOOKUP($A21,[6]HISTOJANV25!$A$6:$BB$47,9,0)</f>
        <v>BANQUE</v>
      </c>
      <c r="F21" s="7">
        <f>VLOOKUP($A21,[6]HISTOJANV25!$A$6:$BB$47,37,0)</f>
        <v>0</v>
      </c>
      <c r="G21" s="7">
        <f>VLOOKUP($A21,[6]HISTOJANV25!$A$6:$BB$47,40,0)</f>
        <v>0</v>
      </c>
      <c r="H21" s="7" t="str">
        <f>IF(G21=0,"",VLOOKUP($A21,[6]HISTOFEV25!$A$6:$AV$47,42,0))</f>
        <v/>
      </c>
      <c r="I21" s="7">
        <f>VLOOKUP($A21,[6]HISTOJANV25!$A$6:$BB$47,41,0)</f>
        <v>0</v>
      </c>
      <c r="J21"/>
      <c r="K21" s="7">
        <f>VLOOKUP($A21,[6]HISTOJANV25!$A$6:$BB$47,18,0)</f>
        <v>0</v>
      </c>
      <c r="L21" s="7" t="str">
        <f>IF(K21&lt;&gt;0,VLOOKUP($A21,[6]HISTOJANV25!$A$6:$BB$47,42,0),"ECHEC")</f>
        <v>ECHEC</v>
      </c>
      <c r="M21" s="7" t="str">
        <f>IF(P21&lt;&gt;0,VLOOKUP($A21,[6]HISTOJANV25!$A$6:$BB$47,32,0),"ECHEC")</f>
        <v>ECHEC</v>
      </c>
      <c r="N21" s="7">
        <f>VLOOKUP($A21,[6]HISTOJANV25!$A$6:$BB$47,33,0)</f>
        <v>0</v>
      </c>
      <c r="O21" s="7">
        <f t="shared" si="0"/>
        <v>0</v>
      </c>
      <c r="P21" s="7">
        <f>VLOOKUP($A21,[6]HISTOJANV25!$A$6:$BB$47,31,0)</f>
        <v>0</v>
      </c>
    </row>
    <row r="22" spans="1:16" x14ac:dyDescent="0.35">
      <c r="A22" s="1" t="s">
        <v>61</v>
      </c>
      <c r="B22" s="7">
        <f>IF(D22=0,0,VLOOKUP($A22,[6]HISTOJANV25!$A$6:$BQ$47,14,0))</f>
        <v>1</v>
      </c>
      <c r="C22" s="1" t="str">
        <f>VLOOKUP(A22,[7]LISTADHERENT!A$5:H$60,3,0)</f>
        <v>YOUMBI EMMANUEL</v>
      </c>
      <c r="D22" s="7">
        <f>IF(E22="ECHEC",0,VLOOKUP($A22,[6]HISTOJANV25!$A$6:$BB$47,15,0))</f>
        <v>100000</v>
      </c>
      <c r="E22" s="7" t="str">
        <f>VLOOKUP($A22,[6]HISTOJANV25!$A$6:$BB$47,9,0)</f>
        <v>BANQUE</v>
      </c>
      <c r="F22" s="7">
        <f>VLOOKUP($A22,[6]HISTOJANV25!$A$6:$BB$47,37,0)</f>
        <v>0</v>
      </c>
      <c r="G22" s="7">
        <f>VLOOKUP($A22,[6]HISTOJANV25!$A$6:$BB$47,40,0)</f>
        <v>0</v>
      </c>
      <c r="H22" s="7" t="str">
        <f>IF(G22=0,"",VLOOKUP($A22,[6]HISTOFEV25!$A$6:$AV$47,42,0))</f>
        <v/>
      </c>
      <c r="I22" s="7">
        <f>VLOOKUP($A22,[6]HISTOJANV25!$A$6:$BB$47,41,0)</f>
        <v>0</v>
      </c>
      <c r="J22"/>
      <c r="K22" s="7">
        <f>VLOOKUP($A22,[6]HISTOJANV25!$A$6:$BB$47,18,0)</f>
        <v>0</v>
      </c>
      <c r="L22" s="7" t="str">
        <f>IF(K22&lt;&gt;0,VLOOKUP($A22,[6]HISTOJANV25!$A$6:$BB$47,42,0),"ECHEC")</f>
        <v>ECHEC</v>
      </c>
      <c r="M22" s="7" t="str">
        <f>IF(P22&lt;&gt;0,VLOOKUP($A22,[6]HISTOJANV25!$A$6:$BB$47,32,0),"ECHEC")</f>
        <v>ECHEC</v>
      </c>
      <c r="N22" s="7">
        <f>VLOOKUP($A22,[6]HISTOJANV25!$A$6:$BB$47,33,0)</f>
        <v>0</v>
      </c>
      <c r="O22" s="7">
        <f t="shared" ref="O22" si="3">IF(P22=0,0,($C$3-P22))</f>
        <v>0</v>
      </c>
      <c r="P22" s="7">
        <f>VLOOKUP($A22,[6]HISTOJANV25!$A$6:$BB$47,31,0)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23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2300000</v>
      </c>
      <c r="E25" s="8">
        <f t="shared" ref="E25:P25" si="4">SUM(E6:E22)</f>
        <v>0</v>
      </c>
      <c r="F25" s="8">
        <f t="shared" si="4"/>
        <v>0</v>
      </c>
      <c r="G25" s="8">
        <f t="shared" si="4"/>
        <v>0</v>
      </c>
      <c r="H25" s="8">
        <f t="shared" si="4"/>
        <v>0</v>
      </c>
      <c r="I25" s="8">
        <f t="shared" si="4"/>
        <v>0</v>
      </c>
      <c r="J25" s="8">
        <f t="shared" si="4"/>
        <v>0</v>
      </c>
      <c r="K25" s="8">
        <f t="shared" si="4"/>
        <v>0</v>
      </c>
      <c r="L25" s="8">
        <f t="shared" si="4"/>
        <v>0</v>
      </c>
      <c r="M25" s="8">
        <f t="shared" si="4"/>
        <v>0</v>
      </c>
      <c r="N25" s="8">
        <f t="shared" si="4"/>
        <v>0</v>
      </c>
      <c r="O25" s="8">
        <f t="shared" si="4"/>
        <v>3260000</v>
      </c>
      <c r="P25" s="8">
        <f t="shared" si="4"/>
        <v>340000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</f>
        <v>2640000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0</v>
      </c>
      <c r="I28" s="8"/>
      <c r="K28" s="8" t="s">
        <v>34</v>
      </c>
      <c r="L28" s="8">
        <f>C3*COUNTIF(O6:O22,"&gt;0")</f>
        <v>3600000</v>
      </c>
      <c r="M28" s="8">
        <f>D3</f>
        <v>2</v>
      </c>
      <c r="N28" s="8">
        <f>COUNTIF(O9:O21,"&gt;0")</f>
        <v>3</v>
      </c>
      <c r="O28" s="8"/>
    </row>
    <row r="29" spans="1:16" s="2" customFormat="1" ht="17.5" x14ac:dyDescent="0.35">
      <c r="C29" s="8" t="s">
        <v>7</v>
      </c>
      <c r="D29" s="8">
        <f>SUMIFS(D6:D22,E6:E22,"BANQUE")</f>
        <v>2300000</v>
      </c>
      <c r="E29" s="8">
        <f>SUMIFS(K6:K22,L6:L22,"BANQUE")</f>
        <v>0</v>
      </c>
      <c r="F29" s="8">
        <f>SUMIFS(F6:F22,H6:H22,"BANQUE")</f>
        <v>0</v>
      </c>
      <c r="G29" s="8">
        <f>SUMIFS(O6:O22,M6:M22,"BANQUE")</f>
        <v>3260000</v>
      </c>
      <c r="H29" s="8">
        <f>D29+E29-F29-G29</f>
        <v>-960000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L27-L28</f>
        <v>-960000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</f>
        <v>2300000</v>
      </c>
      <c r="E31" s="8">
        <f>E28+E29</f>
        <v>0</v>
      </c>
      <c r="F31" s="8">
        <f>F28+F29</f>
        <v>0</v>
      </c>
      <c r="G31" s="8">
        <f t="shared" ref="G31:H31" si="5">G28+G29</f>
        <v>3260000</v>
      </c>
      <c r="H31" s="8">
        <f t="shared" si="5"/>
        <v>-960000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-960000</v>
      </c>
      <c r="M32"/>
      <c r="N32" s="8">
        <f>L32</f>
        <v>-960000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100000</v>
      </c>
      <c r="N34" s="8"/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F8C3-6C5C-439E-84EA-4181A767C598}">
  <dimension ref="A1:P37"/>
  <sheetViews>
    <sheetView workbookViewId="0">
      <pane xSplit="3" ySplit="5" topLeftCell="E18" activePane="bottomRight" state="frozen"/>
      <selection activeCell="G6" sqref="G6:G39"/>
      <selection pane="topRight" activeCell="G6" sqref="G6:G39"/>
      <selection pane="bottomLeft" activeCell="G6" sqref="G6:G39"/>
      <selection pane="bottomRight" activeCell="A7" sqref="A7:XFD7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1</v>
      </c>
      <c r="E3" s="1"/>
      <c r="L3" s="1"/>
      <c r="M3" s="1"/>
    </row>
    <row r="4" spans="1:16" s="12" customFormat="1" ht="17.5" x14ac:dyDescent="0.35">
      <c r="B4" s="13"/>
      <c r="C4" s="37">
        <v>45701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IF(D6=0,0,VLOOKUP($A6,[6]HISTOFEV25!$A$6:$BQ$47,14,0))</f>
        <v>1</v>
      </c>
      <c r="C6" s="1" t="str">
        <f>VLOOKUP(A6,[7]LISTADHERENT!A$5:H$60,3,0)</f>
        <v>ASELBY</v>
      </c>
      <c r="D6" s="7">
        <f>IF(E6="ECHEC",0,VLOOKUP($A6,[6]HISTOFEV25!$A$6:$BB$47,15,0))</f>
        <v>100000</v>
      </c>
      <c r="E6" s="7" t="str">
        <f>VLOOKUP($A6,[6]HISTOFEV25!$A$6:$BB$47,9,0)</f>
        <v>BANQUE</v>
      </c>
      <c r="F6" s="7">
        <f>VLOOKUP($A6,[6]HISTOFEV25!$A$6:$BB$47,37,0)</f>
        <v>0</v>
      </c>
      <c r="G6" s="7">
        <f>VLOOKUP($A6,[6]HISTOFEV25!$A$6:$BB$47,40,0)</f>
        <v>0</v>
      </c>
      <c r="H6" s="7" t="str">
        <f>IF(G6=0,"",VLOOKUP($A6,[6]HISTOFEV25!$A$6:$AV$47,42,0))</f>
        <v/>
      </c>
      <c r="I6" s="7">
        <f>VLOOKUP($A6,[6]HISTOFEV25!$A$6:$BB$47,41,0)</f>
        <v>0</v>
      </c>
      <c r="J6" s="7">
        <f>TONTJANV25!F6+TONTJANV25!G6</f>
        <v>0</v>
      </c>
      <c r="K6" s="7">
        <f>VLOOKUP($A6,[6]HISTOFEV25!$A$6:$BB$47,18,0)</f>
        <v>0</v>
      </c>
      <c r="L6" s="7" t="str">
        <f>IF(K6&lt;&gt;0,VLOOKUP($A6,[6]HISTOFEV25!$A$6:$BB$47,42,0),"ECHEC")</f>
        <v>ECHEC</v>
      </c>
      <c r="M6" s="7" t="str">
        <f>IF(P6&lt;&gt;0,VLOOKUP($A6,[6]HISTOFEV25!$A$6:$BB$47,32,0),"ECHEC")</f>
        <v>ECHEC</v>
      </c>
      <c r="N6" s="7">
        <f>VLOOKUP($A6,[6]HISTOFEV25!$A$6:$BB$47,33,0)</f>
        <v>0</v>
      </c>
      <c r="O6" s="7">
        <f t="shared" ref="O6:O22" si="0">IF(P6=0,0,($C$3-P6))</f>
        <v>0</v>
      </c>
      <c r="P6" s="7">
        <f>VLOOKUP($A6,[6]HISTOFEV25!$A$6:$BB$47,31,0)</f>
        <v>0</v>
      </c>
    </row>
    <row r="7" spans="1:16" x14ac:dyDescent="0.35">
      <c r="A7" s="1" t="s">
        <v>47</v>
      </c>
      <c r="B7" s="7">
        <f>IF(D7=0,0,VLOOKUP($A7,[6]HISTOFEV25!$A$6:$BQ$47,14,0))</f>
        <v>2</v>
      </c>
      <c r="C7" s="1" t="str">
        <f>VLOOKUP(A7,[7]LISTADHERENT!A$5:H$60,3,0)</f>
        <v xml:space="preserve">DJOMO JEAN PAUL </v>
      </c>
      <c r="D7" s="7">
        <f>IF(E7="ECHEC",0,VLOOKUP($A7,[6]HISTOFEV25!$A$6:$BB$47,15,0))</f>
        <v>200000</v>
      </c>
      <c r="E7" s="7" t="str">
        <f>VLOOKUP($A7,[6]HISTOFEV25!$A$6:$BB$47,9,0)</f>
        <v>BANQUE</v>
      </c>
      <c r="F7" s="7">
        <f>VLOOKUP($A7,[6]HISTOFEV25!$A$6:$BB$47,37,0)</f>
        <v>200000</v>
      </c>
      <c r="G7" s="7">
        <f>VLOOKUP($A7,[6]HISTOFEV25!$A$6:$BB$47,40,0)</f>
        <v>7500</v>
      </c>
      <c r="H7" s="7" t="str">
        <f>IF(G7=0,"",VLOOKUP($A7,[6]HISTOFEV25!$A$6:$AV$47,42,0))</f>
        <v>BANQUE</v>
      </c>
      <c r="I7" s="7">
        <f>VLOOKUP($A7,[6]HISTOFEV25!$A$6:$BB$47,41,0)</f>
        <v>0</v>
      </c>
      <c r="J7" s="7">
        <f>TONTJANV25!F7+TONTJANV25!G7</f>
        <v>0</v>
      </c>
      <c r="K7" s="7">
        <f>VLOOKUP($A7,[6]HISTOFEV25!$A$6:$BB$47,18,0)</f>
        <v>0</v>
      </c>
      <c r="L7" s="7" t="str">
        <f>IF(K7&lt;&gt;0,VLOOKUP($A7,[6]HISTOFEV25!$A$6:$BB$47,42,0),"ECHEC")</f>
        <v>ECHEC</v>
      </c>
      <c r="M7" s="7" t="str">
        <f>IF(P7&lt;&gt;0,VLOOKUP($A7,[6]HISTOFEV25!$A$6:$BB$47,32,0),"ECHEC")</f>
        <v>BANQUE</v>
      </c>
      <c r="N7" s="7">
        <f>VLOOKUP($A7,[6]HISTOFEV25!$A$6:$BB$47,33,0)</f>
        <v>0</v>
      </c>
      <c r="O7" s="7">
        <f t="shared" si="0"/>
        <v>1120000</v>
      </c>
      <c r="P7" s="7">
        <f>VLOOKUP($A7,[6]HISTOFEV25!$A$6:$BB$47,31,0)</f>
        <v>80000</v>
      </c>
    </row>
    <row r="8" spans="1:16" x14ac:dyDescent="0.35">
      <c r="A8" s="1" t="s">
        <v>60</v>
      </c>
      <c r="B8" s="7">
        <f>IF(D8=0,0,VLOOKUP($A8,[6]HISTOFEV25!$A$6:$BQ$47,14,0))</f>
        <v>1</v>
      </c>
      <c r="C8" s="1" t="str">
        <f>VLOOKUP(A8,[7]LISTADHERENT!A$5:H$60,3,0)</f>
        <v>DJOUKWE NANGUEN GUY BLAISE</v>
      </c>
      <c r="D8" s="7">
        <f>IF(E8="ECHEC",0,VLOOKUP($A8,[6]HISTOFEV25!$A$6:$BB$47,15,0))</f>
        <v>100000</v>
      </c>
      <c r="E8" s="7" t="str">
        <f>VLOOKUP($A8,[6]HISTOFEV25!$A$6:$BB$47,9,0)</f>
        <v>BANQUE</v>
      </c>
      <c r="F8" s="7">
        <f>VLOOKUP($A8,[6]HISTOFEV25!$A$6:$BB$47,37,0)</f>
        <v>200000</v>
      </c>
      <c r="G8" s="7">
        <f>VLOOKUP($A8,[6]HISTOFEV25!$A$6:$BB$47,40,0)</f>
        <v>4500</v>
      </c>
      <c r="H8" s="7" t="str">
        <f>IF(G8=0,"",VLOOKUP($A8,[6]HISTOFEV25!$A$6:$AV$47,42,0))</f>
        <v>BANQUE</v>
      </c>
      <c r="I8" s="7">
        <f>VLOOKUP($A8,[6]HISTOFEV25!$A$6:$BB$47,41,0)</f>
        <v>0</v>
      </c>
      <c r="J8" s="7">
        <f>TONTJANV25!F8+TONTJANV25!G8</f>
        <v>0</v>
      </c>
      <c r="K8" s="7">
        <f>VLOOKUP($A8,[6]HISTOFEV25!$A$6:$BB$47,18,0)</f>
        <v>0</v>
      </c>
      <c r="L8" s="7" t="str">
        <f>IF(K8&lt;&gt;0,VLOOKUP($A8,[6]HISTOFEV25!$A$6:$BB$47,42,0),"ECHEC")</f>
        <v>ECHEC</v>
      </c>
      <c r="M8" s="7" t="str">
        <f>IF(P8&lt;&gt;0,VLOOKUP($A8,[6]HISTOFEV25!$A$6:$BB$47,32,0),"ECHEC")</f>
        <v>ECHEC</v>
      </c>
      <c r="N8" s="7">
        <f>VLOOKUP($A8,[6]HISTOFEV25!$A$6:$BB$47,33,0)</f>
        <v>0</v>
      </c>
      <c r="O8" s="7">
        <f t="shared" si="0"/>
        <v>0</v>
      </c>
      <c r="P8" s="7">
        <f>VLOOKUP($A8,[6]HISTOFEV25!$A$6:$BB$47,31,0)</f>
        <v>0</v>
      </c>
    </row>
    <row r="9" spans="1:16" x14ac:dyDescent="0.35">
      <c r="A9" s="1" t="s">
        <v>20</v>
      </c>
      <c r="B9" s="7">
        <f>IF(D9=0,0,VLOOKUP($A9,[6]HISTOFEV25!$A$6:$BQ$47,14,0))</f>
        <v>2</v>
      </c>
      <c r="C9" s="1" t="str">
        <f>VLOOKUP(A9,[7]LISTADHERENT!A$5:H$60,3,0)</f>
        <v>DJUOMBESSY ANTOINE</v>
      </c>
      <c r="D9" s="7">
        <f>IF(E9="ECHEC",0,VLOOKUP($A9,[6]HISTOFEV25!$A$6:$BB$47,15,0))</f>
        <v>200000</v>
      </c>
      <c r="E9" s="7" t="str">
        <f>VLOOKUP($A9,[6]HISTOFEV25!$A$6:$BB$47,9,0)</f>
        <v>BANQUE</v>
      </c>
      <c r="F9" s="7">
        <f>VLOOKUP($A9,[6]HISTOFEV25!$A$6:$BB$47,37,0)</f>
        <v>0</v>
      </c>
      <c r="G9" s="7">
        <f>VLOOKUP($A9,[6]HISTOFEV25!$A$6:$BB$47,40,0)</f>
        <v>0</v>
      </c>
      <c r="H9" s="7" t="str">
        <f>IF(G9=0,"",VLOOKUP($A9,[6]HISTOFEV25!$A$6:$AV$47,42,0))</f>
        <v/>
      </c>
      <c r="I9" s="7">
        <f>VLOOKUP($A9,[6]HISTOFEV25!$A$6:$BB$47,41,0)</f>
        <v>0</v>
      </c>
      <c r="J9" s="7">
        <f>TONTJANV25!F9+TONTJANV25!G9</f>
        <v>0</v>
      </c>
      <c r="K9" s="7">
        <f>VLOOKUP($A9,[6]HISTOFEV25!$A$6:$BB$47,18,0)</f>
        <v>0</v>
      </c>
      <c r="L9" s="7" t="str">
        <f>IF(K9&lt;&gt;0,VLOOKUP($A9,[6]HISTOFEV25!$A$6:$BB$47,42,0),"ECHEC")</f>
        <v>ECHEC</v>
      </c>
      <c r="M9" s="7" t="str">
        <f>IF(P9&lt;&gt;0,VLOOKUP($A9,[6]HISTOFEV25!$A$6:$BB$47,32,0),"ECHEC")</f>
        <v>ECHEC</v>
      </c>
      <c r="N9" s="7">
        <f>VLOOKUP($A9,[6]HISTOFEV25!$A$6:$BB$47,33,0)</f>
        <v>0</v>
      </c>
      <c r="O9" s="7">
        <f t="shared" si="0"/>
        <v>0</v>
      </c>
      <c r="P9" s="7">
        <f>VLOOKUP($A9,[6]HISTOFEV25!$A$6:$BB$47,31,0)</f>
        <v>0</v>
      </c>
    </row>
    <row r="10" spans="1:16" x14ac:dyDescent="0.35">
      <c r="A10" s="1" t="s">
        <v>62</v>
      </c>
      <c r="B10" s="7">
        <f>IF(D10=0,0,VLOOKUP($A10,[6]HISTOFEV25!$A$6:$BQ$47,14,0))</f>
        <v>1</v>
      </c>
      <c r="C10" s="1" t="str">
        <f>VLOOKUP(A10,[7]LISTADHERENT!A$5:H$60,3,0)</f>
        <v>FAMPOU PAUL</v>
      </c>
      <c r="D10" s="7">
        <f>IF(E10="ECHEC",0,VLOOKUP($A10,[6]HISTOFEV25!$A$6:$BB$47,15,0))</f>
        <v>100000</v>
      </c>
      <c r="E10" s="7" t="str">
        <f>VLOOKUP($A10,[6]HISTOFEV25!$A$6:$BB$47,9,0)</f>
        <v>ESPECES</v>
      </c>
      <c r="F10" s="7">
        <f>VLOOKUP($A10,[6]HISTOFEV25!$A$6:$BB$47,37,0)</f>
        <v>0</v>
      </c>
      <c r="G10" s="7">
        <f>VLOOKUP($A10,[6]HISTOFEV25!$A$6:$BB$47,40,0)</f>
        <v>0</v>
      </c>
      <c r="H10" s="7" t="str">
        <f>IF(G10=0,"",VLOOKUP($A10,[6]HISTOFEV25!$A$6:$AV$47,42,0))</f>
        <v/>
      </c>
      <c r="I10" s="7">
        <f>VLOOKUP($A10,[6]HISTOFEV25!$A$6:$BB$47,41,0)</f>
        <v>0</v>
      </c>
      <c r="J10" s="7">
        <f>TONTJANV25!F10+TONTJANV25!G10</f>
        <v>0</v>
      </c>
      <c r="K10" s="7">
        <f>VLOOKUP($A10,[6]HISTOFEV25!$A$6:$BB$47,18,0)</f>
        <v>0</v>
      </c>
      <c r="L10" s="7" t="str">
        <f>IF(K10&lt;&gt;0,VLOOKUP($A10,[6]HISTOFEV25!$A$6:$BB$47,42,0),"ECHEC")</f>
        <v>ECHEC</v>
      </c>
      <c r="M10" s="7" t="str">
        <f>IF(P10&lt;&gt;0,VLOOKUP($A10,[6]HISTOFEV25!$A$6:$BB$47,32,0),"ECHEC")</f>
        <v>ECHEC</v>
      </c>
      <c r="N10" s="7">
        <f>VLOOKUP($A10,[6]HISTOFEV25!$A$6:$BB$47,33,0)</f>
        <v>0</v>
      </c>
      <c r="O10" s="7">
        <f t="shared" ref="O10" si="1">IF(P10=0,0,($C$3-P10))</f>
        <v>0</v>
      </c>
      <c r="P10" s="7">
        <f>VLOOKUP($A10,[6]HISTOFEV25!$A$6:$BB$47,31,0)</f>
        <v>0</v>
      </c>
    </row>
    <row r="11" spans="1:16" x14ac:dyDescent="0.35">
      <c r="A11" s="1" t="s">
        <v>21</v>
      </c>
      <c r="B11" s="7">
        <f>IF(D11=0,0,VLOOKUP($A11,[6]HISTOFEV25!$A$6:$BQ$47,14,0))</f>
        <v>1</v>
      </c>
      <c r="C11" s="1" t="str">
        <f>VLOOKUP(A11,[7]LISTADHERENT!A$5:H$60,3,0)</f>
        <v>HOTCHO BENJAMIN</v>
      </c>
      <c r="D11" s="7">
        <f>IF(E11="ECHEC",0,VLOOKUP($A11,[6]HISTOFEV25!$A$6:$BB$47,15,0))</f>
        <v>100000</v>
      </c>
      <c r="E11" s="7" t="str">
        <f>VLOOKUP($A11,[6]HISTOFEV25!$A$6:$BB$47,9,0)</f>
        <v>BANQUE</v>
      </c>
      <c r="F11" s="7">
        <f>VLOOKUP($A11,[6]HISTOFEV25!$A$6:$BB$47,37,0)</f>
        <v>0</v>
      </c>
      <c r="G11" s="7">
        <f>VLOOKUP($A11,[6]HISTOFEV25!$A$6:$BB$47,40,0)</f>
        <v>0</v>
      </c>
      <c r="H11" s="7" t="str">
        <f>IF(G11=0,"",VLOOKUP($A11,[6]HISTOFEV25!$A$6:$AV$47,42,0))</f>
        <v/>
      </c>
      <c r="I11" s="7">
        <f>VLOOKUP($A11,[6]HISTOFEV25!$A$6:$BB$47,41,0)</f>
        <v>0</v>
      </c>
      <c r="J11" s="7">
        <f>TONTJANV25!F11+TONTJANV25!G11</f>
        <v>0</v>
      </c>
      <c r="K11" s="7">
        <f>VLOOKUP($A11,[6]HISTOFEV25!$A$6:$BB$47,18,0)</f>
        <v>0</v>
      </c>
      <c r="L11" s="7" t="str">
        <f>IF(K11&lt;&gt;0,VLOOKUP($A11,[6]HISTOFEV25!$A$6:$BB$47,42,0),"ECHEC")</f>
        <v>ECHEC</v>
      </c>
      <c r="M11" s="7" t="str">
        <f>IF(P11&lt;&gt;0,VLOOKUP($A11,[6]HISTOFEV25!$A$6:$BB$47,32,0),"ECHEC")</f>
        <v>ECHEC</v>
      </c>
      <c r="N11" s="7">
        <f>VLOOKUP($A11,[6]HISTOFEV25!$A$6:$BB$47,33,0)</f>
        <v>0</v>
      </c>
      <c r="O11" s="7">
        <f t="shared" si="0"/>
        <v>0</v>
      </c>
      <c r="P11" s="7">
        <f>VLOOKUP($A11,[6]HISTOFEV25!$A$6:$BB$47,31,0)</f>
        <v>0</v>
      </c>
    </row>
    <row r="12" spans="1:16" x14ac:dyDescent="0.35">
      <c r="A12" s="1" t="s">
        <v>26</v>
      </c>
      <c r="B12" s="7">
        <f>IF(D12=0,0,VLOOKUP($A12,[6]HISTOFEV25!$A$6:$BQ$47,14,0))</f>
        <v>1</v>
      </c>
      <c r="C12" s="1" t="str">
        <f>VLOOKUP(A12,[7]LISTADHERENT!A$5:H$60,3,0)</f>
        <v>KOUAMOU MOISE</v>
      </c>
      <c r="D12" s="7">
        <f>IF(E12="ECHEC",0,VLOOKUP($A12,[6]HISTOFEV25!$A$6:$BB$47,15,0))</f>
        <v>100000</v>
      </c>
      <c r="E12" s="7" t="str">
        <f>VLOOKUP($A12,[6]HISTOFEV25!$A$6:$BB$47,9,0)</f>
        <v>BANQUE</v>
      </c>
      <c r="F12" s="7">
        <f>VLOOKUP($A12,[6]HISTOFEV25!$A$6:$BB$47,37,0)</f>
        <v>0</v>
      </c>
      <c r="G12" s="7">
        <f>VLOOKUP($A12,[6]HISTOFEV25!$A$6:$BB$47,40,0)</f>
        <v>0</v>
      </c>
      <c r="H12" s="7" t="str">
        <f>IF(G12=0,"",VLOOKUP($A12,[6]HISTOFEV25!$A$6:$AV$47,42,0))</f>
        <v/>
      </c>
      <c r="I12" s="7">
        <f>VLOOKUP($A12,[6]HISTOFEV25!$A$6:$BB$47,41,0)</f>
        <v>0</v>
      </c>
      <c r="J12" s="7">
        <f>TONTJANV25!F12+TONTJANV25!G12</f>
        <v>0</v>
      </c>
      <c r="K12" s="7">
        <f>VLOOKUP($A12,[6]HISTOFEV25!$A$6:$BB$47,18,0)</f>
        <v>0</v>
      </c>
      <c r="L12" s="7" t="str">
        <f>IF(K12&lt;&gt;0,VLOOKUP($A12,[6]HISTOFEV25!$A$6:$BB$47,42,0),"ECHEC")</f>
        <v>ECHEC</v>
      </c>
      <c r="M12" s="7" t="str">
        <f>IF(P12&lt;&gt;0,VLOOKUP($A12,[6]HISTOFEV25!$A$6:$BB$47,32,0),"ECHEC")</f>
        <v>ECHEC</v>
      </c>
      <c r="N12" s="7">
        <f>VLOOKUP($A12,[6]HISTOFEV25!$A$6:$BB$47,33,0)</f>
        <v>0</v>
      </c>
      <c r="O12" s="7">
        <f t="shared" si="0"/>
        <v>0</v>
      </c>
      <c r="P12" s="7">
        <f>VLOOKUP($A12,[6]HISTOFEV25!$A$6:$BB$47,31,0)</f>
        <v>0</v>
      </c>
    </row>
    <row r="13" spans="1:16" x14ac:dyDescent="0.35">
      <c r="A13" s="1" t="s">
        <v>8</v>
      </c>
      <c r="B13" s="7">
        <f>IF(D13=0,0,VLOOKUP($A13,[6]HISTOFEV25!$A$6:$BQ$47,14,0))</f>
        <v>1</v>
      </c>
      <c r="C13" s="1" t="str">
        <f>VLOOKUP(A13,[7]LISTADHERENT!A$5:H$60,3,0)</f>
        <v>KOUATCHO MESSACK</v>
      </c>
      <c r="D13" s="7">
        <f>IF(E13="ECHEC",0,VLOOKUP($A13,[6]HISTOFEV25!$A$6:$BB$47,15,0))</f>
        <v>100000</v>
      </c>
      <c r="E13" s="7" t="str">
        <f>VLOOKUP($A13,[6]HISTOFEV25!$A$6:$BB$47,9,0)</f>
        <v>BANQUE</v>
      </c>
      <c r="F13" s="7">
        <f>VLOOKUP($A13,[6]HISTOFEV25!$A$6:$BB$47,37,0)</f>
        <v>0</v>
      </c>
      <c r="G13" s="7">
        <f>VLOOKUP($A13,[6]HISTOFEV25!$A$6:$BB$47,40,0)</f>
        <v>0</v>
      </c>
      <c r="H13" s="7" t="str">
        <f>IF(G13=0,"",VLOOKUP($A13,[6]HISTOFEV25!$A$6:$AV$47,42,0))</f>
        <v/>
      </c>
      <c r="I13" s="7">
        <f>VLOOKUP($A13,[6]HISTOFEV25!$A$6:$BB$47,41,0)</f>
        <v>0</v>
      </c>
      <c r="J13" s="7">
        <f>TONTJANV25!F13+TONTJANV25!G13</f>
        <v>0</v>
      </c>
      <c r="K13" s="7">
        <f>VLOOKUP($A13,[6]HISTOFEV25!$A$6:$BB$47,18,0)</f>
        <v>0</v>
      </c>
      <c r="L13" s="7" t="str">
        <f>IF(K13&lt;&gt;0,VLOOKUP($A13,[6]HISTOFEV25!$A$6:$BB$47,42,0),"ECHEC")</f>
        <v>ECHEC</v>
      </c>
      <c r="M13" s="7" t="str">
        <f>IF(P13&lt;&gt;0,VLOOKUP($A13,[6]HISTOFEV25!$A$6:$BB$47,32,0),"ECHEC")</f>
        <v>ECHEC</v>
      </c>
      <c r="N13" s="7">
        <f>VLOOKUP($A13,[6]HISTOFEV25!$A$6:$BB$47,33,0)</f>
        <v>0</v>
      </c>
      <c r="O13" s="7">
        <f t="shared" si="0"/>
        <v>0</v>
      </c>
      <c r="P13" s="7">
        <f>VLOOKUP($A13,[6]HISTOFEV25!$A$6:$BB$47,31,0)</f>
        <v>0</v>
      </c>
    </row>
    <row r="14" spans="1:16" x14ac:dyDescent="0.35">
      <c r="A14" s="1" t="s">
        <v>22</v>
      </c>
      <c r="B14" s="7">
        <f>IF(D14=0,0,VLOOKUP($A14,[6]HISTOFEV25!$A$6:$BQ$47,14,0))</f>
        <v>2</v>
      </c>
      <c r="C14" s="1" t="str">
        <f>VLOOKUP(A14,[7]LISTADHERENT!A$5:H$60,3,0)</f>
        <v>MBOGNING TUGMA GUY</v>
      </c>
      <c r="D14" s="7">
        <f>IF(E14="ECHEC",0,VLOOKUP($A14,[6]HISTOFEV25!$A$6:$BB$47,15,0))</f>
        <v>200000</v>
      </c>
      <c r="E14" s="7" t="str">
        <f>VLOOKUP($A14,[6]HISTOFEV25!$A$6:$BB$47,9,0)</f>
        <v>BANQUE</v>
      </c>
      <c r="F14" s="7">
        <f>VLOOKUP($A14,[6]HISTOFEV25!$A$6:$BB$47,37,0)</f>
        <v>0</v>
      </c>
      <c r="G14" s="7">
        <f>VLOOKUP($A14,[6]HISTOFEV25!$A$6:$BB$47,40,0)</f>
        <v>0</v>
      </c>
      <c r="H14" s="7" t="str">
        <f>IF(G14=0,"",VLOOKUP($A14,[6]HISTOFEV25!$A$6:$AV$47,42,0))</f>
        <v/>
      </c>
      <c r="I14" s="7">
        <f>VLOOKUP($A14,[6]HISTOFEV25!$A$6:$BB$47,41,0)</f>
        <v>0</v>
      </c>
      <c r="J14" s="7">
        <f>TONTJANV25!F14+TONTJANV25!G14</f>
        <v>0</v>
      </c>
      <c r="K14" s="7">
        <f>VLOOKUP($A14,[6]HISTOFEV25!$A$6:$BB$47,18,0)</f>
        <v>0</v>
      </c>
      <c r="L14" s="7" t="str">
        <f>IF(K14&lt;&gt;0,VLOOKUP($A14,[6]HISTOFEV25!$A$6:$BB$47,42,0),"ECHEC")</f>
        <v>ECHEC</v>
      </c>
      <c r="M14" s="7" t="str">
        <f>IF(P14&lt;&gt;0,VLOOKUP($A14,[6]HISTOFEV25!$A$6:$BB$47,32,0),"ECHEC")</f>
        <v>BANQUE</v>
      </c>
      <c r="N14" s="7">
        <f>VLOOKUP($A14,[6]HISTOFEV25!$A$6:$BB$47,33,0)</f>
        <v>0</v>
      </c>
      <c r="O14" s="7">
        <f t="shared" si="0"/>
        <v>1115000</v>
      </c>
      <c r="P14" s="7">
        <f>VLOOKUP($A14,[6]HISTOFEV25!$A$6:$BB$47,31,0)</f>
        <v>85000</v>
      </c>
    </row>
    <row r="15" spans="1:16" x14ac:dyDescent="0.35">
      <c r="A15" s="1" t="s">
        <v>9</v>
      </c>
      <c r="B15" s="7">
        <f>IF(D15=0,0,VLOOKUP($A15,[6]HISTOFEV25!$A$6:$BQ$47,14,0))</f>
        <v>2</v>
      </c>
      <c r="C15" s="1" t="str">
        <f>VLOOKUP(A15,[7]LISTADHERENT!A$5:H$60,3,0)</f>
        <v>NDJOMO ETIENNE</v>
      </c>
      <c r="D15" s="7">
        <f>IF(E15="ECHEC",0,VLOOKUP($A15,[6]HISTOFEV25!$A$6:$BB$47,15,0))</f>
        <v>200000</v>
      </c>
      <c r="E15" s="7" t="str">
        <f>VLOOKUP($A15,[6]HISTOFEV25!$A$6:$BB$47,9,0)</f>
        <v>BANQUE</v>
      </c>
      <c r="F15" s="7">
        <f>VLOOKUP($A15,[6]HISTOFEV25!$A$6:$BB$47,37,0)</f>
        <v>100000</v>
      </c>
      <c r="G15" s="7">
        <f>VLOOKUP($A15,[6]HISTOFEV25!$A$6:$BB$47,40,0)</f>
        <v>1000</v>
      </c>
      <c r="H15" s="7" t="str">
        <f>IF(G15=0,"",VLOOKUP($A15,[6]HISTOFEV25!$A$6:$AV$47,42,0))</f>
        <v>BANQUE</v>
      </c>
      <c r="I15" s="7">
        <f>VLOOKUP($A15,[6]HISTOFEV25!$A$6:$BB$47,41,0)</f>
        <v>0</v>
      </c>
      <c r="J15" s="7">
        <f>TONTJANV25!F15+TONTJANV25!G15</f>
        <v>0</v>
      </c>
      <c r="K15" s="7">
        <f>VLOOKUP($A15,[6]HISTOFEV25!$A$6:$BB$47,18,0)</f>
        <v>0</v>
      </c>
      <c r="L15" s="7" t="str">
        <f>IF(K15&lt;&gt;0,VLOOKUP($A15,[6]HISTOFEV25!$A$6:$BB$47,42,0),"ECHEC")</f>
        <v>ECHEC</v>
      </c>
      <c r="M15" s="7" t="str">
        <f>IF(P15&lt;&gt;0,VLOOKUP($A15,[6]HISTOFEV25!$A$6:$BB$47,32,0),"ECHEC")</f>
        <v>ECHEC</v>
      </c>
      <c r="N15" s="7">
        <f>VLOOKUP($A15,[6]HISTOFEV25!$A$6:$BB$47,33,0)</f>
        <v>0</v>
      </c>
      <c r="O15" s="7">
        <f t="shared" si="0"/>
        <v>0</v>
      </c>
      <c r="P15" s="7">
        <f>VLOOKUP($A15,[6]HISTOFEV25!$A$6:$BB$47,31,0)</f>
        <v>0</v>
      </c>
    </row>
    <row r="16" spans="1:16" x14ac:dyDescent="0.35">
      <c r="A16" s="1" t="s">
        <v>10</v>
      </c>
      <c r="B16" s="7">
        <f>IF(D16=0,0,VLOOKUP($A16,[6]HISTOFEV25!$A$6:$BQ$47,14,0))</f>
        <v>1</v>
      </c>
      <c r="C16" s="1" t="str">
        <f>VLOOKUP(A16,[7]LISTADHERENT!A$5:H$60,3,0)</f>
        <v>NGONDIEP CLAUDE</v>
      </c>
      <c r="D16" s="7">
        <f>IF(E16="ECHEC",0,VLOOKUP($A16,[6]HISTOFEV25!$A$6:$BB$47,15,0))</f>
        <v>100000</v>
      </c>
      <c r="E16" s="7" t="str">
        <f>VLOOKUP($A16,[6]HISTOFEV25!$A$6:$BB$47,9,0)</f>
        <v>BANQUE</v>
      </c>
      <c r="F16" s="7">
        <f>VLOOKUP($A16,[6]HISTOFEV25!$A$6:$BB$47,37,0)</f>
        <v>0</v>
      </c>
      <c r="G16" s="7">
        <f>VLOOKUP($A16,[6]HISTOFEV25!$A$6:$BB$47,40,0)</f>
        <v>0</v>
      </c>
      <c r="H16" s="7" t="str">
        <f>IF(G16=0,"",VLOOKUP($A16,[6]HISTOFEV25!$A$6:$AV$47,42,0))</f>
        <v/>
      </c>
      <c r="I16" s="7">
        <f>VLOOKUP($A16,[6]HISTOFEV25!$A$6:$BB$47,41,0)</f>
        <v>0</v>
      </c>
      <c r="J16" s="7">
        <f>TONTJANV25!F16+TONTJANV25!G16</f>
        <v>0</v>
      </c>
      <c r="K16" s="7">
        <f>VLOOKUP($A16,[6]HISTOFEV25!$A$6:$BB$47,18,0)</f>
        <v>0</v>
      </c>
      <c r="L16" s="7" t="str">
        <f>IF(K16&lt;&gt;0,VLOOKUP($A16,[6]HISTOFEV25!$A$6:$BB$47,42,0),"ECHEC")</f>
        <v>ECHEC</v>
      </c>
      <c r="M16" s="7" t="str">
        <f>IF(P16&lt;&gt;0,VLOOKUP($A16,[6]HISTOFEV25!$A$6:$BB$47,32,0),"ECHEC")</f>
        <v>ECHEC</v>
      </c>
      <c r="N16" s="7">
        <f>VLOOKUP($A16,[6]HISTOFEV25!$A$6:$BB$47,33,0)</f>
        <v>0</v>
      </c>
      <c r="O16" s="7">
        <f t="shared" si="0"/>
        <v>0</v>
      </c>
      <c r="P16" s="7">
        <f>VLOOKUP($A16,[6]HISTOFEV25!$A$6:$BB$47,31,0)</f>
        <v>0</v>
      </c>
    </row>
    <row r="17" spans="1:16" x14ac:dyDescent="0.35">
      <c r="A17" s="1" t="s">
        <v>43</v>
      </c>
      <c r="B17" s="7">
        <f>IF(D17=0,0,VLOOKUP($A17,[6]HISTOFEV25!$A$6:$BQ$47,14,0))</f>
        <v>2</v>
      </c>
      <c r="C17" s="1" t="str">
        <f>VLOOKUP(A17,[7]LISTADHERENT!A$5:H$60,3,0)</f>
        <v>NGUIEMEGNI MATHIEU BLAISE</v>
      </c>
      <c r="D17" s="7">
        <f>IF(E17="ECHEC",0,VLOOKUP($A17,[6]HISTOFEV25!$A$6:$BB$47,15,0))</f>
        <v>200000</v>
      </c>
      <c r="E17" s="7" t="str">
        <f>VLOOKUP($A17,[6]HISTOFEV25!$A$6:$BB$47,9,0)</f>
        <v>BANQUE</v>
      </c>
      <c r="F17" s="7">
        <f>VLOOKUP($A17,[6]HISTOFEV25!$A$6:$BB$47,37,0)</f>
        <v>200000</v>
      </c>
      <c r="G17" s="7">
        <f>VLOOKUP($A17,[6]HISTOFEV25!$A$6:$BB$47,40,0)</f>
        <v>6500</v>
      </c>
      <c r="H17" s="7" t="str">
        <f>IF(G17=0,"",VLOOKUP($A17,[6]HISTOFEV25!$A$6:$AV$47,42,0))</f>
        <v>BANQUE</v>
      </c>
      <c r="I17" s="7">
        <f>VLOOKUP($A17,[6]HISTOFEV25!$A$6:$BB$47,41,0)</f>
        <v>0</v>
      </c>
      <c r="J17" s="7">
        <f>TONTJANV25!F17+TONTJANV25!G17</f>
        <v>0</v>
      </c>
      <c r="K17" s="7">
        <f>VLOOKUP($A17,[6]HISTOFEV25!$A$6:$BB$47,18,0)</f>
        <v>0</v>
      </c>
      <c r="L17" s="7" t="str">
        <f>IF(K17&lt;&gt;0,VLOOKUP($A17,[6]HISTOFEV25!$A$6:$BB$47,42,0),"ECHEC")</f>
        <v>ECHEC</v>
      </c>
      <c r="M17" s="7" t="str">
        <f>IF(P17&lt;&gt;0,VLOOKUP($A17,[6]HISTOFEV25!$A$6:$BB$47,32,0),"ECHEC")</f>
        <v>ECHEC</v>
      </c>
      <c r="N17" s="7">
        <f>VLOOKUP($A17,[6]HISTOFEV25!$A$6:$BB$47,33,0)</f>
        <v>0</v>
      </c>
      <c r="O17" s="7">
        <f t="shared" si="0"/>
        <v>0</v>
      </c>
      <c r="P17" s="7">
        <f>VLOOKUP($A17,[6]HISTOFEV25!$A$6:$BB$47,31,0)</f>
        <v>0</v>
      </c>
    </row>
    <row r="18" spans="1:16" x14ac:dyDescent="0.35">
      <c r="A18" s="1" t="s">
        <v>54</v>
      </c>
      <c r="B18" s="7">
        <f>IF(D18=0,0,VLOOKUP($A18,[6]HISTOFEV25!$A$6:$BQ$47,14,0))</f>
        <v>2</v>
      </c>
      <c r="C18" s="1" t="str">
        <f>VLOOKUP(A18,[7]LISTADHERENT!A$5:H$60,3,0)</f>
        <v>SIME BRICE</v>
      </c>
      <c r="D18" s="7">
        <f>IF(E18="ECHEC",0,VLOOKUP($A18,[6]HISTOFEV25!$A$6:$BB$47,15,0))</f>
        <v>200000</v>
      </c>
      <c r="E18" s="7" t="str">
        <f>VLOOKUP($A18,[6]HISTOFEV25!$A$6:$BB$47,9,0)</f>
        <v>BANQUE</v>
      </c>
      <c r="F18" s="7">
        <f>VLOOKUP($A18,[6]HISTOFEV25!$A$6:$BB$47,37,0)</f>
        <v>0</v>
      </c>
      <c r="G18" s="7">
        <f>VLOOKUP($A18,[6]HISTOFEV25!$A$6:$BB$47,40,0)</f>
        <v>0</v>
      </c>
      <c r="H18" s="7" t="str">
        <f>IF(G18=0,"",VLOOKUP($A18,[6]HISTOFEV25!$A$6:$AV$47,42,0))</f>
        <v/>
      </c>
      <c r="I18" s="7">
        <f>VLOOKUP($A18,[6]HISTOFEV25!$A$6:$BB$47,41,0)</f>
        <v>0</v>
      </c>
      <c r="J18" s="7">
        <f>TONTJANV25!F18+TONTJANV25!G18</f>
        <v>0</v>
      </c>
      <c r="K18" s="7">
        <f>VLOOKUP($A18,[6]HISTOFEV25!$A$6:$BB$47,18,0)</f>
        <v>0</v>
      </c>
      <c r="L18" s="7" t="str">
        <f>IF(K18&lt;&gt;0,VLOOKUP($A18,[6]HISTOFEV25!$A$6:$BB$47,42,0),"ECHEC")</f>
        <v>ECHEC</v>
      </c>
      <c r="M18" s="7" t="str">
        <f>IF(P18&lt;&gt;0,VLOOKUP($A18,[6]HISTOFEV25!$A$6:$BB$47,32,0),"ECHEC")</f>
        <v>ECHEC</v>
      </c>
      <c r="N18" s="7">
        <f>VLOOKUP($A18,[6]HISTOFEV25!$A$6:$BB$47,33,0)</f>
        <v>0</v>
      </c>
      <c r="O18" s="7">
        <f t="shared" si="0"/>
        <v>0</v>
      </c>
      <c r="P18" s="7">
        <f>VLOOKUP($A18,[6]HISTOFEV25!$A$6:$BB$47,31,0)</f>
        <v>0</v>
      </c>
    </row>
    <row r="19" spans="1:16" x14ac:dyDescent="0.35">
      <c r="A19" s="1" t="s">
        <v>55</v>
      </c>
      <c r="B19" s="7">
        <f>IF(D19=0,0,VLOOKUP($A19,[6]HISTOFEV25!$A$6:$BQ$47,14,0))</f>
        <v>1</v>
      </c>
      <c r="C19" s="1" t="str">
        <f>VLOOKUP(A19,[7]LISTADHERENT!A$5:H$60,3,0)</f>
        <v>TCHOUATEU AUGUSTIN</v>
      </c>
      <c r="D19" s="7">
        <f>IF(E19="ECHEC",0,VLOOKUP($A19,[6]HISTOFEV25!$A$6:$BB$47,15,0))</f>
        <v>100000</v>
      </c>
      <c r="E19" s="7" t="str">
        <f>VLOOKUP($A19,[6]HISTOFEV25!$A$6:$BB$47,9,0)</f>
        <v>BANQUE</v>
      </c>
      <c r="F19" s="7">
        <f>VLOOKUP($A19,[6]HISTOFEV25!$A$6:$BB$47,37,0)</f>
        <v>0</v>
      </c>
      <c r="G19" s="7">
        <f>VLOOKUP($A19,[6]HISTOFEV25!$A$6:$BB$47,40,0)</f>
        <v>0</v>
      </c>
      <c r="H19" s="7" t="str">
        <f>IF(G19=0,"",VLOOKUP($A19,[6]HISTOFEV25!$A$6:$AV$47,42,0))</f>
        <v/>
      </c>
      <c r="I19" s="7">
        <f>VLOOKUP($A19,[6]HISTOFEV25!$A$6:$BB$47,41,0)</f>
        <v>0</v>
      </c>
      <c r="J19" s="7">
        <f>TONTJANV25!F19+TONTJANV25!G19</f>
        <v>0</v>
      </c>
      <c r="K19" s="7">
        <f>VLOOKUP($A19,[6]HISTOFEV25!$A$6:$BB$47,18,0)</f>
        <v>0</v>
      </c>
      <c r="L19" s="7" t="str">
        <f>IF(K19&lt;&gt;0,VLOOKUP($A19,[6]HISTOFEV25!$A$6:$BB$47,42,0),"ECHEC")</f>
        <v>ECHEC</v>
      </c>
      <c r="M19" s="7" t="str">
        <f>IF(P19&lt;&gt;0,VLOOKUP($A19,[6]HISTOFEV25!$A$6:$BB$47,32,0),"ECHEC")</f>
        <v>ECHEC</v>
      </c>
      <c r="N19" s="7">
        <f>VLOOKUP($A19,[6]HISTOFEV25!$A$6:$BB$47,33,0)</f>
        <v>0</v>
      </c>
      <c r="O19" s="7">
        <f t="shared" si="0"/>
        <v>0</v>
      </c>
      <c r="P19" s="7">
        <f>VLOOKUP($A19,[6]HISTOFEV25!$A$6:$BB$47,31,0)</f>
        <v>0</v>
      </c>
    </row>
    <row r="20" spans="1:16" x14ac:dyDescent="0.35">
      <c r="A20" s="1" t="s">
        <v>46</v>
      </c>
      <c r="B20" s="7">
        <f>IF(D20=0,0,VLOOKUP($A20,[6]HISTOFEV25!$A$6:$BQ$47,14,0))</f>
        <v>1</v>
      </c>
      <c r="C20" s="1" t="str">
        <f>VLOOKUP(A20,[7]LISTADHERENT!A$5:H$60,3,0)</f>
        <v>SIMO PIERRE</v>
      </c>
      <c r="D20" s="7">
        <f>IF(E20="ECHEC",0,VLOOKUP($A20,[6]HISTOFEV25!$A$6:$BB$47,15,0))</f>
        <v>100000</v>
      </c>
      <c r="E20" s="7" t="str">
        <f>VLOOKUP($A20,[6]HISTOFEV25!$A$6:$BB$47,9,0)</f>
        <v>BANQUE</v>
      </c>
      <c r="F20" s="7">
        <f>VLOOKUP($A20,[6]HISTOFEV25!$A$6:$BB$47,37,0)</f>
        <v>0</v>
      </c>
      <c r="G20" s="7">
        <f>VLOOKUP($A20,[6]HISTOFEV25!$A$6:$BB$47,40,0)</f>
        <v>0</v>
      </c>
      <c r="H20" s="7" t="str">
        <f>IF(G20=0,"",VLOOKUP($A20,[6]HISTOFEV25!$A$6:$AV$47,42,0))</f>
        <v/>
      </c>
      <c r="I20" s="7">
        <f>VLOOKUP($A20,[6]HISTOFEV25!$A$6:$BB$47,41,0)</f>
        <v>0</v>
      </c>
      <c r="J20" s="7">
        <f>TONTJANV25!F20+TONTJANV25!G20</f>
        <v>0</v>
      </c>
      <c r="K20" s="7">
        <f>VLOOKUP($A20,[6]HISTOFEV25!$A$6:$BB$47,18,0)</f>
        <v>0</v>
      </c>
      <c r="L20" s="7" t="str">
        <f>IF(K20&lt;&gt;0,VLOOKUP($A20,[6]HISTOFEV25!$A$6:$BB$47,42,0),"ECHEC")</f>
        <v>ECHEC</v>
      </c>
      <c r="M20" s="7" t="str">
        <f>IF(P20&lt;&gt;0,VLOOKUP($A20,[6]HISTOFEV25!$A$6:$BB$47,32,0),"ECHEC")</f>
        <v>BANQUE</v>
      </c>
      <c r="N20" s="7">
        <f>VLOOKUP($A20,[6]HISTOFEV25!$A$6:$BB$47,33,0)</f>
        <v>0</v>
      </c>
      <c r="O20" s="7">
        <f t="shared" si="0"/>
        <v>1130000</v>
      </c>
      <c r="P20" s="7">
        <f>VLOOKUP($A20,[6]HISTOFEV25!$A$6:$BB$47,31,0)</f>
        <v>70000</v>
      </c>
    </row>
    <row r="21" spans="1:16" x14ac:dyDescent="0.35">
      <c r="A21" s="1" t="s">
        <v>53</v>
      </c>
      <c r="B21" s="7">
        <f>IF(D21=0,0,VLOOKUP($A21,[6]HISTOFEV25!$A$6:$BQ$47,14,0))</f>
        <v>2</v>
      </c>
      <c r="C21" s="1" t="str">
        <f>VLOOKUP(A21,[7]LISTADHERENT!A$5:H$60,3,0)</f>
        <v>YIALA ALAIN OSCAR</v>
      </c>
      <c r="D21" s="7">
        <f>IF(E21="ECHEC",0,VLOOKUP($A21,[6]HISTOFEV25!$A$6:$BB$47,15,0))</f>
        <v>200000</v>
      </c>
      <c r="E21" s="7" t="str">
        <f>VLOOKUP($A21,[6]HISTOFEV25!$A$6:$BB$47,9,0)</f>
        <v>BANQUE</v>
      </c>
      <c r="F21" s="7">
        <f>VLOOKUP($A21,[6]HISTOFEV25!$A$6:$BB$47,37,0)</f>
        <v>0</v>
      </c>
      <c r="G21" s="7">
        <f>VLOOKUP($A21,[6]HISTOFEV25!$A$6:$BB$47,40,0)</f>
        <v>0</v>
      </c>
      <c r="H21" s="7" t="str">
        <f>IF(G21=0,"",VLOOKUP($A21,[6]HISTOFEV25!$A$6:$AV$47,42,0))</f>
        <v/>
      </c>
      <c r="I21" s="7">
        <f>VLOOKUP($A21,[6]HISTOFEV25!$A$6:$BB$47,41,0)</f>
        <v>0</v>
      </c>
      <c r="J21" s="7">
        <f>TONTJANV25!F21+TONTJANV25!G21</f>
        <v>0</v>
      </c>
      <c r="K21" s="7">
        <f>VLOOKUP($A21,[6]HISTOFEV25!$A$6:$BB$47,18,0)</f>
        <v>0</v>
      </c>
      <c r="L21" s="7" t="str">
        <f>IF(K21&lt;&gt;0,VLOOKUP($A21,[6]HISTOFEV25!$A$6:$BB$47,42,0),"ECHEC")</f>
        <v>ECHEC</v>
      </c>
      <c r="M21" s="7" t="str">
        <f>IF(P21&lt;&gt;0,VLOOKUP($A21,[6]HISTOFEV25!$A$6:$BB$47,32,0),"ECHEC")</f>
        <v>ECHEC</v>
      </c>
      <c r="N21" s="7">
        <f>VLOOKUP($A21,[6]HISTOFEV25!$A$6:$BB$47,33,0)</f>
        <v>0</v>
      </c>
      <c r="O21" s="7">
        <f t="shared" si="0"/>
        <v>0</v>
      </c>
      <c r="P21" s="7">
        <f>VLOOKUP($A21,[6]HISTOFEV25!$A$6:$BB$47,31,0)</f>
        <v>0</v>
      </c>
    </row>
    <row r="22" spans="1:16" x14ac:dyDescent="0.35">
      <c r="A22" s="1" t="s">
        <v>61</v>
      </c>
      <c r="B22" s="7">
        <f>IF(D22=0,0,VLOOKUP($A22,[6]HISTOFEV25!$A$6:$BQ$47,14,0))</f>
        <v>1</v>
      </c>
      <c r="C22" s="1" t="str">
        <f>VLOOKUP(A22,[7]LISTADHERENT!A$5:H$60,3,0)</f>
        <v>YOUMBI EMMANUEL</v>
      </c>
      <c r="D22" s="7">
        <f>IF(E22="ECHEC",0,VLOOKUP($A22,[6]HISTOFEV25!$A$6:$BB$47,15,0))</f>
        <v>100000</v>
      </c>
      <c r="E22" s="7" t="str">
        <f>VLOOKUP($A22,[6]HISTOFEV25!$A$6:$BB$47,9,0)</f>
        <v>BANQUE</v>
      </c>
      <c r="F22" s="7">
        <f>VLOOKUP($A22,[6]HISTOFEV25!$A$6:$BB$47,37,0)</f>
        <v>0</v>
      </c>
      <c r="G22" s="7">
        <f>VLOOKUP($A22,[6]HISTOFEV25!$A$6:$BB$47,40,0)</f>
        <v>0</v>
      </c>
      <c r="H22" s="7" t="str">
        <f>IF(G22=0,"",VLOOKUP($A22,[6]HISTOFEV25!$A$6:$AV$47,42,0))</f>
        <v/>
      </c>
      <c r="I22" s="7">
        <f>VLOOKUP($A22,[6]HISTOFEV25!$A$6:$BB$47,41,0)</f>
        <v>0</v>
      </c>
      <c r="J22" s="7">
        <f>TONTJANV25!F22+TONTJANV25!G22</f>
        <v>0</v>
      </c>
      <c r="K22" s="7">
        <f>VLOOKUP($A22,[6]HISTOFEV25!$A$6:$BB$47,18,0)</f>
        <v>0</v>
      </c>
      <c r="L22" s="7" t="str">
        <f>IF(K22&lt;&gt;0,VLOOKUP($A22,[6]HISTOFEV25!$A$6:$BB$47,42,0),"ECHEC")</f>
        <v>ECHEC</v>
      </c>
      <c r="M22" s="7" t="str">
        <f>IF(P22&lt;&gt;0,VLOOKUP($A22,[6]HISTOFEV25!$A$6:$BB$47,32,0),"ECHEC")</f>
        <v>ECHEC</v>
      </c>
      <c r="N22" s="7">
        <f>VLOOKUP($A22,[6]HISTOFEV25!$A$6:$BB$47,33,0)</f>
        <v>0</v>
      </c>
      <c r="O22" s="7">
        <f t="shared" si="0"/>
        <v>0</v>
      </c>
      <c r="P22" s="7">
        <f>VLOOKUP($A22,[6]HISTOFEV25!$A$6:$BB$47,31,0)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24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2400000</v>
      </c>
      <c r="E25" s="8">
        <f t="shared" ref="E25:P25" si="2">SUM(E6:E22)</f>
        <v>0</v>
      </c>
      <c r="F25" s="8">
        <f t="shared" si="2"/>
        <v>700000</v>
      </c>
      <c r="G25" s="8">
        <f t="shared" si="2"/>
        <v>19500</v>
      </c>
      <c r="H25" s="8">
        <f t="shared" si="2"/>
        <v>0</v>
      </c>
      <c r="I25" s="8">
        <f t="shared" si="2"/>
        <v>0</v>
      </c>
      <c r="J25" s="8">
        <f t="shared" si="2"/>
        <v>0</v>
      </c>
      <c r="K25" s="8">
        <f t="shared" si="2"/>
        <v>0</v>
      </c>
      <c r="L25" s="8">
        <f t="shared" si="2"/>
        <v>0</v>
      </c>
      <c r="M25" s="8">
        <f t="shared" si="2"/>
        <v>0</v>
      </c>
      <c r="N25" s="8">
        <f t="shared" si="2"/>
        <v>0</v>
      </c>
      <c r="O25" s="8">
        <f t="shared" si="2"/>
        <v>3365000</v>
      </c>
      <c r="P25" s="8">
        <f t="shared" si="2"/>
        <v>235000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D31+E31+P25+TONTJANV25!N32</f>
        <v>1675000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100000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100000</v>
      </c>
      <c r="I28" s="8"/>
      <c r="K28" s="8" t="s">
        <v>34</v>
      </c>
      <c r="L28" s="8">
        <f>C3*COUNTIF(O6:O22,"&gt;0")</f>
        <v>3600000</v>
      </c>
      <c r="M28" s="8">
        <f>D3</f>
        <v>1</v>
      </c>
      <c r="N28" s="8">
        <f>COUNTIF(O9:O21,"&gt;0")</f>
        <v>2</v>
      </c>
      <c r="O28" s="8"/>
    </row>
    <row r="29" spans="1:16" s="2" customFormat="1" ht="17.5" x14ac:dyDescent="0.35">
      <c r="C29" s="8" t="s">
        <v>7</v>
      </c>
      <c r="D29" s="8">
        <f>SUMIFS(D6:D22,E6:E22,"BANQUE")</f>
        <v>2300000</v>
      </c>
      <c r="E29" s="8">
        <f>SUMIFS(K6:K22,L6:L22,"BANQUE")</f>
        <v>0</v>
      </c>
      <c r="F29" s="8">
        <f>SUMIFS(F6:F22,H6:H22,"BANQUE")</f>
        <v>700000</v>
      </c>
      <c r="G29" s="8">
        <f>SUMIFS(O6:O22,M6:M22,"BANQUE")</f>
        <v>3365000</v>
      </c>
      <c r="H29" s="8">
        <f>D29+E29-F29-G29</f>
        <v>-1765000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L27-L28</f>
        <v>-1925000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</f>
        <v>2400000</v>
      </c>
      <c r="E31" s="8">
        <f>E28+E29</f>
        <v>0</v>
      </c>
      <c r="F31" s="8">
        <f>F28+F29</f>
        <v>700000</v>
      </c>
      <c r="G31" s="8">
        <f t="shared" ref="G31:H31" si="3">G28+G29</f>
        <v>3365000</v>
      </c>
      <c r="H31" s="8">
        <f t="shared" si="3"/>
        <v>-1665000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-2625000</v>
      </c>
      <c r="M32"/>
      <c r="N32" s="8">
        <f>L32</f>
        <v>-2625000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0</v>
      </c>
      <c r="N34" s="8">
        <f>L34+TONTJANV25!N34</f>
        <v>0</v>
      </c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L35+TONTJANV25!N35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DF0E-EB7A-47A3-AF5F-F9ABC3518BAF}">
  <dimension ref="A1:P37"/>
  <sheetViews>
    <sheetView workbookViewId="0">
      <pane xSplit="3" ySplit="5" topLeftCell="I21" activePane="bottomRight" state="frozen"/>
      <selection activeCell="G6" sqref="G6:G39"/>
      <selection pane="topRight" activeCell="G6" sqref="G6:G39"/>
      <selection pane="bottomLeft" activeCell="G6" sqref="G6:G39"/>
      <selection pane="bottomRight" activeCell="F17" sqref="F17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2</v>
      </c>
      <c r="E3" s="1"/>
      <c r="L3" s="1"/>
      <c r="M3" s="1"/>
    </row>
    <row r="4" spans="1:16" s="12" customFormat="1" ht="17.5" x14ac:dyDescent="0.35">
      <c r="B4" s="13"/>
      <c r="C4" s="37">
        <v>45729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IF(D6=0,0,VLOOKUP($A6,[6]HISTOMARS25!$A$6:$BQ$47,14,0))</f>
        <v>1</v>
      </c>
      <c r="C6" s="1" t="str">
        <f>VLOOKUP(A6,[7]LISTADHERENT!A$5:H$60,3,0)</f>
        <v>ASELBY</v>
      </c>
      <c r="D6" s="7">
        <f>IF(E6="ECHEC",0,VLOOKUP($A6,[6]HISTOMARS25!$A$6:$BB$47,15,0))</f>
        <v>100000</v>
      </c>
      <c r="E6" s="7" t="str">
        <f>VLOOKUP($A6,[6]HISTOMARS25!$A$6:$BB$47,9,0)</f>
        <v>BANQUE</v>
      </c>
      <c r="F6" s="7">
        <f>VLOOKUP($A6,[6]HISTOMARS25!$A$6:$BB$47,37,0)</f>
        <v>0</v>
      </c>
      <c r="G6" s="7">
        <f>VLOOKUP($A6,[6]HISTOMARS25!$A$6:$BB$47,40,0)</f>
        <v>0</v>
      </c>
      <c r="H6" s="7" t="str">
        <f>IF(G6=0,"",VLOOKUP($A6,[6]HISTOFEV25!$A$6:$AV$47,42,0))</f>
        <v/>
      </c>
      <c r="I6" s="7">
        <f>VLOOKUP($A6,[6]HISTOMARS25!$A$6:$BB$47,41,0)</f>
        <v>0</v>
      </c>
      <c r="J6" s="7">
        <f>+TONTFEV25!F6+TONTFEV25!G6</f>
        <v>0</v>
      </c>
      <c r="K6" s="7">
        <f>VLOOKUP($A6,[6]HISTOMARS25!$A$6:$BB$47,18,0)</f>
        <v>0</v>
      </c>
      <c r="L6" s="7" t="str">
        <f>IF(K6&lt;&gt;0,VLOOKUP($A6,[6]HISTOMARS25!$A$6:$BB$47,42,0),"ECHEC")</f>
        <v>ECHEC</v>
      </c>
      <c r="M6" s="7" t="str">
        <f>IF(P6&lt;&gt;0,VLOOKUP($A6,[6]HISTOMARS25!$A$6:$BB$47,32,0),"ECHEC")</f>
        <v>ECHEC</v>
      </c>
      <c r="N6" s="7">
        <f>VLOOKUP($A6,[6]HISTOMARS25!$A$6:$BB$47,33,0)</f>
        <v>0</v>
      </c>
      <c r="O6" s="7">
        <f t="shared" ref="O6:O22" si="0">IF(P6=0,0,($C$3-P6))</f>
        <v>0</v>
      </c>
      <c r="P6" s="7">
        <f>VLOOKUP($A6,[6]HISTOMARS25!$A$6:$BB$47,31,0)</f>
        <v>0</v>
      </c>
    </row>
    <row r="7" spans="1:16" x14ac:dyDescent="0.35">
      <c r="A7" s="1" t="s">
        <v>47</v>
      </c>
      <c r="B7" s="7">
        <f>IF(D7=0,0,VLOOKUP($A7,[6]HISTOMARS25!$A$6:$BQ$47,14,0))</f>
        <v>2</v>
      </c>
      <c r="C7" s="1" t="str">
        <f>VLOOKUP(A7,[7]LISTADHERENT!A$5:H$60,3,0)</f>
        <v xml:space="preserve">DJOMO JEAN PAUL </v>
      </c>
      <c r="D7" s="7">
        <f>IF(E7="ECHEC",0,VLOOKUP($A7,[6]HISTOMARS25!$A$6:$BB$47,15,0))</f>
        <v>200000</v>
      </c>
      <c r="E7" s="7" t="str">
        <f>VLOOKUP($A7,[6]HISTOMARS25!$A$6:$BB$47,9,0)</f>
        <v>BANQUE</v>
      </c>
      <c r="F7" s="7">
        <f>VLOOKUP($A7,[6]HISTOMARS25!$A$6:$BB$47,37,0)</f>
        <v>200000</v>
      </c>
      <c r="G7" s="7">
        <f>VLOOKUP($A7,[6]HISTOMARS25!$A$6:$BB$47,40,0)</f>
        <v>3500</v>
      </c>
      <c r="H7" s="7" t="str">
        <f>IF(G7=0,"",VLOOKUP($A7,[6]HISTOFEV25!$A$6:$AV$47,42,0))</f>
        <v>BANQUE</v>
      </c>
      <c r="I7" s="7">
        <f>VLOOKUP($A7,[6]HISTOMARS25!$A$6:$BB$47,41,0)</f>
        <v>0</v>
      </c>
      <c r="J7" s="7">
        <f>+TONTFEV25!F7+TONTFEV25!G7</f>
        <v>207500</v>
      </c>
      <c r="K7" s="7">
        <f>VLOOKUP($A7,[6]HISTOMARS25!$A$6:$BB$47,18,0)</f>
        <v>207500</v>
      </c>
      <c r="L7" s="7" t="str">
        <f>IF(K7&lt;&gt;0,VLOOKUP($A7,[6]HISTOMARS25!$A$6:$BB$47,42,0),"ECHEC")</f>
        <v>BANQUE</v>
      </c>
      <c r="M7" s="7" t="str">
        <f>IF(P7&lt;&gt;0,VLOOKUP($A7,[6]HISTOMARS25!$A$6:$BB$47,32,0),"ECHEC")</f>
        <v>ECHEC</v>
      </c>
      <c r="N7" s="7">
        <f>VLOOKUP($A7,[6]HISTOMARS25!$A$6:$BB$47,33,0)</f>
        <v>0</v>
      </c>
      <c r="O7" s="7">
        <f t="shared" si="0"/>
        <v>0</v>
      </c>
      <c r="P7" s="7">
        <f>VLOOKUP($A7,[6]HISTOMARS25!$A$6:$BB$47,31,0)</f>
        <v>0</v>
      </c>
    </row>
    <row r="8" spans="1:16" x14ac:dyDescent="0.35">
      <c r="A8" s="1" t="s">
        <v>60</v>
      </c>
      <c r="B8" s="7">
        <f>IF(D8=0,0,VLOOKUP($A8,[6]HISTOMARS25!$A$6:$BQ$47,14,0))</f>
        <v>1</v>
      </c>
      <c r="C8" s="1" t="str">
        <f>VLOOKUP(A8,[7]LISTADHERENT!A$5:H$60,3,0)</f>
        <v>DJOUKWE NANGUEN GUY BLAISE</v>
      </c>
      <c r="D8" s="7">
        <f>IF(E8="ECHEC",0,VLOOKUP($A8,[6]HISTOMARS25!$A$6:$BB$47,15,0))</f>
        <v>100000</v>
      </c>
      <c r="E8" s="7" t="str">
        <f>VLOOKUP($A8,[6]HISTOMARS25!$A$6:$BB$47,9,0)</f>
        <v>BANQUE</v>
      </c>
      <c r="F8" s="7">
        <f>VLOOKUP($A8,[6]HISTOMARS25!$A$6:$BB$47,37,0)</f>
        <v>0</v>
      </c>
      <c r="G8" s="7">
        <f>VLOOKUP($A8,[6]HISTOMARS25!$A$6:$BB$47,40,0)</f>
        <v>0</v>
      </c>
      <c r="H8" s="7" t="str">
        <f>IF(G8=0,"",VLOOKUP($A8,[6]HISTOFEV25!$A$6:$AV$47,42,0))</f>
        <v/>
      </c>
      <c r="I8" s="7">
        <f>VLOOKUP($A8,[6]HISTOMARS25!$A$6:$BB$47,41,0)</f>
        <v>0</v>
      </c>
      <c r="J8" s="7">
        <f>+TONTFEV25!F8+TONTFEV25!G8</f>
        <v>204500</v>
      </c>
      <c r="K8" s="7">
        <f>VLOOKUP($A8,[6]HISTOMARS25!$A$6:$BB$47,18,0)</f>
        <v>204500</v>
      </c>
      <c r="L8" s="7" t="str">
        <f>IF(K8&lt;&gt;0,VLOOKUP($A8,[6]HISTOMARS25!$A$6:$BB$47,42,0),"ECHEC")</f>
        <v>BANQUE</v>
      </c>
      <c r="M8" s="7" t="str">
        <f>IF(P8&lt;&gt;0,VLOOKUP($A8,[6]HISTOMARS25!$A$6:$BB$47,32,0),"ECHEC")</f>
        <v>BANQUE</v>
      </c>
      <c r="N8" s="7">
        <f>VLOOKUP($A8,[6]HISTOMARS25!$A$6:$BB$47,33,0)</f>
        <v>0</v>
      </c>
      <c r="O8" s="7">
        <f t="shared" si="0"/>
        <v>1165000</v>
      </c>
      <c r="P8" s="7">
        <f>VLOOKUP($A8,[6]HISTOMARS25!$A$6:$BB$47,31,0)</f>
        <v>35000</v>
      </c>
    </row>
    <row r="9" spans="1:16" x14ac:dyDescent="0.35">
      <c r="A9" s="1" t="s">
        <v>20</v>
      </c>
      <c r="B9" s="7">
        <f>IF(D9=0,0,VLOOKUP($A9,[6]HISTOMARS25!$A$6:$BQ$47,14,0))</f>
        <v>2</v>
      </c>
      <c r="C9" s="1" t="str">
        <f>VLOOKUP(A9,[7]LISTADHERENT!A$5:H$60,3,0)</f>
        <v>DJUOMBESSY ANTOINE</v>
      </c>
      <c r="D9" s="7">
        <f>IF(E9="ECHEC",0,VLOOKUP($A9,[6]HISTOMARS25!$A$6:$BB$47,15,0))</f>
        <v>200000</v>
      </c>
      <c r="E9" s="7" t="str">
        <f>VLOOKUP($A9,[6]HISTOMARS25!$A$6:$BB$47,9,0)</f>
        <v>BANQUE</v>
      </c>
      <c r="F9" s="7">
        <f>VLOOKUP($A9,[6]HISTOMARS25!$A$6:$BB$47,37,0)</f>
        <v>0</v>
      </c>
      <c r="G9" s="7">
        <f>VLOOKUP($A9,[6]HISTOMARS25!$A$6:$BB$47,40,0)</f>
        <v>0</v>
      </c>
      <c r="H9" s="7" t="str">
        <f>IF(G9=0,"",VLOOKUP($A9,[6]HISTOFEV25!$A$6:$AV$47,42,0))</f>
        <v/>
      </c>
      <c r="I9" s="7">
        <f>VLOOKUP($A9,[6]HISTOMARS25!$A$6:$BB$47,41,0)</f>
        <v>0</v>
      </c>
      <c r="J9" s="7">
        <f>+TONTFEV25!F9+TONTFEV25!G9</f>
        <v>0</v>
      </c>
      <c r="K9" s="7">
        <f>VLOOKUP($A9,[6]HISTOMARS25!$A$6:$BB$47,18,0)</f>
        <v>0</v>
      </c>
      <c r="L9" s="7" t="str">
        <f>IF(K9&lt;&gt;0,VLOOKUP($A9,[6]HISTOMARS25!$A$6:$BB$47,42,0),"ECHEC")</f>
        <v>ECHEC</v>
      </c>
      <c r="M9" s="7" t="str">
        <f>IF(P9&lt;&gt;0,VLOOKUP($A9,[6]HISTOMARS25!$A$6:$BB$47,32,0),"ECHEC")</f>
        <v>BANQUE</v>
      </c>
      <c r="N9" s="7">
        <f>VLOOKUP($A9,[6]HISTOMARS25!$A$6:$BB$47,33,0)</f>
        <v>0</v>
      </c>
      <c r="O9" s="7">
        <f t="shared" si="0"/>
        <v>1170000</v>
      </c>
      <c r="P9" s="7">
        <f>VLOOKUP($A9,[6]HISTOMARS25!$A$6:$BB$47,31,0)</f>
        <v>30000</v>
      </c>
    </row>
    <row r="10" spans="1:16" x14ac:dyDescent="0.35">
      <c r="A10" s="1" t="s">
        <v>62</v>
      </c>
      <c r="B10" s="7">
        <f>IF(D10=0,0,VLOOKUP($A10,[6]HISTOMARS25!$A$6:$BQ$47,14,0))</f>
        <v>1</v>
      </c>
      <c r="C10" s="1" t="str">
        <f>VLOOKUP(A10,[7]LISTADHERENT!A$5:H$60,3,0)</f>
        <v>FAMPOU PAUL</v>
      </c>
      <c r="D10" s="7">
        <f>IF(E10="ECHEC",0,VLOOKUP($A10,[6]HISTOMARS25!$A$6:$BB$47,15,0))</f>
        <v>100000</v>
      </c>
      <c r="E10" s="7" t="str">
        <f>VLOOKUP($A10,[6]HISTOMARS25!$A$6:$BB$47,9,0)</f>
        <v>BANQUE</v>
      </c>
      <c r="F10" s="7">
        <f>VLOOKUP($A10,[6]HISTOMARS25!$A$6:$BB$47,37,0)</f>
        <v>0</v>
      </c>
      <c r="G10" s="7">
        <f>VLOOKUP($A10,[6]HISTOMARS25!$A$6:$BB$47,40,0)+26000</f>
        <v>26000</v>
      </c>
      <c r="H10" s="7">
        <f>IF(G10=0,"",VLOOKUP($A10,[6]HISTOFEV25!$A$6:$AV$47,42,0))</f>
        <v>0</v>
      </c>
      <c r="I10" s="7">
        <f>VLOOKUP($A10,[6]HISTOMARS25!$A$6:$BB$47,41,0)</f>
        <v>0</v>
      </c>
      <c r="J10" s="7">
        <f>+TONTFEV25!F10+TONTFEV25!G10</f>
        <v>0</v>
      </c>
      <c r="K10" s="7">
        <f>VLOOKUP($A10,[6]HISTOMARS25!$A$6:$BB$47,18,0)</f>
        <v>0</v>
      </c>
      <c r="L10" s="7" t="str">
        <f>IF(K10&lt;&gt;0,VLOOKUP($A10,[6]HISTOMARS25!$A$6:$BB$47,42,0),"ECHEC")</f>
        <v>ECHEC</v>
      </c>
      <c r="M10" s="7" t="str">
        <f>IF(P10&lt;&gt;0,VLOOKUP($A10,[6]HISTOMARS25!$A$6:$BB$47,32,0),"ECHEC")</f>
        <v>ECHEC</v>
      </c>
      <c r="N10" s="7">
        <f>VLOOKUP($A10,[6]HISTOMARS25!$A$6:$BB$47,33,0)</f>
        <v>0</v>
      </c>
      <c r="O10" s="7">
        <f t="shared" ref="O10" si="1">IF(P10=0,0,($C$3-P10))</f>
        <v>0</v>
      </c>
      <c r="P10" s="7">
        <f>VLOOKUP($A10,[6]HISTOMARS25!$A$6:$BB$47,31,0)</f>
        <v>0</v>
      </c>
    </row>
    <row r="11" spans="1:16" x14ac:dyDescent="0.35">
      <c r="A11" s="1" t="s">
        <v>21</v>
      </c>
      <c r="B11" s="7">
        <f>IF(D11=0,0,VLOOKUP($A11,[6]HISTOMARS25!$A$6:$BQ$47,14,0))</f>
        <v>1</v>
      </c>
      <c r="C11" s="1" t="str">
        <f>VLOOKUP(A11,[7]LISTADHERENT!A$5:H$60,3,0)</f>
        <v>HOTCHO BENJAMIN</v>
      </c>
      <c r="D11" s="7">
        <f>IF(E11="ECHEC",0,VLOOKUP($A11,[6]HISTOMARS25!$A$6:$BB$47,15,0))</f>
        <v>100000</v>
      </c>
      <c r="E11" s="7" t="str">
        <f>VLOOKUP($A11,[6]HISTOMARS25!$A$6:$BB$47,9,0)</f>
        <v>BANQUE</v>
      </c>
      <c r="F11" s="7">
        <f>VLOOKUP($A11,[6]HISTOMARS25!$A$6:$BB$47,37,0)</f>
        <v>0</v>
      </c>
      <c r="G11" s="7">
        <f>VLOOKUP($A11,[6]HISTOMARS25!$A$6:$BB$47,40,0)</f>
        <v>0</v>
      </c>
      <c r="H11" s="7" t="str">
        <f>IF(G11=0,"",VLOOKUP($A11,[6]HISTOFEV25!$A$6:$AV$47,42,0))</f>
        <v/>
      </c>
      <c r="I11" s="7">
        <f>VLOOKUP($A11,[6]HISTOMARS25!$A$6:$BB$47,41,0)</f>
        <v>0</v>
      </c>
      <c r="J11" s="7">
        <f>+TONTFEV25!F11+TONTFEV25!G11</f>
        <v>0</v>
      </c>
      <c r="K11" s="7">
        <f>VLOOKUP($A11,[6]HISTOMARS25!$A$6:$BB$47,18,0)</f>
        <v>0</v>
      </c>
      <c r="L11" s="7" t="str">
        <f>IF(K11&lt;&gt;0,VLOOKUP($A11,[6]HISTOMARS25!$A$6:$BB$47,42,0),"ECHEC")</f>
        <v>ECHEC</v>
      </c>
      <c r="M11" s="7" t="str">
        <f>IF(P11&lt;&gt;0,VLOOKUP($A11,[6]HISTOMARS25!$A$6:$BB$47,32,0),"ECHEC")</f>
        <v>ECHEC</v>
      </c>
      <c r="N11" s="7">
        <f>VLOOKUP($A11,[6]HISTOMARS25!$A$6:$BB$47,33,0)</f>
        <v>0</v>
      </c>
      <c r="O11" s="7">
        <f t="shared" si="0"/>
        <v>0</v>
      </c>
      <c r="P11" s="7">
        <f>VLOOKUP($A11,[6]HISTOMARS25!$A$6:$BB$47,31,0)</f>
        <v>0</v>
      </c>
    </row>
    <row r="12" spans="1:16" x14ac:dyDescent="0.35">
      <c r="A12" s="1" t="s">
        <v>26</v>
      </c>
      <c r="B12" s="7">
        <f>IF(D12=0,0,VLOOKUP($A12,[6]HISTOMARS25!$A$6:$BQ$47,14,0))</f>
        <v>1</v>
      </c>
      <c r="C12" s="1" t="str">
        <f>VLOOKUP(A12,[7]LISTADHERENT!A$5:H$60,3,0)</f>
        <v>KOUAMOU MOISE</v>
      </c>
      <c r="D12" s="7">
        <f>IF(E12="ECHEC",0,VLOOKUP($A12,[6]HISTOMARS25!$A$6:$BB$47,15,0))</f>
        <v>100000</v>
      </c>
      <c r="E12" s="7" t="str">
        <f>VLOOKUP($A12,[6]HISTOMARS25!$A$6:$BB$47,9,0)</f>
        <v>BANQUE</v>
      </c>
      <c r="F12" s="7">
        <f>VLOOKUP($A12,[6]HISTOMARS25!$A$6:$BB$47,37,0)</f>
        <v>0</v>
      </c>
      <c r="G12" s="7">
        <f>VLOOKUP($A12,[6]HISTOMARS25!$A$6:$BB$47,40,0)</f>
        <v>0</v>
      </c>
      <c r="H12" s="7" t="str">
        <f>IF(G12=0,"",VLOOKUP($A12,[6]HISTOFEV25!$A$6:$AV$47,42,0))</f>
        <v/>
      </c>
      <c r="I12" s="7">
        <f>VLOOKUP($A12,[6]HISTOMARS25!$A$6:$BB$47,41,0)</f>
        <v>0</v>
      </c>
      <c r="J12" s="7">
        <f>+TONTFEV25!F12+TONTFEV25!G12</f>
        <v>0</v>
      </c>
      <c r="K12" s="7">
        <f>VLOOKUP($A12,[6]HISTOMARS25!$A$6:$BB$47,18,0)</f>
        <v>0</v>
      </c>
      <c r="L12" s="7" t="str">
        <f>IF(K12&lt;&gt;0,VLOOKUP($A12,[6]HISTOMARS25!$A$6:$BB$47,42,0),"ECHEC")</f>
        <v>ECHEC</v>
      </c>
      <c r="M12" s="7" t="str">
        <f>IF(P12&lt;&gt;0,VLOOKUP($A12,[6]HISTOMARS25!$A$6:$BB$47,32,0),"ECHEC")</f>
        <v>ECHEC</v>
      </c>
      <c r="N12" s="7">
        <f>VLOOKUP($A12,[6]HISTOMARS25!$A$6:$BB$47,33,0)</f>
        <v>0</v>
      </c>
      <c r="O12" s="7">
        <f t="shared" si="0"/>
        <v>0</v>
      </c>
      <c r="P12" s="7">
        <f>VLOOKUP($A12,[6]HISTOMARS25!$A$6:$BB$47,31,0)</f>
        <v>0</v>
      </c>
    </row>
    <row r="13" spans="1:16" x14ac:dyDescent="0.35">
      <c r="A13" s="1" t="s">
        <v>8</v>
      </c>
      <c r="B13" s="7">
        <f>IF(D13=0,0,VLOOKUP($A13,[6]HISTOMARS25!$A$6:$BQ$47,14,0))</f>
        <v>1</v>
      </c>
      <c r="C13" s="1" t="str">
        <f>VLOOKUP(A13,[7]LISTADHERENT!A$5:H$60,3,0)</f>
        <v>KOUATCHO MESSACK</v>
      </c>
      <c r="D13" s="7">
        <f>IF(E13="ECHEC",0,VLOOKUP($A13,[6]HISTOMARS25!$A$6:$BB$47,15,0))</f>
        <v>100000</v>
      </c>
      <c r="E13" s="7" t="str">
        <f>VLOOKUP($A13,[6]HISTOMARS25!$A$6:$BB$47,9,0)</f>
        <v>BANQUE</v>
      </c>
      <c r="F13" s="7">
        <f>VLOOKUP($A13,[6]HISTOMARS25!$A$6:$BB$47,37,0)</f>
        <v>205500</v>
      </c>
      <c r="G13" s="7">
        <f>VLOOKUP($A13,[6]HISTOMARS25!$A$6:$BB$47,40,0)</f>
        <v>2000</v>
      </c>
      <c r="H13" s="7" t="str">
        <f>IF(G13=0,"",VLOOKUP($A13,[6]HISTOFEV25!$A$6:$AV$47,42,0))</f>
        <v>BANQUE</v>
      </c>
      <c r="I13" s="7">
        <f>VLOOKUP($A13,[6]HISTOMARS25!$A$6:$BB$47,41,0)</f>
        <v>0</v>
      </c>
      <c r="J13" s="7">
        <f>+TONTFEV25!F13+TONTFEV25!G13</f>
        <v>0</v>
      </c>
      <c r="K13" s="7">
        <f>VLOOKUP($A13,[6]HISTOMARS25!$A$6:$BB$47,18,0)</f>
        <v>0</v>
      </c>
      <c r="L13" s="7" t="str">
        <f>IF(K13&lt;&gt;0,VLOOKUP($A13,[6]HISTOMARS25!$A$6:$BB$47,42,0),"ECHEC")</f>
        <v>ECHEC</v>
      </c>
      <c r="M13" s="7" t="str">
        <f>IF(P13&lt;&gt;0,VLOOKUP($A13,[6]HISTOMARS25!$A$6:$BB$47,32,0),"ECHEC")</f>
        <v>ECHEC</v>
      </c>
      <c r="N13" s="7">
        <f>VLOOKUP($A13,[6]HISTOMARS25!$A$6:$BB$47,33,0)</f>
        <v>0</v>
      </c>
      <c r="O13" s="7">
        <f t="shared" si="0"/>
        <v>0</v>
      </c>
      <c r="P13" s="7">
        <f>VLOOKUP($A13,[6]HISTOMARS25!$A$6:$BB$47,31,0)</f>
        <v>0</v>
      </c>
    </row>
    <row r="14" spans="1:16" x14ac:dyDescent="0.35">
      <c r="A14" s="1" t="s">
        <v>22</v>
      </c>
      <c r="B14" s="7">
        <f>IF(D14=0,0,VLOOKUP($A14,[6]HISTOMARS25!$A$6:$BQ$47,14,0))</f>
        <v>2</v>
      </c>
      <c r="C14" s="1" t="str">
        <f>VLOOKUP(A14,[7]LISTADHERENT!A$5:H$60,3,0)</f>
        <v>MBOGNING TUGMA GUY</v>
      </c>
      <c r="D14" s="7">
        <f>IF(E14="ECHEC",0,VLOOKUP($A14,[6]HISTOMARS25!$A$6:$BB$47,15,0))</f>
        <v>200000</v>
      </c>
      <c r="E14" s="7" t="str">
        <f>VLOOKUP($A14,[6]HISTOMARS25!$A$6:$BB$47,9,0)</f>
        <v>BANQUE</v>
      </c>
      <c r="F14" s="7">
        <f>VLOOKUP($A14,[6]HISTOMARS25!$A$6:$BB$47,37,0)</f>
        <v>200000</v>
      </c>
      <c r="G14" s="7">
        <f>VLOOKUP($A14,[6]HISTOMARS25!$A$6:$BB$47,40,0)</f>
        <v>2000</v>
      </c>
      <c r="H14" s="7" t="str">
        <f>IF(G14=0,"",VLOOKUP($A14,[6]HISTOFEV25!$A$6:$AV$47,42,0))</f>
        <v>BANQUE</v>
      </c>
      <c r="I14" s="7">
        <f>VLOOKUP($A14,[6]HISTOMARS25!$A$6:$BB$47,41,0)</f>
        <v>0</v>
      </c>
      <c r="J14" s="7">
        <f>+TONTFEV25!F14+TONTFEV25!G14</f>
        <v>0</v>
      </c>
      <c r="K14" s="7">
        <f>VLOOKUP($A14,[6]HISTOMARS25!$A$6:$BB$47,18,0)</f>
        <v>0</v>
      </c>
      <c r="L14" s="7" t="str">
        <f>IF(K14&lt;&gt;0,VLOOKUP($A14,[6]HISTOMARS25!$A$6:$BB$47,42,0),"ECHEC")</f>
        <v>ECHEC</v>
      </c>
      <c r="M14" s="7" t="str">
        <f>IF(P14&lt;&gt;0,VLOOKUP($A14,[6]HISTOMARS25!$A$6:$BB$47,32,0),"ECHEC")</f>
        <v>ECHEC</v>
      </c>
      <c r="N14" s="7">
        <f>VLOOKUP($A14,[6]HISTOMARS25!$A$6:$BB$47,33,0)</f>
        <v>0</v>
      </c>
      <c r="O14" s="7">
        <f t="shared" si="0"/>
        <v>0</v>
      </c>
      <c r="P14" s="7">
        <f>VLOOKUP($A14,[6]HISTOMARS25!$A$6:$BB$47,31,0)</f>
        <v>0</v>
      </c>
    </row>
    <row r="15" spans="1:16" x14ac:dyDescent="0.35">
      <c r="A15" s="1" t="s">
        <v>9</v>
      </c>
      <c r="B15" s="7">
        <f>IF(D15=0,0,VLOOKUP($A15,[6]HISTOMARS25!$A$6:$BQ$47,14,0))</f>
        <v>2</v>
      </c>
      <c r="C15" s="1" t="str">
        <f>VLOOKUP(A15,[7]LISTADHERENT!A$5:H$60,3,0)</f>
        <v>NDJOMO ETIENNE</v>
      </c>
      <c r="D15" s="7">
        <f>IF(E15="ECHEC",0,VLOOKUP($A15,[6]HISTOMARS25!$A$6:$BB$47,15,0))</f>
        <v>200000</v>
      </c>
      <c r="E15" s="7" t="str">
        <f>VLOOKUP($A15,[6]HISTOMARS25!$A$6:$BB$47,9,0)</f>
        <v>BANQUE</v>
      </c>
      <c r="F15" s="7">
        <f>VLOOKUP($A15,[6]HISTOMARS25!$A$6:$BB$47,37,0)</f>
        <v>100000</v>
      </c>
      <c r="G15" s="7">
        <f>VLOOKUP($A15,[6]HISTOMARS25!$A$6:$BB$47,40,0)</f>
        <v>1000</v>
      </c>
      <c r="H15" s="7" t="str">
        <f>IF(G15=0,"",VLOOKUP($A15,[6]HISTOFEV25!$A$6:$AV$47,42,0))</f>
        <v>BANQUE</v>
      </c>
      <c r="I15" s="7">
        <f>VLOOKUP($A15,[6]HISTOMARS25!$A$6:$BB$47,41,0)</f>
        <v>0</v>
      </c>
      <c r="J15" s="7">
        <f>+TONTFEV25!F15+TONTFEV25!G15</f>
        <v>101000</v>
      </c>
      <c r="K15" s="7">
        <f>VLOOKUP($A15,[6]HISTOMARS25!$A$6:$BB$47,18,0)</f>
        <v>101000</v>
      </c>
      <c r="L15" s="7" t="str">
        <f>IF(K15&lt;&gt;0,VLOOKUP($A15,[6]HISTOMARS25!$A$6:$BB$47,42,0),"ECHEC")</f>
        <v>BANQUE</v>
      </c>
      <c r="M15" s="7" t="str">
        <f>IF(P15&lt;&gt;0,VLOOKUP($A15,[6]HISTOMARS25!$A$6:$BB$47,32,0),"ECHEC")</f>
        <v>ECHEC</v>
      </c>
      <c r="N15" s="7">
        <f>VLOOKUP($A15,[6]HISTOMARS25!$A$6:$BB$47,33,0)</f>
        <v>0</v>
      </c>
      <c r="O15" s="7">
        <f t="shared" si="0"/>
        <v>0</v>
      </c>
      <c r="P15" s="7">
        <f>VLOOKUP($A15,[6]HISTOMARS25!$A$6:$BB$47,31,0)</f>
        <v>0</v>
      </c>
    </row>
    <row r="16" spans="1:16" x14ac:dyDescent="0.35">
      <c r="A16" s="1" t="s">
        <v>10</v>
      </c>
      <c r="B16" s="7">
        <f>IF(D16=0,0,VLOOKUP($A16,[6]HISTOMARS25!$A$6:$BQ$47,14,0))</f>
        <v>1</v>
      </c>
      <c r="C16" s="1" t="str">
        <f>VLOOKUP(A16,[7]LISTADHERENT!A$5:H$60,3,0)</f>
        <v>NGONDIEP CLAUDE</v>
      </c>
      <c r="D16" s="7">
        <f>IF(E16="ECHEC",0,VLOOKUP($A16,[6]HISTOMARS25!$A$6:$BB$47,15,0))</f>
        <v>100000</v>
      </c>
      <c r="E16" s="7" t="str">
        <f>VLOOKUP($A16,[6]HISTOMARS25!$A$6:$BB$47,9,0)</f>
        <v>BANQUE</v>
      </c>
      <c r="F16" s="7">
        <f>VLOOKUP($A16,[6]HISTOMARS25!$A$6:$BB$47,37,0)</f>
        <v>0</v>
      </c>
      <c r="G16" s="7">
        <f>VLOOKUP($A16,[6]HISTOMARS25!$A$6:$BB$47,40,0)</f>
        <v>0</v>
      </c>
      <c r="H16" s="7" t="str">
        <f>IF(G16=0,"",VLOOKUP($A16,[6]HISTOFEV25!$A$6:$AV$47,42,0))</f>
        <v/>
      </c>
      <c r="I16" s="7">
        <f>VLOOKUP($A16,[6]HISTOMARS25!$A$6:$BB$47,41,0)</f>
        <v>0</v>
      </c>
      <c r="J16" s="7">
        <f>+TONTFEV25!F16+TONTFEV25!G16</f>
        <v>0</v>
      </c>
      <c r="K16" s="7">
        <f>VLOOKUP($A16,[6]HISTOMARS25!$A$6:$BB$47,18,0)</f>
        <v>0</v>
      </c>
      <c r="L16" s="7" t="str">
        <f>IF(K16&lt;&gt;0,VLOOKUP($A16,[6]HISTOMARS25!$A$6:$BB$47,42,0),"ECHEC")</f>
        <v>ECHEC</v>
      </c>
      <c r="M16" s="7" t="str">
        <f>IF(P16&lt;&gt;0,VLOOKUP($A16,[6]HISTOMARS25!$A$6:$BB$47,32,0),"ECHEC")</f>
        <v>ECHEC</v>
      </c>
      <c r="N16" s="7">
        <f>VLOOKUP($A16,[6]HISTOMARS25!$A$6:$BB$47,33,0)</f>
        <v>0</v>
      </c>
      <c r="O16" s="7">
        <f t="shared" si="0"/>
        <v>0</v>
      </c>
      <c r="P16" s="7">
        <f>VLOOKUP($A16,[6]HISTOMARS25!$A$6:$BB$47,31,0)</f>
        <v>0</v>
      </c>
    </row>
    <row r="17" spans="1:16" x14ac:dyDescent="0.35">
      <c r="A17" s="1" t="s">
        <v>43</v>
      </c>
      <c r="B17" s="7">
        <f>IF(D17=0,0,VLOOKUP($A17,[6]HISTOMARS25!$A$6:$BQ$47,14,0))</f>
        <v>2</v>
      </c>
      <c r="C17" s="1" t="str">
        <f>VLOOKUP(A17,[7]LISTADHERENT!A$5:H$60,3,0)</f>
        <v>NGUIEMEGNI MATHIEU BLAISE</v>
      </c>
      <c r="D17" s="7">
        <f>IF(E17="ECHEC",0,VLOOKUP($A17,[6]HISTOMARS25!$A$6:$BB$47,15,0))</f>
        <v>200000</v>
      </c>
      <c r="E17" s="7" t="str">
        <f>VLOOKUP($A17,[6]HISTOMARS25!$A$6:$BB$47,9,0)</f>
        <v>BANQUE</v>
      </c>
      <c r="F17" s="7">
        <f>VLOOKUP($A17,[6]HISTOMARS25!$A$6:$BB$47,37,0)</f>
        <v>200000</v>
      </c>
      <c r="G17" s="7">
        <f>VLOOKUP($A17,[6]HISTOMARS25!$A$6:$BB$47,40,0)</f>
        <v>2500</v>
      </c>
      <c r="H17" s="7" t="str">
        <f>IF(G17=0,"",VLOOKUP($A17,[6]HISTOFEV25!$A$6:$AV$47,42,0))</f>
        <v>BANQUE</v>
      </c>
      <c r="I17" s="7">
        <f>VLOOKUP($A17,[6]HISTOMARS25!$A$6:$BB$47,41,0)</f>
        <v>0</v>
      </c>
      <c r="J17" s="7">
        <f>+TONTFEV25!F17+TONTFEV25!G17</f>
        <v>206500</v>
      </c>
      <c r="K17" s="7">
        <f>VLOOKUP($A17,[6]HISTOMARS25!$A$6:$BB$47,18,0)</f>
        <v>206500</v>
      </c>
      <c r="L17" s="7" t="str">
        <f>IF(K17&lt;&gt;0,VLOOKUP($A17,[6]HISTOMARS25!$A$6:$BB$47,42,0),"ECHEC")</f>
        <v>BANQUE</v>
      </c>
      <c r="M17" s="7" t="str">
        <f>IF(P17&lt;&gt;0,VLOOKUP($A17,[6]HISTOMARS25!$A$6:$BB$47,32,0),"ECHEC")</f>
        <v>ECHEC</v>
      </c>
      <c r="N17" s="7">
        <f>VLOOKUP($A17,[6]HISTOMARS25!$A$6:$BB$47,33,0)</f>
        <v>0</v>
      </c>
      <c r="O17" s="7">
        <f t="shared" si="0"/>
        <v>0</v>
      </c>
      <c r="P17" s="7">
        <f>VLOOKUP($A17,[6]HISTOMARS25!$A$6:$BB$47,31,0)</f>
        <v>0</v>
      </c>
    </row>
    <row r="18" spans="1:16" x14ac:dyDescent="0.35">
      <c r="A18" s="1" t="s">
        <v>54</v>
      </c>
      <c r="B18" s="7">
        <f>IF(D18=0,0,VLOOKUP($A18,[6]HISTOMARS25!$A$6:$BQ$47,14,0))</f>
        <v>2</v>
      </c>
      <c r="C18" s="1" t="str">
        <f>VLOOKUP(A18,[7]LISTADHERENT!A$5:H$60,3,0)</f>
        <v>SIME BRICE</v>
      </c>
      <c r="D18" s="7">
        <f>IF(E18="ECHEC",0,VLOOKUP($A18,[6]HISTOMARS25!$A$6:$BB$47,15,0))</f>
        <v>200000</v>
      </c>
      <c r="E18" s="7" t="str">
        <f>VLOOKUP($A18,[6]HISTOMARS25!$A$6:$BB$47,9,0)</f>
        <v>ESPECES</v>
      </c>
      <c r="F18" s="7">
        <f>VLOOKUP($A18,[6]HISTOMARS25!$A$6:$BB$47,37,0)</f>
        <v>0</v>
      </c>
      <c r="G18" s="7">
        <f>VLOOKUP($A18,[6]HISTOMARS25!$A$6:$BB$47,40,0)</f>
        <v>0</v>
      </c>
      <c r="H18" s="7" t="str">
        <f>IF(G18=0,"",VLOOKUP($A18,[6]HISTOFEV25!$A$6:$AV$47,42,0))</f>
        <v/>
      </c>
      <c r="I18" s="7">
        <f>VLOOKUP($A18,[6]HISTOMARS25!$A$6:$BB$47,41,0)</f>
        <v>0</v>
      </c>
      <c r="J18" s="7">
        <f>+TONTFEV25!F18+TONTFEV25!G18</f>
        <v>0</v>
      </c>
      <c r="K18" s="7">
        <f>VLOOKUP($A18,[6]HISTOMARS25!$A$6:$BB$47,18,0)</f>
        <v>0</v>
      </c>
      <c r="L18" s="7" t="str">
        <f>IF(K18&lt;&gt;0,VLOOKUP($A18,[6]HISTOMARS25!$A$6:$BB$47,42,0),"ECHEC")</f>
        <v>ECHEC</v>
      </c>
      <c r="M18" s="7" t="str">
        <f>IF(P18&lt;&gt;0,VLOOKUP($A18,[6]HISTOMARS25!$A$6:$BB$47,32,0),"ECHEC")</f>
        <v>ECHEC</v>
      </c>
      <c r="N18" s="7">
        <f>VLOOKUP($A18,[6]HISTOMARS25!$A$6:$BB$47,33,0)</f>
        <v>0</v>
      </c>
      <c r="O18" s="7">
        <f t="shared" si="0"/>
        <v>0</v>
      </c>
      <c r="P18" s="7">
        <f>VLOOKUP($A18,[6]HISTOMARS25!$A$6:$BB$47,31,0)</f>
        <v>0</v>
      </c>
    </row>
    <row r="19" spans="1:16" x14ac:dyDescent="0.35">
      <c r="A19" s="1" t="s">
        <v>55</v>
      </c>
      <c r="B19" s="7">
        <f>IF(D19=0,0,VLOOKUP($A19,[6]HISTOMARS25!$A$6:$BQ$47,14,0))</f>
        <v>1</v>
      </c>
      <c r="C19" s="1" t="str">
        <f>VLOOKUP(A19,[7]LISTADHERENT!A$5:H$60,3,0)</f>
        <v>TCHOUATEU AUGUSTIN</v>
      </c>
      <c r="D19" s="7">
        <f>IF(E19="ECHEC",0,VLOOKUP($A19,[6]HISTOMARS25!$A$6:$BB$47,15,0))</f>
        <v>100000</v>
      </c>
      <c r="E19" s="7" t="str">
        <f>VLOOKUP($A19,[6]HISTOMARS25!$A$6:$BB$47,9,0)</f>
        <v>BANQUE</v>
      </c>
      <c r="F19" s="7">
        <f>VLOOKUP($A19,[6]HISTOMARS25!$A$6:$BB$47,37,0)</f>
        <v>0</v>
      </c>
      <c r="G19" s="7">
        <f>VLOOKUP($A19,[6]HISTOMARS25!$A$6:$BB$47,40,0)</f>
        <v>0</v>
      </c>
      <c r="H19" s="7" t="str">
        <f>IF(G19=0,"",VLOOKUP($A19,[6]HISTOFEV25!$A$6:$AV$47,42,0))</f>
        <v/>
      </c>
      <c r="I19" s="7">
        <f>VLOOKUP($A19,[6]HISTOMARS25!$A$6:$BB$47,41,0)</f>
        <v>0</v>
      </c>
      <c r="J19" s="7">
        <f>+TONTFEV25!F19+TONTFEV25!G19</f>
        <v>0</v>
      </c>
      <c r="K19" s="7">
        <f>VLOOKUP($A19,[6]HISTOMARS25!$A$6:$BB$47,18,0)</f>
        <v>0</v>
      </c>
      <c r="L19" s="7" t="str">
        <f>IF(K19&lt;&gt;0,VLOOKUP($A19,[6]HISTOMARS25!$A$6:$BB$47,42,0),"ECHEC")</f>
        <v>ECHEC</v>
      </c>
      <c r="M19" s="7" t="str">
        <f>IF(P19&lt;&gt;0,VLOOKUP($A19,[6]HISTOMARS25!$A$6:$BB$47,32,0),"ECHEC")</f>
        <v>ECHEC</v>
      </c>
      <c r="N19" s="7">
        <f>VLOOKUP($A19,[6]HISTOMARS25!$A$6:$BB$47,33,0)</f>
        <v>0</v>
      </c>
      <c r="O19" s="7">
        <f t="shared" si="0"/>
        <v>0</v>
      </c>
      <c r="P19" s="7">
        <f>VLOOKUP($A19,[6]HISTOMARS25!$A$6:$BB$47,31,0)</f>
        <v>0</v>
      </c>
    </row>
    <row r="20" spans="1:16" x14ac:dyDescent="0.35">
      <c r="A20" s="1" t="s">
        <v>46</v>
      </c>
      <c r="B20" s="7">
        <f>IF(D20=0,0,VLOOKUP($A20,[6]HISTOMARS25!$A$6:$BQ$47,14,0))</f>
        <v>1</v>
      </c>
      <c r="C20" s="1" t="str">
        <f>VLOOKUP(A20,[7]LISTADHERENT!A$5:H$60,3,0)</f>
        <v>SIMO PIERRE</v>
      </c>
      <c r="D20" s="7">
        <f>IF(E20="ECHEC",0,VLOOKUP($A20,[6]HISTOMARS25!$A$6:$BB$47,15,0))</f>
        <v>100000</v>
      </c>
      <c r="E20" s="7" t="str">
        <f>VLOOKUP($A20,[6]HISTOMARS25!$A$6:$BB$47,9,0)</f>
        <v>BANQUE</v>
      </c>
      <c r="F20" s="7">
        <f>VLOOKUP($A20,[6]HISTOMARS25!$A$6:$BB$47,37,0)</f>
        <v>0</v>
      </c>
      <c r="G20" s="7">
        <f>VLOOKUP($A20,[6]HISTOMARS25!$A$6:$BB$47,40,0)</f>
        <v>0</v>
      </c>
      <c r="H20" s="7" t="str">
        <f>IF(G20=0,"",VLOOKUP($A20,[6]HISTOFEV25!$A$6:$AV$47,42,0))</f>
        <v/>
      </c>
      <c r="I20" s="7">
        <f>VLOOKUP($A20,[6]HISTOMARS25!$A$6:$BB$47,41,0)</f>
        <v>0</v>
      </c>
      <c r="J20" s="7">
        <f>+TONTFEV25!F20+TONTFEV25!G20</f>
        <v>0</v>
      </c>
      <c r="K20" s="7">
        <f>VLOOKUP($A20,[6]HISTOMARS25!$A$6:$BB$47,18,0)</f>
        <v>0</v>
      </c>
      <c r="L20" s="7" t="str">
        <f>IF(K20&lt;&gt;0,VLOOKUP($A20,[6]HISTOMARS25!$A$6:$BB$47,42,0),"ECHEC")</f>
        <v>ECHEC</v>
      </c>
      <c r="M20" s="7" t="str">
        <f>IF(P20&lt;&gt;0,VLOOKUP($A20,[6]HISTOMARS25!$A$6:$BB$47,32,0),"ECHEC")</f>
        <v>ECHEC</v>
      </c>
      <c r="N20" s="7">
        <f>VLOOKUP($A20,[6]HISTOMARS25!$A$6:$BB$47,33,0)</f>
        <v>0</v>
      </c>
      <c r="O20" s="7">
        <f t="shared" si="0"/>
        <v>0</v>
      </c>
      <c r="P20" s="7">
        <f>VLOOKUP($A20,[6]HISTOMARS25!$A$6:$BB$47,31,0)</f>
        <v>0</v>
      </c>
    </row>
    <row r="21" spans="1:16" x14ac:dyDescent="0.35">
      <c r="A21" s="1" t="s">
        <v>53</v>
      </c>
      <c r="B21" s="7">
        <f>IF(D21=0,0,VLOOKUP($A21,[6]HISTOMARS25!$A$6:$BQ$47,14,0))</f>
        <v>2</v>
      </c>
      <c r="C21" s="1" t="str">
        <f>VLOOKUP(A21,[7]LISTADHERENT!A$5:H$60,3,0)</f>
        <v>YIALA ALAIN OSCAR</v>
      </c>
      <c r="D21" s="7">
        <f>IF(E21="ECHEC",0,VLOOKUP($A21,[6]HISTOMARS25!$A$6:$BB$47,15,0))</f>
        <v>200000</v>
      </c>
      <c r="E21" s="7" t="str">
        <f>VLOOKUP($A21,[6]HISTOMARS25!$A$6:$BB$47,9,0)</f>
        <v>ESPECES</v>
      </c>
      <c r="F21" s="7">
        <f>VLOOKUP($A21,[6]HISTOMARS25!$A$6:$BB$47,37,0)</f>
        <v>0</v>
      </c>
      <c r="G21" s="7">
        <f>VLOOKUP($A21,[6]HISTOMARS25!$A$6:$BB$47,40,0)</f>
        <v>0</v>
      </c>
      <c r="H21" s="7" t="str">
        <f>IF(G21=0,"",VLOOKUP($A21,[6]HISTOFEV25!$A$6:$AV$47,42,0))</f>
        <v/>
      </c>
      <c r="I21" s="7">
        <f>VLOOKUP($A21,[6]HISTOMARS25!$A$6:$BB$47,41,0)</f>
        <v>0</v>
      </c>
      <c r="J21" s="7">
        <f>+TONTFEV25!F21+TONTFEV25!G21</f>
        <v>0</v>
      </c>
      <c r="K21" s="7">
        <f>VLOOKUP($A21,[6]HISTOMARS25!$A$6:$BB$47,18,0)</f>
        <v>0</v>
      </c>
      <c r="L21" s="7" t="str">
        <f>IF(K21&lt;&gt;0,VLOOKUP($A21,[6]HISTOMARS25!$A$6:$BB$47,42,0),"ECHEC")</f>
        <v>ECHEC</v>
      </c>
      <c r="M21" s="7" t="str">
        <f>IF(P21&lt;&gt;0,VLOOKUP($A21,[6]HISTOMARS25!$A$6:$BB$47,32,0),"ECHEC")</f>
        <v>ECHEC</v>
      </c>
      <c r="N21" s="7">
        <f>VLOOKUP($A21,[6]HISTOMARS25!$A$6:$BB$47,33,0)</f>
        <v>0</v>
      </c>
      <c r="O21" s="7">
        <f t="shared" si="0"/>
        <v>0</v>
      </c>
      <c r="P21" s="7">
        <f>VLOOKUP($A21,[6]HISTOMARS25!$A$6:$BB$47,31,0)</f>
        <v>0</v>
      </c>
    </row>
    <row r="22" spans="1:16" x14ac:dyDescent="0.35">
      <c r="A22" s="1" t="s">
        <v>61</v>
      </c>
      <c r="B22" s="7">
        <f>IF(D22=0,0,VLOOKUP($A22,[6]HISTOMARS25!$A$6:$BQ$47,14,0))</f>
        <v>1</v>
      </c>
      <c r="C22" s="1" t="str">
        <f>VLOOKUP(A22,[7]LISTADHERENT!A$5:H$60,3,0)</f>
        <v>YOUMBI EMMANUEL</v>
      </c>
      <c r="D22" s="7">
        <f>IF(E22="ECHEC",0,VLOOKUP($A22,[6]HISTOMARS25!$A$6:$BB$47,15,0))</f>
        <v>100000</v>
      </c>
      <c r="E22" s="7" t="str">
        <f>VLOOKUP($A22,[6]HISTOMARS25!$A$6:$BB$47,9,0)</f>
        <v>BANQUE</v>
      </c>
      <c r="F22" s="7">
        <f>VLOOKUP($A22,[6]HISTOMARS25!$A$6:$BB$47,37,0)</f>
        <v>0</v>
      </c>
      <c r="G22" s="7">
        <f>VLOOKUP($A22,[6]HISTOMARS25!$A$6:$BB$47,40,0)</f>
        <v>0</v>
      </c>
      <c r="H22" s="7" t="str">
        <f>IF(G22=0,"",VLOOKUP($A22,[6]HISTOFEV25!$A$6:$AV$47,42,0))</f>
        <v/>
      </c>
      <c r="I22" s="7">
        <f>VLOOKUP($A22,[6]HISTOMARS25!$A$6:$BB$47,41,0)</f>
        <v>0</v>
      </c>
      <c r="J22" s="7">
        <f>+TONTFEV25!F22+TONTFEV25!G22</f>
        <v>0</v>
      </c>
      <c r="K22" s="7">
        <f>VLOOKUP($A22,[6]HISTOMARS25!$A$6:$BB$47,18,0)</f>
        <v>0</v>
      </c>
      <c r="L22" s="7" t="str">
        <f>IF(K22&lt;&gt;0,VLOOKUP($A22,[6]HISTOMARS25!$A$6:$BB$47,42,0),"ECHEC")</f>
        <v>ECHEC</v>
      </c>
      <c r="M22" s="7" t="str">
        <f>IF(P22&lt;&gt;0,VLOOKUP($A22,[6]HISTOMARS25!$A$6:$BB$47,32,0),"ECHEC")</f>
        <v>ECHEC</v>
      </c>
      <c r="N22" s="7">
        <f>VLOOKUP($A22,[6]HISTOMARS25!$A$6:$BB$47,33,0)</f>
        <v>0</v>
      </c>
      <c r="O22" s="7">
        <f t="shared" si="0"/>
        <v>0</v>
      </c>
      <c r="P22" s="7">
        <f>VLOOKUP($A22,[6]HISTOMARS25!$A$6:$BB$47,31,0)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24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2400000</v>
      </c>
      <c r="E25" s="8">
        <f t="shared" ref="E25:P25" si="2">SUM(E6:E22)</f>
        <v>0</v>
      </c>
      <c r="F25" s="8">
        <f t="shared" si="2"/>
        <v>905500</v>
      </c>
      <c r="G25" s="8">
        <f>SUM(G6:G22)</f>
        <v>37000</v>
      </c>
      <c r="H25" s="8">
        <f t="shared" si="2"/>
        <v>0</v>
      </c>
      <c r="I25" s="8">
        <f t="shared" si="2"/>
        <v>0</v>
      </c>
      <c r="J25" s="8">
        <f t="shared" si="2"/>
        <v>719500</v>
      </c>
      <c r="K25" s="8">
        <f t="shared" si="2"/>
        <v>719500</v>
      </c>
      <c r="L25" s="8">
        <f t="shared" si="2"/>
        <v>0</v>
      </c>
      <c r="M25" s="8">
        <f t="shared" si="2"/>
        <v>0</v>
      </c>
      <c r="N25" s="8">
        <f t="shared" si="2"/>
        <v>0</v>
      </c>
      <c r="O25" s="8">
        <f t="shared" si="2"/>
        <v>2335000</v>
      </c>
      <c r="P25" s="8">
        <f t="shared" si="2"/>
        <v>65000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3159500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400000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400000</v>
      </c>
      <c r="I28" s="8"/>
      <c r="K28" s="8" t="s">
        <v>34</v>
      </c>
      <c r="L28" s="8">
        <f>C3*COUNTIF(O6:O22,"&gt;0")</f>
        <v>2400000</v>
      </c>
      <c r="M28" s="8">
        <f>D3</f>
        <v>2</v>
      </c>
      <c r="N28" s="8">
        <f>COUNTIF(O6:O21,"&gt;0")</f>
        <v>2</v>
      </c>
      <c r="O28" s="8"/>
    </row>
    <row r="29" spans="1:16" s="2" customFormat="1" ht="17.5" x14ac:dyDescent="0.35">
      <c r="C29" s="8" t="s">
        <v>7</v>
      </c>
      <c r="D29" s="8">
        <f>SUMIFS(D6:D22,E6:E22,"BANQUE")</f>
        <v>2000000</v>
      </c>
      <c r="E29" s="8">
        <f>SUMIFS(K6:K22,L6:L22,"BANQUE")</f>
        <v>719500</v>
      </c>
      <c r="F29" s="8">
        <f>SUMIFS(F6:F22,H6:H22,"BANQUE")</f>
        <v>905500</v>
      </c>
      <c r="G29" s="8">
        <f>SUMIFS(O6:O22,M6:M22,"BANQUE")</f>
        <v>2335000</v>
      </c>
      <c r="H29" s="8">
        <f>D29+E29-F29-G29</f>
        <v>-521000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1010500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D28+D29+200000</f>
        <v>2600000</v>
      </c>
      <c r="E31" s="8">
        <f>E28+E29</f>
        <v>719500</v>
      </c>
      <c r="F31" s="8">
        <f>F28+F29</f>
        <v>905500</v>
      </c>
      <c r="G31" s="8">
        <f t="shared" ref="G31:H31" si="3">G28+G29</f>
        <v>2335000</v>
      </c>
      <c r="H31" s="8">
        <f t="shared" si="3"/>
        <v>-121000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105000</v>
      </c>
      <c r="M32"/>
      <c r="N32" s="8">
        <f>L32</f>
        <v>105000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0</v>
      </c>
      <c r="N34" s="8">
        <f>L34+TONTFEV25!N34</f>
        <v>0</v>
      </c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L35+TONTFEV25!N35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15BD-7A93-4D2E-B4B5-71FD11DDC565}">
  <dimension ref="A1:P37"/>
  <sheetViews>
    <sheetView workbookViewId="0">
      <pane xSplit="3" ySplit="5" topLeftCell="F18" activePane="bottomRight" state="frozen"/>
      <selection activeCell="G6" sqref="G6:G39"/>
      <selection pane="topRight" activeCell="G6" sqref="G6:G39"/>
      <selection pane="bottomLeft" activeCell="G6" sqref="G6:G39"/>
      <selection pane="bottomRight" activeCell="D25" sqref="D25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2</v>
      </c>
      <c r="E3" s="1"/>
      <c r="L3" s="1"/>
      <c r="M3" s="1"/>
    </row>
    <row r="4" spans="1:16" s="12" customFormat="1" ht="17.5" x14ac:dyDescent="0.35">
      <c r="B4" s="13"/>
      <c r="C4" s="37">
        <v>45760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IF(D6=0,0,VLOOKUP($A6,[6]HISTOAVRIL25!$A$6:$BQ$47,14,0))</f>
        <v>1</v>
      </c>
      <c r="C6" s="1" t="str">
        <f>VLOOKUP(A6,[7]LISTADHERENT!A$5:H$60,3,0)</f>
        <v>ASELBY</v>
      </c>
      <c r="D6" s="7">
        <f>IF(E6="ECHEC",0,VLOOKUP($A6,[6]HISTOAVRIL25!$A$6:$BB$47,15,0))</f>
        <v>100000</v>
      </c>
      <c r="E6" s="7" t="str">
        <f>VLOOKUP($A6,[6]HISTOAVRIL25!$A$6:$BB$47,9,0)</f>
        <v>BANQUE</v>
      </c>
      <c r="F6" s="7">
        <f>VLOOKUP($A6,[6]HISTOAVRIL25!$A$6:$BB$47,37,0)</f>
        <v>0</v>
      </c>
      <c r="G6" s="7">
        <f>VLOOKUP($A6,[6]HISTOAVRIL25!$A$6:$BB$47,40,0)</f>
        <v>0</v>
      </c>
      <c r="H6" s="7" t="str">
        <f>IF(G6=0,"",VLOOKUP($A6,[6]HISTOFEV25!$A$6:$AV$47,42,0))</f>
        <v/>
      </c>
      <c r="I6" s="7">
        <f>VLOOKUP($A6,[6]HISTOAVRIL25!$A$6:$BB$47,41,0)</f>
        <v>0</v>
      </c>
      <c r="J6" s="7">
        <f>+TONTMARS25!F6+TONTMARS25!G6</f>
        <v>0</v>
      </c>
      <c r="K6" s="7">
        <f>VLOOKUP($A6,[6]HISTOAVRIL25!$A$6:$BB$47,18,0)</f>
        <v>0</v>
      </c>
      <c r="L6" s="7" t="str">
        <f>IF(K6&lt;&gt;0,VLOOKUP($A6,[6]HISTOAVRIL25!$A$6:$BB$47,42,0),"ECHEC")</f>
        <v>ECHEC</v>
      </c>
      <c r="M6" s="7" t="str">
        <f>IF(P6&lt;&gt;0,VLOOKUP($A6,[6]HISTOAVRIL25!$A$6:$BB$47,32,0),"ECHEC")</f>
        <v>ECHEC</v>
      </c>
      <c r="N6" s="7">
        <f>VLOOKUP($A6,[6]HISTOAVRIL25!$A$6:$BB$47,33,0)</f>
        <v>0</v>
      </c>
      <c r="O6" s="7">
        <f t="shared" ref="O6:O22" si="0">IF(P6=0,0,($C$3-P6))</f>
        <v>0</v>
      </c>
      <c r="P6" s="7">
        <f>VLOOKUP($A6,[6]HISTOAVRIL25!$A$6:$BB$47,31,0)</f>
        <v>0</v>
      </c>
    </row>
    <row r="7" spans="1:16" x14ac:dyDescent="0.35">
      <c r="A7" s="1" t="s">
        <v>47</v>
      </c>
      <c r="B7" s="7">
        <f>IF(D7=0,0,VLOOKUP($A7,[6]HISTOAVRIL25!$A$6:$BQ$47,14,0))</f>
        <v>2</v>
      </c>
      <c r="C7" s="1" t="str">
        <f>VLOOKUP(A7,[7]LISTADHERENT!A$5:H$60,3,0)</f>
        <v xml:space="preserve">DJOMO JEAN PAUL </v>
      </c>
      <c r="D7" s="7">
        <f>IF(E7="ECHEC",0,VLOOKUP($A7,[6]HISTOAVRIL25!$A$6:$BB$47,15,0))</f>
        <v>200000</v>
      </c>
      <c r="E7" s="7" t="str">
        <f>VLOOKUP($A7,[6]HISTOAVRIL25!$A$6:$BB$47,9,0)</f>
        <v>ESPECES</v>
      </c>
      <c r="F7" s="7">
        <f>VLOOKUP($A7,[6]HISTOAVRIL25!$A$6:$BB$47,37,0)</f>
        <v>200000</v>
      </c>
      <c r="G7" s="7">
        <f>VLOOKUP($A7,[6]HISTOAVRIL25!$A$6:$BB$47,40,0)</f>
        <v>2000</v>
      </c>
      <c r="H7" s="7" t="str">
        <f>IF(G7=0,"",VLOOKUP($A7,[6]HISTOFEV25!$A$6:$AV$47,42,0))</f>
        <v>BANQUE</v>
      </c>
      <c r="I7" s="7">
        <f>VLOOKUP($A7,[6]HISTOAVRIL25!$A$6:$BB$47,41,0)</f>
        <v>0</v>
      </c>
      <c r="J7" s="7">
        <f>+TONTMARS25!F7+TONTMARS25!G7</f>
        <v>203500</v>
      </c>
      <c r="K7" s="7">
        <f>VLOOKUP($A7,[6]HISTOAVRIL25!$A$6:$BB$47,18,0)</f>
        <v>203500</v>
      </c>
      <c r="L7" s="7" t="str">
        <f>IF(K7&lt;&gt;0,VLOOKUP($A7,[6]HISTOAVRIL25!$A$6:$BB$47,42,0),"ECHEC")</f>
        <v>BANQUE</v>
      </c>
      <c r="M7" s="7" t="str">
        <f>IF(P7&lt;&gt;0,VLOOKUP($A7,[6]HISTOAVRIL25!$A$6:$BB$47,32,0),"ECHEC")</f>
        <v>ECHEC</v>
      </c>
      <c r="N7" s="7">
        <f>VLOOKUP($A7,[6]HISTOAVRIL25!$A$6:$BB$47,33,0)</f>
        <v>0</v>
      </c>
      <c r="O7" s="7">
        <f t="shared" si="0"/>
        <v>0</v>
      </c>
      <c r="P7" s="7">
        <f>VLOOKUP($A7,[6]HISTOAVRIL25!$A$6:$BB$47,31,0)</f>
        <v>0</v>
      </c>
    </row>
    <row r="8" spans="1:16" x14ac:dyDescent="0.35">
      <c r="A8" s="1" t="s">
        <v>60</v>
      </c>
      <c r="B8" s="7">
        <f>IF(D8=0,0,VLOOKUP($A8,[6]HISTOAVRIL25!$A$6:$BQ$47,14,0))</f>
        <v>1</v>
      </c>
      <c r="C8" s="1" t="str">
        <f>VLOOKUP(A8,[7]LISTADHERENT!A$5:H$60,3,0)</f>
        <v>DJOUKWE NANGUEN GUY BLAISE</v>
      </c>
      <c r="D8" s="7">
        <f>IF(E8="ECHEC",0,VLOOKUP($A8,[6]HISTOAVRIL25!$A$6:$BB$47,15,0))</f>
        <v>100000</v>
      </c>
      <c r="E8" s="7" t="str">
        <f>VLOOKUP($A8,[6]HISTOAVRIL25!$A$6:$BB$47,9,0)</f>
        <v>BANQUE</v>
      </c>
      <c r="F8" s="7">
        <f>VLOOKUP($A8,[6]HISTOAVRIL25!$A$6:$BB$47,37,0)</f>
        <v>0</v>
      </c>
      <c r="G8" s="7">
        <f>VLOOKUP($A8,[6]HISTOAVRIL25!$A$6:$BB$47,40,0)</f>
        <v>0</v>
      </c>
      <c r="H8" s="7" t="str">
        <f>IF(G8=0,"",VLOOKUP($A8,[6]HISTOFEV25!$A$6:$AV$47,42,0))</f>
        <v/>
      </c>
      <c r="I8" s="7">
        <f>VLOOKUP($A8,[6]HISTOAVRIL25!$A$6:$BB$47,41,0)</f>
        <v>0</v>
      </c>
      <c r="J8" s="7">
        <f>+TONTMARS25!F8+TONTMARS25!G8</f>
        <v>0</v>
      </c>
      <c r="K8" s="7">
        <f>VLOOKUP($A8,[6]HISTOAVRIL25!$A$6:$BB$47,18,0)</f>
        <v>0</v>
      </c>
      <c r="L8" s="7" t="str">
        <f>IF(K8&lt;&gt;0,VLOOKUP($A8,[6]HISTOAVRIL25!$A$6:$BB$47,42,0),"ECHEC")</f>
        <v>ECHEC</v>
      </c>
      <c r="M8" s="7" t="str">
        <f>IF(P8&lt;&gt;0,VLOOKUP($A8,[6]HISTOAVRIL25!$A$6:$BB$47,32,0),"ECHEC")</f>
        <v>ECHEC</v>
      </c>
      <c r="N8" s="7">
        <f>VLOOKUP($A8,[6]HISTOAVRIL25!$A$6:$BB$47,33,0)</f>
        <v>0</v>
      </c>
      <c r="O8" s="7">
        <f t="shared" si="0"/>
        <v>0</v>
      </c>
      <c r="P8" s="7">
        <f>VLOOKUP($A8,[6]HISTOAVRIL25!$A$6:$BB$47,31,0)</f>
        <v>0</v>
      </c>
    </row>
    <row r="9" spans="1:16" x14ac:dyDescent="0.35">
      <c r="A9" s="1" t="s">
        <v>20</v>
      </c>
      <c r="B9" s="7">
        <f>IF(D9=0,0,VLOOKUP($A9,[6]HISTOAVRIL25!$A$6:$BQ$47,14,0))</f>
        <v>2</v>
      </c>
      <c r="C9" s="1" t="str">
        <f>VLOOKUP(A9,[7]LISTADHERENT!A$5:H$60,3,0)</f>
        <v>DJUOMBESSY ANTOINE</v>
      </c>
      <c r="D9" s="7">
        <f>IF(E9="ECHEC",0,VLOOKUP($A9,[6]HISTOAVRIL25!$A$6:$BB$47,15,0))</f>
        <v>200000</v>
      </c>
      <c r="E9" s="7" t="str">
        <f>VLOOKUP($A9,[6]HISTOAVRIL25!$A$6:$BB$47,9,0)</f>
        <v>BANQUE</v>
      </c>
      <c r="F9" s="7">
        <f>VLOOKUP($A9,[6]HISTOAVRIL25!$A$6:$BB$47,37,0)</f>
        <v>0</v>
      </c>
      <c r="G9" s="7">
        <f>VLOOKUP($A9,[6]HISTOAVRIL25!$A$6:$BB$47,40,0)</f>
        <v>0</v>
      </c>
      <c r="H9" s="7" t="str">
        <f>IF(G9=0,"",VLOOKUP($A9,[6]HISTOFEV25!$A$6:$AV$47,42,0))</f>
        <v/>
      </c>
      <c r="I9" s="7">
        <f>VLOOKUP($A9,[6]HISTOAVRIL25!$A$6:$BB$47,41,0)</f>
        <v>0</v>
      </c>
      <c r="J9" s="7">
        <f>+TONTMARS25!F9+TONTMARS25!G9</f>
        <v>0</v>
      </c>
      <c r="K9" s="7">
        <f>VLOOKUP($A9,[6]HISTOAVRIL25!$A$6:$BB$47,18,0)</f>
        <v>0</v>
      </c>
      <c r="L9" s="7" t="str">
        <f>IF(K9&lt;&gt;0,VLOOKUP($A9,[6]HISTOAVRIL25!$A$6:$BB$47,42,0),"ECHEC")</f>
        <v>ECHEC</v>
      </c>
      <c r="M9" s="7" t="str">
        <f>IF(P9&lt;&gt;0,VLOOKUP($A9,[6]HISTOAVRIL25!$A$6:$BB$47,32,0),"ECHEC")</f>
        <v>ECHEC</v>
      </c>
      <c r="N9" s="7">
        <f>VLOOKUP($A9,[6]HISTOAVRIL25!$A$6:$BB$47,33,0)</f>
        <v>0</v>
      </c>
      <c r="O9" s="7">
        <f t="shared" si="0"/>
        <v>0</v>
      </c>
      <c r="P9" s="7">
        <f>VLOOKUP($A9,[6]HISTOAVRIL25!$A$6:$BB$47,31,0)</f>
        <v>0</v>
      </c>
    </row>
    <row r="10" spans="1:16" x14ac:dyDescent="0.35">
      <c r="A10" s="1" t="s">
        <v>62</v>
      </c>
      <c r="B10" s="7">
        <f>IF(D10=0,0,VLOOKUP($A10,[6]HISTOAVRIL25!$A$6:$BQ$47,14,0))</f>
        <v>1</v>
      </c>
      <c r="C10" s="1" t="str">
        <f>VLOOKUP(A10,[7]LISTADHERENT!A$5:H$60,3,0)</f>
        <v>FAMPOU PAUL</v>
      </c>
      <c r="D10" s="7">
        <f>IF(E10="ECHEC",0,VLOOKUP($A10,[6]HISTOAVRIL25!$A$6:$BB$47,15,0))</f>
        <v>100000</v>
      </c>
      <c r="E10" s="7" t="str">
        <f>VLOOKUP($A10,[6]HISTOAVRIL25!$A$6:$BB$47,9,0)</f>
        <v>BANQUE</v>
      </c>
      <c r="F10" s="7">
        <f>VLOOKUP($A10,[6]HISTOAVRIL25!$A$6:$BB$47,37,0)</f>
        <v>0</v>
      </c>
      <c r="G10" s="7">
        <f>VLOOKUP($A10,[6]HISTOAVRIL25!$A$6:$BB$47,40,0)</f>
        <v>0</v>
      </c>
      <c r="H10" s="7" t="str">
        <f>IF(G10=0,"",VLOOKUP($A10,[6]HISTOFEV25!$A$6:$AV$47,42,0))</f>
        <v/>
      </c>
      <c r="I10" s="7">
        <f>VLOOKUP($A10,[6]HISTOAVRIL25!$A$6:$BB$47,41,0)</f>
        <v>0</v>
      </c>
      <c r="J10" s="7">
        <f>+TONTMARS25!F10+TONTMARS25!G10</f>
        <v>26000</v>
      </c>
      <c r="K10" s="7">
        <f>VLOOKUP($A10,[6]HISTOAVRIL25!$A$6:$BB$47,18,0)</f>
        <v>26000</v>
      </c>
      <c r="L10" s="7" t="str">
        <f>IF(K10&lt;&gt;0,VLOOKUP($A10,[6]HISTOAVRIL25!$A$6:$BB$47,42,0),"ECHEC")</f>
        <v>BANQUE</v>
      </c>
      <c r="M10" s="7" t="str">
        <f>IF(P10&lt;&gt;0,VLOOKUP($A10,[6]HISTOAVRIL25!$A$6:$BB$47,32,0),"ECHEC")</f>
        <v>ECHEC</v>
      </c>
      <c r="N10" s="7">
        <f>VLOOKUP($A10,[6]HISTOAVRIL25!$A$6:$BB$47,33,0)</f>
        <v>0</v>
      </c>
      <c r="O10" s="7">
        <f t="shared" si="0"/>
        <v>0</v>
      </c>
      <c r="P10" s="7">
        <f>VLOOKUP($A10,[6]HISTOAVRIL25!$A$6:$BB$47,31,0)</f>
        <v>0</v>
      </c>
    </row>
    <row r="11" spans="1:16" x14ac:dyDescent="0.35">
      <c r="A11" s="1" t="s">
        <v>21</v>
      </c>
      <c r="B11" s="7">
        <f>IF(D11=0,0,VLOOKUP($A11,[6]HISTOAVRIL25!$A$6:$BQ$47,14,0))</f>
        <v>1</v>
      </c>
      <c r="C11" s="1" t="str">
        <f>VLOOKUP(A11,[7]LISTADHERENT!A$5:H$60,3,0)</f>
        <v>HOTCHO BENJAMIN</v>
      </c>
      <c r="D11" s="7">
        <f>IF(E11="ECHEC",0,VLOOKUP($A11,[6]HISTOAVRIL25!$A$6:$BB$47,15,0))</f>
        <v>100000</v>
      </c>
      <c r="E11" s="7" t="str">
        <f>VLOOKUP($A11,[6]HISTOAVRIL25!$A$6:$BB$47,9,0)</f>
        <v>BANQUE</v>
      </c>
      <c r="F11" s="7">
        <f>VLOOKUP($A11,[6]HISTOAVRIL25!$A$6:$BB$47,37,0)</f>
        <v>100000</v>
      </c>
      <c r="G11" s="7">
        <f>VLOOKUP($A11,[6]HISTOAVRIL25!$A$6:$BB$47,40,0)</f>
        <v>1000</v>
      </c>
      <c r="H11" s="7">
        <f>IF(G11=0,"",VLOOKUP($A11,[6]HISTOFEV25!$A$6:$AV$47,42,0))</f>
        <v>0</v>
      </c>
      <c r="I11" s="7">
        <f>VLOOKUP($A11,[6]HISTOAVRIL25!$A$6:$BB$47,41,0)</f>
        <v>0</v>
      </c>
      <c r="J11" s="7">
        <f>+TONTMARS25!F11+TONTMARS25!G11</f>
        <v>0</v>
      </c>
      <c r="K11" s="7">
        <f>VLOOKUP($A11,[6]HISTOAVRIL25!$A$6:$BB$47,18,0)</f>
        <v>0</v>
      </c>
      <c r="L11" s="7" t="str">
        <f>IF(K11&lt;&gt;0,VLOOKUP($A11,[6]HISTOAVRIL25!$A$6:$BB$47,42,0),"ECHEC")</f>
        <v>ECHEC</v>
      </c>
      <c r="M11" s="7" t="str">
        <f>IF(P11&lt;&gt;0,VLOOKUP($A11,[6]HISTOAVRIL25!$A$6:$BB$47,32,0),"ECHEC")</f>
        <v>BANQUE</v>
      </c>
      <c r="N11" s="7">
        <f>VLOOKUP($A11,[6]HISTOAVRIL25!$A$6:$BB$47,33,0)</f>
        <v>0</v>
      </c>
      <c r="O11" s="7">
        <f t="shared" si="0"/>
        <v>1170000</v>
      </c>
      <c r="P11" s="7">
        <f>VLOOKUP($A11,[6]HISTOAVRIL25!$A$6:$BB$47,31,0)</f>
        <v>30000</v>
      </c>
    </row>
    <row r="12" spans="1:16" x14ac:dyDescent="0.35">
      <c r="A12" s="1" t="s">
        <v>26</v>
      </c>
      <c r="B12" s="7">
        <f>IF(D12=0,0,VLOOKUP($A12,[6]HISTOAVRIL25!$A$6:$BQ$47,14,0))</f>
        <v>1</v>
      </c>
      <c r="C12" s="1" t="str">
        <f>VLOOKUP(A12,[7]LISTADHERENT!A$5:H$60,3,0)</f>
        <v>KOUAMOU MOISE</v>
      </c>
      <c r="D12" s="7">
        <f>IF(E12="ECHEC",0,VLOOKUP($A12,[6]HISTOAVRIL25!$A$6:$BB$47,15,0))</f>
        <v>100000</v>
      </c>
      <c r="E12" s="7" t="str">
        <f>VLOOKUP($A12,[6]HISTOAVRIL25!$A$6:$BB$47,9,0)</f>
        <v>BANQUE</v>
      </c>
      <c r="F12" s="7">
        <f>VLOOKUP($A12,[6]HISTOAVRIL25!$A$6:$BB$47,37,0)</f>
        <v>0</v>
      </c>
      <c r="G12" s="7">
        <f>VLOOKUP($A12,[6]HISTOAVRIL25!$A$6:$BB$47,40,0)</f>
        <v>0</v>
      </c>
      <c r="H12" s="7" t="str">
        <f>IF(G12=0,"",VLOOKUP($A12,[6]HISTOFEV25!$A$6:$AV$47,42,0))</f>
        <v/>
      </c>
      <c r="I12" s="7">
        <f>VLOOKUP($A12,[6]HISTOAVRIL25!$A$6:$BB$47,41,0)</f>
        <v>0</v>
      </c>
      <c r="J12" s="7">
        <f>+TONTMARS25!F12+TONTMARS25!G12</f>
        <v>0</v>
      </c>
      <c r="K12" s="7">
        <f>VLOOKUP($A12,[6]HISTOAVRIL25!$A$6:$BB$47,18,0)</f>
        <v>0</v>
      </c>
      <c r="L12" s="7" t="str">
        <f>IF(K12&lt;&gt;0,VLOOKUP($A12,[6]HISTOAVRIL25!$A$6:$BB$47,42,0),"ECHEC")</f>
        <v>ECHEC</v>
      </c>
      <c r="M12" s="7" t="str">
        <f>IF(P12&lt;&gt;0,VLOOKUP($A12,[6]HISTOAVRIL25!$A$6:$BB$47,32,0),"ECHEC")</f>
        <v>ECHEC</v>
      </c>
      <c r="N12" s="7">
        <f>VLOOKUP($A12,[6]HISTOAVRIL25!$A$6:$BB$47,33,0)</f>
        <v>0</v>
      </c>
      <c r="O12" s="7">
        <f t="shared" si="0"/>
        <v>0</v>
      </c>
      <c r="P12" s="7">
        <f>VLOOKUP($A12,[6]HISTOAVRIL25!$A$6:$BB$47,31,0)</f>
        <v>0</v>
      </c>
    </row>
    <row r="13" spans="1:16" x14ac:dyDescent="0.35">
      <c r="A13" s="1" t="s">
        <v>8</v>
      </c>
      <c r="B13" s="7">
        <f>IF(D13=0,0,VLOOKUP($A13,[6]HISTOAVRIL25!$A$6:$BQ$47,14,0))</f>
        <v>1</v>
      </c>
      <c r="C13" s="1" t="str">
        <f>VLOOKUP(A13,[7]LISTADHERENT!A$5:H$60,3,0)</f>
        <v>KOUATCHO MESSACK</v>
      </c>
      <c r="D13" s="7">
        <f>IF(E13="ECHEC",0,VLOOKUP($A13,[6]HISTOAVRIL25!$A$6:$BB$47,15,0))</f>
        <v>100000</v>
      </c>
      <c r="E13" s="7" t="str">
        <f>VLOOKUP($A13,[6]HISTOAVRIL25!$A$6:$BB$47,9,0)</f>
        <v>BANQUE</v>
      </c>
      <c r="F13" s="7">
        <f>VLOOKUP($A13,[6]HISTOAVRIL25!$A$6:$BB$47,37,0)</f>
        <v>100000</v>
      </c>
      <c r="G13" s="7">
        <f>VLOOKUP($A13,[6]HISTOAVRIL25!$A$6:$BB$47,40,0)</f>
        <v>1000</v>
      </c>
      <c r="H13" s="7" t="str">
        <f>IF(G13=0,"",VLOOKUP($A13,[6]HISTOFEV25!$A$6:$AV$47,42,0))</f>
        <v>BANQUE</v>
      </c>
      <c r="I13" s="7">
        <f>VLOOKUP($A13,[6]HISTOAVRIL25!$A$6:$BB$47,41,0)</f>
        <v>0</v>
      </c>
      <c r="J13" s="7">
        <f>+TONTMARS25!F13+TONTMARS25!G13</f>
        <v>207500</v>
      </c>
      <c r="K13" s="7">
        <f>VLOOKUP($A13,[6]HISTOAVRIL25!$A$6:$BB$47,18,0)</f>
        <v>207500</v>
      </c>
      <c r="L13" s="7" t="str">
        <f>IF(K13&lt;&gt;0,VLOOKUP($A13,[6]HISTOAVRIL25!$A$6:$BB$47,42,0),"ECHEC")</f>
        <v>BANQUE</v>
      </c>
      <c r="M13" s="7" t="str">
        <f>IF(P13&lt;&gt;0,VLOOKUP($A13,[6]HISTOAVRIL25!$A$6:$BB$47,32,0),"ECHEC")</f>
        <v>ECHEC</v>
      </c>
      <c r="N13" s="7">
        <f>VLOOKUP($A13,[6]HISTOAVRIL25!$A$6:$BB$47,33,0)</f>
        <v>0</v>
      </c>
      <c r="O13" s="7">
        <f t="shared" si="0"/>
        <v>0</v>
      </c>
      <c r="P13" s="7">
        <f>VLOOKUP($A13,[6]HISTOAVRIL25!$A$6:$BB$47,31,0)</f>
        <v>0</v>
      </c>
    </row>
    <row r="14" spans="1:16" x14ac:dyDescent="0.35">
      <c r="A14" s="1" t="s">
        <v>22</v>
      </c>
      <c r="B14" s="7">
        <f>IF(D14=0,0,VLOOKUP($A14,[6]HISTOAVRIL25!$A$6:$BQ$47,14,0))</f>
        <v>2</v>
      </c>
      <c r="C14" s="1" t="str">
        <f>VLOOKUP(A14,[7]LISTADHERENT!A$5:H$60,3,0)</f>
        <v>MBOGNING TUGMA GUY</v>
      </c>
      <c r="D14" s="7">
        <f>IF(E14="ECHEC",0,VLOOKUP($A14,[6]HISTOAVRIL25!$A$6:$BB$47,15,0))</f>
        <v>200000</v>
      </c>
      <c r="E14" s="7" t="str">
        <f>VLOOKUP($A14,[6]HISTOAVRIL25!$A$6:$BB$47,9,0)</f>
        <v>BANQUE</v>
      </c>
      <c r="F14" s="7">
        <f>VLOOKUP($A14,[6]HISTOAVRIL25!$A$6:$BB$47,37,0)</f>
        <v>200000</v>
      </c>
      <c r="G14" s="7">
        <f>VLOOKUP($A14,[6]HISTOAVRIL25!$A$6:$BB$47,40,0)</f>
        <v>2000</v>
      </c>
      <c r="H14" s="7" t="str">
        <f>IF(G14=0,"",VLOOKUP($A14,[6]HISTOFEV25!$A$6:$AV$47,42,0))</f>
        <v>BANQUE</v>
      </c>
      <c r="I14" s="7">
        <f>VLOOKUP($A14,[6]HISTOAVRIL25!$A$6:$BB$47,41,0)</f>
        <v>0</v>
      </c>
      <c r="J14" s="7">
        <f>+TONTMARS25!F14+TONTMARS25!G14</f>
        <v>202000</v>
      </c>
      <c r="K14" s="7">
        <f>VLOOKUP($A14,[6]HISTOAVRIL25!$A$6:$BB$47,18,0)</f>
        <v>202000</v>
      </c>
      <c r="L14" s="7" t="str">
        <f>IF(K14&lt;&gt;0,VLOOKUP($A14,[6]HISTOAVRIL25!$A$6:$BB$47,42,0),"ECHEC")</f>
        <v>BANQUE</v>
      </c>
      <c r="M14" s="7" t="str">
        <f>IF(P14&lt;&gt;0,VLOOKUP($A14,[6]HISTOAVRIL25!$A$6:$BB$47,32,0),"ECHEC")</f>
        <v>ECHEC</v>
      </c>
      <c r="N14" s="7">
        <f>VLOOKUP($A14,[6]HISTOAVRIL25!$A$6:$BB$47,33,0)</f>
        <v>0</v>
      </c>
      <c r="O14" s="7">
        <f t="shared" si="0"/>
        <v>0</v>
      </c>
      <c r="P14" s="7">
        <f>VLOOKUP($A14,[6]HISTOAVRIL25!$A$6:$BB$47,31,0)</f>
        <v>0</v>
      </c>
    </row>
    <row r="15" spans="1:16" x14ac:dyDescent="0.35">
      <c r="A15" s="1" t="s">
        <v>9</v>
      </c>
      <c r="B15" s="7">
        <f>IF(D15=0,0,VLOOKUP($A15,[6]HISTOAVRIL25!$A$6:$BQ$47,14,0))</f>
        <v>2</v>
      </c>
      <c r="C15" s="1" t="str">
        <f>VLOOKUP(A15,[7]LISTADHERENT!A$5:H$60,3,0)</f>
        <v>NDJOMO ETIENNE</v>
      </c>
      <c r="D15" s="7">
        <f>IF(E15="ECHEC",0,VLOOKUP($A15,[6]HISTOAVRIL25!$A$6:$BB$47,15,0))</f>
        <v>200000</v>
      </c>
      <c r="E15" s="7" t="str">
        <f>VLOOKUP($A15,[6]HISTOAVRIL25!$A$6:$BB$47,9,0)</f>
        <v>BANQUE</v>
      </c>
      <c r="F15" s="7">
        <f>VLOOKUP($A15,[6]HISTOAVRIL25!$A$6:$BB$47,37,0)</f>
        <v>193000</v>
      </c>
      <c r="G15" s="7">
        <f>VLOOKUP($A15,[6]HISTOAVRIL25!$A$6:$BB$47,40,0)</f>
        <v>2500</v>
      </c>
      <c r="H15" s="7" t="str">
        <f>IF(G15=0,"",VLOOKUP($A15,[6]HISTOFEV25!$A$6:$AV$47,42,0))</f>
        <v>BANQUE</v>
      </c>
      <c r="I15" s="7">
        <f>VLOOKUP($A15,[6]HISTOAVRIL25!$A$6:$BB$47,41,0)</f>
        <v>0</v>
      </c>
      <c r="J15" s="7">
        <f>+TONTMARS25!F15+TONTMARS25!G15</f>
        <v>101000</v>
      </c>
      <c r="K15" s="7">
        <f>VLOOKUP($A15,[6]HISTOAVRIL25!$A$6:$BB$47,18,0)</f>
        <v>101000</v>
      </c>
      <c r="L15" s="7" t="str">
        <f>IF(K15&lt;&gt;0,VLOOKUP($A15,[6]HISTOAVRIL25!$A$6:$BB$47,42,0),"ECHEC")</f>
        <v>BANQUE</v>
      </c>
      <c r="M15" s="7" t="str">
        <f>IF(P15&lt;&gt;0,VLOOKUP($A15,[6]HISTOAVRIL25!$A$6:$BB$47,32,0),"ECHEC")</f>
        <v>ECHEC</v>
      </c>
      <c r="N15" s="7">
        <f>VLOOKUP($A15,[6]HISTOAVRIL25!$A$6:$BB$47,33,0)</f>
        <v>0</v>
      </c>
      <c r="O15" s="7">
        <f t="shared" si="0"/>
        <v>0</v>
      </c>
      <c r="P15" s="7">
        <f>VLOOKUP($A15,[6]HISTOAVRIL25!$A$6:$BB$47,31,0)</f>
        <v>0</v>
      </c>
    </row>
    <row r="16" spans="1:16" x14ac:dyDescent="0.35">
      <c r="A16" s="1" t="s">
        <v>10</v>
      </c>
      <c r="B16" s="7">
        <f>IF(D16=0,0,VLOOKUP($A16,[6]HISTOAVRIL25!$A$6:$BQ$47,14,0))</f>
        <v>1</v>
      </c>
      <c r="C16" s="1" t="str">
        <f>VLOOKUP(A16,[7]LISTADHERENT!A$5:H$60,3,0)</f>
        <v>NGONDIEP CLAUDE</v>
      </c>
      <c r="D16" s="7">
        <f>IF(E16="ECHEC",0,VLOOKUP($A16,[6]HISTOAVRIL25!$A$6:$BB$47,15,0))</f>
        <v>100000</v>
      </c>
      <c r="E16" s="7" t="str">
        <f>VLOOKUP($A16,[6]HISTOAVRIL25!$A$6:$BB$47,9,0)</f>
        <v>BANQUE</v>
      </c>
      <c r="F16" s="7">
        <f>VLOOKUP($A16,[6]HISTOAVRIL25!$A$6:$BB$47,37,0)</f>
        <v>200000</v>
      </c>
      <c r="G16" s="7">
        <f>VLOOKUP($A16,[6]HISTOAVRIL25!$A$6:$BB$47,40,0)</f>
        <v>3000</v>
      </c>
      <c r="H16" s="7">
        <f>IF(G16=0,"",VLOOKUP($A16,[6]HISTOFEV25!$A$6:$AV$47,42,0))</f>
        <v>0</v>
      </c>
      <c r="I16" s="7">
        <f>VLOOKUP($A16,[6]HISTOAVRIL25!$A$6:$BB$47,41,0)</f>
        <v>0</v>
      </c>
      <c r="J16" s="7">
        <f>+TONTMARS25!F16+TONTMARS25!G16</f>
        <v>0</v>
      </c>
      <c r="K16" s="7">
        <f>VLOOKUP($A16,[6]HISTOAVRIL25!$A$6:$BB$47,18,0)</f>
        <v>0</v>
      </c>
      <c r="L16" s="7" t="str">
        <f>IF(K16&lt;&gt;0,VLOOKUP($A16,[6]HISTOAVRIL25!$A$6:$BB$47,42,0),"ECHEC")</f>
        <v>ECHEC</v>
      </c>
      <c r="M16" s="7" t="str">
        <f>IF(P16&lt;&gt;0,VLOOKUP($A16,[6]HISTOAVRIL25!$A$6:$BB$47,32,0),"ECHEC")</f>
        <v>BANQUE</v>
      </c>
      <c r="N16" s="7">
        <f>VLOOKUP($A16,[6]HISTOAVRIL25!$A$6:$BB$47,33,0)</f>
        <v>0</v>
      </c>
      <c r="O16" s="7">
        <f t="shared" si="0"/>
        <v>1160000</v>
      </c>
      <c r="P16" s="7">
        <f>VLOOKUP($A16,[6]HISTOAVRIL25!$A$6:$BB$47,31,0)</f>
        <v>40000</v>
      </c>
    </row>
    <row r="17" spans="1:16" x14ac:dyDescent="0.35">
      <c r="A17" s="1" t="s">
        <v>43</v>
      </c>
      <c r="B17" s="7">
        <f>IF(D17=0,0,VLOOKUP($A17,[6]HISTOAVRIL25!$A$6:$BQ$47,14,0))</f>
        <v>2</v>
      </c>
      <c r="C17" s="1" t="str">
        <f>VLOOKUP(A17,[7]LISTADHERENT!A$5:H$60,3,0)</f>
        <v>NGUIEMEGNI MATHIEU BLAISE</v>
      </c>
      <c r="D17" s="7">
        <f>IF(E17="ECHEC",0,VLOOKUP($A17,[6]HISTOAVRIL25!$A$6:$BB$47,15,0))</f>
        <v>200000</v>
      </c>
      <c r="E17" s="7" t="str">
        <f>VLOOKUP($A17,[6]HISTOAVRIL25!$A$6:$BB$47,9,0)</f>
        <v>BANQUE</v>
      </c>
      <c r="F17" s="7">
        <f>VLOOKUP($A17,[6]HISTOAVRIL25!$A$6:$BB$47,37,0)</f>
        <v>0</v>
      </c>
      <c r="G17" s="7">
        <f>VLOOKUP($A17,[6]HISTOAVRIL25!$A$6:$BB$47,40,0)</f>
        <v>0</v>
      </c>
      <c r="H17" s="7" t="str">
        <f>IF(G17=0,"",VLOOKUP($A17,[6]HISTOFEV25!$A$6:$AV$47,42,0))</f>
        <v/>
      </c>
      <c r="I17" s="7">
        <f>VLOOKUP($A17,[6]HISTOAVRIL25!$A$6:$BB$47,41,0)</f>
        <v>0</v>
      </c>
      <c r="J17" s="7">
        <f>+TONTMARS25!F17+TONTMARS25!G17</f>
        <v>202500</v>
      </c>
      <c r="K17" s="7">
        <f>VLOOKUP($A17,[6]HISTOAVRIL25!$A$6:$BB$47,18,0)</f>
        <v>202500</v>
      </c>
      <c r="L17" s="7" t="str">
        <f>IF(K17&lt;&gt;0,VLOOKUP($A17,[6]HISTOAVRIL25!$A$6:$BB$47,42,0),"ECHEC")</f>
        <v>BANQUE</v>
      </c>
      <c r="M17" s="7" t="str">
        <f>IF(P17&lt;&gt;0,VLOOKUP($A17,[6]HISTOAVRIL25!$A$6:$BB$47,32,0),"ECHEC")</f>
        <v>ECHEC</v>
      </c>
      <c r="N17" s="7">
        <f>VLOOKUP($A17,[6]HISTOAVRIL25!$A$6:$BB$47,33,0)</f>
        <v>0</v>
      </c>
      <c r="O17" s="7">
        <f t="shared" si="0"/>
        <v>0</v>
      </c>
      <c r="P17" s="7">
        <f>VLOOKUP($A17,[6]HISTOAVRIL25!$A$6:$BB$47,31,0)</f>
        <v>0</v>
      </c>
    </row>
    <row r="18" spans="1:16" x14ac:dyDescent="0.35">
      <c r="A18" s="1" t="s">
        <v>54</v>
      </c>
      <c r="B18" s="7">
        <f>IF(D18=0,0,VLOOKUP($A18,[6]HISTOAVRIL25!$A$6:$BQ$47,14,0))</f>
        <v>2</v>
      </c>
      <c r="C18" s="1" t="str">
        <f>VLOOKUP(A18,[7]LISTADHERENT!A$5:H$60,3,0)</f>
        <v>SIME BRICE</v>
      </c>
      <c r="D18" s="7">
        <f>IF(E18="ECHEC",0,VLOOKUP($A18,[6]HISTOAVRIL25!$A$6:$BB$47,15,0))</f>
        <v>200000</v>
      </c>
      <c r="E18" s="7" t="str">
        <f>VLOOKUP($A18,[6]HISTOAVRIL25!$A$6:$BB$47,9,0)</f>
        <v>BANQUE</v>
      </c>
      <c r="F18" s="7">
        <f>VLOOKUP($A18,[6]HISTOAVRIL25!$A$6:$BB$47,37,0)</f>
        <v>0</v>
      </c>
      <c r="G18" s="7">
        <f>VLOOKUP($A18,[6]HISTOAVRIL25!$A$6:$BB$47,40,0)</f>
        <v>0</v>
      </c>
      <c r="H18" s="7" t="str">
        <f>IF(G18=0,"",VLOOKUP($A18,[6]HISTOFEV25!$A$6:$AV$47,42,0))</f>
        <v/>
      </c>
      <c r="I18" s="7">
        <f>VLOOKUP($A18,[6]HISTOAVRIL25!$A$6:$BB$47,41,0)</f>
        <v>0</v>
      </c>
      <c r="J18" s="7">
        <f>+TONTMARS25!F18+TONTMARS25!G18</f>
        <v>0</v>
      </c>
      <c r="K18" s="7">
        <f>VLOOKUP($A18,[6]HISTOAVRIL25!$A$6:$BB$47,18,0)</f>
        <v>0</v>
      </c>
      <c r="L18" s="7" t="str">
        <f>IF(K18&lt;&gt;0,VLOOKUP($A18,[6]HISTOAVRIL25!$A$6:$BB$47,42,0),"ECHEC")</f>
        <v>ECHEC</v>
      </c>
      <c r="M18" s="7" t="str">
        <f>IF(P18&lt;&gt;0,VLOOKUP($A18,[6]HISTOAVRIL25!$A$6:$BB$47,32,0),"ECHEC")</f>
        <v>ECHEC</v>
      </c>
      <c r="N18" s="7">
        <f>VLOOKUP($A18,[6]HISTOAVRIL25!$A$6:$BB$47,33,0)</f>
        <v>0</v>
      </c>
      <c r="O18" s="7">
        <f t="shared" si="0"/>
        <v>0</v>
      </c>
      <c r="P18" s="7">
        <f>VLOOKUP($A18,[6]HISTOAVRIL25!$A$6:$BB$47,31,0)</f>
        <v>0</v>
      </c>
    </row>
    <row r="19" spans="1:16" x14ac:dyDescent="0.35">
      <c r="A19" s="1" t="s">
        <v>55</v>
      </c>
      <c r="B19" s="7">
        <f>IF(D19=0,0,VLOOKUP($A19,[6]HISTOAVRIL25!$A$6:$BQ$47,14,0))</f>
        <v>1</v>
      </c>
      <c r="C19" s="1" t="str">
        <f>VLOOKUP(A19,[7]LISTADHERENT!A$5:H$60,3,0)</f>
        <v>TCHOUATEU AUGUSTIN</v>
      </c>
      <c r="D19" s="7">
        <f>IF(E19="ECHEC",0,VLOOKUP($A19,[6]HISTOAVRIL25!$A$6:$BB$47,15,0))</f>
        <v>100000</v>
      </c>
      <c r="E19" s="7" t="str">
        <f>VLOOKUP($A19,[6]HISTOAVRIL25!$A$6:$BB$47,9,0)</f>
        <v>BANQUE</v>
      </c>
      <c r="F19" s="7">
        <f>VLOOKUP($A19,[6]HISTOAVRIL25!$A$6:$BB$47,37,0)</f>
        <v>100000</v>
      </c>
      <c r="G19" s="7">
        <f>VLOOKUP($A19,[6]HISTOAVRIL25!$A$6:$BB$47,40,0)</f>
        <v>1000</v>
      </c>
      <c r="H19" s="7">
        <f>IF(G19=0,"",VLOOKUP($A19,[6]HISTOFEV25!$A$6:$AV$47,42,0))</f>
        <v>0</v>
      </c>
      <c r="I19" s="7">
        <f>VLOOKUP($A19,[6]HISTOAVRIL25!$A$6:$BB$47,41,0)</f>
        <v>0</v>
      </c>
      <c r="J19" s="7">
        <f>+TONTMARS25!F19+TONTMARS25!G19</f>
        <v>0</v>
      </c>
      <c r="K19" s="7">
        <f>VLOOKUP($A19,[6]HISTOAVRIL25!$A$6:$BB$47,18,0)</f>
        <v>0</v>
      </c>
      <c r="L19" s="7" t="str">
        <f>IF(K19&lt;&gt;0,VLOOKUP($A19,[6]HISTOAVRIL25!$A$6:$BB$47,42,0),"ECHEC")</f>
        <v>ECHEC</v>
      </c>
      <c r="M19" s="7" t="str">
        <f>IF(P19&lt;&gt;0,VLOOKUP($A19,[6]HISTOAVRIL25!$A$6:$BB$47,32,0),"ECHEC")</f>
        <v>ECHEC</v>
      </c>
      <c r="N19" s="7">
        <f>VLOOKUP($A19,[6]HISTOAVRIL25!$A$6:$BB$47,33,0)</f>
        <v>0</v>
      </c>
      <c r="O19" s="7">
        <f t="shared" si="0"/>
        <v>0</v>
      </c>
      <c r="P19" s="7">
        <f>VLOOKUP($A19,[6]HISTOAVRIL25!$A$6:$BB$47,31,0)</f>
        <v>0</v>
      </c>
    </row>
    <row r="20" spans="1:16" x14ac:dyDescent="0.35">
      <c r="A20" s="1" t="s">
        <v>46</v>
      </c>
      <c r="B20" s="7">
        <f>IF(D20=0,0,VLOOKUP($A20,[6]HISTOAVRIL25!$A$6:$BQ$47,14,0))</f>
        <v>1</v>
      </c>
      <c r="C20" s="1" t="str">
        <f>VLOOKUP(A20,[7]LISTADHERENT!A$5:H$60,3,0)</f>
        <v>SIMO PIERRE</v>
      </c>
      <c r="D20" s="7">
        <f>IF(E20="ECHEC",0,VLOOKUP($A20,[6]HISTOAVRIL25!$A$6:$BB$47,15,0))</f>
        <v>100000</v>
      </c>
      <c r="E20" s="7" t="str">
        <f>VLOOKUP($A20,[6]HISTOAVRIL25!$A$6:$BB$47,9,0)</f>
        <v>BANQUE</v>
      </c>
      <c r="F20" s="7">
        <f>VLOOKUP($A20,[6]HISTOAVRIL25!$A$6:$BB$47,37,0)</f>
        <v>0</v>
      </c>
      <c r="G20" s="7">
        <f>VLOOKUP($A20,[6]HISTOAVRIL25!$A$6:$BB$47,40,0)</f>
        <v>0</v>
      </c>
      <c r="H20" s="7" t="str">
        <f>IF(G20=0,"",VLOOKUP($A20,[6]HISTOFEV25!$A$6:$AV$47,42,0))</f>
        <v/>
      </c>
      <c r="I20" s="7">
        <f>VLOOKUP($A20,[6]HISTOAVRIL25!$A$6:$BB$47,41,0)</f>
        <v>0</v>
      </c>
      <c r="J20" s="7">
        <f>+TONTMARS25!F20+TONTMARS25!G20</f>
        <v>0</v>
      </c>
      <c r="K20" s="7">
        <f>VLOOKUP($A20,[6]HISTOAVRIL25!$A$6:$BB$47,18,0)</f>
        <v>0</v>
      </c>
      <c r="L20" s="7" t="str">
        <f>IF(K20&lt;&gt;0,VLOOKUP($A20,[6]HISTOAVRIL25!$A$6:$BB$47,42,0),"ECHEC")</f>
        <v>ECHEC</v>
      </c>
      <c r="M20" s="7" t="str">
        <f>IF(P20&lt;&gt;0,VLOOKUP($A20,[6]HISTOAVRIL25!$A$6:$BB$47,32,0),"ECHEC")</f>
        <v>ECHEC</v>
      </c>
      <c r="N20" s="7">
        <f>VLOOKUP($A20,[6]HISTOAVRIL25!$A$6:$BB$47,33,0)</f>
        <v>0</v>
      </c>
      <c r="O20" s="7">
        <f t="shared" si="0"/>
        <v>0</v>
      </c>
      <c r="P20" s="7">
        <f>VLOOKUP($A20,[6]HISTOAVRIL25!$A$6:$BB$47,31,0)</f>
        <v>0</v>
      </c>
    </row>
    <row r="21" spans="1:16" x14ac:dyDescent="0.35">
      <c r="A21" s="1" t="s">
        <v>53</v>
      </c>
      <c r="B21" s="7">
        <f>IF(D21=0,0,VLOOKUP($A21,[6]HISTOAVRIL25!$A$6:$BQ$47,14,0))</f>
        <v>2</v>
      </c>
      <c r="C21" s="1" t="str">
        <f>VLOOKUP(A21,[7]LISTADHERENT!A$5:H$60,3,0)</f>
        <v>YIALA ALAIN OSCAR</v>
      </c>
      <c r="D21" s="7">
        <f>IF(E21="ECHEC",0,VLOOKUP($A21,[6]HISTOAVRIL25!$A$6:$BB$47,15,0))</f>
        <v>200000</v>
      </c>
      <c r="E21" s="7" t="str">
        <f>VLOOKUP($A21,[6]HISTOAVRIL25!$A$6:$BB$47,9,0)</f>
        <v>ESPECES</v>
      </c>
      <c r="F21" s="7">
        <f>VLOOKUP($A21,[6]HISTOAVRIL25!$A$6:$BB$47,37,0)</f>
        <v>0</v>
      </c>
      <c r="G21" s="7">
        <f>VLOOKUP($A21,[6]HISTOAVRIL25!$A$6:$BB$47,40,0)</f>
        <v>0</v>
      </c>
      <c r="H21" s="7" t="str">
        <f>IF(G21=0,"",VLOOKUP($A21,[6]HISTOFEV25!$A$6:$AV$47,42,0))</f>
        <v/>
      </c>
      <c r="I21" s="7">
        <f>VLOOKUP($A21,[6]HISTOAVRIL25!$A$6:$BB$47,41,0)</f>
        <v>0</v>
      </c>
      <c r="J21" s="7">
        <f>+TONTMARS25!F21+TONTMARS25!G21</f>
        <v>0</v>
      </c>
      <c r="K21" s="7">
        <f>VLOOKUP($A21,[6]HISTOAVRIL25!$A$6:$BB$47,18,0)</f>
        <v>0</v>
      </c>
      <c r="L21" s="7" t="str">
        <f>IF(K21&lt;&gt;0,VLOOKUP($A21,[6]HISTOAVRIL25!$A$6:$BB$47,42,0),"ECHEC")</f>
        <v>ECHEC</v>
      </c>
      <c r="M21" s="7" t="str">
        <f>IF(P21&lt;&gt;0,VLOOKUP($A21,[6]HISTOAVRIL25!$A$6:$BB$47,32,0),"ECHEC")</f>
        <v>ECHEC</v>
      </c>
      <c r="N21" s="7">
        <f>VLOOKUP($A21,[6]HISTOAVRIL25!$A$6:$BB$47,33,0)</f>
        <v>0</v>
      </c>
      <c r="O21" s="7">
        <f t="shared" si="0"/>
        <v>0</v>
      </c>
      <c r="P21" s="7">
        <f>VLOOKUP($A21,[6]HISTOAVRIL25!$A$6:$BB$47,31,0)</f>
        <v>0</v>
      </c>
    </row>
    <row r="22" spans="1:16" x14ac:dyDescent="0.35">
      <c r="A22" s="1" t="s">
        <v>61</v>
      </c>
      <c r="B22" s="7">
        <f>IF(D22=0,0,VLOOKUP($A22,[6]HISTOAVRIL25!$A$6:$BQ$47,14,0))</f>
        <v>1</v>
      </c>
      <c r="C22" s="1" t="str">
        <f>VLOOKUP(A22,[7]LISTADHERENT!A$5:H$60,3,0)</f>
        <v>YOUMBI EMMANUEL</v>
      </c>
      <c r="D22" s="7">
        <f>IF(E22="ECHEC",0,VLOOKUP($A22,[6]HISTOAVRIL25!$A$6:$BB$47,15,0))</f>
        <v>100000</v>
      </c>
      <c r="E22" s="7" t="str">
        <f>VLOOKUP($A22,[6]HISTOAVRIL25!$A$6:$BB$47,9,0)</f>
        <v>BANQUE</v>
      </c>
      <c r="F22" s="7">
        <f>VLOOKUP($A22,[6]HISTOAVRIL25!$A$6:$BB$47,37,0)</f>
        <v>0</v>
      </c>
      <c r="G22" s="7">
        <f>VLOOKUP($A22,[6]HISTOAVRIL25!$A$6:$BB$47,40,0)</f>
        <v>0</v>
      </c>
      <c r="H22" s="7" t="str">
        <f>IF(G22=0,"",VLOOKUP($A22,[6]HISTOFEV25!$A$6:$AV$47,42,0))</f>
        <v/>
      </c>
      <c r="I22" s="7">
        <f>VLOOKUP($A22,[6]HISTOAVRIL25!$A$6:$BB$47,41,0)</f>
        <v>0</v>
      </c>
      <c r="J22" s="7">
        <f>+TONTMARS25!F22+TONTMARS25!G22</f>
        <v>0</v>
      </c>
      <c r="K22" s="7">
        <f>VLOOKUP($A22,[6]HISTOAVRIL25!$A$6:$BB$47,18,0)</f>
        <v>0</v>
      </c>
      <c r="L22" s="7" t="str">
        <f>IF(K22&lt;&gt;0,VLOOKUP($A22,[6]HISTOAVRIL25!$A$6:$BB$47,42,0),"ECHEC")</f>
        <v>ECHEC</v>
      </c>
      <c r="M22" s="7" t="str">
        <f>IF(P22&lt;&gt;0,VLOOKUP($A22,[6]HISTOAVRIL25!$A$6:$BB$47,32,0),"ECHEC")</f>
        <v>ECHEC</v>
      </c>
      <c r="N22" s="7">
        <f>VLOOKUP($A22,[6]HISTOAVRIL25!$A$6:$BB$47,33,0)</f>
        <v>0</v>
      </c>
      <c r="O22" s="7">
        <f t="shared" si="0"/>
        <v>0</v>
      </c>
      <c r="P22" s="7">
        <f>VLOOKUP($A22,[6]HISTOAVRIL25!$A$6:$BB$47,31,0)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24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2400000</v>
      </c>
      <c r="E25" s="8">
        <f t="shared" ref="E25:P25" si="1">SUM(E6:E22)</f>
        <v>0</v>
      </c>
      <c r="F25" s="8">
        <f t="shared" si="1"/>
        <v>1093000</v>
      </c>
      <c r="G25" s="8">
        <f>SUM(G6:G22)</f>
        <v>12500</v>
      </c>
      <c r="H25" s="8">
        <f t="shared" si="1"/>
        <v>0</v>
      </c>
      <c r="I25" s="8">
        <f t="shared" si="1"/>
        <v>0</v>
      </c>
      <c r="J25" s="8">
        <f t="shared" si="1"/>
        <v>942500</v>
      </c>
      <c r="K25" s="8">
        <f t="shared" si="1"/>
        <v>942500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2330000</v>
      </c>
      <c r="P25" s="8">
        <f t="shared" si="1"/>
        <v>70000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3387500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400000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400000</v>
      </c>
      <c r="I28" s="8"/>
      <c r="K28" s="8" t="s">
        <v>34</v>
      </c>
      <c r="L28" s="8">
        <f>C3*COUNTIF(O6:O22,"&gt;0")</f>
        <v>2400000</v>
      </c>
      <c r="M28" s="8">
        <f>D3</f>
        <v>2</v>
      </c>
      <c r="N28" s="8">
        <f>COUNTIF(O6:O21,"&gt;0")</f>
        <v>2</v>
      </c>
      <c r="O28" s="8"/>
    </row>
    <row r="29" spans="1:16" s="2" customFormat="1" ht="17.5" x14ac:dyDescent="0.35">
      <c r="C29" s="8" t="s">
        <v>7</v>
      </c>
      <c r="D29" s="8">
        <f>SUMIFS(D6:D22,E6:E22,"BANQUE")</f>
        <v>2000000</v>
      </c>
      <c r="E29" s="8">
        <f>SUMIFS(K6:K22,L6:L22,"BANQUE")</f>
        <v>942500</v>
      </c>
      <c r="F29" s="8">
        <f>SUMIFS(F6:F22,H6:H22,"BANQUE")</f>
        <v>693000</v>
      </c>
      <c r="G29" s="8">
        <f>SUMIFS(O6:O22,M6:M22,"BANQUE")</f>
        <v>2330000</v>
      </c>
      <c r="H29" s="8">
        <f>D29+E29-F29-G29</f>
        <v>-80500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1238500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D28+D29+200000</f>
        <v>2600000</v>
      </c>
      <c r="E31" s="8">
        <f>E28+E29</f>
        <v>942500</v>
      </c>
      <c r="F31" s="8">
        <f>F28+F29</f>
        <v>693000</v>
      </c>
      <c r="G31" s="8">
        <f t="shared" ref="G31:H31" si="2">G28+G29</f>
        <v>2330000</v>
      </c>
      <c r="H31" s="8">
        <f t="shared" si="2"/>
        <v>319500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145500</v>
      </c>
      <c r="M32"/>
      <c r="N32" s="8">
        <f>L32</f>
        <v>145500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0</v>
      </c>
      <c r="N34" s="8">
        <f>L34+TONTFEV25!N34</f>
        <v>0</v>
      </c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L35+TONTFEV25!N35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868C-E5E5-468E-9D8A-4982B1DB705B}">
  <dimension ref="A1:P37"/>
  <sheetViews>
    <sheetView workbookViewId="0">
      <pane xSplit="3" ySplit="5" topLeftCell="K21" activePane="bottomRight" state="frozen"/>
      <selection activeCell="G6" sqref="G6:G39"/>
      <selection pane="topRight" activeCell="G6" sqref="G6:G39"/>
      <selection pane="bottomLeft" activeCell="G6" sqref="G6:G39"/>
      <selection pane="bottomRight" activeCell="O25" sqref="O25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2</v>
      </c>
      <c r="E3" s="1"/>
      <c r="L3" s="1"/>
      <c r="M3" s="1"/>
    </row>
    <row r="4" spans="1:16" s="12" customFormat="1" ht="17.5" x14ac:dyDescent="0.35">
      <c r="B4" s="13"/>
      <c r="C4" s="37">
        <v>45790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IF(D6=0,0,VLOOKUP($A6,[6]HISTOMAI25!$A$6:$BQ$47,14,0))</f>
        <v>1</v>
      </c>
      <c r="C6" s="1" t="str">
        <f>VLOOKUP(A6,[7]LISTADHERENT!A$5:H$60,3,0)</f>
        <v>ASELBY</v>
      </c>
      <c r="D6" s="7">
        <f>IF(E6="ECHEC",0,VLOOKUP($A6,[6]HISTOMAI25!$A$6:$BB$47,15,0))</f>
        <v>100000</v>
      </c>
      <c r="E6" s="7" t="str">
        <f>VLOOKUP($A6,[6]HISTOMAI25!$A$6:$BB$47,9,0)</f>
        <v>BANQUE</v>
      </c>
      <c r="F6" s="7">
        <f>VLOOKUP($A6,[6]HISTOMAI25!$A$6:$BB$47,37,0)</f>
        <v>0</v>
      </c>
      <c r="G6" s="7">
        <f>VLOOKUP($A6,[6]HISTOMAI25!$A$6:$BB$47,40,0)</f>
        <v>0</v>
      </c>
      <c r="H6" s="7" t="str">
        <f>IF(G6=0,"",VLOOKUP($A6,[6]HISTOFEV25!$A$6:$AV$47,42,0))</f>
        <v/>
      </c>
      <c r="I6" s="7">
        <f>VLOOKUP($A6,[6]HISTOMAI25!$A$6:$BB$47,41,0)</f>
        <v>0</v>
      </c>
      <c r="J6" s="7">
        <f>+TONTAVRIL25!F6+TONTAVRIL25!G6</f>
        <v>0</v>
      </c>
      <c r="K6" s="7">
        <f>VLOOKUP($A6,[6]HISTOMAI25!$A$6:$BB$47,18,0)</f>
        <v>0</v>
      </c>
      <c r="L6" s="7" t="str">
        <f>IF(K6&lt;&gt;0,VLOOKUP($A6,[6]HISTOMAI25!$A$6:$BB$47,42,0),"ECHEC")</f>
        <v>ECHEC</v>
      </c>
      <c r="M6" s="7" t="str">
        <f>IF(P6&lt;&gt;0,VLOOKUP($A6,[6]HISTOMAI25!$A$6:$BB$47,32,0),"ECHEC")</f>
        <v>ECHEC</v>
      </c>
      <c r="N6" s="7">
        <f>VLOOKUP($A6,[6]HISTOMAI25!$A$6:$BB$47,33,0)</f>
        <v>0</v>
      </c>
      <c r="O6" s="7">
        <f t="shared" ref="O6:O22" si="0">IF(P6=0,0,($C$3-P6))</f>
        <v>0</v>
      </c>
      <c r="P6" s="7">
        <f>VLOOKUP($A6,[6]HISTOMAI25!$A$6:$BB$47,31,0)</f>
        <v>0</v>
      </c>
    </row>
    <row r="7" spans="1:16" x14ac:dyDescent="0.35">
      <c r="A7" s="1" t="s">
        <v>47</v>
      </c>
      <c r="B7" s="7">
        <f>IF(D7=0,0,VLOOKUP($A7,[6]HISTOMAI25!$A$6:$BQ$47,14,0))</f>
        <v>2</v>
      </c>
      <c r="C7" s="1" t="str">
        <f>VLOOKUP(A7,[7]LISTADHERENT!A$5:H$60,3,0)</f>
        <v xml:space="preserve">DJOMO JEAN PAUL </v>
      </c>
      <c r="D7" s="7">
        <f>IF(E7="ECHEC",0,VLOOKUP($A7,[6]HISTOMAI25!$A$6:$BB$47,15,0))</f>
        <v>200000</v>
      </c>
      <c r="E7" s="7" t="str">
        <f>VLOOKUP($A7,[6]HISTOMAI25!$A$6:$BB$47,9,0)</f>
        <v>BANQUE</v>
      </c>
      <c r="F7" s="7">
        <f>VLOOKUP($A7,[6]HISTOMAI25!$A$6:$BB$47,37,0)</f>
        <v>100000</v>
      </c>
      <c r="G7" s="7">
        <f>VLOOKUP($A7,[6]HISTOMAI25!$A$6:$BB$47,40,0)</f>
        <v>1000</v>
      </c>
      <c r="H7" s="7" t="str">
        <f>IF(G7=0,"",VLOOKUP($A7,[6]HISTOFEV25!$A$6:$AV$47,42,0))</f>
        <v>BANQUE</v>
      </c>
      <c r="I7" s="7">
        <f>VLOOKUP($A7,[6]HISTOMAI25!$A$6:$BB$47,41,0)</f>
        <v>0</v>
      </c>
      <c r="J7" s="7">
        <f>+TONTAVRIL25!F7+TONTAVRIL25!G7</f>
        <v>202000</v>
      </c>
      <c r="K7" s="7">
        <f>VLOOKUP($A7,[6]HISTOMAI25!$A$6:$BB$47,18,0)</f>
        <v>202000</v>
      </c>
      <c r="L7" s="7" t="str">
        <f>IF(K7&lt;&gt;0,VLOOKUP($A7,[6]HISTOMAI25!$A$6:$BB$47,42,0),"ECHEC")</f>
        <v>BANQUE</v>
      </c>
      <c r="M7" s="7" t="str">
        <f>IF(P7&lt;&gt;0,VLOOKUP($A7,[6]HISTOMAI25!$A$6:$BB$47,32,0),"ECHEC")</f>
        <v>ECHEC</v>
      </c>
      <c r="N7" s="7">
        <f>VLOOKUP($A7,[6]HISTOMAI25!$A$6:$BB$47,33,0)</f>
        <v>0</v>
      </c>
      <c r="O7" s="7">
        <f t="shared" si="0"/>
        <v>0</v>
      </c>
      <c r="P7" s="7">
        <f>VLOOKUP($A7,[6]HISTOMAI25!$A$6:$BB$47,31,0)</f>
        <v>0</v>
      </c>
    </row>
    <row r="8" spans="1:16" x14ac:dyDescent="0.35">
      <c r="A8" s="1" t="s">
        <v>60</v>
      </c>
      <c r="B8" s="7">
        <f>IF(D8=0,0,VLOOKUP($A8,[6]HISTOMAI25!$A$6:$BQ$47,14,0))</f>
        <v>1</v>
      </c>
      <c r="C8" s="1" t="str">
        <f>VLOOKUP(A8,[7]LISTADHERENT!A$5:H$60,3,0)</f>
        <v>DJOUKWE NANGUEN GUY BLAISE</v>
      </c>
      <c r="D8" s="7">
        <f>IF(E8="ECHEC",0,VLOOKUP($A8,[6]HISTOMAI25!$A$6:$BB$47,15,0))</f>
        <v>100000</v>
      </c>
      <c r="E8" s="7" t="str">
        <f>VLOOKUP($A8,[6]HISTOMAI25!$A$6:$BB$47,9,0)</f>
        <v>BANQUE</v>
      </c>
      <c r="F8" s="7">
        <f>VLOOKUP($A8,[6]HISTOMAI25!$A$6:$BB$47,37,0)</f>
        <v>100000</v>
      </c>
      <c r="G8" s="7">
        <f>VLOOKUP($A8,[6]HISTOMAI25!$A$6:$BB$47,40,0)</f>
        <v>1000</v>
      </c>
      <c r="H8" s="7" t="str">
        <f>IF(G8=0,"",VLOOKUP($A8,[6]HISTOFEV25!$A$6:$AV$47,42,0))</f>
        <v>BANQUE</v>
      </c>
      <c r="I8" s="7">
        <f>VLOOKUP($A8,[6]HISTOMAI25!$A$6:$BB$47,41,0)</f>
        <v>0</v>
      </c>
      <c r="J8" s="7">
        <f>+TONTAVRIL25!F8+TONTAVRIL25!G8</f>
        <v>0</v>
      </c>
      <c r="K8" s="7">
        <f>VLOOKUP($A8,[6]HISTOMAI25!$A$6:$BB$47,18,0)</f>
        <v>0</v>
      </c>
      <c r="L8" s="7" t="str">
        <f>IF(K8&lt;&gt;0,VLOOKUP($A8,[6]HISTOMAI25!$A$6:$BB$47,42,0),"ECHEC")</f>
        <v>ECHEC</v>
      </c>
      <c r="M8" s="7" t="str">
        <f>IF(P8&lt;&gt;0,VLOOKUP($A8,[6]HISTOMAI25!$A$6:$BB$47,32,0),"ECHEC")</f>
        <v>ECHEC</v>
      </c>
      <c r="N8" s="7">
        <f>VLOOKUP($A8,[6]HISTOMAI25!$A$6:$BB$47,33,0)</f>
        <v>0</v>
      </c>
      <c r="O8" s="7">
        <f t="shared" si="0"/>
        <v>0</v>
      </c>
      <c r="P8" s="7">
        <f>VLOOKUP($A8,[6]HISTOMAI25!$A$6:$BB$47,31,0)</f>
        <v>0</v>
      </c>
    </row>
    <row r="9" spans="1:16" x14ac:dyDescent="0.35">
      <c r="A9" s="1" t="s">
        <v>20</v>
      </c>
      <c r="B9" s="7">
        <f>IF(D9=0,0,VLOOKUP($A9,[6]HISTOMAI25!$A$6:$BQ$47,14,0))</f>
        <v>2</v>
      </c>
      <c r="C9" s="1" t="str">
        <f>VLOOKUP(A9,[7]LISTADHERENT!A$5:H$60,3,0)</f>
        <v>DJUOMBESSY ANTOINE</v>
      </c>
      <c r="D9" s="7">
        <f>IF(E9="ECHEC",0,VLOOKUP($A9,[6]HISTOMAI25!$A$6:$BB$47,15,0))</f>
        <v>200000</v>
      </c>
      <c r="E9" s="7" t="str">
        <f>VLOOKUP($A9,[6]HISTOMAI25!$A$6:$BB$47,9,0)</f>
        <v>BANQUE</v>
      </c>
      <c r="F9" s="7">
        <f>VLOOKUP($A9,[6]HISTOMAI25!$A$6:$BB$47,37,0)</f>
        <v>0</v>
      </c>
      <c r="G9" s="7">
        <f>VLOOKUP($A9,[6]HISTOMAI25!$A$6:$BB$47,40,0)</f>
        <v>0</v>
      </c>
      <c r="H9" s="7" t="str">
        <f>IF(G9=0,"",VLOOKUP($A9,[6]HISTOFEV25!$A$6:$AV$47,42,0))</f>
        <v/>
      </c>
      <c r="I9" s="7">
        <f>VLOOKUP($A9,[6]HISTOMAI25!$A$6:$BB$47,41,0)</f>
        <v>0</v>
      </c>
      <c r="J9" s="7">
        <f>+TONTAVRIL25!F9+TONTAVRIL25!G9</f>
        <v>0</v>
      </c>
      <c r="K9" s="7">
        <f>VLOOKUP($A9,[6]HISTOMAI25!$A$6:$BB$47,18,0)</f>
        <v>0</v>
      </c>
      <c r="L9" s="7" t="str">
        <f>IF(K9&lt;&gt;0,VLOOKUP($A9,[6]HISTOMAI25!$A$6:$BB$47,42,0),"ECHEC")</f>
        <v>ECHEC</v>
      </c>
      <c r="M9" s="7" t="str">
        <f>IF(P9&lt;&gt;0,VLOOKUP($A9,[6]HISTOMAI25!$A$6:$BB$47,32,0),"ECHEC")</f>
        <v>ECHEC</v>
      </c>
      <c r="N9" s="7">
        <f>VLOOKUP($A9,[6]HISTOMAI25!$A$6:$BB$47,33,0)</f>
        <v>0</v>
      </c>
      <c r="O9" s="7">
        <f t="shared" si="0"/>
        <v>0</v>
      </c>
      <c r="P9" s="7">
        <f>VLOOKUP($A9,[6]HISTOMAI25!$A$6:$BB$47,31,0)</f>
        <v>0</v>
      </c>
    </row>
    <row r="10" spans="1:16" x14ac:dyDescent="0.35">
      <c r="A10" s="1" t="s">
        <v>62</v>
      </c>
      <c r="B10" s="7">
        <f>IF(D10=0,0,VLOOKUP($A10,[6]HISTOMAI25!$A$6:$BQ$47,14,0))</f>
        <v>1</v>
      </c>
      <c r="C10" s="1" t="str">
        <f>VLOOKUP(A10,[7]LISTADHERENT!A$5:H$60,3,0)</f>
        <v>FAMPOU PAUL</v>
      </c>
      <c r="D10" s="7">
        <f>IF(E10="ECHEC",0,VLOOKUP($A10,[6]HISTOMAI25!$A$6:$BB$47,15,0))</f>
        <v>100000</v>
      </c>
      <c r="E10" s="7" t="str">
        <f>VLOOKUP($A10,[6]HISTOMAI25!$A$6:$BB$47,9,0)</f>
        <v>BANQUE</v>
      </c>
      <c r="F10" s="7">
        <f>VLOOKUP($A10,[6]HISTOMAI25!$A$6:$BB$47,37,0)</f>
        <v>0</v>
      </c>
      <c r="G10" s="7">
        <f>VLOOKUP($A10,[6]HISTOMAI25!$A$6:$BB$47,40,0)</f>
        <v>0</v>
      </c>
      <c r="H10" s="7" t="str">
        <f>IF(G10=0,"",VLOOKUP($A10,[6]HISTOFEV25!$A$6:$AV$47,42,0))</f>
        <v/>
      </c>
      <c r="I10" s="7">
        <f>VLOOKUP($A10,[6]HISTOMAI25!$A$6:$BB$47,41,0)</f>
        <v>0</v>
      </c>
      <c r="J10" s="7">
        <f>+TONTAVRIL25!F10+TONTAVRIL25!G10</f>
        <v>0</v>
      </c>
      <c r="K10" s="7">
        <f>VLOOKUP($A10,[6]HISTOMAI25!$A$6:$BB$47,18,0)</f>
        <v>0</v>
      </c>
      <c r="L10" s="7" t="str">
        <f>IF(K10&lt;&gt;0,VLOOKUP($A10,[6]HISTOMAI25!$A$6:$BB$47,42,0),"ECHEC")</f>
        <v>ECHEC</v>
      </c>
      <c r="M10" s="7" t="str">
        <f>IF(P10&lt;&gt;0,VLOOKUP($A10,[6]HISTOMAI25!$A$6:$BB$47,32,0),"ECHEC")</f>
        <v>ECHEC</v>
      </c>
      <c r="N10" s="7">
        <f>VLOOKUP($A10,[6]HISTOMAI25!$A$6:$BB$47,33,0)</f>
        <v>0</v>
      </c>
      <c r="O10" s="7">
        <f t="shared" si="0"/>
        <v>0</v>
      </c>
      <c r="P10" s="7">
        <f>VLOOKUP($A10,[6]HISTOMAI25!$A$6:$BB$47,31,0)</f>
        <v>0</v>
      </c>
    </row>
    <row r="11" spans="1:16" x14ac:dyDescent="0.35">
      <c r="A11" s="1" t="s">
        <v>21</v>
      </c>
      <c r="B11" s="7">
        <f>IF(D11=0,0,VLOOKUP($A11,[6]HISTOMAI25!$A$6:$BQ$47,14,0))</f>
        <v>1</v>
      </c>
      <c r="C11" s="1" t="str">
        <f>VLOOKUP(A11,[7]LISTADHERENT!A$5:H$60,3,0)</f>
        <v>HOTCHO BENJAMIN</v>
      </c>
      <c r="D11" s="7">
        <f>IF(E11="ECHEC",0,VLOOKUP($A11,[6]HISTOMAI25!$A$6:$BB$47,15,0))</f>
        <v>100000</v>
      </c>
      <c r="E11" s="7" t="str">
        <f>VLOOKUP($A11,[6]HISTOMAI25!$A$6:$BB$47,9,0)</f>
        <v>BANQUE</v>
      </c>
      <c r="F11" s="7">
        <f>VLOOKUP($A11,[6]HISTOMAI25!$A$6:$BB$47,37,0)</f>
        <v>0</v>
      </c>
      <c r="G11" s="7">
        <f>VLOOKUP($A11,[6]HISTOMAI25!$A$6:$BB$47,40,0)</f>
        <v>0</v>
      </c>
      <c r="H11" s="7" t="str">
        <f>IF(G11=0,"",VLOOKUP($A11,[6]HISTOFEV25!$A$6:$AV$47,42,0))</f>
        <v/>
      </c>
      <c r="I11" s="7">
        <f>VLOOKUP($A11,[6]HISTOMAI25!$A$6:$BB$47,41,0)</f>
        <v>0</v>
      </c>
      <c r="J11" s="7">
        <f>+TONTAVRIL25!F11+TONTAVRIL25!G11</f>
        <v>101000</v>
      </c>
      <c r="K11" s="7">
        <f>VLOOKUP($A11,[6]HISTOMAI25!$A$6:$BB$47,18,0)</f>
        <v>101000</v>
      </c>
      <c r="L11" s="7" t="str">
        <f>IF(K11&lt;&gt;0,VLOOKUP($A11,[6]HISTOMAI25!$A$6:$BB$47,42,0),"ECHEC")</f>
        <v>BANQUE</v>
      </c>
      <c r="M11" s="7" t="str">
        <f>IF(P11&lt;&gt;0,VLOOKUP($A11,[6]HISTOMAI25!$A$6:$BB$47,32,0),"ECHEC")</f>
        <v>ECHEC</v>
      </c>
      <c r="N11" s="7">
        <f>VLOOKUP($A11,[6]HISTOMAI25!$A$6:$BB$47,33,0)</f>
        <v>0</v>
      </c>
      <c r="O11" s="7">
        <f t="shared" si="0"/>
        <v>0</v>
      </c>
      <c r="P11" s="7">
        <f>VLOOKUP($A11,[6]HISTOMAI25!$A$6:$BB$47,31,0)</f>
        <v>0</v>
      </c>
    </row>
    <row r="12" spans="1:16" x14ac:dyDescent="0.35">
      <c r="A12" s="1" t="s">
        <v>26</v>
      </c>
      <c r="B12" s="7">
        <f>IF(D12=0,0,VLOOKUP($A12,[6]HISTOMAI25!$A$6:$BQ$47,14,0))</f>
        <v>1</v>
      </c>
      <c r="C12" s="1" t="str">
        <f>VLOOKUP(A12,[7]LISTADHERENT!A$5:H$60,3,0)</f>
        <v>KOUAMOU MOISE</v>
      </c>
      <c r="D12" s="7">
        <f>IF(E12="ECHEC",0,VLOOKUP($A12,[6]HISTOMAI25!$A$6:$BB$47,15,0))</f>
        <v>100000</v>
      </c>
      <c r="E12" s="7" t="str">
        <f>VLOOKUP($A12,[6]HISTOMAI25!$A$6:$BB$47,9,0)</f>
        <v>BANQUE</v>
      </c>
      <c r="F12" s="7">
        <f>VLOOKUP($A12,[6]HISTOMAI25!$A$6:$BB$47,37,0)</f>
        <v>100000</v>
      </c>
      <c r="G12" s="7">
        <f>VLOOKUP($A12,[6]HISTOMAI25!$A$6:$BB$47,40,0)</f>
        <v>2000</v>
      </c>
      <c r="H12" s="7">
        <f>IF(G12=0,"",VLOOKUP($A12,[6]HISTOFEV25!$A$6:$AV$47,42,0))</f>
        <v>0</v>
      </c>
      <c r="I12" s="7">
        <f>VLOOKUP($A12,[6]HISTOMAI25!$A$6:$BB$47,41,0)</f>
        <v>0</v>
      </c>
      <c r="J12" s="7">
        <f>+TONTAVRIL25!F12+TONTAVRIL25!G12</f>
        <v>0</v>
      </c>
      <c r="K12" s="7">
        <f>VLOOKUP($A12,[6]HISTOMAI25!$A$6:$BB$47,18,0)</f>
        <v>0</v>
      </c>
      <c r="L12" s="7" t="str">
        <f>IF(K12&lt;&gt;0,VLOOKUP($A12,[6]HISTOMAI25!$A$6:$BB$47,42,0),"ECHEC")</f>
        <v>ECHEC</v>
      </c>
      <c r="M12" s="7" t="str">
        <f>IF(P12&lt;&gt;0,VLOOKUP($A12,[6]HISTOMAI25!$A$6:$BB$47,32,0),"ECHEC")</f>
        <v>ECHEC</v>
      </c>
      <c r="N12" s="7">
        <f>VLOOKUP($A12,[6]HISTOMAI25!$A$6:$BB$47,33,0)</f>
        <v>0</v>
      </c>
      <c r="O12" s="7">
        <f t="shared" si="0"/>
        <v>0</v>
      </c>
      <c r="P12" s="7">
        <f>VLOOKUP($A12,[6]HISTOMAI25!$A$6:$BB$47,31,0)</f>
        <v>0</v>
      </c>
    </row>
    <row r="13" spans="1:16" x14ac:dyDescent="0.35">
      <c r="A13" s="1" t="s">
        <v>8</v>
      </c>
      <c r="B13" s="7">
        <f>IF(D13=0,0,VLOOKUP($A13,[6]HISTOMAI25!$A$6:$BQ$47,14,0))</f>
        <v>1</v>
      </c>
      <c r="C13" s="1" t="str">
        <f>VLOOKUP(A13,[7]LISTADHERENT!A$5:H$60,3,0)</f>
        <v>KOUATCHO MESSACK</v>
      </c>
      <c r="D13" s="7">
        <f>IF(E13="ECHEC",0,VLOOKUP($A13,[6]HISTOMAI25!$A$6:$BB$47,15,0))</f>
        <v>100000</v>
      </c>
      <c r="E13" s="7" t="str">
        <f>VLOOKUP($A13,[6]HISTOMAI25!$A$6:$BB$47,9,0)</f>
        <v>BANQUE</v>
      </c>
      <c r="F13" s="7">
        <f>VLOOKUP($A13,[6]HISTOMAI25!$A$6:$BB$47,37,0)</f>
        <v>100000</v>
      </c>
      <c r="G13" s="7">
        <f>VLOOKUP($A13,[6]HISTOMAI25!$A$6:$BB$47,40,0)</f>
        <v>1000</v>
      </c>
      <c r="H13" s="7" t="str">
        <f>IF(G13=0,"",VLOOKUP($A13,[6]HISTOFEV25!$A$6:$AV$47,42,0))</f>
        <v>BANQUE</v>
      </c>
      <c r="I13" s="7">
        <f>VLOOKUP($A13,[6]HISTOMAI25!$A$6:$BB$47,41,0)</f>
        <v>0</v>
      </c>
      <c r="J13" s="7">
        <f>+TONTAVRIL25!F13+TONTAVRIL25!G13</f>
        <v>101000</v>
      </c>
      <c r="K13" s="7">
        <f>VLOOKUP($A13,[6]HISTOMAI25!$A$6:$BB$47,18,0)</f>
        <v>101000</v>
      </c>
      <c r="L13" s="7" t="str">
        <f>IF(K13&lt;&gt;0,VLOOKUP($A13,[6]HISTOMAI25!$A$6:$BB$47,42,0),"ECHEC")</f>
        <v>BANQUE</v>
      </c>
      <c r="M13" s="7" t="str">
        <f>IF(P13&lt;&gt;0,VLOOKUP($A13,[6]HISTOMAI25!$A$6:$BB$47,32,0),"ECHEC")</f>
        <v>ECHEC</v>
      </c>
      <c r="N13" s="7">
        <f>VLOOKUP($A13,[6]HISTOMAI25!$A$6:$BB$47,33,0)</f>
        <v>0</v>
      </c>
      <c r="O13" s="7">
        <f t="shared" si="0"/>
        <v>0</v>
      </c>
      <c r="P13" s="7">
        <f>VLOOKUP($A13,[6]HISTOMAI25!$A$6:$BB$47,31,0)</f>
        <v>0</v>
      </c>
    </row>
    <row r="14" spans="1:16" x14ac:dyDescent="0.35">
      <c r="A14" s="1" t="s">
        <v>22</v>
      </c>
      <c r="B14" s="7">
        <f>IF(D14=0,0,VLOOKUP($A14,[6]HISTOMAI25!$A$6:$BQ$47,14,0))</f>
        <v>2</v>
      </c>
      <c r="C14" s="1" t="str">
        <f>VLOOKUP(A14,[7]LISTADHERENT!A$5:H$60,3,0)</f>
        <v>MBOGNING TUGMA GUY</v>
      </c>
      <c r="D14" s="7">
        <f>IF(E14="ECHEC",0,VLOOKUP($A14,[6]HISTOMAI25!$A$6:$BB$47,15,0))</f>
        <v>200000</v>
      </c>
      <c r="E14" s="7" t="str">
        <f>VLOOKUP($A14,[6]HISTOMAI25!$A$6:$BB$47,9,0)</f>
        <v>BANQUE</v>
      </c>
      <c r="F14" s="7">
        <f>VLOOKUP($A14,[6]HISTOMAI25!$A$6:$BB$47,37,0)</f>
        <v>200000</v>
      </c>
      <c r="G14" s="7">
        <f>VLOOKUP($A14,[6]HISTOMAI25!$A$6:$BB$47,40,0)</f>
        <v>2000</v>
      </c>
      <c r="H14" s="7" t="str">
        <f>IF(G14=0,"",VLOOKUP($A14,[6]HISTOFEV25!$A$6:$AV$47,42,0))</f>
        <v>BANQUE</v>
      </c>
      <c r="I14" s="7">
        <f>VLOOKUP($A14,[6]HISTOMAI25!$A$6:$BB$47,41,0)</f>
        <v>0</v>
      </c>
      <c r="J14" s="7">
        <f>+TONTAVRIL25!F14+TONTAVRIL25!G14</f>
        <v>202000</v>
      </c>
      <c r="K14" s="7">
        <f>VLOOKUP($A14,[6]HISTOMAI25!$A$6:$BB$47,18,0)</f>
        <v>202000</v>
      </c>
      <c r="L14" s="7" t="str">
        <f>IF(K14&lt;&gt;0,VLOOKUP($A14,[6]HISTOMAI25!$A$6:$BB$47,42,0),"ECHEC")</f>
        <v>BANQUE</v>
      </c>
      <c r="M14" s="7" t="str">
        <f>IF(P14&lt;&gt;0,VLOOKUP($A14,[6]HISTOMAI25!$A$6:$BB$47,32,0),"ECHEC")</f>
        <v>ECHEC</v>
      </c>
      <c r="N14" s="7">
        <f>VLOOKUP($A14,[6]HISTOMAI25!$A$6:$BB$47,33,0)</f>
        <v>0</v>
      </c>
      <c r="O14" s="7">
        <f t="shared" si="0"/>
        <v>0</v>
      </c>
      <c r="P14" s="7">
        <f>VLOOKUP($A14,[6]HISTOMAI25!$A$6:$BB$47,31,0)</f>
        <v>0</v>
      </c>
    </row>
    <row r="15" spans="1:16" x14ac:dyDescent="0.35">
      <c r="A15" s="1" t="s">
        <v>9</v>
      </c>
      <c r="B15" s="7">
        <f>IF(D15=0,0,VLOOKUP($A15,[6]HISTOMAI25!$A$6:$BQ$47,14,0))</f>
        <v>2</v>
      </c>
      <c r="C15" s="1" t="str">
        <f>VLOOKUP(A15,[7]LISTADHERENT!A$5:H$60,3,0)</f>
        <v>NDJOMO ETIENNE</v>
      </c>
      <c r="D15" s="7">
        <f>IF(E15="ECHEC",0,VLOOKUP($A15,[6]HISTOMAI25!$A$6:$BB$47,15,0))</f>
        <v>200000</v>
      </c>
      <c r="E15" s="7" t="str">
        <f>VLOOKUP($A15,[6]HISTOMAI25!$A$6:$BB$47,9,0)</f>
        <v>BANQUE</v>
      </c>
      <c r="F15" s="7">
        <f>VLOOKUP($A15,[6]HISTOMAI25!$A$6:$BB$47,37,0)</f>
        <v>200000</v>
      </c>
      <c r="G15" s="7">
        <f>VLOOKUP($A15,[6]HISTOMAI25!$A$6:$BB$47,40,0)</f>
        <v>2500</v>
      </c>
      <c r="H15" s="7" t="str">
        <f>IF(G15=0,"",VLOOKUP($A15,[6]HISTOFEV25!$A$6:$AV$47,42,0))</f>
        <v>BANQUE</v>
      </c>
      <c r="I15" s="7">
        <f>VLOOKUP($A15,[6]HISTOMAI25!$A$6:$BB$47,41,0)</f>
        <v>0</v>
      </c>
      <c r="J15" s="7">
        <f>+TONTAVRIL25!F15+TONTAVRIL25!G15</f>
        <v>195500</v>
      </c>
      <c r="K15" s="7">
        <f>VLOOKUP($A15,[6]HISTOMAI25!$A$6:$BB$47,18,0)</f>
        <v>195500</v>
      </c>
      <c r="L15" s="7" t="str">
        <f>IF(K15&lt;&gt;0,VLOOKUP($A15,[6]HISTOMAI25!$A$6:$BB$47,42,0),"ECHEC")</f>
        <v>BANQUE</v>
      </c>
      <c r="M15" s="7">
        <f>IF(P15&lt;&gt;0,VLOOKUP($A15,[6]HISTOMAI25!$A$6:$BB$47,32,0),"ECHEC")</f>
        <v>0</v>
      </c>
      <c r="N15" s="7">
        <f>VLOOKUP($A15,[6]HISTOMAI25!$A$6:$BB$47,33,0)</f>
        <v>0</v>
      </c>
      <c r="O15" s="7">
        <f t="shared" si="0"/>
        <v>1190000</v>
      </c>
      <c r="P15" s="7">
        <f>VLOOKUP($A15,[6]HISTOMAI25!$A$6:$BB$47,31,0)</f>
        <v>10000</v>
      </c>
    </row>
    <row r="16" spans="1:16" x14ac:dyDescent="0.35">
      <c r="A16" s="1" t="s">
        <v>10</v>
      </c>
      <c r="B16" s="7">
        <f>IF(D16=0,0,VLOOKUP($A16,[6]HISTOMAI25!$A$6:$BQ$47,14,0))</f>
        <v>1</v>
      </c>
      <c r="C16" s="1" t="str">
        <f>VLOOKUP(A16,[7]LISTADHERENT!A$5:H$60,3,0)</f>
        <v>NGONDIEP CLAUDE</v>
      </c>
      <c r="D16" s="7">
        <f>IF(E16="ECHEC",0,VLOOKUP($A16,[6]HISTOMAI25!$A$6:$BB$47,15,0))</f>
        <v>100000</v>
      </c>
      <c r="E16" s="7" t="str">
        <f>VLOOKUP($A16,[6]HISTOMAI25!$A$6:$BB$47,9,0)</f>
        <v>BANQUE</v>
      </c>
      <c r="F16" s="7">
        <f>VLOOKUP($A16,[6]HISTOMAI25!$A$6:$BB$47,37,0)</f>
        <v>130500</v>
      </c>
      <c r="G16" s="7">
        <f>VLOOKUP($A16,[6]HISTOMAI25!$A$6:$BB$47,40,0)</f>
        <v>2000</v>
      </c>
      <c r="H16" s="7">
        <f>IF(G16=0,"",VLOOKUP($A16,[6]HISTOFEV25!$A$6:$AV$47,42,0))</f>
        <v>0</v>
      </c>
      <c r="I16" s="7">
        <f>VLOOKUP($A16,[6]HISTOMAI25!$A$6:$BB$47,41,0)</f>
        <v>0</v>
      </c>
      <c r="J16" s="7">
        <f>+TONTAVRIL25!F16+TONTAVRIL25!G16</f>
        <v>203000</v>
      </c>
      <c r="K16" s="7">
        <f>VLOOKUP($A16,[6]HISTOMAI25!$A$6:$BB$47,18,0)</f>
        <v>203000</v>
      </c>
      <c r="L16" s="7" t="str">
        <f>IF(K16&lt;&gt;0,VLOOKUP($A16,[6]HISTOMAI25!$A$6:$BB$47,42,0),"ECHEC")</f>
        <v>BANQUE</v>
      </c>
      <c r="M16" s="7" t="str">
        <f>IF(P16&lt;&gt;0,VLOOKUP($A16,[6]HISTOMAI25!$A$6:$BB$47,32,0),"ECHEC")</f>
        <v>ECHEC</v>
      </c>
      <c r="N16" s="7">
        <f>VLOOKUP($A16,[6]HISTOMAI25!$A$6:$BB$47,33,0)</f>
        <v>0</v>
      </c>
      <c r="O16" s="7">
        <f t="shared" si="0"/>
        <v>0</v>
      </c>
      <c r="P16" s="7">
        <f>VLOOKUP($A16,[6]HISTOMAI25!$A$6:$BB$47,31,0)</f>
        <v>0</v>
      </c>
    </row>
    <row r="17" spans="1:16" x14ac:dyDescent="0.35">
      <c r="A17" s="1" t="s">
        <v>43</v>
      </c>
      <c r="B17" s="7">
        <f>IF(D17=0,0,VLOOKUP($A17,[6]HISTOMAI25!$A$6:$BQ$47,14,0))</f>
        <v>2</v>
      </c>
      <c r="C17" s="1" t="str">
        <f>VLOOKUP(A17,[7]LISTADHERENT!A$5:H$60,3,0)</f>
        <v>NGUIEMEGNI MATHIEU BLAISE</v>
      </c>
      <c r="D17" s="7">
        <f>IF(E17="ECHEC",0,VLOOKUP($A17,[6]HISTOMAI25!$A$6:$BB$47,15,0))</f>
        <v>200000</v>
      </c>
      <c r="E17" s="7" t="str">
        <f>VLOOKUP($A17,[6]HISTOMAI25!$A$6:$BB$47,9,0)</f>
        <v>BANQUE</v>
      </c>
      <c r="F17" s="7">
        <f>VLOOKUP($A17,[6]HISTOMAI25!$A$6:$BB$47,37,0)</f>
        <v>200000</v>
      </c>
      <c r="G17" s="7">
        <f>VLOOKUP($A17,[6]HISTOMAI25!$A$6:$BB$47,40,0)</f>
        <v>2500</v>
      </c>
      <c r="H17" s="7" t="str">
        <f>IF(G17=0,"",VLOOKUP($A17,[6]HISTOFEV25!$A$6:$AV$47,42,0))</f>
        <v>BANQUE</v>
      </c>
      <c r="I17" s="7">
        <f>VLOOKUP($A17,[6]HISTOMAI25!$A$6:$BB$47,41,0)</f>
        <v>0</v>
      </c>
      <c r="J17" s="7">
        <f>+TONTAVRIL25!F17+TONTAVRIL25!G17</f>
        <v>0</v>
      </c>
      <c r="K17" s="7">
        <f>VLOOKUP($A17,[6]HISTOMAI25!$A$6:$BB$47,18,0)</f>
        <v>0</v>
      </c>
      <c r="L17" s="7" t="str">
        <f>IF(K17&lt;&gt;0,VLOOKUP($A17,[6]HISTOMAI25!$A$6:$BB$47,42,0),"ECHEC")</f>
        <v>ECHEC</v>
      </c>
      <c r="M17" s="7" t="str">
        <f>IF(P17&lt;&gt;0,VLOOKUP($A17,[6]HISTOMAI25!$A$6:$BB$47,32,0),"ECHEC")</f>
        <v>ECHEC</v>
      </c>
      <c r="N17" s="7">
        <f>VLOOKUP($A17,[6]HISTOMAI25!$A$6:$BB$47,33,0)</f>
        <v>0</v>
      </c>
      <c r="O17" s="7">
        <f t="shared" si="0"/>
        <v>0</v>
      </c>
      <c r="P17" s="7">
        <f>VLOOKUP($A17,[6]HISTOMAI25!$A$6:$BB$47,31,0)</f>
        <v>0</v>
      </c>
    </row>
    <row r="18" spans="1:16" x14ac:dyDescent="0.35">
      <c r="A18" s="1" t="s">
        <v>54</v>
      </c>
      <c r="B18" s="7">
        <f>IF(D18=0,0,VLOOKUP($A18,[6]HISTOMAI25!$A$6:$BQ$47,14,0))</f>
        <v>2</v>
      </c>
      <c r="C18" s="1" t="str">
        <f>VLOOKUP(A18,[7]LISTADHERENT!A$5:H$60,3,0)</f>
        <v>SIME BRICE</v>
      </c>
      <c r="D18" s="7">
        <f>IF(E18="ECHEC",0,VLOOKUP($A18,[6]HISTOMAI25!$A$6:$BB$47,15,0))</f>
        <v>200000</v>
      </c>
      <c r="E18" s="7" t="str">
        <f>VLOOKUP($A18,[6]HISTOMAI25!$A$6:$BB$47,9,0)</f>
        <v>BANQUE</v>
      </c>
      <c r="F18" s="7">
        <f>VLOOKUP($A18,[6]HISTOMAI25!$A$6:$BB$47,37,0)</f>
        <v>0</v>
      </c>
      <c r="G18" s="7">
        <f>VLOOKUP($A18,[6]HISTOMAI25!$A$6:$BB$47,40,0)</f>
        <v>0</v>
      </c>
      <c r="H18" s="7" t="str">
        <f>IF(G18=0,"",VLOOKUP($A18,[6]HISTOFEV25!$A$6:$AV$47,42,0))</f>
        <v/>
      </c>
      <c r="I18" s="7">
        <f>VLOOKUP($A18,[6]HISTOMAI25!$A$6:$BB$47,41,0)</f>
        <v>0</v>
      </c>
      <c r="J18" s="7">
        <f>+TONTAVRIL25!F18+TONTAVRIL25!G18</f>
        <v>0</v>
      </c>
      <c r="K18" s="7">
        <f>VLOOKUP($A18,[6]HISTOMAI25!$A$6:$BB$47,18,0)</f>
        <v>0</v>
      </c>
      <c r="L18" s="7" t="str">
        <f>IF(K18&lt;&gt;0,VLOOKUP($A18,[6]HISTOMAI25!$A$6:$BB$47,42,0),"ECHEC")</f>
        <v>ECHEC</v>
      </c>
      <c r="M18" s="7">
        <f>IF(P18&lt;&gt;0,VLOOKUP($A18,[6]HISTOMAI25!$A$6:$BB$47,32,0),"ECHEC")</f>
        <v>0</v>
      </c>
      <c r="N18" s="7">
        <f>VLOOKUP($A18,[6]HISTOMAI25!$A$6:$BB$47,33,0)</f>
        <v>0</v>
      </c>
      <c r="O18" s="7">
        <f t="shared" si="0"/>
        <v>1185000</v>
      </c>
      <c r="P18" s="7">
        <f>VLOOKUP($A18,[6]HISTOMAI25!$A$6:$BB$47,31,0)</f>
        <v>15000</v>
      </c>
    </row>
    <row r="19" spans="1:16" x14ac:dyDescent="0.35">
      <c r="A19" s="1" t="s">
        <v>55</v>
      </c>
      <c r="B19" s="7">
        <f>IF(D19=0,0,VLOOKUP($A19,[6]HISTOMAI25!$A$6:$BQ$47,14,0))</f>
        <v>1</v>
      </c>
      <c r="C19" s="1" t="str">
        <f>VLOOKUP(A19,[7]LISTADHERENT!A$5:H$60,3,0)</f>
        <v>TCHOUATEU AUGUSTIN</v>
      </c>
      <c r="D19" s="7">
        <f>IF(E19="ECHEC",0,VLOOKUP($A19,[6]HISTOMAI25!$A$6:$BB$47,15,0))</f>
        <v>100000</v>
      </c>
      <c r="E19" s="7" t="str">
        <f>VLOOKUP($A19,[6]HISTOMAI25!$A$6:$BB$47,9,0)</f>
        <v>BANQUE</v>
      </c>
      <c r="F19" s="7">
        <f>VLOOKUP($A19,[6]HISTOMAI25!$A$6:$BB$47,37,0)</f>
        <v>0</v>
      </c>
      <c r="G19" s="7">
        <f>VLOOKUP($A19,[6]HISTOMAI25!$A$6:$BB$47,40,0)</f>
        <v>0</v>
      </c>
      <c r="H19" s="7" t="str">
        <f>IF(G19=0,"",VLOOKUP($A19,[6]HISTOFEV25!$A$6:$AV$47,42,0))</f>
        <v/>
      </c>
      <c r="I19" s="7">
        <f>VLOOKUP($A19,[6]HISTOMAI25!$A$6:$BB$47,41,0)</f>
        <v>0</v>
      </c>
      <c r="J19" s="7">
        <f>+TONTAVRIL25!F19+TONTAVRIL25!G19</f>
        <v>101000</v>
      </c>
      <c r="K19" s="7">
        <f>VLOOKUP($A19,[6]HISTOMAI25!$A$6:$BB$47,18,0)</f>
        <v>101000</v>
      </c>
      <c r="L19" s="7" t="str">
        <f>IF(K19&lt;&gt;0,VLOOKUP($A19,[6]HISTOMAI25!$A$6:$BB$47,42,0),"ECHEC")</f>
        <v>BANQUE</v>
      </c>
      <c r="M19" s="7" t="str">
        <f>IF(P19&lt;&gt;0,VLOOKUP($A19,[6]HISTOMAI25!$A$6:$BB$47,32,0),"ECHEC")</f>
        <v>ECHEC</v>
      </c>
      <c r="N19" s="7">
        <f>VLOOKUP($A19,[6]HISTOMAI25!$A$6:$BB$47,33,0)</f>
        <v>0</v>
      </c>
      <c r="O19" s="7">
        <f t="shared" si="0"/>
        <v>0</v>
      </c>
      <c r="P19" s="7">
        <f>VLOOKUP($A19,[6]HISTOMAI25!$A$6:$BB$47,31,0)</f>
        <v>0</v>
      </c>
    </row>
    <row r="20" spans="1:16" x14ac:dyDescent="0.35">
      <c r="A20" s="1" t="s">
        <v>46</v>
      </c>
      <c r="B20" s="7">
        <f>IF(D20=0,0,VLOOKUP($A20,[6]HISTOMAI25!$A$6:$BQ$47,14,0))</f>
        <v>1</v>
      </c>
      <c r="C20" s="1" t="str">
        <f>VLOOKUP(A20,[7]LISTADHERENT!A$5:H$60,3,0)</f>
        <v>SIMO PIERRE</v>
      </c>
      <c r="D20" s="7">
        <f>IF(E20="ECHEC",0,VLOOKUP($A20,[6]HISTOMAI25!$A$6:$BB$47,15,0))</f>
        <v>100000</v>
      </c>
      <c r="E20" s="7" t="str">
        <f>VLOOKUP($A20,[6]HISTOMAI25!$A$6:$BB$47,9,0)</f>
        <v>BANQUE</v>
      </c>
      <c r="F20" s="7">
        <f>VLOOKUP($A20,[6]HISTOMAI25!$A$6:$BB$47,37,0)</f>
        <v>0</v>
      </c>
      <c r="G20" s="7">
        <f>VLOOKUP($A20,[6]HISTOMAI25!$A$6:$BB$47,40,0)</f>
        <v>0</v>
      </c>
      <c r="H20" s="7" t="str">
        <f>IF(G20=0,"",VLOOKUP($A20,[6]HISTOFEV25!$A$6:$AV$47,42,0))</f>
        <v/>
      </c>
      <c r="I20" s="7">
        <f>VLOOKUP($A20,[6]HISTOMAI25!$A$6:$BB$47,41,0)</f>
        <v>0</v>
      </c>
      <c r="J20" s="7">
        <f>+TONTAVRIL25!F20+TONTAVRIL25!G20</f>
        <v>0</v>
      </c>
      <c r="K20" s="7">
        <f>VLOOKUP($A20,[6]HISTOMAI25!$A$6:$BB$47,18,0)</f>
        <v>0</v>
      </c>
      <c r="L20" s="7" t="str">
        <f>IF(K20&lt;&gt;0,VLOOKUP($A20,[6]HISTOMAI25!$A$6:$BB$47,42,0),"ECHEC")</f>
        <v>ECHEC</v>
      </c>
      <c r="M20" s="7" t="str">
        <f>IF(P20&lt;&gt;0,VLOOKUP($A20,[6]HISTOMAI25!$A$6:$BB$47,32,0),"ECHEC")</f>
        <v>ECHEC</v>
      </c>
      <c r="N20" s="7">
        <f>VLOOKUP($A20,[6]HISTOMAI25!$A$6:$BB$47,33,0)</f>
        <v>0</v>
      </c>
      <c r="O20" s="7">
        <f t="shared" si="0"/>
        <v>0</v>
      </c>
      <c r="P20" s="7">
        <f>VLOOKUP($A20,[6]HISTOMAI25!$A$6:$BB$47,31,0)</f>
        <v>0</v>
      </c>
    </row>
    <row r="21" spans="1:16" x14ac:dyDescent="0.35">
      <c r="A21" s="1" t="s">
        <v>53</v>
      </c>
      <c r="B21" s="7">
        <f>IF(D21=0,0,VLOOKUP($A21,[6]HISTOMAI25!$A$6:$BQ$47,14,0))</f>
        <v>2</v>
      </c>
      <c r="C21" s="1" t="str">
        <f>VLOOKUP(A21,[7]LISTADHERENT!A$5:H$60,3,0)</f>
        <v>YIALA ALAIN OSCAR</v>
      </c>
      <c r="D21" s="7">
        <f>IF(E21="ECHEC",0,VLOOKUP($A21,[6]HISTOMAI25!$A$6:$BB$47,15,0))</f>
        <v>200000</v>
      </c>
      <c r="E21" s="7" t="str">
        <f>VLOOKUP($A21,[6]HISTOMAI25!$A$6:$BB$47,9,0)</f>
        <v>BANQUE</v>
      </c>
      <c r="F21" s="7">
        <f>VLOOKUP($A21,[6]HISTOMAI25!$A$6:$BB$47,37,0)</f>
        <v>0</v>
      </c>
      <c r="G21" s="7">
        <f>VLOOKUP($A21,[6]HISTOMAI25!$A$6:$BB$47,40,0)</f>
        <v>0</v>
      </c>
      <c r="H21" s="7" t="str">
        <f>IF(G21=0,"",VLOOKUP($A21,[6]HISTOFEV25!$A$6:$AV$47,42,0))</f>
        <v/>
      </c>
      <c r="I21" s="7">
        <f>VLOOKUP($A21,[6]HISTOMAI25!$A$6:$BB$47,41,0)</f>
        <v>0</v>
      </c>
      <c r="J21" s="7">
        <f>+TONTAVRIL25!F21+TONTAVRIL25!G21</f>
        <v>0</v>
      </c>
      <c r="K21" s="7">
        <f>VLOOKUP($A21,[6]HISTOMAI25!$A$6:$BB$47,18,0)</f>
        <v>0</v>
      </c>
      <c r="L21" s="7" t="str">
        <f>IF(K21&lt;&gt;0,VLOOKUP($A21,[6]HISTOMAI25!$A$6:$BB$47,42,0),"ECHEC")</f>
        <v>ECHEC</v>
      </c>
      <c r="M21" s="7" t="str">
        <f>IF(P21&lt;&gt;0,VLOOKUP($A21,[6]HISTOMAI25!$A$6:$BB$47,32,0),"ECHEC")</f>
        <v>ECHEC</v>
      </c>
      <c r="N21" s="7">
        <f>VLOOKUP($A21,[6]HISTOMAI25!$A$6:$BB$47,33,0)</f>
        <v>0</v>
      </c>
      <c r="O21" s="7">
        <f t="shared" si="0"/>
        <v>0</v>
      </c>
      <c r="P21" s="7">
        <f>VLOOKUP($A21,[6]HISTOMAI25!$A$6:$BB$47,31,0)</f>
        <v>0</v>
      </c>
    </row>
    <row r="22" spans="1:16" x14ac:dyDescent="0.35">
      <c r="A22" s="1" t="s">
        <v>61</v>
      </c>
      <c r="B22" s="7">
        <f>IF(D22=0,0,VLOOKUP($A22,[6]HISTOMAI25!$A$6:$BQ$47,14,0))</f>
        <v>1</v>
      </c>
      <c r="C22" s="1" t="str">
        <f>VLOOKUP(A22,[7]LISTADHERENT!A$5:H$60,3,0)</f>
        <v>YOUMBI EMMANUEL</v>
      </c>
      <c r="D22" s="7">
        <f>IF(E22="ECHEC",0,VLOOKUP($A22,[6]HISTOMAI25!$A$6:$BB$47,15,0))</f>
        <v>100000</v>
      </c>
      <c r="E22" s="7" t="str">
        <f>VLOOKUP($A22,[6]HISTOMAI25!$A$6:$BB$47,9,0)</f>
        <v>BANQUE</v>
      </c>
      <c r="F22" s="7">
        <f>VLOOKUP($A22,[6]HISTOMAI25!$A$6:$BB$47,37,0)</f>
        <v>0</v>
      </c>
      <c r="G22" s="7">
        <f>VLOOKUP($A22,[6]HISTOMAI25!$A$6:$BB$47,40,0)</f>
        <v>0</v>
      </c>
      <c r="H22" s="7" t="str">
        <f>IF(G22=0,"",VLOOKUP($A22,[6]HISTOFEV25!$A$6:$AV$47,42,0))</f>
        <v/>
      </c>
      <c r="I22" s="7">
        <f>VLOOKUP($A22,[6]HISTOMAI25!$A$6:$BB$47,41,0)</f>
        <v>0</v>
      </c>
      <c r="J22" s="7">
        <f>+TONTAVRIL25!F22+TONTAVRIL25!G22</f>
        <v>0</v>
      </c>
      <c r="K22" s="7">
        <f>VLOOKUP($A22,[6]HISTOMAI25!$A$6:$BB$47,18,0)</f>
        <v>0</v>
      </c>
      <c r="L22" s="7" t="str">
        <f>IF(K22&lt;&gt;0,VLOOKUP($A22,[6]HISTOMAI25!$A$6:$BB$47,42,0),"ECHEC")</f>
        <v>ECHEC</v>
      </c>
      <c r="M22" s="7" t="str">
        <f>IF(P22&lt;&gt;0,VLOOKUP($A22,[6]HISTOMAI25!$A$6:$BB$47,32,0),"ECHEC")</f>
        <v>ECHEC</v>
      </c>
      <c r="N22" s="7">
        <f>VLOOKUP($A22,[6]HISTOMAI25!$A$6:$BB$47,33,0)</f>
        <v>0</v>
      </c>
      <c r="O22" s="7">
        <f t="shared" si="0"/>
        <v>0</v>
      </c>
      <c r="P22" s="7">
        <f>VLOOKUP($A22,[6]HISTOMAI25!$A$6:$BB$47,31,0)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24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2400000</v>
      </c>
      <c r="E25" s="8">
        <f t="shared" ref="E25:P25" si="1">SUM(E6:E22)</f>
        <v>0</v>
      </c>
      <c r="F25" s="8">
        <f t="shared" si="1"/>
        <v>1130500</v>
      </c>
      <c r="G25" s="8">
        <f>SUM(G6:G22)</f>
        <v>14000</v>
      </c>
      <c r="H25" s="8">
        <f t="shared" si="1"/>
        <v>0</v>
      </c>
      <c r="I25" s="8">
        <f t="shared" si="1"/>
        <v>0</v>
      </c>
      <c r="J25" s="8">
        <f t="shared" si="1"/>
        <v>1105500</v>
      </c>
      <c r="K25" s="8">
        <f t="shared" si="1"/>
        <v>1105500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2375000</v>
      </c>
      <c r="P25" s="8">
        <f t="shared" si="1"/>
        <v>25000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3505500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0</v>
      </c>
      <c r="I28" s="8"/>
      <c r="K28" s="8" t="s">
        <v>34</v>
      </c>
      <c r="L28" s="8">
        <f>C3*COUNTIF(O6:O22,"&gt;0")</f>
        <v>2400000</v>
      </c>
      <c r="M28" s="8">
        <f>D3</f>
        <v>2</v>
      </c>
      <c r="N28" s="8">
        <f>COUNTIF(O6:O21,"&gt;0")</f>
        <v>2</v>
      </c>
      <c r="O28" s="8"/>
    </row>
    <row r="29" spans="1:16" s="2" customFormat="1" ht="17.5" x14ac:dyDescent="0.35">
      <c r="C29" s="8" t="s">
        <v>7</v>
      </c>
      <c r="D29" s="8">
        <f>SUMIFS(D6:D22,E6:E22,"BANQUE")</f>
        <v>2400000</v>
      </c>
      <c r="E29" s="8">
        <f>SUMIFS(K6:K22,L6:L22,"BANQUE")</f>
        <v>1105500</v>
      </c>
      <c r="F29" s="8">
        <f>SUMIFS(F6:F22,H6:H22,"BANQUE")</f>
        <v>900000</v>
      </c>
      <c r="G29" s="8">
        <f>SUMIFS(O6:O22,M6:M22,"BANQUE")</f>
        <v>0</v>
      </c>
      <c r="H29" s="8">
        <f>D29+E29-F29-G29</f>
        <v>2605500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1356500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D28+D29+200000</f>
        <v>2600000</v>
      </c>
      <c r="E31" s="8">
        <f>E28+E29</f>
        <v>1105500</v>
      </c>
      <c r="F31" s="8">
        <f>F28+F29</f>
        <v>900000</v>
      </c>
      <c r="G31" s="8">
        <f t="shared" ref="G31:H31" si="2">G28+G29</f>
        <v>0</v>
      </c>
      <c r="H31" s="8">
        <f t="shared" si="2"/>
        <v>2605500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226000</v>
      </c>
      <c r="M32"/>
      <c r="N32" s="8">
        <f>L32</f>
        <v>226000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0</v>
      </c>
      <c r="N34" s="8">
        <f>L34+TONTFEV25!N34</f>
        <v>0</v>
      </c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L35+TONTFEV25!N35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AA29-E1CA-476D-88C7-02EAA03FFEAC}">
  <dimension ref="A1:P37"/>
  <sheetViews>
    <sheetView workbookViewId="0">
      <pane xSplit="3" ySplit="5" topLeftCell="F21" activePane="bottomRight" state="frozen"/>
      <selection activeCell="C4" sqref="C4:L4"/>
      <selection pane="topRight" activeCell="C4" sqref="C4:L4"/>
      <selection pane="bottomLeft" activeCell="C4" sqref="C4:L4"/>
      <selection pane="bottomRight" activeCell="D25" sqref="D25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2</v>
      </c>
      <c r="E3" s="1"/>
      <c r="L3" s="1"/>
      <c r="M3" s="1"/>
    </row>
    <row r="4" spans="1:16" s="12" customFormat="1" ht="17.5" x14ac:dyDescent="0.35">
      <c r="B4" s="13"/>
      <c r="C4" s="37">
        <v>45821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IF(D6=0,0,VLOOKUP($A6,[6]HISTOJUIN25!$A$6:$BQ$47,14,0))</f>
        <v>1</v>
      </c>
      <c r="C6" s="1" t="str">
        <f>VLOOKUP(A6,[7]LISTADHERENT!A$5:H$60,3,0)</f>
        <v>ASELBY</v>
      </c>
      <c r="D6" s="7">
        <f>IF(E6="ECHEC",0,VLOOKUP($A6,[6]HISTOJUIN25!$A$6:$BB$47,15,0))</f>
        <v>100000</v>
      </c>
      <c r="E6" s="7" t="str">
        <f>VLOOKUP($A6,[6]HISTOJUIN25!$A$6:$BB$47,9,0)</f>
        <v>BANQUE</v>
      </c>
      <c r="F6" s="7">
        <f>VLOOKUP($A6,[6]HISTOJUIN25!$A$6:$BB$47,37,0)</f>
        <v>0</v>
      </c>
      <c r="G6" s="7">
        <f>VLOOKUP($A6,[6]HISTOJUIN25!$A$6:$BB$47,40,0)</f>
        <v>0</v>
      </c>
      <c r="H6" s="7" t="str">
        <f>IF(G6=0,"",VLOOKUP($A6,[6]HISTOJUIN25!$A$6:$AV$47,42,0))</f>
        <v/>
      </c>
      <c r="I6" s="7">
        <f>VLOOKUP($A6,[6]HISTOJUIN25!$A$6:$BB$47,41,0)</f>
        <v>0</v>
      </c>
      <c r="J6" s="7">
        <f>+TONTJUIN25!F6+TONTJUIN25!G6</f>
        <v>0</v>
      </c>
      <c r="K6" s="7">
        <f>VLOOKUP($A6,[6]HISTOJUIN25!$A$6:$BB$47,18,0)</f>
        <v>0</v>
      </c>
      <c r="L6" s="7" t="str">
        <f>IF(K6&lt;&gt;0,VLOOKUP($A6,[6]HISTOJUIN25!$A$6:$BB$47,42,0),"ECHEC")</f>
        <v>ECHEC</v>
      </c>
      <c r="M6" s="7">
        <f>IF(P6&lt;&gt;0,VLOOKUP($A6,[6]HISTOJUIN25!$A$6:$BB$47,32,0),"ECHEC")</f>
        <v>0</v>
      </c>
      <c r="N6" s="7">
        <f>VLOOKUP($A6,[6]HISTOJUIN25!$A$6:$BB$47,33,0)</f>
        <v>0</v>
      </c>
      <c r="O6" s="7">
        <f t="shared" ref="O6:O22" si="0">IF(P6=0,0,($C$3-P6))</f>
        <v>1190000</v>
      </c>
      <c r="P6" s="7">
        <f>VLOOKUP($A6,[6]HISTOJUIN25!$A$6:$BB$47,31,0)</f>
        <v>10000</v>
      </c>
    </row>
    <row r="7" spans="1:16" x14ac:dyDescent="0.35">
      <c r="A7" s="1" t="s">
        <v>47</v>
      </c>
      <c r="B7" s="7">
        <f>IF(D7=0,0,VLOOKUP($A7,[6]HISTOJUIN25!$A$6:$BQ$47,14,0))</f>
        <v>2</v>
      </c>
      <c r="C7" s="1" t="str">
        <f>VLOOKUP(A7,[7]LISTADHERENT!A$5:H$60,3,0)</f>
        <v xml:space="preserve">DJOMO JEAN PAUL </v>
      </c>
      <c r="D7" s="7">
        <f>IF(E7="ECHEC",0,VLOOKUP($A7,[6]HISTOJUIN25!$A$6:$BB$47,15,0))</f>
        <v>200000</v>
      </c>
      <c r="E7" s="7" t="str">
        <f>VLOOKUP($A7,[6]HISTOJUIN25!$A$6:$BB$47,9,0)</f>
        <v>ESPECES</v>
      </c>
      <c r="F7" s="7">
        <f>VLOOKUP($A7,[6]HISTOJUIN25!$A$6:$BB$47,37,0)</f>
        <v>0</v>
      </c>
      <c r="G7" s="7">
        <f>VLOOKUP($A7,[6]HISTOJUIN25!$A$6:$BB$47,40,0)</f>
        <v>0</v>
      </c>
      <c r="H7" s="7" t="str">
        <f>IF(G7=0,"",VLOOKUP($A7,[6]HISTOJUIN25!$A$6:$AV$47,42,0))</f>
        <v/>
      </c>
      <c r="I7" s="7">
        <f>VLOOKUP($A7,[6]HISTOJUIN25!$A$6:$BB$47,41,0)</f>
        <v>0</v>
      </c>
      <c r="J7" s="7">
        <f>+TONTJUIN25!F7+TONTJUIN25!G7</f>
        <v>0</v>
      </c>
      <c r="K7" s="7">
        <f>VLOOKUP($A7,[6]HISTOJUIN25!$A$6:$BB$47,18,0)</f>
        <v>0</v>
      </c>
      <c r="L7" s="7" t="str">
        <f>IF(K7&lt;&gt;0,VLOOKUP($A7,[6]HISTOJUIN25!$A$6:$BB$47,42,0),"ECHEC")</f>
        <v>ECHEC</v>
      </c>
      <c r="M7" s="7" t="str">
        <f>IF(P7&lt;&gt;0,VLOOKUP($A7,[6]HISTOJUIN25!$A$6:$BB$47,32,0),"ECHEC")</f>
        <v>ECHEC</v>
      </c>
      <c r="N7" s="7">
        <f>VLOOKUP($A7,[6]HISTOJUIN25!$A$6:$BB$47,33,0)</f>
        <v>0</v>
      </c>
      <c r="O7" s="7">
        <f t="shared" si="0"/>
        <v>0</v>
      </c>
      <c r="P7" s="7">
        <f>VLOOKUP($A7,[6]HISTOJUIN25!$A$6:$BB$47,31,0)</f>
        <v>0</v>
      </c>
    </row>
    <row r="8" spans="1:16" x14ac:dyDescent="0.35">
      <c r="A8" s="1" t="s">
        <v>60</v>
      </c>
      <c r="B8" s="7">
        <f>IF(D8=0,0,VLOOKUP($A8,[6]HISTOJUIN25!$A$6:$BQ$47,14,0))</f>
        <v>1</v>
      </c>
      <c r="C8" s="1" t="str">
        <f>VLOOKUP(A8,[7]LISTADHERENT!A$5:H$60,3,0)</f>
        <v>DJOUKWE NANGUEN GUY BLAISE</v>
      </c>
      <c r="D8" s="7">
        <f>IF(E8="ECHEC",0,VLOOKUP($A8,[6]HISTOJUIN25!$A$6:$BB$47,15,0))</f>
        <v>100000</v>
      </c>
      <c r="E8" s="7" t="str">
        <f>VLOOKUP($A8,[6]HISTOJUIN25!$A$6:$BB$47,9,0)</f>
        <v>BANQUE</v>
      </c>
      <c r="F8" s="7">
        <f>VLOOKUP($A8,[6]HISTOJUIN25!$A$6:$BB$47,37,0)</f>
        <v>200000</v>
      </c>
      <c r="G8" s="7">
        <f>VLOOKUP($A8,[6]HISTOJUIN25!$A$6:$BB$47,40,0)</f>
        <v>7500</v>
      </c>
      <c r="H8" s="7" t="str">
        <f>IF(G8=0,"",VLOOKUP($A8,[6]HISTOJUIN25!$A$6:$AV$47,42,0))</f>
        <v>BANQUE</v>
      </c>
      <c r="I8" s="7">
        <f>VLOOKUP($A8,[6]HISTOJUIN25!$A$6:$BB$47,41,0)</f>
        <v>0</v>
      </c>
      <c r="J8" s="7">
        <f>+TONTJUIN25!F8+TONTJUIN25!G8</f>
        <v>207500</v>
      </c>
      <c r="K8" s="7">
        <f>VLOOKUP($A8,[6]HISTOJUIN25!$A$6:$BB$47,18,0)</f>
        <v>207500</v>
      </c>
      <c r="L8" s="7" t="str">
        <f>IF(K8&lt;&gt;0,VLOOKUP($A8,[6]HISTOJUIN25!$A$6:$BB$47,42,0),"ECHEC")</f>
        <v>BANQUE</v>
      </c>
      <c r="M8" s="7" t="str">
        <f>IF(P8&lt;&gt;0,VLOOKUP($A8,[6]HISTOJUIN25!$A$6:$BB$47,32,0),"ECHEC")</f>
        <v>ECHEC</v>
      </c>
      <c r="N8" s="7">
        <f>VLOOKUP($A8,[6]HISTOJUIN25!$A$6:$BB$47,33,0)</f>
        <v>0</v>
      </c>
      <c r="O8" s="7">
        <f t="shared" si="0"/>
        <v>0</v>
      </c>
      <c r="P8" s="7">
        <f>VLOOKUP($A8,[6]HISTOJUIN25!$A$6:$BB$47,31,0)</f>
        <v>0</v>
      </c>
    </row>
    <row r="9" spans="1:16" x14ac:dyDescent="0.35">
      <c r="A9" s="1" t="s">
        <v>20</v>
      </c>
      <c r="B9" s="7">
        <f>IF(D9=0,0,VLOOKUP($A9,[6]HISTOJUIN25!$A$6:$BQ$47,14,0))</f>
        <v>2</v>
      </c>
      <c r="C9" s="1" t="str">
        <f>VLOOKUP(A9,[7]LISTADHERENT!A$5:H$60,3,0)</f>
        <v>DJUOMBESSY ANTOINE</v>
      </c>
      <c r="D9" s="7">
        <f>IF(E9="ECHEC",0,VLOOKUP($A9,[6]HISTOJUIN25!$A$6:$BB$47,15,0))</f>
        <v>200000</v>
      </c>
      <c r="E9" s="7" t="str">
        <f>VLOOKUP($A9,[6]HISTOJUIN25!$A$6:$BB$47,9,0)</f>
        <v>BANQUE</v>
      </c>
      <c r="F9" s="7">
        <f>VLOOKUP($A9,[6]HISTOJUIN25!$A$6:$BB$47,37,0)</f>
        <v>200000</v>
      </c>
      <c r="G9" s="7">
        <f>VLOOKUP($A9,[6]HISTOJUIN25!$A$6:$BB$47,40,0)</f>
        <v>3000</v>
      </c>
      <c r="H9" s="7" t="str">
        <f>IF(G9=0,"",VLOOKUP($A9,[6]HISTOJUIN25!$A$6:$AV$47,42,0))</f>
        <v>BANQUE</v>
      </c>
      <c r="I9" s="7">
        <f>VLOOKUP($A9,[6]HISTOJUIN25!$A$6:$BB$47,41,0)</f>
        <v>0</v>
      </c>
      <c r="J9" s="7">
        <f>+TONTJUIN25!F9+TONTJUIN25!G9</f>
        <v>203000</v>
      </c>
      <c r="K9" s="7">
        <f>VLOOKUP($A9,[6]HISTOJUIN25!$A$6:$BB$47,18,0)</f>
        <v>203000</v>
      </c>
      <c r="L9" s="7" t="str">
        <f>IF(K9&lt;&gt;0,VLOOKUP($A9,[6]HISTOJUIN25!$A$6:$BB$47,42,0),"ECHEC")</f>
        <v>BANQUE</v>
      </c>
      <c r="M9" s="7" t="str">
        <f>IF(P9&lt;&gt;0,VLOOKUP($A9,[6]HISTOJUIN25!$A$6:$BB$47,32,0),"ECHEC")</f>
        <v>ECHEC</v>
      </c>
      <c r="N9" s="7">
        <f>VLOOKUP($A9,[6]HISTOJUIN25!$A$6:$BB$47,33,0)</f>
        <v>0</v>
      </c>
      <c r="O9" s="7">
        <f t="shared" si="0"/>
        <v>0</v>
      </c>
      <c r="P9" s="7">
        <f>VLOOKUP($A9,[6]HISTOJUIN25!$A$6:$BB$47,31,0)</f>
        <v>0</v>
      </c>
    </row>
    <row r="10" spans="1:16" x14ac:dyDescent="0.35">
      <c r="A10" s="1" t="s">
        <v>62</v>
      </c>
      <c r="B10" s="7">
        <f>IF(D10=0,0,VLOOKUP($A10,[6]HISTOJUIN25!$A$6:$BQ$47,14,0))</f>
        <v>1</v>
      </c>
      <c r="C10" s="1" t="str">
        <f>VLOOKUP(A10,[7]LISTADHERENT!A$5:H$60,3,0)</f>
        <v>FAMPOU PAUL</v>
      </c>
      <c r="D10" s="7">
        <f>IF(E10="ECHEC",0,VLOOKUP($A10,[6]HISTOJUIN25!$A$6:$BB$47,15,0))</f>
        <v>100000</v>
      </c>
      <c r="E10" s="7" t="str">
        <f>VLOOKUP($A10,[6]HISTOJUIN25!$A$6:$BB$47,9,0)</f>
        <v>BANQUE</v>
      </c>
      <c r="F10" s="7">
        <f>VLOOKUP($A10,[6]HISTOJUIN25!$A$6:$BB$47,37,0)</f>
        <v>0</v>
      </c>
      <c r="G10" s="7">
        <f>VLOOKUP($A10,[6]HISTOJUIN25!$A$6:$BB$47,40,0)</f>
        <v>0</v>
      </c>
      <c r="H10" s="7" t="str">
        <f>IF(G10=0,"",VLOOKUP($A10,[6]HISTOJUIN25!$A$6:$AV$47,42,0))</f>
        <v/>
      </c>
      <c r="I10" s="7">
        <f>VLOOKUP($A10,[6]HISTOJUIN25!$A$6:$BB$47,41,0)</f>
        <v>0</v>
      </c>
      <c r="J10" s="7">
        <f>+TONTJUIN25!F10+TONTJUIN25!G10</f>
        <v>0</v>
      </c>
      <c r="K10" s="7">
        <f>VLOOKUP($A10,[6]HISTOJUIN25!$A$6:$BB$47,18,0)</f>
        <v>0</v>
      </c>
      <c r="L10" s="7" t="str">
        <f>IF(K10&lt;&gt;0,VLOOKUP($A10,[6]HISTOJUIN25!$A$6:$BB$47,42,0),"ECHEC")</f>
        <v>ECHEC</v>
      </c>
      <c r="M10" s="7" t="str">
        <f>IF(P10&lt;&gt;0,VLOOKUP($A10,[6]HISTOJUIN25!$A$6:$BB$47,32,0),"ECHEC")</f>
        <v>ECHEC</v>
      </c>
      <c r="N10" s="7">
        <f>VLOOKUP($A10,[6]HISTOJUIN25!$A$6:$BB$47,33,0)</f>
        <v>0</v>
      </c>
      <c r="O10" s="7">
        <f t="shared" si="0"/>
        <v>0</v>
      </c>
      <c r="P10" s="7">
        <f>VLOOKUP($A10,[6]HISTOJUIN25!$A$6:$BB$47,31,0)</f>
        <v>0</v>
      </c>
    </row>
    <row r="11" spans="1:16" x14ac:dyDescent="0.35">
      <c r="A11" s="1" t="s">
        <v>21</v>
      </c>
      <c r="B11" s="7">
        <f>IF(D11=0,0,VLOOKUP($A11,[6]HISTOJUIN25!$A$6:$BQ$47,14,0))</f>
        <v>1</v>
      </c>
      <c r="C11" s="1" t="str">
        <f>VLOOKUP(A11,[7]LISTADHERENT!A$5:H$60,3,0)</f>
        <v>HOTCHO BENJAMIN</v>
      </c>
      <c r="D11" s="7">
        <f>IF(E11="ECHEC",0,VLOOKUP($A11,[6]HISTOJUIN25!$A$6:$BB$47,15,0))</f>
        <v>100000</v>
      </c>
      <c r="E11" s="7" t="str">
        <f>VLOOKUP($A11,[6]HISTOJUIN25!$A$6:$BB$47,9,0)</f>
        <v>BANQUE</v>
      </c>
      <c r="F11" s="7">
        <f>VLOOKUP($A11,[6]HISTOJUIN25!$A$6:$BB$47,37,0)</f>
        <v>0</v>
      </c>
      <c r="G11" s="7">
        <f>VLOOKUP($A11,[6]HISTOJUIN25!$A$6:$BB$47,40,0)</f>
        <v>0</v>
      </c>
      <c r="H11" s="7" t="str">
        <f>IF(G11=0,"",VLOOKUP($A11,[6]HISTOJUIN25!$A$6:$AV$47,42,0))</f>
        <v/>
      </c>
      <c r="I11" s="7">
        <f>VLOOKUP($A11,[6]HISTOJUIN25!$A$6:$BB$47,41,0)</f>
        <v>0</v>
      </c>
      <c r="J11" s="7">
        <f>+TONTJUIN25!F11+TONTJUIN25!G11</f>
        <v>0</v>
      </c>
      <c r="K11" s="7">
        <f>VLOOKUP($A11,[6]HISTOJUIN25!$A$6:$BB$47,18,0)</f>
        <v>0</v>
      </c>
      <c r="L11" s="7" t="str">
        <f>IF(K11&lt;&gt;0,VLOOKUP($A11,[6]HISTOJUIN25!$A$6:$BB$47,42,0),"ECHEC")</f>
        <v>ECHEC</v>
      </c>
      <c r="M11" s="7" t="str">
        <f>IF(P11&lt;&gt;0,VLOOKUP($A11,[6]HISTOJUIN25!$A$6:$BB$47,32,0),"ECHEC")</f>
        <v>ECHEC</v>
      </c>
      <c r="N11" s="7">
        <f>VLOOKUP($A11,[6]HISTOJUIN25!$A$6:$BB$47,33,0)</f>
        <v>0</v>
      </c>
      <c r="O11" s="7">
        <f t="shared" si="0"/>
        <v>0</v>
      </c>
      <c r="P11" s="7">
        <f>VLOOKUP($A11,[6]HISTOJUIN25!$A$6:$BB$47,31,0)</f>
        <v>0</v>
      </c>
    </row>
    <row r="12" spans="1:16" x14ac:dyDescent="0.35">
      <c r="A12" s="1" t="s">
        <v>26</v>
      </c>
      <c r="B12" s="7">
        <f>IF(D12=0,0,VLOOKUP($A12,[6]HISTOJUIN25!$A$6:$BQ$47,14,0))</f>
        <v>1</v>
      </c>
      <c r="C12" s="1" t="str">
        <f>VLOOKUP(A12,[7]LISTADHERENT!A$5:H$60,3,0)</f>
        <v>KOUAMOU MOISE</v>
      </c>
      <c r="D12" s="7">
        <f>IF(E12="ECHEC",0,VLOOKUP($A12,[6]HISTOJUIN25!$A$6:$BB$47,15,0))</f>
        <v>100000</v>
      </c>
      <c r="E12" s="7" t="str">
        <f>VLOOKUP($A12,[6]HISTOJUIN25!$A$6:$BB$47,9,0)</f>
        <v>BANQUE</v>
      </c>
      <c r="F12" s="7">
        <f>VLOOKUP($A12,[6]HISTOJUIN25!$A$6:$BB$47,37,0)</f>
        <v>102000</v>
      </c>
      <c r="G12" s="7">
        <f>VLOOKUP($A12,[6]HISTOJUIN25!$A$6:$BB$47,40,0)</f>
        <v>4000</v>
      </c>
      <c r="H12" s="7" t="str">
        <f>IF(G12=0,"",VLOOKUP($A12,[6]HISTOJUIN25!$A$6:$AV$47,42,0))</f>
        <v>BANQUE</v>
      </c>
      <c r="I12" s="7">
        <f>VLOOKUP($A12,[6]HISTOJUIN25!$A$6:$BB$47,41,0)</f>
        <v>0</v>
      </c>
      <c r="J12" s="7">
        <f>+TONTJUIN25!F12+TONTJUIN25!G12</f>
        <v>106000</v>
      </c>
      <c r="K12" s="7">
        <f>VLOOKUP($A12,[6]HISTOJUIN25!$A$6:$BB$47,18,0)</f>
        <v>106000</v>
      </c>
      <c r="L12" s="7" t="str">
        <f>IF(K12&lt;&gt;0,VLOOKUP($A12,[6]HISTOJUIN25!$A$6:$BB$47,42,0),"ECHEC")</f>
        <v>BANQUE</v>
      </c>
      <c r="M12" s="7" t="str">
        <f>IF(P12&lt;&gt;0,VLOOKUP($A12,[6]HISTOJUIN25!$A$6:$BB$47,32,0),"ECHEC")</f>
        <v>ECHEC</v>
      </c>
      <c r="N12" s="7">
        <f>VLOOKUP($A12,[6]HISTOJUIN25!$A$6:$BB$47,33,0)</f>
        <v>0</v>
      </c>
      <c r="O12" s="7">
        <f t="shared" si="0"/>
        <v>0</v>
      </c>
      <c r="P12" s="7">
        <f>VLOOKUP($A12,[6]HISTOJUIN25!$A$6:$BB$47,31,0)</f>
        <v>0</v>
      </c>
    </row>
    <row r="13" spans="1:16" x14ac:dyDescent="0.35">
      <c r="A13" s="1" t="s">
        <v>8</v>
      </c>
      <c r="B13" s="7">
        <f>IF(D13=0,0,VLOOKUP($A13,[6]HISTOJUIN25!$A$6:$BQ$47,14,0))</f>
        <v>1</v>
      </c>
      <c r="C13" s="1" t="str">
        <f>VLOOKUP(A13,[7]LISTADHERENT!A$5:H$60,3,0)</f>
        <v>KOUATCHO MESSACK</v>
      </c>
      <c r="D13" s="7">
        <f>IF(E13="ECHEC",0,VLOOKUP($A13,[6]HISTOJUIN25!$A$6:$BB$47,15,0))</f>
        <v>100000</v>
      </c>
      <c r="E13" s="7" t="str">
        <f>VLOOKUP($A13,[6]HISTOJUIN25!$A$6:$BB$47,9,0)</f>
        <v>BANQUE</v>
      </c>
      <c r="F13" s="7">
        <f>VLOOKUP($A13,[6]HISTOJUIN25!$A$6:$BB$47,37,0)</f>
        <v>0</v>
      </c>
      <c r="G13" s="7">
        <f>VLOOKUP($A13,[6]HISTOJUIN25!$A$6:$BB$47,40,0)</f>
        <v>0</v>
      </c>
      <c r="H13" s="7" t="str">
        <f>IF(G13=0,"",VLOOKUP($A13,[6]HISTOJUIN25!$A$6:$AV$47,42,0))</f>
        <v/>
      </c>
      <c r="I13" s="7">
        <f>VLOOKUP($A13,[6]HISTOJUIN25!$A$6:$BB$47,41,0)</f>
        <v>0</v>
      </c>
      <c r="J13" s="7">
        <f>+TONTJUIN25!F13+TONTJUIN25!G13</f>
        <v>0</v>
      </c>
      <c r="K13" s="7">
        <f>VLOOKUP($A13,[6]HISTOJUIN25!$A$6:$BB$47,18,0)</f>
        <v>0</v>
      </c>
      <c r="L13" s="7" t="str">
        <f>IF(K13&lt;&gt;0,VLOOKUP($A13,[6]HISTOJUIN25!$A$6:$BB$47,42,0),"ECHEC")</f>
        <v>ECHEC</v>
      </c>
      <c r="M13" s="7" t="str">
        <f>IF(P13&lt;&gt;0,VLOOKUP($A13,[6]HISTOJUIN25!$A$6:$BB$47,32,0),"ECHEC")</f>
        <v>ECHEC</v>
      </c>
      <c r="N13" s="7">
        <f>VLOOKUP($A13,[6]HISTOJUIN25!$A$6:$BB$47,33,0)</f>
        <v>0</v>
      </c>
      <c r="O13" s="7">
        <f t="shared" si="0"/>
        <v>0</v>
      </c>
      <c r="P13" s="7">
        <f>VLOOKUP($A13,[6]HISTOJUIN25!$A$6:$BB$47,31,0)</f>
        <v>0</v>
      </c>
    </row>
    <row r="14" spans="1:16" x14ac:dyDescent="0.35">
      <c r="A14" s="1" t="s">
        <v>22</v>
      </c>
      <c r="B14" s="7">
        <f>IF(D14=0,0,VLOOKUP($A14,[6]HISTOJUIN25!$A$6:$BQ$47,14,0))</f>
        <v>2</v>
      </c>
      <c r="C14" s="1" t="str">
        <f>VLOOKUP(A14,[7]LISTADHERENT!A$5:H$60,3,0)</f>
        <v>MBOGNING TUGMA GUY</v>
      </c>
      <c r="D14" s="7">
        <f>IF(E14="ECHEC",0,VLOOKUP($A14,[6]HISTOJUIN25!$A$6:$BB$47,15,0))</f>
        <v>200000</v>
      </c>
      <c r="E14" s="7" t="str">
        <f>VLOOKUP($A14,[6]HISTOJUIN25!$A$6:$BB$47,9,0)</f>
        <v>BANQUE</v>
      </c>
      <c r="F14" s="7">
        <f>VLOOKUP($A14,[6]HISTOJUIN25!$A$6:$BB$47,37,0)</f>
        <v>200000</v>
      </c>
      <c r="G14" s="7">
        <f>VLOOKUP($A14,[6]HISTOJUIN25!$A$6:$BB$47,40,0)</f>
        <v>4500</v>
      </c>
      <c r="H14" s="7" t="str">
        <f>IF(G14=0,"",VLOOKUP($A14,[6]HISTOJUIN25!$A$6:$AV$47,42,0))</f>
        <v>BANQUE</v>
      </c>
      <c r="I14" s="7">
        <f>VLOOKUP($A14,[6]HISTOJUIN25!$A$6:$BB$47,41,0)</f>
        <v>0</v>
      </c>
      <c r="J14" s="7">
        <f>+TONTJUIN25!F14+TONTJUIN25!G14</f>
        <v>204500</v>
      </c>
      <c r="K14" s="7">
        <f>VLOOKUP($A14,[6]HISTOJUIN25!$A$6:$BB$47,18,0)</f>
        <v>204500</v>
      </c>
      <c r="L14" s="7" t="str">
        <f>IF(K14&lt;&gt;0,VLOOKUP($A14,[6]HISTOJUIN25!$A$6:$BB$47,42,0),"ECHEC")</f>
        <v>BANQUE</v>
      </c>
      <c r="M14" s="7" t="str">
        <f>IF(P14&lt;&gt;0,VLOOKUP($A14,[6]HISTOJUIN25!$A$6:$BB$47,32,0),"ECHEC")</f>
        <v>ECHEC</v>
      </c>
      <c r="N14" s="7">
        <f>VLOOKUP($A14,[6]HISTOJUIN25!$A$6:$BB$47,33,0)</f>
        <v>0</v>
      </c>
      <c r="O14" s="7">
        <f t="shared" si="0"/>
        <v>0</v>
      </c>
      <c r="P14" s="7">
        <f>VLOOKUP($A14,[6]HISTOJUIN25!$A$6:$BB$47,31,0)</f>
        <v>0</v>
      </c>
    </row>
    <row r="15" spans="1:16" x14ac:dyDescent="0.35">
      <c r="A15" s="1" t="s">
        <v>9</v>
      </c>
      <c r="B15" s="7">
        <f>IF(D15=0,0,VLOOKUP($A15,[6]HISTOJUIN25!$A$6:$BQ$47,14,0))</f>
        <v>2</v>
      </c>
      <c r="C15" s="1" t="str">
        <f>VLOOKUP(A15,[7]LISTADHERENT!A$5:H$60,3,0)</f>
        <v>NDJOMO ETIENNE</v>
      </c>
      <c r="D15" s="7">
        <f>IF(E15="ECHEC",0,VLOOKUP($A15,[6]HISTOJUIN25!$A$6:$BB$47,15,0))</f>
        <v>200000</v>
      </c>
      <c r="E15" s="7" t="str">
        <f>VLOOKUP($A15,[6]HISTOJUIN25!$A$6:$BB$47,9,0)</f>
        <v>BANQUE</v>
      </c>
      <c r="F15" s="7">
        <f>VLOOKUP($A15,[6]HISTOJUIN25!$A$6:$BB$47,37,0)</f>
        <v>200000</v>
      </c>
      <c r="G15" s="7">
        <f>VLOOKUP($A15,[6]HISTOJUIN25!$A$6:$BB$47,40,0)</f>
        <v>6500</v>
      </c>
      <c r="H15" s="7" t="str">
        <f>IF(G15=0,"",VLOOKUP($A15,[6]HISTOJUIN25!$A$6:$AV$47,42,0))</f>
        <v>BANQUE</v>
      </c>
      <c r="I15" s="7">
        <f>VLOOKUP($A15,[6]HISTOJUIN25!$A$6:$BB$47,41,0)</f>
        <v>0</v>
      </c>
      <c r="J15" s="7">
        <f>+TONTJUIN25!F15+TONTJUIN25!G15</f>
        <v>206500</v>
      </c>
      <c r="K15" s="7">
        <f>VLOOKUP($A15,[6]HISTOJUIN25!$A$6:$BB$47,18,0)</f>
        <v>206500</v>
      </c>
      <c r="L15" s="7" t="str">
        <f>IF(K15&lt;&gt;0,VLOOKUP($A15,[6]HISTOJUIN25!$A$6:$BB$47,42,0),"ECHEC")</f>
        <v>BANQUE</v>
      </c>
      <c r="M15" s="7" t="str">
        <f>IF(P15&lt;&gt;0,VLOOKUP($A15,[6]HISTOJUIN25!$A$6:$BB$47,32,0),"ECHEC")</f>
        <v>ECHEC</v>
      </c>
      <c r="N15" s="7">
        <f>VLOOKUP($A15,[6]HISTOJUIN25!$A$6:$BB$47,33,0)</f>
        <v>0</v>
      </c>
      <c r="O15" s="7">
        <f t="shared" si="0"/>
        <v>0</v>
      </c>
      <c r="P15" s="7">
        <f>VLOOKUP($A15,[6]HISTOJUIN25!$A$6:$BB$47,31,0)</f>
        <v>0</v>
      </c>
    </row>
    <row r="16" spans="1:16" x14ac:dyDescent="0.35">
      <c r="A16" s="1" t="s">
        <v>10</v>
      </c>
      <c r="B16" s="7">
        <f>IF(D16=0,0,VLOOKUP($A16,[6]HISTOJUIN25!$A$6:$BQ$47,14,0))</f>
        <v>1</v>
      </c>
      <c r="C16" s="1" t="str">
        <f>VLOOKUP(A16,[7]LISTADHERENT!A$5:H$60,3,0)</f>
        <v>NGONDIEP CLAUDE</v>
      </c>
      <c r="D16" s="7">
        <f>IF(E16="ECHEC",0,VLOOKUP($A16,[6]HISTOJUIN25!$A$6:$BB$47,15,0))</f>
        <v>100000</v>
      </c>
      <c r="E16" s="7" t="str">
        <f>VLOOKUP($A16,[6]HISTOJUIN25!$A$6:$BB$47,9,0)</f>
        <v>BANQUE</v>
      </c>
      <c r="F16" s="7">
        <f>VLOOKUP($A16,[6]HISTOJUIN25!$A$6:$BB$47,37,0)</f>
        <v>132500</v>
      </c>
      <c r="G16" s="7">
        <f>VLOOKUP($A16,[6]HISTOJUIN25!$A$6:$BB$47,40,0)</f>
        <v>4000</v>
      </c>
      <c r="H16" s="7" t="str">
        <f>IF(G16=0,"",VLOOKUP($A16,[6]HISTOJUIN25!$A$6:$AV$47,42,0))</f>
        <v>BANQUE</v>
      </c>
      <c r="I16" s="7">
        <f>VLOOKUP($A16,[6]HISTOJUIN25!$A$6:$BB$47,41,0)</f>
        <v>0</v>
      </c>
      <c r="J16" s="7">
        <f>+TONTJUIN25!F16+TONTJUIN25!G16</f>
        <v>136500</v>
      </c>
      <c r="K16" s="7">
        <f>VLOOKUP($A16,[6]HISTOJUIN25!$A$6:$BB$47,18,0)</f>
        <v>136500</v>
      </c>
      <c r="L16" s="7" t="str">
        <f>IF(K16&lt;&gt;0,VLOOKUP($A16,[6]HISTOJUIN25!$A$6:$BB$47,42,0),"ECHEC")</f>
        <v>BANQUE</v>
      </c>
      <c r="M16" s="7" t="str">
        <f>IF(P16&lt;&gt;0,VLOOKUP($A16,[6]HISTOJUIN25!$A$6:$BB$47,32,0),"ECHEC")</f>
        <v>ECHEC</v>
      </c>
      <c r="N16" s="7">
        <f>VLOOKUP($A16,[6]HISTOJUIN25!$A$6:$BB$47,33,0)</f>
        <v>0</v>
      </c>
      <c r="O16" s="7">
        <f t="shared" si="0"/>
        <v>0</v>
      </c>
      <c r="P16" s="7">
        <f>VLOOKUP($A16,[6]HISTOJUIN25!$A$6:$BB$47,31,0)</f>
        <v>0</v>
      </c>
    </row>
    <row r="17" spans="1:16" x14ac:dyDescent="0.35">
      <c r="A17" s="1" t="s">
        <v>43</v>
      </c>
      <c r="B17" s="7">
        <f>IF(D17=0,0,VLOOKUP($A17,[6]HISTOJUIN25!$A$6:$BQ$47,14,0))</f>
        <v>2</v>
      </c>
      <c r="C17" s="1" t="str">
        <f>VLOOKUP(A17,[7]LISTADHERENT!A$5:H$60,3,0)</f>
        <v>NGUIEMEGNI MATHIEU BLAISE</v>
      </c>
      <c r="D17" s="7">
        <f>IF(E17="ECHEC",0,VLOOKUP($A17,[6]HISTOJUIN25!$A$6:$BB$47,15,0))</f>
        <v>200000</v>
      </c>
      <c r="E17" s="7" t="str">
        <f>VLOOKUP($A17,[6]HISTOJUIN25!$A$6:$BB$47,9,0)</f>
        <v>BANQUE</v>
      </c>
      <c r="F17" s="7">
        <f>VLOOKUP($A17,[6]HISTOJUIN25!$A$6:$BB$47,37,0)</f>
        <v>100000</v>
      </c>
      <c r="G17" s="7">
        <f>VLOOKUP($A17,[6]HISTOJUIN25!$A$6:$BB$47,40,0)</f>
        <v>3000</v>
      </c>
      <c r="H17" s="7" t="str">
        <f>IF(G17=0,"",VLOOKUP($A17,[6]HISTOJUIN25!$A$6:$AV$47,42,0))</f>
        <v>BANQUE</v>
      </c>
      <c r="I17" s="7">
        <f>VLOOKUP($A17,[6]HISTOJUIN25!$A$6:$BB$47,41,0)</f>
        <v>0</v>
      </c>
      <c r="J17" s="7">
        <f>+TONTJUIN25!F17+TONTJUIN25!G17</f>
        <v>103000</v>
      </c>
      <c r="K17" s="7">
        <f>VLOOKUP($A17,[6]HISTOJUIN25!$A$6:$BB$47,18,0)</f>
        <v>103000</v>
      </c>
      <c r="L17" s="7" t="str">
        <f>IF(K17&lt;&gt;0,VLOOKUP($A17,[6]HISTOJUIN25!$A$6:$BB$47,42,0),"ECHEC")</f>
        <v>BANQUE</v>
      </c>
      <c r="M17" s="7" t="str">
        <f>IF(P17&lt;&gt;0,VLOOKUP($A17,[6]HISTOJUIN25!$A$6:$BB$47,32,0),"ECHEC")</f>
        <v>ECHEC</v>
      </c>
      <c r="N17" s="7">
        <f>VLOOKUP($A17,[6]HISTOJUIN25!$A$6:$BB$47,33,0)</f>
        <v>0</v>
      </c>
      <c r="O17" s="7">
        <f t="shared" si="0"/>
        <v>0</v>
      </c>
      <c r="P17" s="7">
        <f>VLOOKUP($A17,[6]HISTOJUIN25!$A$6:$BB$47,31,0)</f>
        <v>0</v>
      </c>
    </row>
    <row r="18" spans="1:16" x14ac:dyDescent="0.35">
      <c r="A18" s="1" t="s">
        <v>54</v>
      </c>
      <c r="B18" s="7">
        <f>IF(D18=0,0,VLOOKUP($A18,[6]HISTOJUIN25!$A$6:$BQ$47,14,0))</f>
        <v>2</v>
      </c>
      <c r="C18" s="1" t="str">
        <f>VLOOKUP(A18,[7]LISTADHERENT!A$5:H$60,3,0)</f>
        <v>SIME BRICE</v>
      </c>
      <c r="D18" s="7">
        <f>IF(E18="ECHEC",0,VLOOKUP($A18,[6]HISTOJUIN25!$A$6:$BB$47,15,0))</f>
        <v>200000</v>
      </c>
      <c r="E18" s="7" t="str">
        <f>VLOOKUP($A18,[6]HISTOJUIN25!$A$6:$BB$47,9,0)</f>
        <v>BANQUE</v>
      </c>
      <c r="F18" s="7">
        <f>VLOOKUP($A18,[6]HISTOJUIN25!$A$6:$BB$47,37,0)</f>
        <v>0</v>
      </c>
      <c r="G18" s="7">
        <f>VLOOKUP($A18,[6]HISTOJUIN25!$A$6:$BB$47,40,0)</f>
        <v>0</v>
      </c>
      <c r="H18" s="7" t="str">
        <f>IF(G18=0,"",VLOOKUP($A18,[6]HISTOJUIN25!$A$6:$AV$47,42,0))</f>
        <v/>
      </c>
      <c r="I18" s="7">
        <f>VLOOKUP($A18,[6]HISTOJUIN25!$A$6:$BB$47,41,0)</f>
        <v>0</v>
      </c>
      <c r="J18" s="7">
        <f>+TONTJUIN25!F18+TONTJUIN25!G18</f>
        <v>0</v>
      </c>
      <c r="K18" s="7">
        <f>VLOOKUP($A18,[6]HISTOJUIN25!$A$6:$BB$47,18,0)</f>
        <v>0</v>
      </c>
      <c r="L18" s="7" t="str">
        <f>IF(K18&lt;&gt;0,VLOOKUP($A18,[6]HISTOJUIN25!$A$6:$BB$47,42,0),"ECHEC")</f>
        <v>ECHEC</v>
      </c>
      <c r="M18" s="7" t="str">
        <f>IF(P18&lt;&gt;0,VLOOKUP($A18,[6]HISTOJUIN25!$A$6:$BB$47,32,0),"ECHEC")</f>
        <v>ECHEC</v>
      </c>
      <c r="N18" s="7">
        <f>VLOOKUP($A18,[6]HISTOJUIN25!$A$6:$BB$47,33,0)</f>
        <v>0</v>
      </c>
      <c r="O18" s="7">
        <f t="shared" si="0"/>
        <v>0</v>
      </c>
      <c r="P18" s="7">
        <f>VLOOKUP($A18,[6]HISTOJUIN25!$A$6:$BB$47,31,0)</f>
        <v>0</v>
      </c>
    </row>
    <row r="19" spans="1:16" x14ac:dyDescent="0.35">
      <c r="A19" s="1" t="s">
        <v>55</v>
      </c>
      <c r="B19" s="7">
        <f>IF(D19=0,0,VLOOKUP($A19,[6]HISTOJUIN25!$A$6:$BQ$47,14,0))</f>
        <v>1</v>
      </c>
      <c r="C19" s="1" t="str">
        <f>VLOOKUP(A19,[7]LISTADHERENT!A$5:H$60,3,0)</f>
        <v>TCHOUATEU AUGUSTIN</v>
      </c>
      <c r="D19" s="7">
        <f>IF(E19="ECHEC",0,VLOOKUP($A19,[6]HISTOJUIN25!$A$6:$BB$47,15,0))</f>
        <v>100000</v>
      </c>
      <c r="E19" s="7" t="str">
        <f>VLOOKUP($A19,[6]HISTOJUIN25!$A$6:$BB$47,9,0)</f>
        <v>BANQUE</v>
      </c>
      <c r="F19" s="7">
        <f>VLOOKUP($A19,[6]HISTOJUIN25!$A$6:$BB$47,37,0)</f>
        <v>0</v>
      </c>
      <c r="G19" s="7">
        <f>VLOOKUP($A19,[6]HISTOJUIN25!$A$6:$BB$47,40,0)</f>
        <v>0</v>
      </c>
      <c r="H19" s="7" t="str">
        <f>IF(G19=0,"",VLOOKUP($A19,[6]HISTOJUIN25!$A$6:$AV$47,42,0))</f>
        <v/>
      </c>
      <c r="I19" s="7">
        <f>VLOOKUP($A19,[6]HISTOJUIN25!$A$6:$BB$47,41,0)</f>
        <v>0</v>
      </c>
      <c r="J19" s="7">
        <f>+TONTJUIN25!F19+TONTJUIN25!G19</f>
        <v>0</v>
      </c>
      <c r="K19" s="7">
        <f>VLOOKUP($A19,[6]HISTOJUIN25!$A$6:$BB$47,18,0)</f>
        <v>0</v>
      </c>
      <c r="L19" s="7" t="str">
        <f>IF(K19&lt;&gt;0,VLOOKUP($A19,[6]HISTOJUIN25!$A$6:$BB$47,42,0),"ECHEC")</f>
        <v>ECHEC</v>
      </c>
      <c r="M19" s="7" t="str">
        <f>IF(P19&lt;&gt;0,VLOOKUP($A19,[6]HISTOJUIN25!$A$6:$BB$47,32,0),"ECHEC")</f>
        <v>ECHEC</v>
      </c>
      <c r="N19" s="7">
        <f>VLOOKUP($A19,[6]HISTOJUIN25!$A$6:$BB$47,33,0)</f>
        <v>0</v>
      </c>
      <c r="O19" s="7">
        <f t="shared" si="0"/>
        <v>0</v>
      </c>
      <c r="P19" s="7">
        <f>VLOOKUP($A19,[6]HISTOJUIN25!$A$6:$BB$47,31,0)</f>
        <v>0</v>
      </c>
    </row>
    <row r="20" spans="1:16" x14ac:dyDescent="0.35">
      <c r="A20" s="1" t="s">
        <v>46</v>
      </c>
      <c r="B20" s="7">
        <f>IF(D20=0,0,VLOOKUP($A20,[6]HISTOJUIN25!$A$6:$BQ$47,14,0))</f>
        <v>1</v>
      </c>
      <c r="C20" s="1" t="str">
        <f>VLOOKUP(A20,[7]LISTADHERENT!A$5:H$60,3,0)</f>
        <v>SIMO PIERRE</v>
      </c>
      <c r="D20" s="7">
        <f>IF(E20="ECHEC",0,VLOOKUP($A20,[6]HISTOJUIN25!$A$6:$BB$47,15,0))</f>
        <v>100000</v>
      </c>
      <c r="E20" s="7" t="str">
        <f>VLOOKUP($A20,[6]HISTOJUIN25!$A$6:$BB$47,9,0)</f>
        <v>BANQUE</v>
      </c>
      <c r="F20" s="7">
        <f>VLOOKUP($A20,[6]HISTOJUIN25!$A$6:$BB$47,37,0)</f>
        <v>0</v>
      </c>
      <c r="G20" s="7">
        <f>VLOOKUP($A20,[6]HISTOJUIN25!$A$6:$BB$47,40,0)</f>
        <v>0</v>
      </c>
      <c r="H20" s="7" t="str">
        <f>IF(G20=0,"",VLOOKUP($A20,[6]HISTOJUIN25!$A$6:$AV$47,42,0))</f>
        <v/>
      </c>
      <c r="I20" s="7">
        <f>VLOOKUP($A20,[6]HISTOJUIN25!$A$6:$BB$47,41,0)</f>
        <v>0</v>
      </c>
      <c r="J20" s="7">
        <f>+TONTJUIN25!F20+TONTJUIN25!G20</f>
        <v>0</v>
      </c>
      <c r="K20" s="7">
        <f>VLOOKUP($A20,[6]HISTOJUIN25!$A$6:$BB$47,18,0)</f>
        <v>0</v>
      </c>
      <c r="L20" s="7" t="str">
        <f>IF(K20&lt;&gt;0,VLOOKUP($A20,[6]HISTOJUIN25!$A$6:$BB$47,42,0),"ECHEC")</f>
        <v>ECHEC</v>
      </c>
      <c r="M20" s="7" t="str">
        <f>IF(P20&lt;&gt;0,VLOOKUP($A20,[6]HISTOJUIN25!$A$6:$BB$47,32,0),"ECHEC")</f>
        <v>ECHEC</v>
      </c>
      <c r="N20" s="7">
        <f>VLOOKUP($A20,[6]HISTOJUIN25!$A$6:$BB$47,33,0)</f>
        <v>0</v>
      </c>
      <c r="O20" s="7">
        <f t="shared" si="0"/>
        <v>0</v>
      </c>
      <c r="P20" s="7">
        <f>VLOOKUP($A20,[6]HISTOJUIN25!$A$6:$BB$47,31,0)</f>
        <v>0</v>
      </c>
    </row>
    <row r="21" spans="1:16" x14ac:dyDescent="0.35">
      <c r="A21" s="1" t="s">
        <v>53</v>
      </c>
      <c r="B21" s="7">
        <f>IF(D21=0,0,VLOOKUP($A21,[6]HISTOJUIN25!$A$6:$BQ$47,14,0))</f>
        <v>2</v>
      </c>
      <c r="C21" s="1" t="str">
        <f>VLOOKUP(A21,[7]LISTADHERENT!A$5:H$60,3,0)</f>
        <v>YIALA ALAIN OSCAR</v>
      </c>
      <c r="D21" s="7">
        <f>IF(E21="ECHEC",0,VLOOKUP($A21,[6]HISTOJUIN25!$A$6:$BB$47,15,0))</f>
        <v>200000</v>
      </c>
      <c r="E21" s="7" t="str">
        <f>VLOOKUP($A21,[6]HISTOJUIN25!$A$6:$BB$47,9,0)</f>
        <v>ESPECES</v>
      </c>
      <c r="F21" s="7">
        <f>VLOOKUP($A21,[6]HISTOJUIN25!$A$6:$BB$47,37,0)</f>
        <v>0</v>
      </c>
      <c r="G21" s="7">
        <f>VLOOKUP($A21,[6]HISTOJUIN25!$A$6:$BB$47,40,0)</f>
        <v>0</v>
      </c>
      <c r="H21" s="7" t="str">
        <f>IF(G21=0,"",VLOOKUP($A21,[6]HISTOJUIN25!$A$6:$AV$47,42,0))</f>
        <v/>
      </c>
      <c r="I21" s="7">
        <f>VLOOKUP($A21,[6]HISTOJUIN25!$A$6:$BB$47,41,0)</f>
        <v>0</v>
      </c>
      <c r="J21" s="7">
        <f>+TONTJUIN25!F21+TONTJUIN25!G21</f>
        <v>0</v>
      </c>
      <c r="K21" s="7">
        <f>VLOOKUP($A21,[6]HISTOJUIN25!$A$6:$BB$47,18,0)</f>
        <v>0</v>
      </c>
      <c r="L21" s="7" t="str">
        <f>IF(K21&lt;&gt;0,VLOOKUP($A21,[6]HISTOJUIN25!$A$6:$BB$47,42,0),"ECHEC")</f>
        <v>ECHEC</v>
      </c>
      <c r="M21" s="7">
        <f>IF(P21&lt;&gt;0,VLOOKUP($A21,[6]HISTOJUIN25!$A$6:$BB$47,32,0),"ECHEC")</f>
        <v>0</v>
      </c>
      <c r="N21" s="7">
        <f>VLOOKUP($A21,[6]HISTOJUIN25!$A$6:$BB$47,33,0)</f>
        <v>0</v>
      </c>
      <c r="O21" s="7">
        <f t="shared" si="0"/>
        <v>1190000</v>
      </c>
      <c r="P21" s="7">
        <f>VLOOKUP($A21,[6]HISTOJUIN25!$A$6:$BB$47,31,0)</f>
        <v>10000</v>
      </c>
    </row>
    <row r="22" spans="1:16" x14ac:dyDescent="0.35">
      <c r="A22" s="1" t="s">
        <v>61</v>
      </c>
      <c r="B22" s="7">
        <f>IF(D22=0,0,VLOOKUP($A22,[6]HISTOJUIN25!$A$6:$BQ$47,14,0))</f>
        <v>1</v>
      </c>
      <c r="C22" s="1" t="str">
        <f>VLOOKUP(A22,[7]LISTADHERENT!A$5:H$60,3,0)</f>
        <v>YOUMBI EMMANUEL</v>
      </c>
      <c r="D22" s="7">
        <f>IF(E22="ECHEC",0,VLOOKUP($A22,[6]HISTOJUIN25!$A$6:$BB$47,15,0))</f>
        <v>100000</v>
      </c>
      <c r="E22" s="7" t="str">
        <f>VLOOKUP($A22,[6]HISTOJUIN25!$A$6:$BB$47,9,0)</f>
        <v>BANQUE</v>
      </c>
      <c r="F22" s="7">
        <f>VLOOKUP($A22,[6]HISTOJUIN25!$A$6:$BB$47,37,0)</f>
        <v>0</v>
      </c>
      <c r="G22" s="7">
        <f>VLOOKUP($A22,[6]HISTOJUIN25!$A$6:$BB$47,40,0)</f>
        <v>0</v>
      </c>
      <c r="H22" s="7" t="str">
        <f>IF(G22=0,"",VLOOKUP($A22,[6]HISTOJUIN25!$A$6:$AV$47,42,0))</f>
        <v/>
      </c>
      <c r="I22" s="7">
        <f>VLOOKUP($A22,[6]HISTOJUIN25!$A$6:$BB$47,41,0)</f>
        <v>0</v>
      </c>
      <c r="J22" s="7">
        <f>+TONTJUIN25!F22+TONTJUIN25!G22</f>
        <v>0</v>
      </c>
      <c r="K22" s="7">
        <f>VLOOKUP($A22,[6]HISTOJUIN25!$A$6:$BB$47,18,0)</f>
        <v>0</v>
      </c>
      <c r="L22" s="7" t="str">
        <f>IF(K22&lt;&gt;0,VLOOKUP($A22,[6]HISTOJUIN25!$A$6:$BB$47,42,0),"ECHEC")</f>
        <v>ECHEC</v>
      </c>
      <c r="M22" s="7" t="str">
        <f>IF(P22&lt;&gt;0,VLOOKUP($A22,[6]HISTOJUIN25!$A$6:$BB$47,32,0),"ECHEC")</f>
        <v>ECHEC</v>
      </c>
      <c r="N22" s="7">
        <f>VLOOKUP($A22,[6]HISTOJUIN25!$A$6:$BB$47,33,0)</f>
        <v>0</v>
      </c>
      <c r="O22" s="7">
        <f t="shared" si="0"/>
        <v>0</v>
      </c>
      <c r="P22" s="7">
        <f>VLOOKUP($A22,[6]HISTOJUIN25!$A$6:$BB$47,31,0)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24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2400000</v>
      </c>
      <c r="E25" s="8">
        <f t="shared" ref="E25:P25" si="1">SUM(E6:E22)</f>
        <v>0</v>
      </c>
      <c r="F25" s="8">
        <f t="shared" si="1"/>
        <v>1134500</v>
      </c>
      <c r="G25" s="8">
        <f>SUM(G6:G22)</f>
        <v>32500</v>
      </c>
      <c r="H25" s="8">
        <f t="shared" si="1"/>
        <v>0</v>
      </c>
      <c r="I25" s="8">
        <f t="shared" si="1"/>
        <v>0</v>
      </c>
      <c r="J25" s="8">
        <f t="shared" si="1"/>
        <v>1167000</v>
      </c>
      <c r="K25" s="8">
        <f t="shared" si="1"/>
        <v>1167000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2380000</v>
      </c>
      <c r="P25" s="8">
        <f t="shared" si="1"/>
        <v>20000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3562000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400000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400000</v>
      </c>
      <c r="I28" s="8"/>
      <c r="K28" s="8" t="s">
        <v>34</v>
      </c>
      <c r="L28" s="8">
        <f>C3*COUNTIF(O6:O22,"&gt;0")</f>
        <v>2400000</v>
      </c>
      <c r="M28" s="8">
        <f>D3</f>
        <v>2</v>
      </c>
      <c r="N28" s="8">
        <f>COUNTIF(O6:O21,"&gt;0")</f>
        <v>2</v>
      </c>
      <c r="O28" s="8"/>
    </row>
    <row r="29" spans="1:16" s="2" customFormat="1" ht="17.5" x14ac:dyDescent="0.35">
      <c r="C29" s="8" t="s">
        <v>7</v>
      </c>
      <c r="D29" s="8">
        <f>SUMIFS(D6:D22,E6:E22,"BANQUE")</f>
        <v>2000000</v>
      </c>
      <c r="E29" s="8">
        <f>SUMIFS(K6:K22,L6:L22,"BANQUE")</f>
        <v>1167000</v>
      </c>
      <c r="F29" s="8">
        <f>SUMIFS(F6:F22,H6:H22,"BANQUE")</f>
        <v>1134500</v>
      </c>
      <c r="G29" s="8">
        <f>SUMIFS(O6:O22,M6:M22,"BANQUE")</f>
        <v>0</v>
      </c>
      <c r="H29" s="8">
        <f>D29+E29-F29-G29</f>
        <v>2032500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1413000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D28+D29+200000</f>
        <v>2600000</v>
      </c>
      <c r="E31" s="8">
        <f>E28+E29</f>
        <v>1167000</v>
      </c>
      <c r="F31" s="8">
        <f>F28+F29</f>
        <v>1134500</v>
      </c>
      <c r="G31" s="8">
        <f t="shared" ref="G31:H31" si="2">G28+G29</f>
        <v>0</v>
      </c>
      <c r="H31" s="8">
        <f t="shared" si="2"/>
        <v>2432500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278500</v>
      </c>
      <c r="M32"/>
      <c r="N32" s="8">
        <f>L32</f>
        <v>278500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0</v>
      </c>
      <c r="N34" s="8">
        <f>L34+TONTFEV25!N34</f>
        <v>0</v>
      </c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L35+TONTFEV25!N35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8FAB-B6D0-4813-85B0-1F727DA418B9}">
  <dimension ref="A1:P37"/>
  <sheetViews>
    <sheetView workbookViewId="0">
      <pane xSplit="3" ySplit="5" topLeftCell="F24" activePane="bottomRight" state="frozen"/>
      <selection activeCell="C4" sqref="C4:L4"/>
      <selection pane="topRight" activeCell="C4" sqref="C4:L4"/>
      <selection pane="bottomLeft" activeCell="C4" sqref="C4:L4"/>
      <selection pane="bottomRight" activeCell="D31" sqref="D31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4</v>
      </c>
      <c r="E3" s="1"/>
      <c r="L3" s="1"/>
      <c r="M3" s="1"/>
    </row>
    <row r="4" spans="1:16" s="12" customFormat="1" ht="17.5" x14ac:dyDescent="0.35">
      <c r="B4" s="13"/>
      <c r="C4" s="37">
        <v>45851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IF(D6=0,0,VLOOKUP($A6,[6]HISTOJUIL25!$A$6:$BQ$47,14,0))</f>
        <v>1</v>
      </c>
      <c r="C6" s="1" t="str">
        <f>VLOOKUP(A6,[7]LISTADHERENT!A$5:H$60,3,0)</f>
        <v>ASELBY</v>
      </c>
      <c r="D6" s="7">
        <f>IF(E6="ECHEC",0,VLOOKUP($A6,[6]HISTOJUIL25!$A$6:$BB$47,15,0))</f>
        <v>100000</v>
      </c>
      <c r="E6" s="7" t="str">
        <f>VLOOKUP($A6,[6]HISTOJUIL25!$A$6:$BB$47,9,0)</f>
        <v>BANQUE</v>
      </c>
      <c r="F6" s="7">
        <f>VLOOKUP($A6,[6]HISTOJUIL25!$A$6:$BB$47,37,0)</f>
        <v>0</v>
      </c>
      <c r="G6" s="7">
        <f>VLOOKUP($A6,[6]HISTOJUIL25!$A$6:$BB$47,40,0)</f>
        <v>0</v>
      </c>
      <c r="H6" s="7" t="str">
        <f>IF(G6=0,"",VLOOKUP($A6,[6]HISTOFEV25!$A$6:$AV$47,42,0))</f>
        <v/>
      </c>
      <c r="I6" s="7">
        <f>VLOOKUP($A6,[6]HISTOJUIL25!$A$6:$BB$47,41,0)</f>
        <v>0</v>
      </c>
      <c r="J6" s="7">
        <f>+TONTJUIN25!F6+TONTJUIN25!G6</f>
        <v>0</v>
      </c>
      <c r="K6" s="7">
        <f>VLOOKUP($A6,[6]HISTOJUIL25!$A$6:$BB$47,18,0)</f>
        <v>0</v>
      </c>
      <c r="L6" s="7" t="str">
        <f>IF(K6&lt;&gt;0,VLOOKUP($A6,[6]HISTOJUIL25!$A$6:$BB$47,42,0),"ECHEC")</f>
        <v>ECHEC</v>
      </c>
      <c r="M6" s="7" t="str">
        <f>IF(P6&lt;&gt;0,VLOOKUP($A6,[6]HISTOJUIL25!$A$6:$BB$47,32,0),"ECHEC")</f>
        <v>ECHEC</v>
      </c>
      <c r="N6" s="7">
        <f>VLOOKUP($A6,[6]HISTOJUIL25!$A$6:$BB$47,33,0)</f>
        <v>0</v>
      </c>
      <c r="O6" s="7">
        <f t="shared" ref="O6:O22" si="0">IF(P6=0,0,($C$3-P6))</f>
        <v>0</v>
      </c>
      <c r="P6" s="7">
        <f>VLOOKUP($A6,[6]HISTOJUIL25!$A$6:$BB$47,31,0)</f>
        <v>0</v>
      </c>
    </row>
    <row r="7" spans="1:16" x14ac:dyDescent="0.35">
      <c r="A7" s="1" t="s">
        <v>47</v>
      </c>
      <c r="B7" s="7">
        <f>IF(D7=0,0,VLOOKUP($A7,[6]HISTOJUIL25!$A$6:$BQ$47,14,0))</f>
        <v>2</v>
      </c>
      <c r="C7" s="1" t="str">
        <f>VLOOKUP(A7,[7]LISTADHERENT!A$5:H$60,3,0)</f>
        <v xml:space="preserve">DJOMO JEAN PAUL </v>
      </c>
      <c r="D7" s="7">
        <f>IF(E7="ECHEC",0,VLOOKUP($A7,[6]HISTOJUIL25!$A$6:$BB$47,15,0))</f>
        <v>200000</v>
      </c>
      <c r="E7" s="7" t="str">
        <f>VLOOKUP($A7,[6]HISTOJUIL25!$A$6:$BB$47,9,0)</f>
        <v>ESPECES</v>
      </c>
      <c r="F7" s="7">
        <f>VLOOKUP($A7,[6]HISTOJUIL25!$A$6:$BB$47,37,0)</f>
        <v>200000</v>
      </c>
      <c r="G7" s="7">
        <f>VLOOKUP($A7,[6]HISTOJUIL25!$A$6:$BB$47,40,0)</f>
        <v>3500</v>
      </c>
      <c r="H7" s="7" t="str">
        <f>IF(G7=0,"",VLOOKUP($A7,[6]HISTOFEV25!$A$6:$AV$47,42,0))</f>
        <v>BANQUE</v>
      </c>
      <c r="I7" s="7">
        <f>VLOOKUP($A7,[6]HISTOJUIL25!$A$6:$BB$47,41,0)</f>
        <v>0</v>
      </c>
      <c r="J7" s="7">
        <f>+TONTJUIN25!F7+TONTJUIN25!G7</f>
        <v>0</v>
      </c>
      <c r="K7" s="7">
        <f>VLOOKUP($A7,[6]HISTOJUIL25!$A$6:$BB$47,18,0)</f>
        <v>0</v>
      </c>
      <c r="L7" s="7" t="str">
        <f>IF(K7&lt;&gt;0,VLOOKUP($A7,[6]HISTOJUIL25!$A$6:$BB$47,42,0),"ECHEC")</f>
        <v>ECHEC</v>
      </c>
      <c r="M7" s="7" t="str">
        <f>IF(P7&lt;&gt;0,VLOOKUP($A7,[6]HISTOJUIL25!$A$6:$BB$47,32,0),"ECHEC")</f>
        <v>ECHEC</v>
      </c>
      <c r="N7" s="7">
        <f>VLOOKUP($A7,[6]HISTOJUIL25!$A$6:$BB$47,33,0)</f>
        <v>0</v>
      </c>
      <c r="O7" s="7">
        <f t="shared" si="0"/>
        <v>0</v>
      </c>
      <c r="P7" s="7">
        <f>VLOOKUP($A7,[6]HISTOJUIL25!$A$6:$BB$47,31,0)</f>
        <v>0</v>
      </c>
    </row>
    <row r="8" spans="1:16" x14ac:dyDescent="0.35">
      <c r="A8" s="1" t="s">
        <v>60</v>
      </c>
      <c r="B8" s="7">
        <f>IF(D8=0,0,VLOOKUP($A8,[6]HISTOJUIL25!$A$6:$BQ$47,14,0))</f>
        <v>1</v>
      </c>
      <c r="C8" s="1" t="str">
        <f>VLOOKUP(A8,[7]LISTADHERENT!A$5:H$60,3,0)</f>
        <v>DJOUKWE NANGUEN GUY BLAISE</v>
      </c>
      <c r="D8" s="7">
        <f>IF(E8="ECHEC",0,VLOOKUP($A8,[6]HISTOJUIL25!$A$6:$BB$47,15,0))</f>
        <v>100000</v>
      </c>
      <c r="E8" s="7" t="str">
        <f>VLOOKUP($A8,[6]HISTOJUIL25!$A$6:$BB$47,9,0)</f>
        <v>BANQUE</v>
      </c>
      <c r="F8" s="7">
        <f>VLOOKUP($A8,[6]HISTOJUIL25!$A$6:$BB$47,37,0)</f>
        <v>0</v>
      </c>
      <c r="G8" s="7">
        <f>VLOOKUP($A8,[6]HISTOJUIL25!$A$6:$BB$47,40,0)</f>
        <v>0</v>
      </c>
      <c r="H8" s="7" t="str">
        <f>IF(G8=0,"",VLOOKUP($A8,[6]HISTOFEV25!$A$6:$AV$47,42,0))</f>
        <v/>
      </c>
      <c r="I8" s="7">
        <f>VLOOKUP($A8,[6]HISTOJUIL25!$A$6:$BB$47,41,0)</f>
        <v>0</v>
      </c>
      <c r="J8" s="7">
        <f>+TONTJUIN25!F8+TONTJUIN25!G8</f>
        <v>207500</v>
      </c>
      <c r="K8" s="7">
        <f>VLOOKUP($A8,[6]HISTOJUIL25!$A$6:$BB$47,18,0)</f>
        <v>207500</v>
      </c>
      <c r="L8" s="7" t="str">
        <f>IF(K8&lt;&gt;0,VLOOKUP($A8,[6]HISTOJUIL25!$A$6:$BB$47,42,0),"ECHEC")</f>
        <v>BANQUE</v>
      </c>
      <c r="M8" s="7" t="str">
        <f>IF(P8&lt;&gt;0,VLOOKUP($A8,[6]HISTOJUIL25!$A$6:$BB$47,32,0),"ECHEC")</f>
        <v>ECHEC</v>
      </c>
      <c r="N8" s="7">
        <f>VLOOKUP($A8,[6]HISTOJUIL25!$A$6:$BB$47,33,0)</f>
        <v>0</v>
      </c>
      <c r="O8" s="7">
        <f t="shared" si="0"/>
        <v>0</v>
      </c>
      <c r="P8" s="7">
        <f>VLOOKUP($A8,[6]HISTOJUIL25!$A$6:$BB$47,31,0)</f>
        <v>0</v>
      </c>
    </row>
    <row r="9" spans="1:16" x14ac:dyDescent="0.35">
      <c r="A9" s="1" t="s">
        <v>20</v>
      </c>
      <c r="B9" s="7">
        <f>IF(D9=0,0,VLOOKUP($A9,[6]HISTOJUIL25!$A$6:$BQ$47,14,0))</f>
        <v>2</v>
      </c>
      <c r="C9" s="1" t="str">
        <f>VLOOKUP(A9,[7]LISTADHERENT!A$5:H$60,3,0)</f>
        <v>DJUOMBESSY ANTOINE</v>
      </c>
      <c r="D9" s="7">
        <f>IF(E9="ECHEC",0,VLOOKUP($A9,[6]HISTOJUIL25!$A$6:$BB$47,15,0))</f>
        <v>200000</v>
      </c>
      <c r="E9" s="7" t="str">
        <f>VLOOKUP($A9,[6]HISTOJUIL25!$A$6:$BB$47,9,0)</f>
        <v>BANQUE</v>
      </c>
      <c r="F9" s="7">
        <f>VLOOKUP($A9,[6]HISTOJUIL25!$A$6:$BB$47,37,0)</f>
        <v>200000</v>
      </c>
      <c r="G9" s="7">
        <f>VLOOKUP($A9,[6]HISTOJUIL25!$A$6:$BB$47,40,0)</f>
        <v>6500</v>
      </c>
      <c r="H9" s="7">
        <f>IF(G9=0,"",VLOOKUP($A9,[6]HISTOFEV25!$A$6:$AV$47,42,0))</f>
        <v>0</v>
      </c>
      <c r="I9" s="7">
        <f>VLOOKUP($A9,[6]HISTOJUIL25!$A$6:$BB$47,41,0)</f>
        <v>0</v>
      </c>
      <c r="J9" s="7">
        <f>+TONTJUIN25!F9+TONTJUIN25!G9</f>
        <v>203000</v>
      </c>
      <c r="K9" s="7">
        <f>VLOOKUP($A9,[6]HISTOJUIL25!$A$6:$BB$47,18,0)</f>
        <v>203000</v>
      </c>
      <c r="L9" s="7" t="str">
        <f>IF(K9&lt;&gt;0,VLOOKUP($A9,[6]HISTOJUIL25!$A$6:$BB$47,42,0),"ECHEC")</f>
        <v>BANQUE</v>
      </c>
      <c r="M9" s="7" t="str">
        <f>IF(P9&lt;&gt;0,VLOOKUP($A9,[6]HISTOJUIL25!$A$6:$BB$47,32,0),"ECHEC")</f>
        <v>ECHEC</v>
      </c>
      <c r="N9" s="7">
        <f>VLOOKUP($A9,[6]HISTOJUIL25!$A$6:$BB$47,33,0)</f>
        <v>0</v>
      </c>
      <c r="O9" s="7">
        <f t="shared" si="0"/>
        <v>0</v>
      </c>
      <c r="P9" s="7">
        <f>VLOOKUP($A9,[6]HISTOJUIL25!$A$6:$BB$47,31,0)</f>
        <v>0</v>
      </c>
    </row>
    <row r="10" spans="1:16" x14ac:dyDescent="0.35">
      <c r="A10" s="1" t="s">
        <v>62</v>
      </c>
      <c r="B10" s="7">
        <f>IF(D10=0,0,VLOOKUP($A10,[6]HISTOJUIL25!$A$6:$BQ$47,14,0))</f>
        <v>1</v>
      </c>
      <c r="C10" s="1" t="str">
        <f>VLOOKUP(A10,[7]LISTADHERENT!A$5:H$60,3,0)</f>
        <v>FAMPOU PAUL</v>
      </c>
      <c r="D10" s="7">
        <f>IF(E10="ECHEC",0,VLOOKUP($A10,[6]HISTOJUIL25!$A$6:$BB$47,15,0))</f>
        <v>100000</v>
      </c>
      <c r="E10" s="7" t="str">
        <f>VLOOKUP($A10,[6]HISTOJUIL25!$A$6:$BB$47,9,0)</f>
        <v>BANQUE</v>
      </c>
      <c r="F10" s="7">
        <f>VLOOKUP($A10,[6]HISTOJUIL25!$A$6:$BB$47,37,0)</f>
        <v>100000</v>
      </c>
      <c r="G10" s="7">
        <f>VLOOKUP($A10,[6]HISTOJUIL25!$A$6:$BB$47,40,0)</f>
        <v>2000</v>
      </c>
      <c r="H10" s="7">
        <f>IF(G10=0,"",VLOOKUP($A10,[6]HISTOFEV25!$A$6:$AV$47,42,0))</f>
        <v>0</v>
      </c>
      <c r="I10" s="7">
        <f>VLOOKUP($A10,[6]HISTOJUIL25!$A$6:$BB$47,41,0)</f>
        <v>0</v>
      </c>
      <c r="J10" s="7">
        <f>+TONTJUIN25!F10+TONTJUIN25!G10</f>
        <v>0</v>
      </c>
      <c r="K10" s="7">
        <f>VLOOKUP($A10,[6]HISTOJUIL25!$A$6:$BB$47,18,0)</f>
        <v>0</v>
      </c>
      <c r="L10" s="7" t="str">
        <f>IF(K10&lt;&gt;0,VLOOKUP($A10,[6]HISTOJUIL25!$A$6:$BB$47,42,0),"ECHEC")</f>
        <v>ECHEC</v>
      </c>
      <c r="M10" s="7" t="str">
        <f>IF(P10&lt;&gt;0,VLOOKUP($A10,[6]HISTOJUIL25!$A$6:$BB$47,32,0),"ECHEC")</f>
        <v>ECHEC</v>
      </c>
      <c r="N10" s="7">
        <f>VLOOKUP($A10,[6]HISTOJUIL25!$A$6:$BB$47,33,0)</f>
        <v>0</v>
      </c>
      <c r="O10" s="7">
        <f t="shared" si="0"/>
        <v>0</v>
      </c>
      <c r="P10" s="7">
        <f>VLOOKUP($A10,[6]HISTOJUIL25!$A$6:$BB$47,31,0)</f>
        <v>0</v>
      </c>
    </row>
    <row r="11" spans="1:16" x14ac:dyDescent="0.35">
      <c r="A11" s="1" t="s">
        <v>21</v>
      </c>
      <c r="B11" s="7">
        <f>IF(D11=0,0,VLOOKUP($A11,[6]HISTOJUIL25!$A$6:$BQ$47,14,0))</f>
        <v>1</v>
      </c>
      <c r="C11" s="1" t="str">
        <f>VLOOKUP(A11,[7]LISTADHERENT!A$5:H$60,3,0)</f>
        <v>HOTCHO BENJAMIN</v>
      </c>
      <c r="D11" s="7">
        <f>IF(E11="ECHEC",0,VLOOKUP($A11,[6]HISTOJUIL25!$A$6:$BB$47,15,0))</f>
        <v>100000</v>
      </c>
      <c r="E11" s="7" t="str">
        <f>VLOOKUP($A11,[6]HISTOJUIL25!$A$6:$BB$47,9,0)</f>
        <v>BANQUE</v>
      </c>
      <c r="F11" s="7">
        <f>VLOOKUP($A11,[6]HISTOJUIL25!$A$6:$BB$47,37,0)</f>
        <v>0</v>
      </c>
      <c r="G11" s="7">
        <f>VLOOKUP($A11,[6]HISTOJUIL25!$A$6:$BB$47,40,0)</f>
        <v>0</v>
      </c>
      <c r="H11" s="7" t="str">
        <f>IF(G11=0,"",VLOOKUP($A11,[6]HISTOFEV25!$A$6:$AV$47,42,0))</f>
        <v/>
      </c>
      <c r="I11" s="7">
        <f>VLOOKUP($A11,[6]HISTOJUIL25!$A$6:$BB$47,41,0)</f>
        <v>0</v>
      </c>
      <c r="J11" s="7">
        <f>+TONTJUIN25!F11+TONTJUIN25!G11</f>
        <v>0</v>
      </c>
      <c r="K11" s="7">
        <f>VLOOKUP($A11,[6]HISTOJUIL25!$A$6:$BB$47,18,0)</f>
        <v>0</v>
      </c>
      <c r="L11" s="7" t="str">
        <f>IF(K11&lt;&gt;0,VLOOKUP($A11,[6]HISTOJUIL25!$A$6:$BB$47,42,0),"ECHEC")</f>
        <v>ECHEC</v>
      </c>
      <c r="M11" s="7" t="str">
        <f>IF(P11&lt;&gt;0,VLOOKUP($A11,[6]HISTOJUIL25!$A$6:$BB$47,32,0),"ECHEC")</f>
        <v>ECHEC</v>
      </c>
      <c r="N11" s="7">
        <f>VLOOKUP($A11,[6]HISTOJUIL25!$A$6:$BB$47,33,0)</f>
        <v>0</v>
      </c>
      <c r="O11" s="7">
        <f t="shared" si="0"/>
        <v>0</v>
      </c>
      <c r="P11" s="7">
        <f>VLOOKUP($A11,[6]HISTOJUIL25!$A$6:$BB$47,31,0)</f>
        <v>0</v>
      </c>
    </row>
    <row r="12" spans="1:16" x14ac:dyDescent="0.35">
      <c r="A12" s="1" t="s">
        <v>26</v>
      </c>
      <c r="B12" s="7">
        <f>IF(D12=0,0,VLOOKUP($A12,[6]HISTOJUIL25!$A$6:$BQ$47,14,0))</f>
        <v>1</v>
      </c>
      <c r="C12" s="1" t="str">
        <f>VLOOKUP(A12,[7]LISTADHERENT!A$5:H$60,3,0)</f>
        <v>KOUAMOU MOISE</v>
      </c>
      <c r="D12" s="7">
        <f>IF(E12="ECHEC",0,VLOOKUP($A12,[6]HISTOJUIL25!$A$6:$BB$47,15,0))</f>
        <v>100000</v>
      </c>
      <c r="E12" s="7" t="str">
        <f>VLOOKUP($A12,[6]HISTOJUIL25!$A$6:$BB$47,9,0)</f>
        <v>BANQUE</v>
      </c>
      <c r="F12" s="7">
        <f>VLOOKUP($A12,[6]HISTOJUIL25!$A$6:$BB$47,37,0)</f>
        <v>0</v>
      </c>
      <c r="G12" s="7">
        <f>VLOOKUP($A12,[6]HISTOJUIL25!$A$6:$BB$47,40,0)</f>
        <v>0</v>
      </c>
      <c r="H12" s="7" t="str">
        <f>IF(G12=0,"",VLOOKUP($A12,[6]HISTOFEV25!$A$6:$AV$47,42,0))</f>
        <v/>
      </c>
      <c r="I12" s="7">
        <f>VLOOKUP($A12,[6]HISTOJUIL25!$A$6:$BB$47,41,0)</f>
        <v>0</v>
      </c>
      <c r="J12" s="7">
        <f>+TONTJUIN25!F12+TONTJUIN25!G12</f>
        <v>106000</v>
      </c>
      <c r="K12" s="7">
        <f>VLOOKUP($A12,[6]HISTOJUIL25!$A$6:$BB$47,18,0)</f>
        <v>106000</v>
      </c>
      <c r="L12" s="7" t="str">
        <f>IF(K12&lt;&gt;0,VLOOKUP($A12,[6]HISTOJUIL25!$A$6:$BB$47,42,0),"ECHEC")</f>
        <v>BANQUE</v>
      </c>
      <c r="M12" s="7" t="str">
        <f>IF(P12&lt;&gt;0,VLOOKUP($A12,[6]HISTOJUIL25!$A$6:$BB$47,32,0),"ECHEC")</f>
        <v>ECHEC</v>
      </c>
      <c r="N12" s="7">
        <f>VLOOKUP($A12,[6]HISTOJUIL25!$A$6:$BB$47,33,0)</f>
        <v>0</v>
      </c>
      <c r="O12" s="7">
        <f t="shared" si="0"/>
        <v>0</v>
      </c>
      <c r="P12" s="7">
        <f>VLOOKUP($A12,[6]HISTOJUIL25!$A$6:$BB$47,31,0)</f>
        <v>0</v>
      </c>
    </row>
    <row r="13" spans="1:16" x14ac:dyDescent="0.35">
      <c r="A13" s="1" t="s">
        <v>8</v>
      </c>
      <c r="B13" s="7">
        <f>IF(D13=0,0,VLOOKUP($A13,[6]HISTOJUIL25!$A$6:$BQ$47,14,0))</f>
        <v>1</v>
      </c>
      <c r="C13" s="1" t="str">
        <f>VLOOKUP(A13,[7]LISTADHERENT!A$5:H$60,3,0)</f>
        <v>KOUATCHO MESSACK</v>
      </c>
      <c r="D13" s="7">
        <f>IF(E13="ECHEC",0,VLOOKUP($A13,[6]HISTOJUIL25!$A$6:$BB$47,15,0))</f>
        <v>100000</v>
      </c>
      <c r="E13" s="7" t="str">
        <f>VLOOKUP($A13,[6]HISTOJUIL25!$A$6:$BB$47,9,0)</f>
        <v>BANQUE</v>
      </c>
      <c r="F13" s="7">
        <f>VLOOKUP($A13,[6]HISTOJUIL25!$A$6:$BB$47,37,0)</f>
        <v>79500</v>
      </c>
      <c r="G13" s="7">
        <f>VLOOKUP($A13,[6]HISTOJUIL25!$A$6:$BB$47,40,0)</f>
        <v>1500</v>
      </c>
      <c r="H13" s="7" t="str">
        <f>IF(G13=0,"",VLOOKUP($A13,[6]HISTOFEV25!$A$6:$AV$47,42,0))</f>
        <v>BANQUE</v>
      </c>
      <c r="I13" s="7">
        <f>VLOOKUP($A13,[6]HISTOJUIL25!$A$6:$BB$47,41,0)</f>
        <v>0</v>
      </c>
      <c r="J13" s="7">
        <f>+TONTJUIN25!F13+TONTJUIN25!G13</f>
        <v>0</v>
      </c>
      <c r="K13" s="7">
        <f>VLOOKUP($A13,[6]HISTOJUIL25!$A$6:$BB$47,18,0)</f>
        <v>0</v>
      </c>
      <c r="L13" s="7" t="str">
        <f>IF(K13&lt;&gt;0,VLOOKUP($A13,[6]HISTOJUIL25!$A$6:$BB$47,42,0),"ECHEC")</f>
        <v>ECHEC</v>
      </c>
      <c r="M13" s="7" t="str">
        <f>IF(P13&lt;&gt;0,VLOOKUP($A13,[6]HISTOJUIL25!$A$6:$BB$47,32,0),"ECHEC")</f>
        <v>ECHEC</v>
      </c>
      <c r="N13" s="7">
        <f>VLOOKUP($A13,[6]HISTOJUIL25!$A$6:$BB$47,33,0)</f>
        <v>0</v>
      </c>
      <c r="O13" s="7">
        <f t="shared" si="0"/>
        <v>0</v>
      </c>
      <c r="P13" s="7">
        <f>VLOOKUP($A13,[6]HISTOJUIL25!$A$6:$BB$47,31,0)</f>
        <v>0</v>
      </c>
    </row>
    <row r="14" spans="1:16" x14ac:dyDescent="0.35">
      <c r="A14" s="1" t="s">
        <v>22</v>
      </c>
      <c r="B14" s="7">
        <f>IF(D14=0,0,VLOOKUP($A14,[6]HISTOJUIL25!$A$6:$BQ$47,14,0))</f>
        <v>2</v>
      </c>
      <c r="C14" s="1" t="str">
        <f>VLOOKUP(A14,[7]LISTADHERENT!A$5:H$60,3,0)</f>
        <v>MBOGNING TUGMA GUY</v>
      </c>
      <c r="D14" s="7">
        <f>IF(E14="ECHEC",0,VLOOKUP($A14,[6]HISTOJUIL25!$A$6:$BB$47,15,0))</f>
        <v>200000</v>
      </c>
      <c r="E14" s="7" t="str">
        <f>VLOOKUP($A14,[6]HISTOJUIL25!$A$6:$BB$47,9,0)</f>
        <v>BANQUE</v>
      </c>
      <c r="F14" s="7">
        <f>VLOOKUP($A14,[6]HISTOJUIL25!$A$6:$BB$47,37,0)</f>
        <v>100000</v>
      </c>
      <c r="G14" s="7">
        <f>VLOOKUP($A14,[6]HISTOJUIL25!$A$6:$BB$47,40,0)</f>
        <v>4500</v>
      </c>
      <c r="H14" s="7" t="str">
        <f>IF(G14=0,"",VLOOKUP($A14,[6]HISTOFEV25!$A$6:$AV$47,42,0))</f>
        <v>BANQUE</v>
      </c>
      <c r="I14" s="7">
        <f>VLOOKUP($A14,[6]HISTOJUIL25!$A$6:$BB$47,41,0)</f>
        <v>0</v>
      </c>
      <c r="J14" s="7">
        <f>+TONTJUIN25!F14+TONTJUIN25!G14</f>
        <v>204500</v>
      </c>
      <c r="K14" s="7">
        <f>VLOOKUP($A14,[6]HISTOJUIL25!$A$6:$BB$47,18,0)</f>
        <v>204500</v>
      </c>
      <c r="L14" s="7" t="str">
        <f>IF(K14&lt;&gt;0,VLOOKUP($A14,[6]HISTOJUIL25!$A$6:$BB$47,42,0),"ECHEC")</f>
        <v>BANQUE</v>
      </c>
      <c r="M14" s="7">
        <f>IF(P14&lt;&gt;0,VLOOKUP($A14,[6]HISTOJUIL25!$A$6:$BB$47,32,0),"ECHEC")</f>
        <v>0</v>
      </c>
      <c r="N14" s="7">
        <f>VLOOKUP($A14,[6]HISTOJUIL25!$A$6:$BB$47,33,0)</f>
        <v>0</v>
      </c>
      <c r="O14" s="7">
        <f t="shared" si="0"/>
        <v>1140000</v>
      </c>
      <c r="P14" s="7">
        <f>VLOOKUP($A14,[6]HISTOJUIL25!$A$6:$BB$47,31,0)</f>
        <v>60000</v>
      </c>
    </row>
    <row r="15" spans="1:16" x14ac:dyDescent="0.35">
      <c r="A15" s="1" t="s">
        <v>9</v>
      </c>
      <c r="B15" s="7">
        <f>IF(D15=0,0,VLOOKUP($A15,[6]HISTOJUIL25!$A$6:$BQ$47,14,0))</f>
        <v>2</v>
      </c>
      <c r="C15" s="1" t="str">
        <f>VLOOKUP(A15,[7]LISTADHERENT!A$5:H$60,3,0)</f>
        <v>NDJOMO ETIENNE</v>
      </c>
      <c r="D15" s="7">
        <f>IF(E15="ECHEC",0,VLOOKUP($A15,[6]HISTOJUIL25!$A$6:$BB$47,15,0))</f>
        <v>200000</v>
      </c>
      <c r="E15" s="7" t="str">
        <f>VLOOKUP($A15,[6]HISTOJUIL25!$A$6:$BB$47,9,0)</f>
        <v>BANQUE</v>
      </c>
      <c r="F15" s="7">
        <f>VLOOKUP($A15,[6]HISTOJUIL25!$A$6:$BB$47,37,0)</f>
        <v>200000</v>
      </c>
      <c r="G15" s="7">
        <f>VLOOKUP($A15,[6]HISTOJUIL25!$A$6:$BB$47,40,0)</f>
        <v>6000</v>
      </c>
      <c r="H15" s="7" t="str">
        <f>IF(G15=0,"",VLOOKUP($A15,[6]HISTOFEV25!$A$6:$AV$47,42,0))</f>
        <v>BANQUE</v>
      </c>
      <c r="I15" s="7">
        <f>VLOOKUP($A15,[6]HISTOJUIL25!$A$6:$BB$47,41,0)</f>
        <v>0</v>
      </c>
      <c r="J15" s="7">
        <f>+TONTJUIN25!F15+TONTJUIN25!G15</f>
        <v>206500</v>
      </c>
      <c r="K15" s="7">
        <f>VLOOKUP($A15,[6]HISTOJUIL25!$A$6:$BB$47,18,0)</f>
        <v>206500</v>
      </c>
      <c r="L15" s="7" t="str">
        <f>IF(K15&lt;&gt;0,VLOOKUP($A15,[6]HISTOJUIL25!$A$6:$BB$47,42,0),"ECHEC")</f>
        <v>BANQUE</v>
      </c>
      <c r="M15" s="7" t="str">
        <f>IF(P15&lt;&gt;0,VLOOKUP($A15,[6]HISTOJUIL25!$A$6:$BB$47,32,0),"ECHEC")</f>
        <v>ECHEC</v>
      </c>
      <c r="N15" s="7">
        <f>VLOOKUP($A15,[6]HISTOJUIL25!$A$6:$BB$47,33,0)</f>
        <v>0</v>
      </c>
      <c r="O15" s="7">
        <f t="shared" si="0"/>
        <v>0</v>
      </c>
      <c r="P15" s="7">
        <f>VLOOKUP($A15,[6]HISTOJUIL25!$A$6:$BB$47,31,0)</f>
        <v>0</v>
      </c>
    </row>
    <row r="16" spans="1:16" x14ac:dyDescent="0.35">
      <c r="A16" s="1" t="s">
        <v>10</v>
      </c>
      <c r="B16" s="7">
        <f>IF(D16=0,0,VLOOKUP($A16,[6]HISTOJUIL25!$A$6:$BQ$47,14,0))</f>
        <v>1</v>
      </c>
      <c r="C16" s="1" t="str">
        <f>VLOOKUP(A16,[7]LISTADHERENT!A$5:H$60,3,0)</f>
        <v>NGONDIEP CLAUDE</v>
      </c>
      <c r="D16" s="7">
        <f>IF(E16="ECHEC",0,VLOOKUP($A16,[6]HISTOJUIL25!$A$6:$BB$47,15,0))</f>
        <v>100000</v>
      </c>
      <c r="E16" s="7" t="str">
        <f>VLOOKUP($A16,[6]HISTOJUIL25!$A$6:$BB$47,9,0)</f>
        <v>BANQUE</v>
      </c>
      <c r="F16" s="7">
        <f>VLOOKUP($A16,[6]HISTOJUIL25!$A$6:$BB$47,37,0)</f>
        <v>0</v>
      </c>
      <c r="G16" s="7">
        <f>VLOOKUP($A16,[6]HISTOJUIL25!$A$6:$BB$47,40,0)</f>
        <v>0</v>
      </c>
      <c r="H16" s="7" t="str">
        <f>IF(G16=0,"",VLOOKUP($A16,[6]HISTOFEV25!$A$6:$AV$47,42,0))</f>
        <v/>
      </c>
      <c r="I16" s="7">
        <f>VLOOKUP($A16,[6]HISTOJUIL25!$A$6:$BB$47,41,0)</f>
        <v>0</v>
      </c>
      <c r="J16" s="7">
        <f>+TONTJUIN25!F16+TONTJUIN25!G16</f>
        <v>136500</v>
      </c>
      <c r="K16" s="7">
        <f>VLOOKUP($A16,[6]HISTOJUIL25!$A$6:$BB$47,18,0)</f>
        <v>136500</v>
      </c>
      <c r="L16" s="7" t="str">
        <f>IF(K16&lt;&gt;0,VLOOKUP($A16,[6]HISTOJUIL25!$A$6:$BB$47,42,0),"ECHEC")</f>
        <v>BANQUE</v>
      </c>
      <c r="M16" s="7" t="str">
        <f>IF(P16&lt;&gt;0,VLOOKUP($A16,[6]HISTOJUIL25!$A$6:$BB$47,32,0),"ECHEC")</f>
        <v>ECHEC</v>
      </c>
      <c r="N16" s="7">
        <f>VLOOKUP($A16,[6]HISTOJUIL25!$A$6:$BB$47,33,0)</f>
        <v>0</v>
      </c>
      <c r="O16" s="7">
        <f t="shared" si="0"/>
        <v>0</v>
      </c>
      <c r="P16" s="7">
        <f>VLOOKUP($A16,[6]HISTOJUIL25!$A$6:$BB$47,31,0)</f>
        <v>0</v>
      </c>
    </row>
    <row r="17" spans="1:16" x14ac:dyDescent="0.35">
      <c r="A17" s="1" t="s">
        <v>43</v>
      </c>
      <c r="B17" s="7">
        <f>IF(D17=0,0,VLOOKUP($A17,[6]HISTOJUIL25!$A$6:$BQ$47,14,0))</f>
        <v>2</v>
      </c>
      <c r="C17" s="1" t="str">
        <f>VLOOKUP(A17,[7]LISTADHERENT!A$5:H$60,3,0)</f>
        <v>NGUIEMEGNI MATHIEU BLAISE</v>
      </c>
      <c r="D17" s="7">
        <f>IF(E17="ECHEC",0,VLOOKUP($A17,[6]HISTOJUIL25!$A$6:$BB$47,15,0))</f>
        <v>200000</v>
      </c>
      <c r="E17" s="7" t="str">
        <f>VLOOKUP($A17,[6]HISTOJUIL25!$A$6:$BB$47,9,0)</f>
        <v>BANQUE</v>
      </c>
      <c r="F17" s="7">
        <f>VLOOKUP($A17,[6]HISTOJUIL25!$A$6:$BB$47,37,0)</f>
        <v>200000</v>
      </c>
      <c r="G17" s="7">
        <f>VLOOKUP($A17,[6]HISTOJUIL25!$A$6:$BB$47,40,0)</f>
        <v>3500</v>
      </c>
      <c r="H17" s="7" t="str">
        <f>IF(G17=0,"",VLOOKUP($A17,[6]HISTOFEV25!$A$6:$AV$47,42,0))</f>
        <v>BANQUE</v>
      </c>
      <c r="I17" s="7">
        <f>VLOOKUP($A17,[6]HISTOJUIL25!$A$6:$BB$47,41,0)</f>
        <v>0</v>
      </c>
      <c r="J17" s="7">
        <f>+TONTJUIN25!F17+TONTJUIN25!G17</f>
        <v>103000</v>
      </c>
      <c r="K17" s="7">
        <f>VLOOKUP($A17,[6]HISTOJUIL25!$A$6:$BB$47,18,0)</f>
        <v>103000</v>
      </c>
      <c r="L17" s="7" t="str">
        <f>IF(K17&lt;&gt;0,VLOOKUP($A17,[6]HISTOJUIL25!$A$6:$BB$47,42,0),"ECHEC")</f>
        <v>BANQUE</v>
      </c>
      <c r="M17" s="7" t="str">
        <f>IF(P17&lt;&gt;0,VLOOKUP($A17,[6]HISTOJUIL25!$A$6:$BB$47,32,0),"ECHEC")</f>
        <v>ECHEC</v>
      </c>
      <c r="N17" s="7">
        <f>VLOOKUP($A17,[6]HISTOJUIL25!$A$6:$BB$47,33,0)</f>
        <v>0</v>
      </c>
      <c r="O17" s="7">
        <f t="shared" si="0"/>
        <v>0</v>
      </c>
      <c r="P17" s="7">
        <f>VLOOKUP($A17,[6]HISTOJUIL25!$A$6:$BB$47,31,0)</f>
        <v>0</v>
      </c>
    </row>
    <row r="18" spans="1:16" x14ac:dyDescent="0.35">
      <c r="A18" s="1" t="s">
        <v>54</v>
      </c>
      <c r="B18" s="7">
        <f>IF(D18=0,0,VLOOKUP($A18,[6]HISTOJUIL25!$A$6:$BQ$47,14,0))</f>
        <v>2</v>
      </c>
      <c r="C18" s="1" t="str">
        <f>VLOOKUP(A18,[7]LISTADHERENT!A$5:H$60,3,0)</f>
        <v>SIME BRICE</v>
      </c>
      <c r="D18" s="7">
        <f>IF(E18="ECHEC",0,VLOOKUP($A18,[6]HISTOJUIL25!$A$6:$BB$47,15,0))</f>
        <v>200000</v>
      </c>
      <c r="E18" s="7" t="str">
        <f>VLOOKUP($A18,[6]HISTOJUIL25!$A$6:$BB$47,9,0)</f>
        <v>BANQUE</v>
      </c>
      <c r="F18" s="7">
        <f>VLOOKUP($A18,[6]HISTOJUIL25!$A$6:$BB$47,37,0)</f>
        <v>0</v>
      </c>
      <c r="G18" s="7">
        <f>VLOOKUP($A18,[6]HISTOJUIL25!$A$6:$BB$47,40,0)</f>
        <v>0</v>
      </c>
      <c r="H18" s="7" t="str">
        <f>IF(G18=0,"",VLOOKUP($A18,[6]HISTOFEV25!$A$6:$AV$47,42,0))</f>
        <v/>
      </c>
      <c r="I18" s="7">
        <f>VLOOKUP($A18,[6]HISTOJUIL25!$A$6:$BB$47,41,0)</f>
        <v>0</v>
      </c>
      <c r="J18" s="7">
        <f>+TONTJUIN25!F18+TONTJUIN25!G18</f>
        <v>0</v>
      </c>
      <c r="K18" s="7">
        <f>VLOOKUP($A18,[6]HISTOJUIL25!$A$6:$BB$47,18,0)</f>
        <v>0</v>
      </c>
      <c r="L18" s="7" t="str">
        <f>IF(K18&lt;&gt;0,VLOOKUP($A18,[6]HISTOJUIL25!$A$6:$BB$47,42,0),"ECHEC")</f>
        <v>ECHEC</v>
      </c>
      <c r="M18" s="7" t="str">
        <f>IF(P18&lt;&gt;0,VLOOKUP($A18,[6]HISTOJUIL25!$A$6:$BB$47,32,0),"ECHEC")</f>
        <v>ECHEC</v>
      </c>
      <c r="N18" s="7">
        <f>VLOOKUP($A18,[6]HISTOJUIL25!$A$6:$BB$47,33,0)</f>
        <v>0</v>
      </c>
      <c r="O18" s="7">
        <f t="shared" si="0"/>
        <v>0</v>
      </c>
      <c r="P18" s="7">
        <f>VLOOKUP($A18,[6]HISTOJUIL25!$A$6:$BB$47,31,0)</f>
        <v>0</v>
      </c>
    </row>
    <row r="19" spans="1:16" x14ac:dyDescent="0.35">
      <c r="A19" s="1" t="s">
        <v>55</v>
      </c>
      <c r="B19" s="7">
        <f>IF(D19=0,0,VLOOKUP($A19,[6]HISTOJUIL25!$A$6:$BQ$47,14,0))</f>
        <v>1</v>
      </c>
      <c r="C19" s="1" t="str">
        <f>VLOOKUP(A19,[7]LISTADHERENT!A$5:H$60,3,0)</f>
        <v>TCHOUATEU AUGUSTIN</v>
      </c>
      <c r="D19" s="7">
        <f>IF(E19="ECHEC",0,VLOOKUP($A19,[6]HISTOJUIL25!$A$6:$BB$47,15,0))</f>
        <v>100000</v>
      </c>
      <c r="E19" s="7" t="str">
        <f>VLOOKUP($A19,[6]HISTOJUIL25!$A$6:$BB$47,9,0)</f>
        <v>BANQUE</v>
      </c>
      <c r="F19" s="7">
        <f>VLOOKUP($A19,[6]HISTOJUIL25!$A$6:$BB$47,37,0)</f>
        <v>0</v>
      </c>
      <c r="G19" s="7">
        <f>VLOOKUP($A19,[6]HISTOJUIL25!$A$6:$BB$47,40,0)</f>
        <v>0</v>
      </c>
      <c r="H19" s="7" t="str">
        <f>IF(G19=0,"",VLOOKUP($A19,[6]HISTOFEV25!$A$6:$AV$47,42,0))</f>
        <v/>
      </c>
      <c r="I19" s="7">
        <f>VLOOKUP($A19,[6]HISTOJUIL25!$A$6:$BB$47,41,0)</f>
        <v>0</v>
      </c>
      <c r="J19" s="7">
        <f>+TONTJUIN25!F19+TONTJUIN25!G19</f>
        <v>0</v>
      </c>
      <c r="K19" s="7">
        <f>VLOOKUP($A19,[6]HISTOJUIL25!$A$6:$BB$47,18,0)</f>
        <v>0</v>
      </c>
      <c r="L19" s="7" t="str">
        <f>IF(K19&lt;&gt;0,VLOOKUP($A19,[6]HISTOJUIL25!$A$6:$BB$47,42,0),"ECHEC")</f>
        <v>ECHEC</v>
      </c>
      <c r="M19" s="7">
        <f>IF(P19&lt;&gt;0,VLOOKUP($A19,[6]HISTOJUIL25!$A$6:$BB$47,32,0),"ECHEC")</f>
        <v>0</v>
      </c>
      <c r="N19" s="7">
        <f>VLOOKUP($A19,[6]HISTOJUIL25!$A$6:$BB$47,33,0)</f>
        <v>0</v>
      </c>
      <c r="O19" s="7">
        <f t="shared" si="0"/>
        <v>1135000</v>
      </c>
      <c r="P19" s="7">
        <f>VLOOKUP($A19,[6]HISTOJUIL25!$A$6:$BB$47,31,0)</f>
        <v>65000</v>
      </c>
    </row>
    <row r="20" spans="1:16" x14ac:dyDescent="0.35">
      <c r="A20" s="1" t="s">
        <v>46</v>
      </c>
      <c r="B20" s="7">
        <f>IF(D20=0,0,VLOOKUP($A20,[6]HISTOJUIL25!$A$6:$BQ$47,14,0))</f>
        <v>1</v>
      </c>
      <c r="C20" s="1" t="str">
        <f>VLOOKUP(A20,[7]LISTADHERENT!A$5:H$60,3,0)</f>
        <v>SIMO PIERRE</v>
      </c>
      <c r="D20" s="7">
        <f>IF(E20="ECHEC",0,VLOOKUP($A20,[6]HISTOJUIL25!$A$6:$BB$47,15,0))</f>
        <v>100000</v>
      </c>
      <c r="E20" s="7" t="str">
        <f>VLOOKUP($A20,[6]HISTOJUIL25!$A$6:$BB$47,9,0)</f>
        <v>BANQUE</v>
      </c>
      <c r="F20" s="7">
        <f>VLOOKUP($A20,[6]HISTOJUIL25!$A$6:$BB$47,37,0)</f>
        <v>0</v>
      </c>
      <c r="G20" s="7">
        <f>VLOOKUP($A20,[6]HISTOJUIL25!$A$6:$BB$47,40,0)</f>
        <v>0</v>
      </c>
      <c r="H20" s="7" t="str">
        <f>IF(G20=0,"",VLOOKUP($A20,[6]HISTOFEV25!$A$6:$AV$47,42,0))</f>
        <v/>
      </c>
      <c r="I20" s="7">
        <f>VLOOKUP($A20,[6]HISTOJUIL25!$A$6:$BB$47,41,0)</f>
        <v>0</v>
      </c>
      <c r="J20" s="7">
        <f>+TONTJUIN25!F20+TONTJUIN25!G20</f>
        <v>0</v>
      </c>
      <c r="K20" s="7">
        <f>VLOOKUP($A20,[6]HISTOJUIL25!$A$6:$BB$47,18,0)</f>
        <v>0</v>
      </c>
      <c r="L20" s="7" t="str">
        <f>IF(K20&lt;&gt;0,VLOOKUP($A20,[6]HISTOJUIL25!$A$6:$BB$47,42,0),"ECHEC")</f>
        <v>ECHEC</v>
      </c>
      <c r="M20" s="7" t="str">
        <f>IF(P20&lt;&gt;0,VLOOKUP($A20,[6]HISTOJUIL25!$A$6:$BB$47,32,0),"ECHEC")</f>
        <v>ECHEC</v>
      </c>
      <c r="N20" s="7">
        <f>VLOOKUP($A20,[6]HISTOJUIL25!$A$6:$BB$47,33,0)</f>
        <v>0</v>
      </c>
      <c r="O20" s="7">
        <f t="shared" si="0"/>
        <v>0</v>
      </c>
      <c r="P20" s="7">
        <f>VLOOKUP($A20,[6]HISTOJUIL25!$A$6:$BB$47,31,0)</f>
        <v>0</v>
      </c>
    </row>
    <row r="21" spans="1:16" x14ac:dyDescent="0.35">
      <c r="A21" s="1" t="s">
        <v>53</v>
      </c>
      <c r="B21" s="7">
        <f>IF(D21=0,0,VLOOKUP($A21,[6]HISTOJUIL25!$A$6:$BQ$47,14,0))</f>
        <v>2</v>
      </c>
      <c r="C21" s="1" t="str">
        <f>VLOOKUP(A21,[7]LISTADHERENT!A$5:H$60,3,0)</f>
        <v>YIALA ALAIN OSCAR</v>
      </c>
      <c r="D21" s="7">
        <f>IF(E21="ECHEC",0,VLOOKUP($A21,[6]HISTOJUIL25!$A$6:$BB$47,15,0))</f>
        <v>200000</v>
      </c>
      <c r="E21" s="7" t="str">
        <f>VLOOKUP($A21,[6]HISTOJUIL25!$A$6:$BB$47,9,0)</f>
        <v>BANQUE</v>
      </c>
      <c r="F21" s="7">
        <f>VLOOKUP($A21,[6]HISTOJUIL25!$A$6:$BB$47,37,0)</f>
        <v>0</v>
      </c>
      <c r="G21" s="7">
        <f>VLOOKUP($A21,[6]HISTOJUIL25!$A$6:$BB$47,40,0)</f>
        <v>0</v>
      </c>
      <c r="H21" s="7" t="str">
        <f>IF(G21=0,"",VLOOKUP($A21,[6]HISTOFEV25!$A$6:$AV$47,42,0))</f>
        <v/>
      </c>
      <c r="I21" s="7">
        <f>VLOOKUP($A21,[6]HISTOJUIL25!$A$6:$BB$47,41,0)</f>
        <v>0</v>
      </c>
      <c r="J21" s="7">
        <f>+TONTJUIN25!F21+TONTJUIN25!G21</f>
        <v>0</v>
      </c>
      <c r="K21" s="7">
        <f>VLOOKUP($A21,[6]HISTOJUIL25!$A$6:$BB$47,18,0)</f>
        <v>0</v>
      </c>
      <c r="L21" s="7" t="str">
        <f>IF(K21&lt;&gt;0,VLOOKUP($A21,[6]HISTOJUIL25!$A$6:$BB$47,42,0),"ECHEC")</f>
        <v>ECHEC</v>
      </c>
      <c r="M21" s="7" t="str">
        <f>IF(P21&lt;&gt;0,VLOOKUP($A21,[6]HISTOJUIL25!$A$6:$BB$47,32,0),"ECHEC")</f>
        <v>ECHEC</v>
      </c>
      <c r="N21" s="7">
        <f>VLOOKUP($A21,[6]HISTOJUIL25!$A$6:$BB$47,33,0)</f>
        <v>0</v>
      </c>
      <c r="O21" s="7">
        <f t="shared" si="0"/>
        <v>0</v>
      </c>
      <c r="P21" s="7">
        <f>VLOOKUP($A21,[6]HISTOJUIL25!$A$6:$BB$47,31,0)</f>
        <v>0</v>
      </c>
    </row>
    <row r="22" spans="1:16" x14ac:dyDescent="0.35">
      <c r="A22" s="1" t="s">
        <v>61</v>
      </c>
      <c r="B22" s="7">
        <f>IF(D22=0,0,VLOOKUP($A22,[6]HISTOJUIL25!$A$6:$BQ$47,14,0))</f>
        <v>1</v>
      </c>
      <c r="C22" s="1" t="str">
        <f>VLOOKUP(A22,[7]LISTADHERENT!A$5:H$60,3,0)</f>
        <v>YOUMBI EMMANUEL</v>
      </c>
      <c r="D22" s="7">
        <f>IF(E22="ECHEC",0,VLOOKUP($A22,[6]HISTOJUIL25!$A$6:$BB$47,15,0))</f>
        <v>100000</v>
      </c>
      <c r="E22" s="7" t="str">
        <f>VLOOKUP($A22,[6]HISTOJUIL25!$A$6:$BB$47,9,0)</f>
        <v>BANQUE</v>
      </c>
      <c r="F22" s="7">
        <f>VLOOKUP($A22,[6]HISTOJUIL25!$A$6:$BB$47,37,0)</f>
        <v>0</v>
      </c>
      <c r="G22" s="7">
        <f>VLOOKUP($A22,[6]HISTOJUIL25!$A$6:$BB$47,40,0)</f>
        <v>0</v>
      </c>
      <c r="H22" s="7" t="str">
        <f>IF(G22=0,"",VLOOKUP($A22,[6]HISTOFEV25!$A$6:$AV$47,42,0))</f>
        <v/>
      </c>
      <c r="I22" s="7">
        <f>VLOOKUP($A22,[6]HISTOJUIL25!$A$6:$BB$47,41,0)</f>
        <v>0</v>
      </c>
      <c r="J22" s="7">
        <f>+TONTJUIN25!F22+TONTJUIN25!G22</f>
        <v>0</v>
      </c>
      <c r="K22" s="7">
        <f>VLOOKUP($A22,[6]HISTOJUIL25!$A$6:$BB$47,18,0)</f>
        <v>0</v>
      </c>
      <c r="L22" s="7" t="str">
        <f>IF(K22&lt;&gt;0,VLOOKUP($A22,[6]HISTOJUIL25!$A$6:$BB$47,42,0),"ECHEC")</f>
        <v>ECHEC</v>
      </c>
      <c r="M22" s="7" t="str">
        <f>IF(P22&lt;&gt;0,VLOOKUP($A22,[6]HISTOJUIL25!$A$6:$BB$47,32,0),"ECHEC")</f>
        <v>ECHEC</v>
      </c>
      <c r="N22" s="7">
        <f>VLOOKUP($A22,[6]HISTOJUIL25!$A$6:$BB$47,33,0)</f>
        <v>0</v>
      </c>
      <c r="O22" s="7">
        <f t="shared" si="0"/>
        <v>0</v>
      </c>
      <c r="P22" s="7">
        <f>VLOOKUP($A22,[6]HISTOJUIL25!$A$6:$BB$47,31,0)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24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SUM(D6:D22)+200000</f>
        <v>2600000</v>
      </c>
      <c r="E25" s="8">
        <f t="shared" ref="E25:P25" si="1">SUM(E6:E22)</f>
        <v>0</v>
      </c>
      <c r="F25" s="8">
        <f t="shared" si="1"/>
        <v>1079500</v>
      </c>
      <c r="G25" s="8">
        <f>SUM(G6:G22)</f>
        <v>27500</v>
      </c>
      <c r="H25" s="8">
        <f t="shared" si="1"/>
        <v>0</v>
      </c>
      <c r="I25" s="8">
        <f t="shared" si="1"/>
        <v>0</v>
      </c>
      <c r="J25" s="8">
        <f t="shared" si="1"/>
        <v>1167000</v>
      </c>
      <c r="K25" s="8">
        <f t="shared" si="1"/>
        <v>1167000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2275000</v>
      </c>
      <c r="P25" s="8">
        <f t="shared" si="1"/>
        <v>125000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5467000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200000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200000</v>
      </c>
      <c r="I28" s="8"/>
      <c r="K28" s="8" t="s">
        <v>34</v>
      </c>
      <c r="L28" s="8">
        <f>C3*COUNTIF(O6:O22,"&gt;0")</f>
        <v>2400000</v>
      </c>
      <c r="M28" s="8">
        <f>D3</f>
        <v>4</v>
      </c>
      <c r="N28" s="8">
        <f>COUNTIF(O6:O21,"&gt;0")</f>
        <v>2</v>
      </c>
      <c r="O28" s="8"/>
    </row>
    <row r="29" spans="1:16" s="2" customFormat="1" ht="17.5" x14ac:dyDescent="0.35">
      <c r="C29" s="8" t="s">
        <v>7</v>
      </c>
      <c r="D29" s="8">
        <f>SUMIFS(D6:D22,E6:E22,"BANQUE")</f>
        <v>2200000</v>
      </c>
      <c r="E29" s="8">
        <f>SUMIFS(K6:K22,L6:L22,"BANQUE")</f>
        <v>1167000</v>
      </c>
      <c r="F29" s="8">
        <f>SUMIFS(F6:F22,H6:H22,"BANQUE")</f>
        <v>779500</v>
      </c>
      <c r="G29" s="8">
        <f>SUMIFS(O6:O22,M6:M22,"BANQUE")</f>
        <v>0</v>
      </c>
      <c r="H29" s="8">
        <f>D29+E29-F29-G29</f>
        <v>2587500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3318000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SUM(D12:D28)</f>
        <v>4400000</v>
      </c>
      <c r="E31" s="8">
        <f>E28+E29</f>
        <v>1167000</v>
      </c>
      <c r="F31" s="8">
        <f>F28+F29</f>
        <v>779500</v>
      </c>
      <c r="G31" s="8">
        <f t="shared" ref="G31:H31" si="2">G28+G29</f>
        <v>0</v>
      </c>
      <c r="H31" s="8">
        <f t="shared" si="2"/>
        <v>2787500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2238500</v>
      </c>
      <c r="M32"/>
      <c r="N32" s="8">
        <f>L32</f>
        <v>2238500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0</v>
      </c>
      <c r="N34" s="8">
        <f>L34+TONTFEV25!N34</f>
        <v>0</v>
      </c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L35+TONTFEV25!N35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B053-688D-40E7-B800-E6D478BB2A85}">
  <dimension ref="A1:P37"/>
  <sheetViews>
    <sheetView workbookViewId="0">
      <pane xSplit="3" ySplit="5" topLeftCell="F18" activePane="bottomRight" state="frozen"/>
      <selection activeCell="C4" sqref="C4:L4"/>
      <selection pane="topRight" activeCell="C4" sqref="C4:L4"/>
      <selection pane="bottomLeft" activeCell="C4" sqref="C4:L4"/>
      <selection pane="bottomRight" activeCell="D25" sqref="D25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2</v>
      </c>
      <c r="E3" s="1"/>
      <c r="L3" s="1"/>
      <c r="M3" s="1"/>
    </row>
    <row r="4" spans="1:16" s="12" customFormat="1" ht="17.5" x14ac:dyDescent="0.35">
      <c r="B4" s="13"/>
      <c r="C4" s="37">
        <v>45882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IF(D6=0,0,VLOOKUP($A6,[6]HISTOAOUT25!$A$6:$BQ$47,14,0))</f>
        <v>1</v>
      </c>
      <c r="C6" s="1" t="str">
        <f>VLOOKUP(A6,[7]LISTADHERENT!A$5:H$60,3,0)</f>
        <v>ASELBY</v>
      </c>
      <c r="D6" s="7">
        <f>IF(E6="ECHEC",0,VLOOKUP($A6,[6]HISTOAOUT25!$A$6:$BB$47,15,0))</f>
        <v>100000</v>
      </c>
      <c r="E6" s="7" t="str">
        <f>VLOOKUP($A6,[6]HISTOAOUT25!$A$6:$BB$47,9,0)</f>
        <v>BANQUE</v>
      </c>
      <c r="F6" s="7">
        <f>VLOOKUP($A6,[6]HISTOAOUT25!$A$6:$BB$47,37,0)</f>
        <v>0</v>
      </c>
      <c r="G6" s="7">
        <f>VLOOKUP($A6,[6]HISTOAOUT25!$A$6:$BB$47,40,0)</f>
        <v>0</v>
      </c>
      <c r="H6" s="7" t="str">
        <f>IF(G6=0,"",VLOOKUP($A6,[6]HISTOFEV25!$A$6:$AV$47,42,0))</f>
        <v/>
      </c>
      <c r="I6" s="7">
        <f>VLOOKUP($A6,[6]HISTOAOUT25!$A$6:$BB$47,41,0)</f>
        <v>0</v>
      </c>
      <c r="J6" s="7">
        <f>+TONTJUIL25!F6+TONTJUIL25!G6</f>
        <v>0</v>
      </c>
      <c r="K6" s="7">
        <f>VLOOKUP($A6,[6]HISTOAOUT25!$A$6:$BB$47,18,0)</f>
        <v>0</v>
      </c>
      <c r="L6" s="7" t="str">
        <f>IF(K6&lt;&gt;0,VLOOKUP($A6,[6]HISTOAOUT25!$A$6:$BB$47,42,0),"ECHEC")</f>
        <v>ECHEC</v>
      </c>
      <c r="M6" s="7" t="str">
        <f>IF(P6&lt;&gt;0,VLOOKUP($A6,[6]HISTOAOUT25!$A$6:$BB$47,32,0),"ECHEC")</f>
        <v>ECHEC</v>
      </c>
      <c r="N6" s="7">
        <f>VLOOKUP($A6,[6]HISTOAOUT25!$A$6:$BB$47,33,0)</f>
        <v>0</v>
      </c>
      <c r="O6" s="7">
        <f t="shared" ref="O6:O22" si="0">IF(P6=0,0,($C$3-P6))</f>
        <v>0</v>
      </c>
      <c r="P6" s="7">
        <f>VLOOKUP($A6,[6]HISTOAOUT25!$A$6:$BB$47,31,0)</f>
        <v>0</v>
      </c>
    </row>
    <row r="7" spans="1:16" x14ac:dyDescent="0.35">
      <c r="A7" s="1" t="s">
        <v>47</v>
      </c>
      <c r="B7" s="7">
        <f>IF(D7=0,0,VLOOKUP($A7,[6]HISTOAOUT25!$A$6:$BQ$47,14,0))</f>
        <v>2</v>
      </c>
      <c r="C7" s="1" t="str">
        <f>VLOOKUP(A7,[7]LISTADHERENT!A$5:H$60,3,0)</f>
        <v xml:space="preserve">DJOMO JEAN PAUL </v>
      </c>
      <c r="D7" s="7">
        <f>IF(E7="ECHEC",0,VLOOKUP($A7,[6]HISTOAOUT25!$A$6:$BB$47,15,0))</f>
        <v>200000</v>
      </c>
      <c r="E7" s="7" t="str">
        <f>VLOOKUP($A7,[6]HISTOAOUT25!$A$6:$BB$47,9,0)</f>
        <v>ESPECES</v>
      </c>
      <c r="F7" s="7">
        <f>VLOOKUP($A7,[6]HISTOAOUT25!$A$6:$BB$47,37,0)</f>
        <v>100000</v>
      </c>
      <c r="G7" s="7">
        <f>VLOOKUP($A7,[6]HISTOAOUT25!$A$6:$BB$47,40,0)</f>
        <v>1500</v>
      </c>
      <c r="H7" s="7" t="str">
        <f>IF(G7=0,"",VLOOKUP($A7,[6]HISTOFEV25!$A$6:$AV$47,42,0))</f>
        <v>BANQUE</v>
      </c>
      <c r="I7" s="7">
        <f>VLOOKUP($A7,[6]HISTOAOUT25!$A$6:$BB$47,41,0)</f>
        <v>0</v>
      </c>
      <c r="J7" s="7">
        <f>+TONTJUIL25!F7+TONTJUIL25!G7</f>
        <v>203500</v>
      </c>
      <c r="K7" s="7">
        <f>VLOOKUP($A7,[6]HISTOAOUT25!$A$6:$BB$47,18,0)</f>
        <v>203500</v>
      </c>
      <c r="L7" s="7" t="str">
        <f>IF(K7&lt;&gt;0,VLOOKUP($A7,[6]HISTOAOUT25!$A$6:$BB$47,42,0),"ECHEC")</f>
        <v>BANQUE</v>
      </c>
      <c r="M7" s="7">
        <f>IF(P7&lt;&gt;0,VLOOKUP($A7,[6]HISTOAOUT25!$A$6:$BB$47,32,0),"ECHEC")</f>
        <v>0</v>
      </c>
      <c r="N7" s="7">
        <f>VLOOKUP($A7,[6]HISTOAOUT25!$A$6:$BB$47,33,0)</f>
        <v>0</v>
      </c>
      <c r="O7" s="7">
        <f t="shared" si="0"/>
        <v>1190000</v>
      </c>
      <c r="P7" s="7">
        <f>VLOOKUP($A7,[6]HISTOAOUT25!$A$6:$BB$47,31,0)</f>
        <v>10000</v>
      </c>
    </row>
    <row r="8" spans="1:16" x14ac:dyDescent="0.35">
      <c r="A8" s="1" t="s">
        <v>60</v>
      </c>
      <c r="B8" s="7">
        <f>IF(D8=0,0,VLOOKUP($A8,[6]HISTOAOUT25!$A$6:$BQ$47,14,0))</f>
        <v>1</v>
      </c>
      <c r="C8" s="1" t="str">
        <f>VLOOKUP(A8,[7]LISTADHERENT!A$5:H$60,3,0)</f>
        <v>DJOUKWE NANGUEN GUY BLAISE</v>
      </c>
      <c r="D8" s="7">
        <f>IF(E8="ECHEC",0,VLOOKUP($A8,[6]HISTOAOUT25!$A$6:$BB$47,15,0))</f>
        <v>100000</v>
      </c>
      <c r="E8" s="7" t="str">
        <f>VLOOKUP($A8,[6]HISTOAOUT25!$A$6:$BB$47,9,0)</f>
        <v>BANQUE</v>
      </c>
      <c r="F8" s="7">
        <f>VLOOKUP($A8,[6]HISTOAOUT25!$A$6:$BB$47,37,0)</f>
        <v>0</v>
      </c>
      <c r="G8" s="7">
        <f>VLOOKUP($A8,[6]HISTOAOUT25!$A$6:$BB$47,40,0)</f>
        <v>0</v>
      </c>
      <c r="H8" s="7" t="str">
        <f>IF(G8=0,"",VLOOKUP($A8,[6]HISTOFEV25!$A$6:$AV$47,42,0))</f>
        <v/>
      </c>
      <c r="I8" s="7">
        <f>VLOOKUP($A8,[6]HISTOAOUT25!$A$6:$BB$47,41,0)</f>
        <v>0</v>
      </c>
      <c r="J8" s="7">
        <f>+TONTJUIL25!F8+TONTJUIL25!G8</f>
        <v>0</v>
      </c>
      <c r="K8" s="7">
        <f>VLOOKUP($A8,[6]HISTOAOUT25!$A$6:$BB$47,18,0)</f>
        <v>0</v>
      </c>
      <c r="L8" s="7" t="str">
        <f>IF(K8&lt;&gt;0,VLOOKUP($A8,[6]HISTOAOUT25!$A$6:$BB$47,42,0),"ECHEC")</f>
        <v>ECHEC</v>
      </c>
      <c r="M8" s="7" t="str">
        <f>IF(P8&lt;&gt;0,VLOOKUP($A8,[6]HISTOAOUT25!$A$6:$BB$47,32,0),"ECHEC")</f>
        <v>ECHEC</v>
      </c>
      <c r="N8" s="7">
        <f>VLOOKUP($A8,[6]HISTOAOUT25!$A$6:$BB$47,33,0)</f>
        <v>0</v>
      </c>
      <c r="O8" s="7">
        <f t="shared" si="0"/>
        <v>0</v>
      </c>
      <c r="P8" s="7">
        <f>VLOOKUP($A8,[6]HISTOAOUT25!$A$6:$BB$47,31,0)</f>
        <v>0</v>
      </c>
    </row>
    <row r="9" spans="1:16" x14ac:dyDescent="0.35">
      <c r="A9" s="1" t="s">
        <v>20</v>
      </c>
      <c r="B9" s="7">
        <f>IF(D9=0,0,VLOOKUP($A9,[6]HISTOAOUT25!$A$6:$BQ$47,14,0))</f>
        <v>2</v>
      </c>
      <c r="C9" s="1" t="str">
        <f>VLOOKUP(A9,[7]LISTADHERENT!A$5:H$60,3,0)</f>
        <v>DJUOMBESSY ANTOINE</v>
      </c>
      <c r="D9" s="7">
        <f>IF(E9="ECHEC",0,VLOOKUP($A9,[6]HISTOAOUT25!$A$6:$BB$47,15,0))</f>
        <v>200000</v>
      </c>
      <c r="E9" s="7" t="str">
        <f>VLOOKUP($A9,[6]HISTOAOUT25!$A$6:$BB$47,9,0)</f>
        <v>BANQUE</v>
      </c>
      <c r="F9" s="7">
        <f>VLOOKUP($A9,[6]HISTOAOUT25!$A$6:$BB$47,37,0)</f>
        <v>100000</v>
      </c>
      <c r="G9" s="7">
        <f>VLOOKUP($A9,[6]HISTOAOUT25!$A$6:$BB$47,40,0)</f>
        <v>1000</v>
      </c>
      <c r="H9" s="7">
        <f>IF(G9=0,"",VLOOKUP($A9,[6]HISTOFEV25!$A$6:$AV$47,42,0))</f>
        <v>0</v>
      </c>
      <c r="I9" s="7">
        <f>VLOOKUP($A9,[6]HISTOAOUT25!$A$6:$BB$47,41,0)</f>
        <v>0</v>
      </c>
      <c r="J9" s="7">
        <f>+TONTJUIL25!F9+TONTJUIL25!G9</f>
        <v>206500</v>
      </c>
      <c r="K9" s="7">
        <f>VLOOKUP($A9,[6]HISTOAOUT25!$A$6:$BB$47,18,0)</f>
        <v>206500</v>
      </c>
      <c r="L9" s="7" t="str">
        <f>IF(K9&lt;&gt;0,VLOOKUP($A9,[6]HISTOAOUT25!$A$6:$BB$47,42,0),"ECHEC")</f>
        <v>BANQUE</v>
      </c>
      <c r="M9" s="7" t="str">
        <f>IF(P9&lt;&gt;0,VLOOKUP($A9,[6]HISTOAOUT25!$A$6:$BB$47,32,0),"ECHEC")</f>
        <v>ECHEC</v>
      </c>
      <c r="N9" s="7">
        <f>VLOOKUP($A9,[6]HISTOAOUT25!$A$6:$BB$47,33,0)</f>
        <v>0</v>
      </c>
      <c r="O9" s="7">
        <f t="shared" si="0"/>
        <v>0</v>
      </c>
      <c r="P9" s="7">
        <f>VLOOKUP($A9,[6]HISTOAOUT25!$A$6:$BB$47,31,0)</f>
        <v>0</v>
      </c>
    </row>
    <row r="10" spans="1:16" x14ac:dyDescent="0.35">
      <c r="A10" s="1" t="s">
        <v>62</v>
      </c>
      <c r="B10" s="7">
        <f>IF(D10=0,0,VLOOKUP($A10,[6]HISTOAOUT25!$A$6:$BQ$47,14,0))</f>
        <v>1</v>
      </c>
      <c r="C10" s="1" t="str">
        <f>VLOOKUP(A10,[7]LISTADHERENT!A$5:H$60,3,0)</f>
        <v>FAMPOU PAUL</v>
      </c>
      <c r="D10" s="7">
        <f>IF(E10="ECHEC",0,VLOOKUP($A10,[6]HISTOAOUT25!$A$6:$BB$47,15,0))</f>
        <v>100000</v>
      </c>
      <c r="E10" s="7" t="str">
        <f>VLOOKUP($A10,[6]HISTOAOUT25!$A$6:$BB$47,9,0)</f>
        <v>BANQUE</v>
      </c>
      <c r="F10" s="7">
        <f>VLOOKUP($A10,[6]HISTOAOUT25!$A$6:$BB$47,37,0)</f>
        <v>0</v>
      </c>
      <c r="G10" s="7">
        <f>VLOOKUP($A10,[6]HISTOAOUT25!$A$6:$BB$47,40,0)</f>
        <v>0</v>
      </c>
      <c r="H10" s="7" t="str">
        <f>IF(G10=0,"",VLOOKUP($A10,[6]HISTOFEV25!$A$6:$AV$47,42,0))</f>
        <v/>
      </c>
      <c r="I10" s="7">
        <f>VLOOKUP($A10,[6]HISTOAOUT25!$A$6:$BB$47,41,0)</f>
        <v>0</v>
      </c>
      <c r="J10" s="7">
        <f>+TONTJUIL25!F10+TONTJUIL25!G10</f>
        <v>102000</v>
      </c>
      <c r="K10" s="7">
        <f>VLOOKUP($A10,[6]HISTOAOUT25!$A$6:$BB$47,18,0)</f>
        <v>102000</v>
      </c>
      <c r="L10" s="7" t="str">
        <f>IF(K10&lt;&gt;0,VLOOKUP($A10,[6]HISTOAOUT25!$A$6:$BB$47,42,0),"ECHEC")</f>
        <v>BANQUE</v>
      </c>
      <c r="M10" s="7" t="str">
        <f>IF(P10&lt;&gt;0,VLOOKUP($A10,[6]HISTOAOUT25!$A$6:$BB$47,32,0),"ECHEC")</f>
        <v>ECHEC</v>
      </c>
      <c r="N10" s="7">
        <f>VLOOKUP($A10,[6]HISTOAOUT25!$A$6:$BB$47,33,0)</f>
        <v>0</v>
      </c>
      <c r="O10" s="7">
        <f t="shared" si="0"/>
        <v>0</v>
      </c>
      <c r="P10" s="7">
        <f>VLOOKUP($A10,[6]HISTOAOUT25!$A$6:$BB$47,31,0)</f>
        <v>0</v>
      </c>
    </row>
    <row r="11" spans="1:16" x14ac:dyDescent="0.35">
      <c r="A11" s="1" t="s">
        <v>21</v>
      </c>
      <c r="B11" s="7">
        <f>IF(D11=0,0,VLOOKUP($A11,[6]HISTOAOUT25!$A$6:$BQ$47,14,0))</f>
        <v>1</v>
      </c>
      <c r="C11" s="1" t="str">
        <f>VLOOKUP(A11,[7]LISTADHERENT!A$5:H$60,3,0)</f>
        <v>HOTCHO BENJAMIN</v>
      </c>
      <c r="D11" s="7">
        <f>IF(E11="ECHEC",0,VLOOKUP($A11,[6]HISTOAOUT25!$A$6:$BB$47,15,0))</f>
        <v>100000</v>
      </c>
      <c r="E11" s="7" t="str">
        <f>VLOOKUP($A11,[6]HISTOAOUT25!$A$6:$BB$47,9,0)</f>
        <v>BANQUE</v>
      </c>
      <c r="F11" s="7">
        <f>VLOOKUP($A11,[6]HISTOAOUT25!$A$6:$BB$47,37,0)</f>
        <v>232000</v>
      </c>
      <c r="G11" s="7">
        <f>VLOOKUP($A11,[6]HISTOAOUT25!$A$6:$BB$47,40,0)</f>
        <v>2000</v>
      </c>
      <c r="H11" s="7">
        <f>IF(G11=0,"",VLOOKUP($A11,[6]HISTOFEV25!$A$6:$AV$47,42,0))</f>
        <v>0</v>
      </c>
      <c r="I11" s="7">
        <f>VLOOKUP($A11,[6]HISTOAOUT25!$A$6:$BB$47,41,0)</f>
        <v>0</v>
      </c>
      <c r="J11" s="7">
        <f>+TONTJUIL25!F11+TONTJUIL25!G11</f>
        <v>0</v>
      </c>
      <c r="K11" s="7">
        <f>VLOOKUP($A11,[6]HISTOAOUT25!$A$6:$BB$47,18,0)</f>
        <v>0</v>
      </c>
      <c r="L11" s="7" t="str">
        <f>IF(K11&lt;&gt;0,VLOOKUP($A11,[6]HISTOAOUT25!$A$6:$BB$47,42,0),"ECHEC")</f>
        <v>ECHEC</v>
      </c>
      <c r="M11" s="7" t="str">
        <f>IF(P11&lt;&gt;0,VLOOKUP($A11,[6]HISTOAOUT25!$A$6:$BB$47,32,0),"ECHEC")</f>
        <v>ECHEC</v>
      </c>
      <c r="N11" s="7">
        <f>VLOOKUP($A11,[6]HISTOAOUT25!$A$6:$BB$47,33,0)</f>
        <v>0</v>
      </c>
      <c r="O11" s="7">
        <f t="shared" si="0"/>
        <v>0</v>
      </c>
      <c r="P11" s="7">
        <f>VLOOKUP($A11,[6]HISTOAOUT25!$A$6:$BB$47,31,0)</f>
        <v>0</v>
      </c>
    </row>
    <row r="12" spans="1:16" x14ac:dyDescent="0.35">
      <c r="A12" s="1" t="s">
        <v>26</v>
      </c>
      <c r="B12" s="7">
        <f>IF(D12=0,0,VLOOKUP($A12,[6]HISTOAOUT25!$A$6:$BQ$47,14,0))</f>
        <v>1</v>
      </c>
      <c r="C12" s="1" t="str">
        <f>VLOOKUP(A12,[7]LISTADHERENT!A$5:H$60,3,0)</f>
        <v>KOUAMOU MOISE</v>
      </c>
      <c r="D12" s="7">
        <f>IF(E12="ECHEC",0,VLOOKUP($A12,[6]HISTOAOUT25!$A$6:$BB$47,15,0))</f>
        <v>100000</v>
      </c>
      <c r="E12" s="7" t="str">
        <f>VLOOKUP($A12,[6]HISTOAOUT25!$A$6:$BB$47,9,0)</f>
        <v>BANQUE</v>
      </c>
      <c r="F12" s="7">
        <f>VLOOKUP($A12,[6]HISTOAOUT25!$A$6:$BB$47,37,0)</f>
        <v>0</v>
      </c>
      <c r="G12" s="7">
        <f>VLOOKUP($A12,[6]HISTOAOUT25!$A$6:$BB$47,40,0)</f>
        <v>0</v>
      </c>
      <c r="H12" s="7" t="str">
        <f>IF(G12=0,"",VLOOKUP($A12,[6]HISTOFEV25!$A$6:$AV$47,42,0))</f>
        <v/>
      </c>
      <c r="I12" s="7">
        <f>VLOOKUP($A12,[6]HISTOAOUT25!$A$6:$BB$47,41,0)</f>
        <v>0</v>
      </c>
      <c r="J12" s="7">
        <f>+TONTJUIL25!F12+TONTJUIL25!G12</f>
        <v>0</v>
      </c>
      <c r="K12" s="7">
        <f>VLOOKUP($A12,[6]HISTOAOUT25!$A$6:$BB$47,18,0)</f>
        <v>0</v>
      </c>
      <c r="L12" s="7" t="str">
        <f>IF(K12&lt;&gt;0,VLOOKUP($A12,[6]HISTOAOUT25!$A$6:$BB$47,42,0),"ECHEC")</f>
        <v>ECHEC</v>
      </c>
      <c r="M12" s="7" t="str">
        <f>IF(P12&lt;&gt;0,VLOOKUP($A12,[6]HISTOAOUT25!$A$6:$BB$47,32,0),"ECHEC")</f>
        <v>ECHEC</v>
      </c>
      <c r="N12" s="7">
        <f>VLOOKUP($A12,[6]HISTOAOUT25!$A$6:$BB$47,33,0)</f>
        <v>0</v>
      </c>
      <c r="O12" s="7">
        <f t="shared" si="0"/>
        <v>0</v>
      </c>
      <c r="P12" s="7">
        <f>VLOOKUP($A12,[6]HISTOAOUT25!$A$6:$BB$47,31,0)</f>
        <v>0</v>
      </c>
    </row>
    <row r="13" spans="1:16" x14ac:dyDescent="0.35">
      <c r="A13" s="1" t="s">
        <v>8</v>
      </c>
      <c r="B13" s="7">
        <f>IF(D13=0,0,VLOOKUP($A13,[6]HISTOAOUT25!$A$6:$BQ$47,14,0))</f>
        <v>1</v>
      </c>
      <c r="C13" s="1" t="str">
        <f>VLOOKUP(A13,[7]LISTADHERENT!A$5:H$60,3,0)</f>
        <v>KOUATCHO MESSACK</v>
      </c>
      <c r="D13" s="7">
        <f>IF(E13="ECHEC",0,VLOOKUP($A13,[6]HISTOAOUT25!$A$6:$BB$47,15,0))</f>
        <v>100000</v>
      </c>
      <c r="E13" s="7" t="str">
        <f>VLOOKUP($A13,[6]HISTOAOUT25!$A$6:$BB$47,9,0)</f>
        <v>BANQUE</v>
      </c>
      <c r="F13" s="7">
        <f>VLOOKUP($A13,[6]HISTOAOUT25!$A$6:$BB$47,37,0)</f>
        <v>200000</v>
      </c>
      <c r="G13" s="7">
        <f>VLOOKUP($A13,[6]HISTOAOUT25!$A$6:$BB$47,40,0)</f>
        <v>3000</v>
      </c>
      <c r="H13" s="7" t="str">
        <f>IF(G13=0,"",VLOOKUP($A13,[6]HISTOFEV25!$A$6:$AV$47,42,0))</f>
        <v>BANQUE</v>
      </c>
      <c r="I13" s="7">
        <f>VLOOKUP($A13,[6]HISTOAOUT25!$A$6:$BB$47,41,0)</f>
        <v>0</v>
      </c>
      <c r="J13" s="7">
        <f>+TONTJUIL25!F13+TONTJUIL25!G13</f>
        <v>81000</v>
      </c>
      <c r="K13" s="7">
        <f>VLOOKUP($A13,[6]HISTOAOUT25!$A$6:$BB$47,18,0)</f>
        <v>81000</v>
      </c>
      <c r="L13" s="7" t="str">
        <f>IF(K13&lt;&gt;0,VLOOKUP($A13,[6]HISTOAOUT25!$A$6:$BB$47,42,0),"ECHEC")</f>
        <v>BANQUE</v>
      </c>
      <c r="M13" s="7" t="str">
        <f>IF(P13&lt;&gt;0,VLOOKUP($A13,[6]HISTOAOUT25!$A$6:$BB$47,32,0),"ECHEC")</f>
        <v>ECHEC</v>
      </c>
      <c r="N13" s="7">
        <f>VLOOKUP($A13,[6]HISTOAOUT25!$A$6:$BB$47,33,0)</f>
        <v>0</v>
      </c>
      <c r="O13" s="7">
        <f t="shared" si="0"/>
        <v>0</v>
      </c>
      <c r="P13" s="7">
        <f>VLOOKUP($A13,[6]HISTOAOUT25!$A$6:$BB$47,31,0)</f>
        <v>0</v>
      </c>
    </row>
    <row r="14" spans="1:16" x14ac:dyDescent="0.35">
      <c r="A14" s="1" t="s">
        <v>22</v>
      </c>
      <c r="B14" s="7">
        <f>IF(D14=0,0,VLOOKUP($A14,[6]HISTOAOUT25!$A$6:$BQ$47,14,0))</f>
        <v>2</v>
      </c>
      <c r="C14" s="1" t="str">
        <f>VLOOKUP(A14,[7]LISTADHERENT!A$5:H$60,3,0)</f>
        <v>MBOGNING TUGMA GUY</v>
      </c>
      <c r="D14" s="7">
        <f>IF(E14="ECHEC",0,VLOOKUP($A14,[6]HISTOAOUT25!$A$6:$BB$47,15,0))</f>
        <v>200000</v>
      </c>
      <c r="E14" s="7" t="str">
        <f>VLOOKUP($A14,[6]HISTOAOUT25!$A$6:$BB$47,9,0)</f>
        <v>BANQUE</v>
      </c>
      <c r="F14" s="7">
        <f>VLOOKUP($A14,[6]HISTOAOUT25!$A$6:$BB$47,37,0)</f>
        <v>200000</v>
      </c>
      <c r="G14" s="7">
        <f>VLOOKUP($A14,[6]HISTOAOUT25!$A$6:$BB$47,40,0)</f>
        <v>2000</v>
      </c>
      <c r="H14" s="7" t="str">
        <f>IF(G14=0,"",VLOOKUP($A14,[6]HISTOFEV25!$A$6:$AV$47,42,0))</f>
        <v>BANQUE</v>
      </c>
      <c r="I14" s="7">
        <f>VLOOKUP($A14,[6]HISTOAOUT25!$A$6:$BB$47,41,0)</f>
        <v>0</v>
      </c>
      <c r="J14" s="7">
        <f>+TONTJUIL25!F14+TONTJUIL25!G14</f>
        <v>104500</v>
      </c>
      <c r="K14" s="7">
        <f>VLOOKUP($A14,[6]HISTOAOUT25!$A$6:$BB$47,18,0)</f>
        <v>104500</v>
      </c>
      <c r="L14" s="7" t="str">
        <f>IF(K14&lt;&gt;0,VLOOKUP($A14,[6]HISTOAOUT25!$A$6:$BB$47,42,0),"ECHEC")</f>
        <v>BANQUE</v>
      </c>
      <c r="M14" s="7" t="str">
        <f>IF(P14&lt;&gt;0,VLOOKUP($A14,[6]HISTOAOUT25!$A$6:$BB$47,32,0),"ECHEC")</f>
        <v>ECHEC</v>
      </c>
      <c r="N14" s="7">
        <f>VLOOKUP($A14,[6]HISTOAOUT25!$A$6:$BB$47,33,0)</f>
        <v>0</v>
      </c>
      <c r="O14" s="7">
        <f t="shared" si="0"/>
        <v>0</v>
      </c>
      <c r="P14" s="7">
        <f>VLOOKUP($A14,[6]HISTOAOUT25!$A$6:$BB$47,31,0)</f>
        <v>0</v>
      </c>
    </row>
    <row r="15" spans="1:16" x14ac:dyDescent="0.35">
      <c r="A15" s="1" t="s">
        <v>9</v>
      </c>
      <c r="B15" s="7">
        <f>IF(D15=0,0,VLOOKUP($A15,[6]HISTOAOUT25!$A$6:$BQ$47,14,0))</f>
        <v>2</v>
      </c>
      <c r="C15" s="1" t="str">
        <f>VLOOKUP(A15,[7]LISTADHERENT!A$5:H$60,3,0)</f>
        <v>NDJOMO ETIENNE</v>
      </c>
      <c r="D15" s="7">
        <f>IF(E15="ECHEC",0,VLOOKUP($A15,[6]HISTOAOUT25!$A$6:$BB$47,15,0))</f>
        <v>200000</v>
      </c>
      <c r="E15" s="7" t="str">
        <f>VLOOKUP($A15,[6]HISTOAOUT25!$A$6:$BB$47,9,0)</f>
        <v>BANQUE</v>
      </c>
      <c r="F15" s="7">
        <f>VLOOKUP($A15,[6]HISTOAOUT25!$A$6:$BB$47,37,0)</f>
        <v>200000</v>
      </c>
      <c r="G15" s="7">
        <f>VLOOKUP($A15,[6]HISTOAOUT25!$A$6:$BB$47,40,0)</f>
        <v>2000</v>
      </c>
      <c r="H15" s="7" t="str">
        <f>IF(G15=0,"",VLOOKUP($A15,[6]HISTOFEV25!$A$6:$AV$47,42,0))</f>
        <v>BANQUE</v>
      </c>
      <c r="I15" s="7">
        <f>VLOOKUP($A15,[6]HISTOAOUT25!$A$6:$BB$47,41,0)</f>
        <v>0</v>
      </c>
      <c r="J15" s="7">
        <f>+TONTJUIL25!F15+TONTJUIL25!G15</f>
        <v>206000</v>
      </c>
      <c r="K15" s="7">
        <f>VLOOKUP($A15,[6]HISTOAOUT25!$A$6:$BB$47,18,0)</f>
        <v>206000</v>
      </c>
      <c r="L15" s="7" t="str">
        <f>IF(K15&lt;&gt;0,VLOOKUP($A15,[6]HISTOAOUT25!$A$6:$BB$47,42,0),"ECHEC")</f>
        <v>BANQUE</v>
      </c>
      <c r="M15" s="7" t="str">
        <f>IF(P15&lt;&gt;0,VLOOKUP($A15,[6]HISTOAOUT25!$A$6:$BB$47,32,0),"ECHEC")</f>
        <v>ECHEC</v>
      </c>
      <c r="N15" s="7">
        <f>VLOOKUP($A15,[6]HISTOAOUT25!$A$6:$BB$47,33,0)</f>
        <v>0</v>
      </c>
      <c r="O15" s="7">
        <f t="shared" si="0"/>
        <v>0</v>
      </c>
      <c r="P15" s="7">
        <f>VLOOKUP($A15,[6]HISTOAOUT25!$A$6:$BB$47,31,0)</f>
        <v>0</v>
      </c>
    </row>
    <row r="16" spans="1:16" x14ac:dyDescent="0.35">
      <c r="A16" s="1" t="s">
        <v>10</v>
      </c>
      <c r="B16" s="7">
        <f>IF(D16=0,0,VLOOKUP($A16,[6]HISTOAOUT25!$A$6:$BQ$47,14,0))</f>
        <v>1</v>
      </c>
      <c r="C16" s="1" t="str">
        <f>VLOOKUP(A16,[7]LISTADHERENT!A$5:H$60,3,0)</f>
        <v>NGONDIEP CLAUDE</v>
      </c>
      <c r="D16" s="7">
        <f>IF(E16="ECHEC",0,VLOOKUP($A16,[6]HISTOAOUT25!$A$6:$BB$47,15,0))</f>
        <v>100000</v>
      </c>
      <c r="E16" s="7" t="str">
        <f>VLOOKUP($A16,[6]HISTOAOUT25!$A$6:$BB$47,9,0)</f>
        <v>BANQUE</v>
      </c>
      <c r="F16" s="7">
        <f>VLOOKUP($A16,[6]HISTOAOUT25!$A$6:$BB$47,37,0)</f>
        <v>0</v>
      </c>
      <c r="G16" s="7">
        <f>VLOOKUP($A16,[6]HISTOAOUT25!$A$6:$BB$47,40,0)</f>
        <v>0</v>
      </c>
      <c r="H16" s="7" t="str">
        <f>IF(G16=0,"",VLOOKUP($A16,[6]HISTOFEV25!$A$6:$AV$47,42,0))</f>
        <v/>
      </c>
      <c r="I16" s="7">
        <f>VLOOKUP($A16,[6]HISTOAOUT25!$A$6:$BB$47,41,0)</f>
        <v>0</v>
      </c>
      <c r="J16" s="7">
        <f>+TONTJUIL25!F16+TONTJUIL25!G16</f>
        <v>0</v>
      </c>
      <c r="K16" s="7">
        <f>VLOOKUP($A16,[6]HISTOAOUT25!$A$6:$BB$47,18,0)</f>
        <v>0</v>
      </c>
      <c r="L16" s="7" t="str">
        <f>IF(K16&lt;&gt;0,VLOOKUP($A16,[6]HISTOAOUT25!$A$6:$BB$47,42,0),"ECHEC")</f>
        <v>ECHEC</v>
      </c>
      <c r="M16" s="7" t="str">
        <f>IF(P16&lt;&gt;0,VLOOKUP($A16,[6]HISTOAOUT25!$A$6:$BB$47,32,0),"ECHEC")</f>
        <v>ECHEC</v>
      </c>
      <c r="N16" s="7">
        <f>VLOOKUP($A16,[6]HISTOAOUT25!$A$6:$BB$47,33,0)</f>
        <v>0</v>
      </c>
      <c r="O16" s="7">
        <f t="shared" si="0"/>
        <v>0</v>
      </c>
      <c r="P16" s="7">
        <f>VLOOKUP($A16,[6]HISTOAOUT25!$A$6:$BB$47,31,0)</f>
        <v>0</v>
      </c>
    </row>
    <row r="17" spans="1:16" x14ac:dyDescent="0.35">
      <c r="A17" s="1" t="s">
        <v>43</v>
      </c>
      <c r="B17" s="7">
        <f>IF(D17=0,0,VLOOKUP($A17,[6]HISTOAOUT25!$A$6:$BQ$47,14,0))</f>
        <v>2</v>
      </c>
      <c r="C17" s="1" t="str">
        <f>VLOOKUP(A17,[7]LISTADHERENT!A$5:H$60,3,0)</f>
        <v>NGUIEMEGNI MATHIEU BLAISE</v>
      </c>
      <c r="D17" s="7">
        <f>IF(E17="ECHEC",0,VLOOKUP($A17,[6]HISTOAOUT25!$A$6:$BB$47,15,0))</f>
        <v>200000</v>
      </c>
      <c r="E17" s="7" t="str">
        <f>VLOOKUP($A17,[6]HISTOAOUT25!$A$6:$BB$47,9,0)</f>
        <v>BANQUE</v>
      </c>
      <c r="F17" s="7">
        <f>VLOOKUP($A17,[6]HISTOAOUT25!$A$6:$BB$47,37,0)</f>
        <v>100000</v>
      </c>
      <c r="G17" s="7">
        <f>VLOOKUP($A17,[6]HISTOAOUT25!$A$6:$BB$47,40,0)</f>
        <v>1000</v>
      </c>
      <c r="H17" s="7" t="str">
        <f>IF(G17=0,"",VLOOKUP($A17,[6]HISTOFEV25!$A$6:$AV$47,42,0))</f>
        <v>BANQUE</v>
      </c>
      <c r="I17" s="7">
        <f>VLOOKUP($A17,[6]HISTOAOUT25!$A$6:$BB$47,41,0)</f>
        <v>0</v>
      </c>
      <c r="J17" s="7">
        <f>+TONTJUIL25!F17+TONTJUIL25!G17</f>
        <v>203500</v>
      </c>
      <c r="K17" s="7">
        <f>VLOOKUP($A17,[6]HISTOAOUT25!$A$6:$BB$47,18,0)</f>
        <v>203500</v>
      </c>
      <c r="L17" s="7" t="str">
        <f>IF(K17&lt;&gt;0,VLOOKUP($A17,[6]HISTOAOUT25!$A$6:$BB$47,42,0),"ECHEC")</f>
        <v>BANQUE</v>
      </c>
      <c r="M17" s="7">
        <f>IF(P17&lt;&gt;0,VLOOKUP($A17,[6]HISTOAOUT25!$A$6:$BB$47,32,0),"ECHEC")</f>
        <v>0</v>
      </c>
      <c r="N17" s="7">
        <f>VLOOKUP($A17,[6]HISTOAOUT25!$A$6:$BB$47,33,0)</f>
        <v>0</v>
      </c>
      <c r="O17" s="7">
        <f t="shared" si="0"/>
        <v>1185000</v>
      </c>
      <c r="P17" s="7">
        <f>VLOOKUP($A17,[6]HISTOAOUT25!$A$6:$BB$47,31,0)</f>
        <v>15000</v>
      </c>
    </row>
    <row r="18" spans="1:16" x14ac:dyDescent="0.35">
      <c r="A18" s="1" t="s">
        <v>54</v>
      </c>
      <c r="B18" s="7">
        <f>IF(D18=0,0,VLOOKUP($A18,[6]HISTOAOUT25!$A$6:$BQ$47,14,0))</f>
        <v>2</v>
      </c>
      <c r="C18" s="1" t="str">
        <f>VLOOKUP(A18,[7]LISTADHERENT!A$5:H$60,3,0)</f>
        <v>SIME BRICE</v>
      </c>
      <c r="D18" s="7">
        <f>IF(E18="ECHEC",0,VLOOKUP($A18,[6]HISTOAOUT25!$A$6:$BB$47,15,0))</f>
        <v>200000</v>
      </c>
      <c r="E18" s="7" t="str">
        <f>VLOOKUP($A18,[6]HISTOAOUT25!$A$6:$BB$47,9,0)</f>
        <v>BANQUE</v>
      </c>
      <c r="F18" s="7">
        <f>VLOOKUP($A18,[6]HISTOAOUT25!$A$6:$BB$47,37,0)</f>
        <v>0</v>
      </c>
      <c r="G18" s="7">
        <f>VLOOKUP($A18,[6]HISTOAOUT25!$A$6:$BB$47,40,0)</f>
        <v>0</v>
      </c>
      <c r="H18" s="7" t="str">
        <f>IF(G18=0,"",VLOOKUP($A18,[6]HISTOFEV25!$A$6:$AV$47,42,0))</f>
        <v/>
      </c>
      <c r="I18" s="7">
        <f>VLOOKUP($A18,[6]HISTOAOUT25!$A$6:$BB$47,41,0)</f>
        <v>0</v>
      </c>
      <c r="J18" s="7">
        <f>+TONTJUIL25!F18+TONTJUIL25!G18</f>
        <v>0</v>
      </c>
      <c r="K18" s="7">
        <f>VLOOKUP($A18,[6]HISTOAOUT25!$A$6:$BB$47,18,0)</f>
        <v>0</v>
      </c>
      <c r="L18" s="7" t="str">
        <f>IF(K18&lt;&gt;0,VLOOKUP($A18,[6]HISTOAOUT25!$A$6:$BB$47,42,0),"ECHEC")</f>
        <v>ECHEC</v>
      </c>
      <c r="M18" s="7" t="str">
        <f>IF(P18&lt;&gt;0,VLOOKUP($A18,[6]HISTOAOUT25!$A$6:$BB$47,32,0),"ECHEC")</f>
        <v>ECHEC</v>
      </c>
      <c r="N18" s="7">
        <f>VLOOKUP($A18,[6]HISTOAOUT25!$A$6:$BB$47,33,0)</f>
        <v>0</v>
      </c>
      <c r="O18" s="7">
        <f t="shared" si="0"/>
        <v>0</v>
      </c>
      <c r="P18" s="7">
        <f>VLOOKUP($A18,[6]HISTOAOUT25!$A$6:$BB$47,31,0)</f>
        <v>0</v>
      </c>
    </row>
    <row r="19" spans="1:16" x14ac:dyDescent="0.35">
      <c r="A19" s="1" t="s">
        <v>55</v>
      </c>
      <c r="B19" s="7">
        <f>IF(D19=0,0,VLOOKUP($A19,[6]HISTOAOUT25!$A$6:$BQ$47,14,0))</f>
        <v>1</v>
      </c>
      <c r="C19" s="1" t="str">
        <f>VLOOKUP(A19,[7]LISTADHERENT!A$5:H$60,3,0)</f>
        <v>TCHOUATEU AUGUSTIN</v>
      </c>
      <c r="D19" s="7">
        <f>IF(E19="ECHEC",0,VLOOKUP($A19,[6]HISTOAOUT25!$A$6:$BB$47,15,0))</f>
        <v>100000</v>
      </c>
      <c r="E19" s="7" t="str">
        <f>VLOOKUP($A19,[6]HISTOAOUT25!$A$6:$BB$47,9,0)</f>
        <v>BANQUE</v>
      </c>
      <c r="F19" s="7">
        <f>VLOOKUP($A19,[6]HISTOAOUT25!$A$6:$BB$47,37,0)</f>
        <v>0</v>
      </c>
      <c r="G19" s="7">
        <f>VLOOKUP($A19,[6]HISTOAOUT25!$A$6:$BB$47,40,0)</f>
        <v>0</v>
      </c>
      <c r="H19" s="7" t="str">
        <f>IF(G19=0,"",VLOOKUP($A19,[6]HISTOFEV25!$A$6:$AV$47,42,0))</f>
        <v/>
      </c>
      <c r="I19" s="7">
        <f>VLOOKUP($A19,[6]HISTOAOUT25!$A$6:$BB$47,41,0)</f>
        <v>0</v>
      </c>
      <c r="J19" s="7">
        <f>+TONTJUIL25!F19+TONTJUIL25!G19</f>
        <v>0</v>
      </c>
      <c r="K19" s="7">
        <f>VLOOKUP($A19,[6]HISTOAOUT25!$A$6:$BB$47,18,0)</f>
        <v>0</v>
      </c>
      <c r="L19" s="7" t="str">
        <f>IF(K19&lt;&gt;0,VLOOKUP($A19,[6]HISTOAOUT25!$A$6:$BB$47,42,0),"ECHEC")</f>
        <v>ECHEC</v>
      </c>
      <c r="M19" s="7" t="str">
        <f>IF(P19&lt;&gt;0,VLOOKUP($A19,[6]HISTOAOUT25!$A$6:$BB$47,32,0),"ECHEC")</f>
        <v>ECHEC</v>
      </c>
      <c r="N19" s="7">
        <f>VLOOKUP($A19,[6]HISTOAOUT25!$A$6:$BB$47,33,0)</f>
        <v>0</v>
      </c>
      <c r="O19" s="7">
        <f t="shared" si="0"/>
        <v>0</v>
      </c>
      <c r="P19" s="7">
        <f>VLOOKUP($A19,[6]HISTOAOUT25!$A$6:$BB$47,31,0)</f>
        <v>0</v>
      </c>
    </row>
    <row r="20" spans="1:16" x14ac:dyDescent="0.35">
      <c r="A20" s="1" t="s">
        <v>46</v>
      </c>
      <c r="B20" s="7">
        <f>IF(D20=0,0,VLOOKUP($A20,[6]HISTOAOUT25!$A$6:$BQ$47,14,0))</f>
        <v>1</v>
      </c>
      <c r="C20" s="1" t="str">
        <f>VLOOKUP(A20,[7]LISTADHERENT!A$5:H$60,3,0)</f>
        <v>SIMO PIERRE</v>
      </c>
      <c r="D20" s="7">
        <f>IF(E20="ECHEC",0,VLOOKUP($A20,[6]HISTOAOUT25!$A$6:$BB$47,15,0))</f>
        <v>100000</v>
      </c>
      <c r="E20" s="7" t="str">
        <f>VLOOKUP($A20,[6]HISTOAOUT25!$A$6:$BB$47,9,0)</f>
        <v>BANQUE</v>
      </c>
      <c r="F20" s="7">
        <f>VLOOKUP($A20,[6]HISTOAOUT25!$A$6:$BB$47,37,0)</f>
        <v>0</v>
      </c>
      <c r="G20" s="7">
        <f>VLOOKUP($A20,[6]HISTOAOUT25!$A$6:$BB$47,40,0)</f>
        <v>0</v>
      </c>
      <c r="H20" s="7" t="str">
        <f>IF(G20=0,"",VLOOKUP($A20,[6]HISTOFEV25!$A$6:$AV$47,42,0))</f>
        <v/>
      </c>
      <c r="I20" s="7">
        <f>VLOOKUP($A20,[6]HISTOAOUT25!$A$6:$BB$47,41,0)</f>
        <v>0</v>
      </c>
      <c r="J20" s="7">
        <f>+TONTJUIL25!F20+TONTJUIL25!G20</f>
        <v>0</v>
      </c>
      <c r="K20" s="7">
        <f>VLOOKUP($A20,[6]HISTOAOUT25!$A$6:$BB$47,18,0)</f>
        <v>0</v>
      </c>
      <c r="L20" s="7" t="str">
        <f>IF(K20&lt;&gt;0,VLOOKUP($A20,[6]HISTOAOUT25!$A$6:$BB$47,42,0),"ECHEC")</f>
        <v>ECHEC</v>
      </c>
      <c r="M20" s="7" t="str">
        <f>IF(P20&lt;&gt;0,VLOOKUP($A20,[6]HISTOAOUT25!$A$6:$BB$47,32,0),"ECHEC")</f>
        <v>ECHEC</v>
      </c>
      <c r="N20" s="7">
        <f>VLOOKUP($A20,[6]HISTOAOUT25!$A$6:$BB$47,33,0)</f>
        <v>0</v>
      </c>
      <c r="O20" s="7">
        <f t="shared" si="0"/>
        <v>0</v>
      </c>
      <c r="P20" s="7">
        <f>VLOOKUP($A20,[6]HISTOAOUT25!$A$6:$BB$47,31,0)</f>
        <v>0</v>
      </c>
    </row>
    <row r="21" spans="1:16" x14ac:dyDescent="0.35">
      <c r="A21" s="1" t="s">
        <v>53</v>
      </c>
      <c r="B21" s="7">
        <f>IF(D21=0,0,VLOOKUP($A21,[6]HISTOAOUT25!$A$6:$BQ$47,14,0))</f>
        <v>2</v>
      </c>
      <c r="C21" s="1" t="str">
        <f>VLOOKUP(A21,[7]LISTADHERENT!A$5:H$60,3,0)</f>
        <v>YIALA ALAIN OSCAR</v>
      </c>
      <c r="D21" s="7">
        <f>IF(E21="ECHEC",0,VLOOKUP($A21,[6]HISTOAOUT25!$A$6:$BB$47,15,0))</f>
        <v>200000</v>
      </c>
      <c r="E21" s="7" t="str">
        <f>VLOOKUP($A21,[6]HISTOAOUT25!$A$6:$BB$47,9,0)</f>
        <v>ESPECES</v>
      </c>
      <c r="F21" s="7">
        <f>VLOOKUP($A21,[6]HISTOAOUT25!$A$6:$BB$47,37,0)</f>
        <v>0</v>
      </c>
      <c r="G21" s="7">
        <f>VLOOKUP($A21,[6]HISTOAOUT25!$A$6:$BB$47,40,0)</f>
        <v>0</v>
      </c>
      <c r="H21" s="7" t="str">
        <f>IF(G21=0,"",VLOOKUP($A21,[6]HISTOFEV25!$A$6:$AV$47,42,0))</f>
        <v/>
      </c>
      <c r="I21" s="7">
        <f>VLOOKUP($A21,[6]HISTOAOUT25!$A$6:$BB$47,41,0)</f>
        <v>0</v>
      </c>
      <c r="J21" s="7">
        <f>+TONTJUIL25!F21+TONTJUIL25!G21</f>
        <v>0</v>
      </c>
      <c r="K21" s="7">
        <f>VLOOKUP($A21,[6]HISTOAOUT25!$A$6:$BB$47,18,0)</f>
        <v>0</v>
      </c>
      <c r="L21" s="7" t="str">
        <f>IF(K21&lt;&gt;0,VLOOKUP($A21,[6]HISTOAOUT25!$A$6:$BB$47,42,0),"ECHEC")</f>
        <v>ECHEC</v>
      </c>
      <c r="M21" s="7" t="str">
        <f>IF(P21&lt;&gt;0,VLOOKUP($A21,[6]HISTOAOUT25!$A$6:$BB$47,32,0),"ECHEC")</f>
        <v>ECHEC</v>
      </c>
      <c r="N21" s="7">
        <f>VLOOKUP($A21,[6]HISTOAOUT25!$A$6:$BB$47,33,0)</f>
        <v>0</v>
      </c>
      <c r="O21" s="7">
        <f t="shared" si="0"/>
        <v>0</v>
      </c>
      <c r="P21" s="7">
        <f>VLOOKUP($A21,[6]HISTOAOUT25!$A$6:$BB$47,31,0)</f>
        <v>0</v>
      </c>
    </row>
    <row r="22" spans="1:16" x14ac:dyDescent="0.35">
      <c r="A22" s="1" t="s">
        <v>61</v>
      </c>
      <c r="B22" s="7">
        <f>IF(D22=0,0,VLOOKUP($A22,[6]HISTOAOUT25!$A$6:$BQ$47,14,0))</f>
        <v>1</v>
      </c>
      <c r="C22" s="1" t="str">
        <f>VLOOKUP(A22,[7]LISTADHERENT!A$5:H$60,3,0)</f>
        <v>YOUMBI EMMANUEL</v>
      </c>
      <c r="D22" s="7">
        <f>IF(E22="ECHEC",0,VLOOKUP($A22,[6]HISTOAOUT25!$A$6:$BB$47,15,0))</f>
        <v>100000</v>
      </c>
      <c r="E22" s="7" t="str">
        <f>VLOOKUP($A22,[6]HISTOAOUT25!$A$6:$BB$47,9,0)</f>
        <v>BANQUE</v>
      </c>
      <c r="F22" s="7">
        <f>VLOOKUP($A22,[6]HISTOAOUT25!$A$6:$BB$47,37,0)</f>
        <v>0</v>
      </c>
      <c r="G22" s="7">
        <f>VLOOKUP($A22,[6]HISTOAOUT25!$A$6:$BB$47,40,0)</f>
        <v>0</v>
      </c>
      <c r="H22" s="7" t="str">
        <f>IF(G22=0,"",VLOOKUP($A22,[6]HISTOFEV25!$A$6:$AV$47,42,0))</f>
        <v/>
      </c>
      <c r="I22" s="7">
        <f>VLOOKUP($A22,[6]HISTOAOUT25!$A$6:$BB$47,41,0)</f>
        <v>0</v>
      </c>
      <c r="J22" s="7">
        <f>+TONTJUIL25!F22+TONTJUIL25!G22</f>
        <v>0</v>
      </c>
      <c r="K22" s="7">
        <f>VLOOKUP($A22,[6]HISTOAOUT25!$A$6:$BB$47,18,0)</f>
        <v>0</v>
      </c>
      <c r="L22" s="7" t="str">
        <f>IF(K22&lt;&gt;0,VLOOKUP($A22,[6]HISTOAOUT25!$A$6:$BB$47,42,0),"ECHEC")</f>
        <v>ECHEC</v>
      </c>
      <c r="M22" s="7" t="str">
        <f>IF(P22&lt;&gt;0,VLOOKUP($A22,[6]HISTOAOUT25!$A$6:$BB$47,32,0),"ECHEC")</f>
        <v>ECHEC</v>
      </c>
      <c r="N22" s="7">
        <f>VLOOKUP($A22,[6]HISTOAOUT25!$A$6:$BB$47,33,0)</f>
        <v>0</v>
      </c>
      <c r="O22" s="7">
        <f t="shared" si="0"/>
        <v>0</v>
      </c>
      <c r="P22" s="7">
        <f>VLOOKUP($A22,[6]HISTOAOUT25!$A$6:$BB$47,31,0)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24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2400000</v>
      </c>
      <c r="E25" s="8">
        <f t="shared" ref="E25:P25" si="1">SUM(E6:E22)</f>
        <v>0</v>
      </c>
      <c r="F25" s="8">
        <f t="shared" si="1"/>
        <v>1132000</v>
      </c>
      <c r="G25" s="8">
        <f>SUM(G6:G22)</f>
        <v>12500</v>
      </c>
      <c r="H25" s="8">
        <f t="shared" si="1"/>
        <v>0</v>
      </c>
      <c r="I25" s="8">
        <f t="shared" si="1"/>
        <v>0</v>
      </c>
      <c r="J25" s="8">
        <f t="shared" si="1"/>
        <v>1107000</v>
      </c>
      <c r="K25" s="8">
        <f t="shared" si="1"/>
        <v>1107000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2375000</v>
      </c>
      <c r="P25" s="8">
        <f t="shared" si="1"/>
        <v>25000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3507000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400000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400000</v>
      </c>
      <c r="I28" s="8"/>
      <c r="K28" s="8" t="s">
        <v>34</v>
      </c>
      <c r="L28" s="8">
        <f>C3*COUNTIF(O6:O22,"&gt;0")</f>
        <v>2400000</v>
      </c>
      <c r="M28" s="8">
        <f>D3</f>
        <v>2</v>
      </c>
      <c r="N28" s="8">
        <f>COUNTIF(O6:O21,"&gt;0")</f>
        <v>2</v>
      </c>
      <c r="O28" s="8"/>
    </row>
    <row r="29" spans="1:16" s="2" customFormat="1" ht="17.5" x14ac:dyDescent="0.35">
      <c r="C29" s="8" t="s">
        <v>7</v>
      </c>
      <c r="D29" s="8">
        <f>SUMIFS(D6:D22,E6:E22,"BANQUE")</f>
        <v>2000000</v>
      </c>
      <c r="E29" s="8">
        <f>SUMIFS(K6:K22,L6:L22,"BANQUE")</f>
        <v>1107000</v>
      </c>
      <c r="F29" s="8">
        <f>SUMIFS(F6:F22,H6:H22,"BANQUE")</f>
        <v>800000</v>
      </c>
      <c r="G29" s="8">
        <f>SUMIFS(O6:O22,M6:M22,"BANQUE")</f>
        <v>0</v>
      </c>
      <c r="H29" s="8">
        <f>D29+E29-F29-G29</f>
        <v>2307000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1358000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D28+D29+200000</f>
        <v>2600000</v>
      </c>
      <c r="E31" s="8">
        <f>E28+E29</f>
        <v>1107000</v>
      </c>
      <c r="F31" s="8">
        <f>F28+F29</f>
        <v>800000</v>
      </c>
      <c r="G31" s="8">
        <f t="shared" ref="G31:H31" si="2">G28+G29</f>
        <v>0</v>
      </c>
      <c r="H31" s="8">
        <f t="shared" si="2"/>
        <v>2707000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226000</v>
      </c>
      <c r="M32"/>
      <c r="N32" s="8">
        <f>L32</f>
        <v>226000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0</v>
      </c>
      <c r="N34" s="8">
        <f>L34+TONTFEV25!N34</f>
        <v>0</v>
      </c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L35+TONTFEV25!N35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34A5-5056-47FB-8A92-987A824C6FB9}">
  <dimension ref="A1:P37"/>
  <sheetViews>
    <sheetView workbookViewId="0">
      <pane xSplit="3" ySplit="5" topLeftCell="D6" activePane="bottomRight" state="frozen"/>
      <selection activeCell="C4" sqref="C4:L4"/>
      <selection pane="topRight" activeCell="C4" sqref="C4:L4"/>
      <selection pane="bottomLeft" activeCell="C4" sqref="C4:L4"/>
      <selection pane="bottomRight" activeCell="A10" sqref="A10:XFD10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2</v>
      </c>
      <c r="E3" s="1"/>
      <c r="L3" s="1"/>
      <c r="M3" s="1"/>
    </row>
    <row r="4" spans="1:16" s="12" customFormat="1" ht="17.5" x14ac:dyDescent="0.35">
      <c r="B4" s="13"/>
      <c r="C4" s="37">
        <v>45913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IF(D6=0,0,VLOOKUP($A6,[6]HISTOSEPT25!$A$6:$BQ$47,14,0))</f>
        <v>1</v>
      </c>
      <c r="C6" s="1" t="str">
        <f>VLOOKUP(A6,[7]LISTADHERENT!A$5:H$60,3,0)</f>
        <v>ASELBY</v>
      </c>
      <c r="D6" s="7">
        <f>IF(E6="ECHEC",0,VLOOKUP($A6,[6]HISTOSEPT25!$A$6:$BB$47,15,0))</f>
        <v>100000</v>
      </c>
      <c r="E6" s="7" t="str">
        <f>VLOOKUP($A6,[6]HISTOSEPT25!$A$6:$BB$47,9,0)</f>
        <v>BANQUE</v>
      </c>
      <c r="F6" s="7">
        <f>VLOOKUP($A6,[6]HISTOSEPT25!$A$6:$BB$47,37,0)</f>
        <v>0</v>
      </c>
      <c r="G6" s="7">
        <f>VLOOKUP($A6,[6]HISTOSEPT25!$A$6:$BB$47,40,0)</f>
        <v>0</v>
      </c>
      <c r="H6" s="7" t="str">
        <f>IF(G6=0,"",VLOOKUP($A6,[6]HISTOFEV25!$A$6:$AV$47,42,0))</f>
        <v/>
      </c>
      <c r="I6" s="7">
        <f>VLOOKUP($A6,[6]HISTOSEPT25!$A$6:$BB$47,41,0)</f>
        <v>0</v>
      </c>
      <c r="J6" s="7">
        <f>+TONTAOUT25!F6+TONTAOUT25!G6</f>
        <v>0</v>
      </c>
      <c r="K6" s="7">
        <f>VLOOKUP($A6,[6]HISTOSEPT25!$A$6:$BB$47,18,0)</f>
        <v>0</v>
      </c>
      <c r="L6" s="7" t="str">
        <f>IF(K6&lt;&gt;0,VLOOKUP($A6,[6]HISTOSEPT25!$A$6:$BB$47,42,0),"ECHEC")</f>
        <v>ECHEC</v>
      </c>
      <c r="M6" s="7" t="str">
        <f>IF(P6&lt;&gt;0,VLOOKUP($A6,[6]HISTOSEPT25!$A$6:$BB$47,32,0),"ECHEC")</f>
        <v>ECHEC</v>
      </c>
      <c r="N6" s="7">
        <f>VLOOKUP($A6,[6]HISTOSEPT25!$A$6:$BB$47,33,0)</f>
        <v>0</v>
      </c>
      <c r="O6" s="7">
        <f t="shared" ref="O6:O22" si="0">IF(P6=0,0,($C$3-P6))</f>
        <v>0</v>
      </c>
      <c r="P6" s="7">
        <f>VLOOKUP($A6,[6]HISTOSEPT25!$A$6:$BB$47,31,0)</f>
        <v>0</v>
      </c>
    </row>
    <row r="7" spans="1:16" x14ac:dyDescent="0.35">
      <c r="A7" s="1" t="s">
        <v>47</v>
      </c>
      <c r="B7" s="7">
        <f>IF(D7=0,0,VLOOKUP($A7,[6]HISTOSEPT25!$A$6:$BQ$47,14,0))</f>
        <v>2</v>
      </c>
      <c r="C7" s="1" t="str">
        <f>VLOOKUP(A7,[7]LISTADHERENT!A$5:H$60,3,0)</f>
        <v xml:space="preserve">DJOMO JEAN PAUL </v>
      </c>
      <c r="D7" s="7">
        <f>IF(E7="ECHEC",0,VLOOKUP($A7,[6]HISTOSEPT25!$A$6:$BB$47,15,0))</f>
        <v>200000</v>
      </c>
      <c r="E7" s="7" t="str">
        <f>VLOOKUP($A7,[6]HISTOSEPT25!$A$6:$BB$47,9,0)</f>
        <v>ESPECES</v>
      </c>
      <c r="F7" s="7">
        <f>VLOOKUP($A7,[6]HISTOSEPT25!$A$6:$BB$47,37,0)</f>
        <v>174500</v>
      </c>
      <c r="G7" s="7">
        <f>VLOOKUP($A7,[6]HISTOSEPT25!$A$6:$BB$47,40,0)</f>
        <v>2000</v>
      </c>
      <c r="H7" s="7" t="str">
        <f>IF(G7=0,"",VLOOKUP($A7,[6]HISTOFEV25!$A$6:$AV$47,42,0))</f>
        <v>BANQUE</v>
      </c>
      <c r="I7" s="7">
        <f>VLOOKUP($A7,[6]HISTOSEPT25!$A$6:$BB$47,41,0)</f>
        <v>0</v>
      </c>
      <c r="J7" s="7">
        <f>+TONTAOUT25!F7+TONTAOUT25!G7</f>
        <v>101500</v>
      </c>
      <c r="K7" s="7">
        <f>VLOOKUP($A7,[6]HISTOSEPT25!$A$6:$BB$47,18,0)</f>
        <v>101500</v>
      </c>
      <c r="L7" s="7" t="str">
        <f>IF(K7&lt;&gt;0,VLOOKUP($A7,[6]HISTOSEPT25!$A$6:$BB$47,42,0),"ECHEC")</f>
        <v>BANQUE</v>
      </c>
      <c r="M7" s="7" t="str">
        <f>IF(P7&lt;&gt;0,VLOOKUP($A7,[6]HISTOSEPT25!$A$6:$BB$47,32,0),"ECHEC")</f>
        <v>ECHEC</v>
      </c>
      <c r="N7" s="7">
        <f>VLOOKUP($A7,[6]HISTOSEPT25!$A$6:$BB$47,33,0)</f>
        <v>0</v>
      </c>
      <c r="O7" s="7">
        <f t="shared" si="0"/>
        <v>0</v>
      </c>
      <c r="P7" s="7">
        <f>VLOOKUP($A7,[6]HISTOSEPT25!$A$6:$BB$47,31,0)</f>
        <v>0</v>
      </c>
    </row>
    <row r="8" spans="1:16" x14ac:dyDescent="0.35">
      <c r="A8" s="1" t="s">
        <v>60</v>
      </c>
      <c r="B8" s="7">
        <f>IF(D8=0,0,VLOOKUP($A8,[6]HISTOSEPT25!$A$6:$BQ$47,14,0))</f>
        <v>1</v>
      </c>
      <c r="C8" s="1" t="str">
        <f>VLOOKUP(A8,[7]LISTADHERENT!A$5:H$60,3,0)</f>
        <v>DJOUKWE NANGUEN GUY BLAISE</v>
      </c>
      <c r="D8" s="7">
        <f>IF(E8="ECHEC",0,VLOOKUP($A8,[6]HISTOSEPT25!$A$6:$BB$47,15,0))</f>
        <v>100000</v>
      </c>
      <c r="E8" s="7" t="str">
        <f>VLOOKUP($A8,[6]HISTOSEPT25!$A$6:$BB$47,9,0)</f>
        <v>BANQUE</v>
      </c>
      <c r="F8" s="7">
        <f>VLOOKUP($A8,[6]HISTOSEPT25!$A$6:$BB$47,37,0)</f>
        <v>200000</v>
      </c>
      <c r="G8" s="7">
        <f>VLOOKUP($A8,[6]HISTOSEPT25!$A$6:$BB$47,40,0)</f>
        <v>3500</v>
      </c>
      <c r="H8" s="7" t="str">
        <f>IF(G8=0,"",VLOOKUP($A8,[6]HISTOFEV25!$A$6:$AV$47,42,0))</f>
        <v>BANQUE</v>
      </c>
      <c r="I8" s="7">
        <f>VLOOKUP($A8,[6]HISTOSEPT25!$A$6:$BB$47,41,0)</f>
        <v>0</v>
      </c>
      <c r="J8" s="7">
        <f>+TONTAOUT25!F8+TONTAOUT25!G8</f>
        <v>0</v>
      </c>
      <c r="K8" s="7">
        <f>VLOOKUP($A8,[6]HISTOSEPT25!$A$6:$BB$47,18,0)</f>
        <v>0</v>
      </c>
      <c r="L8" s="7" t="str">
        <f>IF(K8&lt;&gt;0,VLOOKUP($A8,[6]HISTOSEPT25!$A$6:$BB$47,42,0),"ECHEC")</f>
        <v>ECHEC</v>
      </c>
      <c r="M8" s="7" t="str">
        <f>IF(P8&lt;&gt;0,VLOOKUP($A8,[6]HISTOSEPT25!$A$6:$BB$47,32,0),"ECHEC")</f>
        <v>ECHEC</v>
      </c>
      <c r="N8" s="7">
        <f>VLOOKUP($A8,[6]HISTOSEPT25!$A$6:$BB$47,33,0)</f>
        <v>0</v>
      </c>
      <c r="O8" s="7">
        <f t="shared" si="0"/>
        <v>0</v>
      </c>
      <c r="P8" s="7">
        <f>VLOOKUP($A8,[6]HISTOSEPT25!$A$6:$BB$47,31,0)</f>
        <v>0</v>
      </c>
    </row>
    <row r="9" spans="1:16" x14ac:dyDescent="0.35">
      <c r="A9" s="1" t="s">
        <v>20</v>
      </c>
      <c r="B9" s="7">
        <f>IF(D9=0,0,VLOOKUP($A9,[6]HISTOSEPT25!$A$6:$BQ$47,14,0))</f>
        <v>2</v>
      </c>
      <c r="C9" s="1" t="str">
        <f>VLOOKUP(A9,[7]LISTADHERENT!A$5:H$60,3,0)</f>
        <v>DJUOMBESSY ANTOINE</v>
      </c>
      <c r="D9" s="7">
        <f>IF(E9="ECHEC",0,VLOOKUP($A9,[6]HISTOSEPT25!$A$6:$BB$47,15,0))</f>
        <v>200000</v>
      </c>
      <c r="E9" s="7" t="str">
        <f>VLOOKUP($A9,[6]HISTOSEPT25!$A$6:$BB$47,9,0)</f>
        <v>BANQUE</v>
      </c>
      <c r="F9" s="7">
        <f>VLOOKUP($A9,[6]HISTOSEPT25!$A$6:$BB$47,37,0)</f>
        <v>0</v>
      </c>
      <c r="G9" s="7">
        <f>VLOOKUP($A9,[6]HISTOSEPT25!$A$6:$BB$47,40,0)</f>
        <v>0</v>
      </c>
      <c r="H9" s="7" t="str">
        <f>IF(G9=0,"",VLOOKUP($A9,[6]HISTOFEV25!$A$6:$AV$47,42,0))</f>
        <v/>
      </c>
      <c r="I9" s="7">
        <f>VLOOKUP($A9,[6]HISTOSEPT25!$A$6:$BB$47,41,0)</f>
        <v>0</v>
      </c>
      <c r="J9" s="7">
        <f>+TONTAOUT25!F9+TONTAOUT25!G9</f>
        <v>101000</v>
      </c>
      <c r="K9" s="7">
        <f>VLOOKUP($A9,[6]HISTOSEPT25!$A$6:$BB$47,18,0)</f>
        <v>101000</v>
      </c>
      <c r="L9" s="7" t="str">
        <f>IF(K9&lt;&gt;0,VLOOKUP($A9,[6]HISTOSEPT25!$A$6:$BB$47,42,0),"ECHEC")</f>
        <v>BANQUE</v>
      </c>
      <c r="M9" s="7" t="str">
        <f>IF(P9&lt;&gt;0,VLOOKUP($A9,[6]HISTOSEPT25!$A$6:$BB$47,32,0),"ECHEC")</f>
        <v>BANQUE</v>
      </c>
      <c r="N9" s="7">
        <f>VLOOKUP($A9,[6]HISTOSEPT25!$A$6:$BB$47,33,0)</f>
        <v>0</v>
      </c>
      <c r="O9" s="7">
        <f t="shared" si="0"/>
        <v>1185000</v>
      </c>
      <c r="P9" s="7">
        <f>VLOOKUP($A9,[6]HISTOSEPT25!$A$6:$BB$47,31,0)</f>
        <v>15000</v>
      </c>
    </row>
    <row r="10" spans="1:16" x14ac:dyDescent="0.35">
      <c r="A10" s="1" t="s">
        <v>62</v>
      </c>
      <c r="B10" s="7">
        <f>IF(D10=0,0,VLOOKUP($A10,[6]HISTOSEPT25!$A$6:$BQ$47,14,0))</f>
        <v>1</v>
      </c>
      <c r="C10" s="1" t="str">
        <f>VLOOKUP(A10,[7]LISTADHERENT!A$5:H$60,3,0)</f>
        <v>FAMPOU PAUL</v>
      </c>
      <c r="D10" s="7">
        <f>IF(E10="ECHEC",0,VLOOKUP($A10,[6]HISTOSEPT25!$A$6:$BB$47,15,0))</f>
        <v>100000</v>
      </c>
      <c r="E10" s="7" t="str">
        <f>VLOOKUP($A10,[6]HISTOSEPT25!$A$6:$BB$47,9,0)</f>
        <v>BANQUE</v>
      </c>
      <c r="F10" s="7">
        <f>VLOOKUP($A10,[6]HISTOSEPT25!$A$6:$BB$47,37,0)</f>
        <v>0</v>
      </c>
      <c r="G10" s="7">
        <f>VLOOKUP($A10,[6]HISTOSEPT25!$A$6:$BB$47,40,0)</f>
        <v>0</v>
      </c>
      <c r="H10" s="7" t="str">
        <f>IF(G10=0,"",VLOOKUP($A10,[6]HISTOFEV25!$A$6:$AV$47,42,0))</f>
        <v/>
      </c>
      <c r="I10" s="7">
        <f>VLOOKUP($A10,[6]HISTOSEPT25!$A$6:$BB$47,41,0)</f>
        <v>0</v>
      </c>
      <c r="J10" s="7">
        <f>+TONTAOUT25!F10+TONTAOUT25!G10</f>
        <v>0</v>
      </c>
      <c r="K10" s="7">
        <f>VLOOKUP($A10,[6]HISTOSEPT25!$A$6:$BB$47,18,0)</f>
        <v>0</v>
      </c>
      <c r="L10" s="7" t="str">
        <f>IF(K10&lt;&gt;0,VLOOKUP($A10,[6]HISTOSEPT25!$A$6:$BB$47,42,0),"ECHEC")</f>
        <v>ECHEC</v>
      </c>
      <c r="M10" s="7" t="str">
        <f>IF(P10&lt;&gt;0,VLOOKUP($A10,[6]HISTOSEPT25!$A$6:$BB$47,32,0),"ECHEC")</f>
        <v>BANQUE</v>
      </c>
      <c r="N10" s="7">
        <f>VLOOKUP($A10,[6]HISTOSEPT25!$A$6:$BB$47,33,0)</f>
        <v>0</v>
      </c>
      <c r="O10" s="7">
        <f t="shared" si="0"/>
        <v>1185000</v>
      </c>
      <c r="P10" s="7">
        <f>VLOOKUP($A10,[6]HISTOSEPT25!$A$6:$BB$47,31,0)</f>
        <v>15000</v>
      </c>
    </row>
    <row r="11" spans="1:16" x14ac:dyDescent="0.35">
      <c r="A11" s="1" t="s">
        <v>21</v>
      </c>
      <c r="B11" s="7">
        <f>IF(D11=0,0,VLOOKUP($A11,[6]HISTOSEPT25!$A$6:$BQ$47,14,0))</f>
        <v>1</v>
      </c>
      <c r="C11" s="1" t="str">
        <f>VLOOKUP(A11,[7]LISTADHERENT!A$5:H$60,3,0)</f>
        <v>HOTCHO BENJAMIN</v>
      </c>
      <c r="D11" s="7">
        <f>IF(E11="ECHEC",0,VLOOKUP($A11,[6]HISTOSEPT25!$A$6:$BB$47,15,0))</f>
        <v>100000</v>
      </c>
      <c r="E11" s="7" t="str">
        <f>VLOOKUP($A11,[6]HISTOSEPT25!$A$6:$BB$47,9,0)</f>
        <v>BANQUE</v>
      </c>
      <c r="F11" s="7">
        <f>VLOOKUP($A11,[6]HISTOSEPT25!$A$6:$BB$47,37,0)</f>
        <v>0</v>
      </c>
      <c r="G11" s="7">
        <f>VLOOKUP($A11,[6]HISTOSEPT25!$A$6:$BB$47,40,0)</f>
        <v>0</v>
      </c>
      <c r="H11" s="7" t="str">
        <f>IF(G11=0,"",VLOOKUP($A11,[6]HISTOFEV25!$A$6:$AV$47,42,0))</f>
        <v/>
      </c>
      <c r="I11" s="7">
        <f>VLOOKUP($A11,[6]HISTOSEPT25!$A$6:$BB$47,41,0)</f>
        <v>0</v>
      </c>
      <c r="J11" s="7">
        <f>+TONTAOUT25!F11+TONTAOUT25!G11</f>
        <v>234000</v>
      </c>
      <c r="K11" s="7">
        <f>VLOOKUP($A11,[6]HISTOSEPT25!$A$6:$BB$47,18,0)</f>
        <v>234000</v>
      </c>
      <c r="L11" s="7" t="str">
        <f>IF(K11&lt;&gt;0,VLOOKUP($A11,[6]HISTOSEPT25!$A$6:$BB$47,42,0),"ECHEC")</f>
        <v>BANQUE</v>
      </c>
      <c r="M11" s="7" t="str">
        <f>IF(P11&lt;&gt;0,VLOOKUP($A11,[6]HISTOSEPT25!$A$6:$BB$47,32,0),"ECHEC")</f>
        <v>ECHEC</v>
      </c>
      <c r="N11" s="7">
        <f>VLOOKUP($A11,[6]HISTOSEPT25!$A$6:$BB$47,33,0)</f>
        <v>0</v>
      </c>
      <c r="O11" s="7">
        <f t="shared" si="0"/>
        <v>0</v>
      </c>
      <c r="P11" s="7">
        <f>VLOOKUP($A11,[6]HISTOSEPT25!$A$6:$BB$47,31,0)</f>
        <v>0</v>
      </c>
    </row>
    <row r="12" spans="1:16" x14ac:dyDescent="0.35">
      <c r="A12" s="1" t="s">
        <v>26</v>
      </c>
      <c r="B12" s="7">
        <f>IF(D12=0,0,VLOOKUP($A12,[6]HISTOSEPT25!$A$6:$BQ$47,14,0))</f>
        <v>1</v>
      </c>
      <c r="C12" s="1" t="str">
        <f>VLOOKUP(A12,[7]LISTADHERENT!A$5:H$60,3,0)</f>
        <v>KOUAMOU MOISE</v>
      </c>
      <c r="D12" s="7">
        <f>IF(E12="ECHEC",0,VLOOKUP($A12,[6]HISTOSEPT25!$A$6:$BB$47,15,0))</f>
        <v>100000</v>
      </c>
      <c r="E12" s="7" t="str">
        <f>VLOOKUP($A12,[6]HISTOSEPT25!$A$6:$BB$47,9,0)</f>
        <v>BANQUE</v>
      </c>
      <c r="F12" s="7">
        <f>VLOOKUP($A12,[6]HISTOSEPT25!$A$6:$BB$47,37,0)</f>
        <v>0</v>
      </c>
      <c r="G12" s="7">
        <f>VLOOKUP($A12,[6]HISTOSEPT25!$A$6:$BB$47,40,0)</f>
        <v>0</v>
      </c>
      <c r="H12" s="7" t="str">
        <f>IF(G12=0,"",VLOOKUP($A12,[6]HISTOFEV25!$A$6:$AV$47,42,0))</f>
        <v/>
      </c>
      <c r="I12" s="7">
        <f>VLOOKUP($A12,[6]HISTOSEPT25!$A$6:$BB$47,41,0)</f>
        <v>0</v>
      </c>
      <c r="J12" s="7">
        <f>+TONTAOUT25!F12+TONTAOUT25!G12</f>
        <v>0</v>
      </c>
      <c r="K12" s="7">
        <f>VLOOKUP($A12,[6]HISTOSEPT25!$A$6:$BB$47,18,0)</f>
        <v>0</v>
      </c>
      <c r="L12" s="7" t="str">
        <f>IF(K12&lt;&gt;0,VLOOKUP($A12,[6]HISTOSEPT25!$A$6:$BB$47,42,0),"ECHEC")</f>
        <v>ECHEC</v>
      </c>
      <c r="M12" s="7" t="str">
        <f>IF(P12&lt;&gt;0,VLOOKUP($A12,[6]HISTOSEPT25!$A$6:$BB$47,32,0),"ECHEC")</f>
        <v>ECHEC</v>
      </c>
      <c r="N12" s="7">
        <f>VLOOKUP($A12,[6]HISTOSEPT25!$A$6:$BB$47,33,0)</f>
        <v>0</v>
      </c>
      <c r="O12" s="7">
        <f t="shared" si="0"/>
        <v>0</v>
      </c>
      <c r="P12" s="7">
        <f>VLOOKUP($A12,[6]HISTOSEPT25!$A$6:$BB$47,31,0)</f>
        <v>0</v>
      </c>
    </row>
    <row r="13" spans="1:16" x14ac:dyDescent="0.35">
      <c r="A13" s="1" t="s">
        <v>8</v>
      </c>
      <c r="B13" s="7">
        <f>IF(D13=0,0,VLOOKUP($A13,[6]HISTOSEPT25!$A$6:$BQ$47,14,0))</f>
        <v>1</v>
      </c>
      <c r="C13" s="1" t="str">
        <f>VLOOKUP(A13,[7]LISTADHERENT!A$5:H$60,3,0)</f>
        <v>KOUATCHO MESSACK</v>
      </c>
      <c r="D13" s="7">
        <f>IF(E13="ECHEC",0,VLOOKUP($A13,[6]HISTOSEPT25!$A$6:$BB$47,15,0))</f>
        <v>100000</v>
      </c>
      <c r="E13" s="7" t="str">
        <f>VLOOKUP($A13,[6]HISTOSEPT25!$A$6:$BB$47,9,0)</f>
        <v>BANQUE</v>
      </c>
      <c r="F13" s="7">
        <f>VLOOKUP($A13,[6]HISTOSEPT25!$A$6:$BB$47,37,0)</f>
        <v>100000</v>
      </c>
      <c r="G13" s="7">
        <f>VLOOKUP($A13,[6]HISTOSEPT25!$A$6:$BB$47,40,0)</f>
        <v>1000</v>
      </c>
      <c r="H13" s="7" t="str">
        <f>IF(G13=0,"",VLOOKUP($A13,[6]HISTOFEV25!$A$6:$AV$47,42,0))</f>
        <v>BANQUE</v>
      </c>
      <c r="I13" s="7">
        <f>VLOOKUP($A13,[6]HISTOSEPT25!$A$6:$BB$47,41,0)</f>
        <v>0</v>
      </c>
      <c r="J13" s="7">
        <f>+TONTAOUT25!F13+TONTAOUT25!G13</f>
        <v>203000</v>
      </c>
      <c r="K13" s="7">
        <f>VLOOKUP($A13,[6]HISTOSEPT25!$A$6:$BB$47,18,0)</f>
        <v>203000</v>
      </c>
      <c r="L13" s="7" t="str">
        <f>IF(K13&lt;&gt;0,VLOOKUP($A13,[6]HISTOSEPT25!$A$6:$BB$47,42,0),"ECHEC")</f>
        <v>BANQUE</v>
      </c>
      <c r="M13" s="7" t="str">
        <f>IF(P13&lt;&gt;0,VLOOKUP($A13,[6]HISTOSEPT25!$A$6:$BB$47,32,0),"ECHEC")</f>
        <v>ECHEC</v>
      </c>
      <c r="N13" s="7">
        <f>VLOOKUP($A13,[6]HISTOSEPT25!$A$6:$BB$47,33,0)</f>
        <v>0</v>
      </c>
      <c r="O13" s="7">
        <f t="shared" si="0"/>
        <v>0</v>
      </c>
      <c r="P13" s="7">
        <f>VLOOKUP($A13,[6]HISTOSEPT25!$A$6:$BB$47,31,0)</f>
        <v>0</v>
      </c>
    </row>
    <row r="14" spans="1:16" x14ac:dyDescent="0.35">
      <c r="A14" s="1" t="s">
        <v>22</v>
      </c>
      <c r="B14" s="7">
        <f>IF(D14=0,0,VLOOKUP($A14,[6]HISTOSEPT25!$A$6:$BQ$47,14,0))</f>
        <v>2</v>
      </c>
      <c r="C14" s="1" t="str">
        <f>VLOOKUP(A14,[7]LISTADHERENT!A$5:H$60,3,0)</f>
        <v>MBOGNING TUGMA GUY</v>
      </c>
      <c r="D14" s="7">
        <f>IF(E14="ECHEC",0,VLOOKUP($A14,[6]HISTOSEPT25!$A$6:$BB$47,15,0))</f>
        <v>200000</v>
      </c>
      <c r="E14" s="7" t="str">
        <f>VLOOKUP($A14,[6]HISTOSEPT25!$A$6:$BB$47,9,0)</f>
        <v>BANQUE</v>
      </c>
      <c r="F14" s="7">
        <f>VLOOKUP($A14,[6]HISTOSEPT25!$A$6:$BB$47,37,0)</f>
        <v>100000</v>
      </c>
      <c r="G14" s="7">
        <f>VLOOKUP($A14,[6]HISTOSEPT25!$A$6:$BB$47,40,0)</f>
        <v>1000</v>
      </c>
      <c r="H14" s="7" t="str">
        <f>IF(G14=0,"",VLOOKUP($A14,[6]HISTOFEV25!$A$6:$AV$47,42,0))</f>
        <v>BANQUE</v>
      </c>
      <c r="I14" s="7">
        <f>VLOOKUP($A14,[6]HISTOSEPT25!$A$6:$BB$47,41,0)</f>
        <v>0</v>
      </c>
      <c r="J14" s="7">
        <f>+TONTAOUT25!F14+TONTAOUT25!G14</f>
        <v>202000</v>
      </c>
      <c r="K14" s="7">
        <f>VLOOKUP($A14,[6]HISTOSEPT25!$A$6:$BB$47,18,0)</f>
        <v>202000</v>
      </c>
      <c r="L14" s="7" t="str">
        <f>IF(K14&lt;&gt;0,VLOOKUP($A14,[6]HISTOSEPT25!$A$6:$BB$47,42,0),"ECHEC")</f>
        <v>BANQUE</v>
      </c>
      <c r="M14" s="7" t="str">
        <f>IF(P14&lt;&gt;0,VLOOKUP($A14,[6]HISTOSEPT25!$A$6:$BB$47,32,0),"ECHEC")</f>
        <v>ECHEC</v>
      </c>
      <c r="N14" s="7">
        <f>VLOOKUP($A14,[6]HISTOSEPT25!$A$6:$BB$47,33,0)</f>
        <v>0</v>
      </c>
      <c r="O14" s="7">
        <f t="shared" si="0"/>
        <v>0</v>
      </c>
      <c r="P14" s="7">
        <f>VLOOKUP($A14,[6]HISTOSEPT25!$A$6:$BB$47,31,0)</f>
        <v>0</v>
      </c>
    </row>
    <row r="15" spans="1:16" x14ac:dyDescent="0.35">
      <c r="A15" s="1" t="s">
        <v>9</v>
      </c>
      <c r="B15" s="7">
        <f>IF(D15=0,0,VLOOKUP($A15,[6]HISTOSEPT25!$A$6:$BQ$47,14,0))</f>
        <v>2</v>
      </c>
      <c r="C15" s="1" t="str">
        <f>VLOOKUP(A15,[7]LISTADHERENT!A$5:H$60,3,0)</f>
        <v>NDJOMO ETIENNE</v>
      </c>
      <c r="D15" s="7">
        <f>IF(E15="ECHEC",0,VLOOKUP($A15,[6]HISTOSEPT25!$A$6:$BB$47,15,0))</f>
        <v>200000</v>
      </c>
      <c r="E15" s="7" t="str">
        <f>VLOOKUP($A15,[6]HISTOSEPT25!$A$6:$BB$47,9,0)</f>
        <v>BANQUE</v>
      </c>
      <c r="F15" s="7">
        <f>VLOOKUP($A15,[6]HISTOSEPT25!$A$6:$BB$47,37,0)</f>
        <v>100000</v>
      </c>
      <c r="G15" s="7">
        <f>VLOOKUP($A15,[6]HISTOSEPT25!$A$6:$BB$47,40,0)</f>
        <v>2500</v>
      </c>
      <c r="H15" s="7" t="str">
        <f>IF(G15=0,"",VLOOKUP($A15,[6]HISTOFEV25!$A$6:$AV$47,42,0))</f>
        <v>BANQUE</v>
      </c>
      <c r="I15" s="7">
        <f>VLOOKUP($A15,[6]HISTOSEPT25!$A$6:$BB$47,41,0)</f>
        <v>0</v>
      </c>
      <c r="J15" s="7">
        <f>+TONTAOUT25!F15+TONTAOUT25!G15</f>
        <v>202000</v>
      </c>
      <c r="K15" s="7">
        <f>VLOOKUP($A15,[6]HISTOSEPT25!$A$6:$BB$47,18,0)</f>
        <v>202000</v>
      </c>
      <c r="L15" s="7" t="str">
        <f>IF(K15&lt;&gt;0,VLOOKUP($A15,[6]HISTOSEPT25!$A$6:$BB$47,42,0),"ECHEC")</f>
        <v>BANQUE</v>
      </c>
      <c r="M15" s="7" t="str">
        <f>IF(P15&lt;&gt;0,VLOOKUP($A15,[6]HISTOSEPT25!$A$6:$BB$47,32,0),"ECHEC")</f>
        <v>ECHEC</v>
      </c>
      <c r="N15" s="7">
        <f>VLOOKUP($A15,[6]HISTOSEPT25!$A$6:$BB$47,33,0)</f>
        <v>0</v>
      </c>
      <c r="O15" s="7">
        <f t="shared" si="0"/>
        <v>0</v>
      </c>
      <c r="P15" s="7">
        <f>VLOOKUP($A15,[6]HISTOSEPT25!$A$6:$BB$47,31,0)</f>
        <v>0</v>
      </c>
    </row>
    <row r="16" spans="1:16" x14ac:dyDescent="0.35">
      <c r="A16" s="1" t="s">
        <v>10</v>
      </c>
      <c r="B16" s="7">
        <f>IF(D16=0,0,VLOOKUP($A16,[6]HISTOSEPT25!$A$6:$BQ$47,14,0))</f>
        <v>1</v>
      </c>
      <c r="C16" s="1" t="str">
        <f>VLOOKUP(A16,[7]LISTADHERENT!A$5:H$60,3,0)</f>
        <v>NGONDIEP CLAUDE</v>
      </c>
      <c r="D16" s="7">
        <f>IF(E16="ECHEC",0,VLOOKUP($A16,[6]HISTOSEPT25!$A$6:$BB$47,15,0))</f>
        <v>100000</v>
      </c>
      <c r="E16" s="7" t="str">
        <f>VLOOKUP($A16,[6]HISTOSEPT25!$A$6:$BB$47,9,0)</f>
        <v>BANQUE</v>
      </c>
      <c r="F16" s="7">
        <f>VLOOKUP($A16,[6]HISTOSEPT25!$A$6:$BB$47,37,0)</f>
        <v>0</v>
      </c>
      <c r="G16" s="7">
        <f>VLOOKUP($A16,[6]HISTOSEPT25!$A$6:$BB$47,40,0)</f>
        <v>0</v>
      </c>
      <c r="H16" s="7" t="str">
        <f>IF(G16=0,"",VLOOKUP($A16,[6]HISTOFEV25!$A$6:$AV$47,42,0))</f>
        <v/>
      </c>
      <c r="I16" s="7">
        <f>VLOOKUP($A16,[6]HISTOSEPT25!$A$6:$BB$47,41,0)</f>
        <v>0</v>
      </c>
      <c r="J16" s="7">
        <f>+TONTAOUT25!F16+TONTAOUT25!G16</f>
        <v>0</v>
      </c>
      <c r="K16" s="7">
        <f>VLOOKUP($A16,[6]HISTOSEPT25!$A$6:$BB$47,18,0)</f>
        <v>0</v>
      </c>
      <c r="L16" s="7" t="str">
        <f>IF(K16&lt;&gt;0,VLOOKUP($A16,[6]HISTOSEPT25!$A$6:$BB$47,42,0),"ECHEC")</f>
        <v>ECHEC</v>
      </c>
      <c r="M16" s="7" t="str">
        <f>IF(P16&lt;&gt;0,VLOOKUP($A16,[6]HISTOSEPT25!$A$6:$BB$47,32,0),"ECHEC")</f>
        <v>ECHEC</v>
      </c>
      <c r="N16" s="7">
        <f>VLOOKUP($A16,[6]HISTOSEPT25!$A$6:$BB$47,33,0)</f>
        <v>0</v>
      </c>
      <c r="O16" s="7">
        <f t="shared" si="0"/>
        <v>0</v>
      </c>
      <c r="P16" s="7">
        <f>VLOOKUP($A16,[6]HISTOSEPT25!$A$6:$BB$47,31,0)</f>
        <v>0</v>
      </c>
    </row>
    <row r="17" spans="1:16" x14ac:dyDescent="0.35">
      <c r="A17" s="1" t="s">
        <v>43</v>
      </c>
      <c r="B17" s="7">
        <f>IF(D17=0,0,VLOOKUP($A17,[6]HISTOSEPT25!$A$6:$BQ$47,14,0))</f>
        <v>2</v>
      </c>
      <c r="C17" s="1" t="str">
        <f>VLOOKUP(A17,[7]LISTADHERENT!A$5:H$60,3,0)</f>
        <v>NGUIEMEGNI MATHIEU BLAISE</v>
      </c>
      <c r="D17" s="7">
        <f>IF(E17="ECHEC",0,VLOOKUP($A17,[6]HISTOSEPT25!$A$6:$BB$47,15,0))</f>
        <v>200000</v>
      </c>
      <c r="E17" s="7" t="str">
        <f>VLOOKUP($A17,[6]HISTOSEPT25!$A$6:$BB$47,9,0)</f>
        <v>BANQUE</v>
      </c>
      <c r="F17" s="7">
        <f>VLOOKUP($A17,[6]HISTOSEPT25!$A$6:$BB$47,37,0)</f>
        <v>200000</v>
      </c>
      <c r="G17" s="7">
        <f>VLOOKUP($A17,[6]HISTOSEPT25!$A$6:$BB$47,40,0)</f>
        <v>5000</v>
      </c>
      <c r="H17" s="7" t="str">
        <f>IF(G17=0,"",VLOOKUP($A17,[6]HISTOFEV25!$A$6:$AV$47,42,0))</f>
        <v>BANQUE</v>
      </c>
      <c r="I17" s="7">
        <f>VLOOKUP($A17,[6]HISTOSEPT25!$A$6:$BB$47,41,0)</f>
        <v>0</v>
      </c>
      <c r="J17" s="7">
        <f>+TONTAOUT25!F17+TONTAOUT25!G17</f>
        <v>101000</v>
      </c>
      <c r="K17" s="7">
        <f>VLOOKUP($A17,[6]HISTOSEPT25!$A$6:$BB$47,18,0)</f>
        <v>101000</v>
      </c>
      <c r="L17" s="7" t="str">
        <f>IF(K17&lt;&gt;0,VLOOKUP($A17,[6]HISTOSEPT25!$A$6:$BB$47,42,0),"ECHEC")</f>
        <v>BANQUE</v>
      </c>
      <c r="M17" s="7" t="str">
        <f>IF(P17&lt;&gt;0,VLOOKUP($A17,[6]HISTOSEPT25!$A$6:$BB$47,32,0),"ECHEC")</f>
        <v>ECHEC</v>
      </c>
      <c r="N17" s="7">
        <f>VLOOKUP($A17,[6]HISTOSEPT25!$A$6:$BB$47,33,0)</f>
        <v>0</v>
      </c>
      <c r="O17" s="7">
        <f t="shared" si="0"/>
        <v>0</v>
      </c>
      <c r="P17" s="7">
        <f>VLOOKUP($A17,[6]HISTOSEPT25!$A$6:$BB$47,31,0)</f>
        <v>0</v>
      </c>
    </row>
    <row r="18" spans="1:16" x14ac:dyDescent="0.35">
      <c r="A18" s="1" t="s">
        <v>54</v>
      </c>
      <c r="B18" s="7">
        <f>IF(D18=0,0,VLOOKUP($A18,[6]HISTOSEPT25!$A$6:$BQ$47,14,0))</f>
        <v>2</v>
      </c>
      <c r="C18" s="1" t="str">
        <f>VLOOKUP(A18,[7]LISTADHERENT!A$5:H$60,3,0)</f>
        <v>SIME BRICE</v>
      </c>
      <c r="D18" s="7">
        <f>IF(E18="ECHEC",0,VLOOKUP($A18,[6]HISTOSEPT25!$A$6:$BB$47,15,0))</f>
        <v>200000</v>
      </c>
      <c r="E18" s="7" t="str">
        <f>VLOOKUP($A18,[6]HISTOSEPT25!$A$6:$BB$47,9,0)</f>
        <v>BANQUE</v>
      </c>
      <c r="F18" s="7">
        <f>VLOOKUP($A18,[6]HISTOSEPT25!$A$6:$BB$47,37,0)</f>
        <v>200000</v>
      </c>
      <c r="G18" s="7">
        <f>VLOOKUP($A18,[6]HISTOSEPT25!$A$6:$BB$47,40,0)</f>
        <v>3500</v>
      </c>
      <c r="H18" s="7">
        <f>IF(G18=0,"",VLOOKUP($A18,[6]HISTOFEV25!$A$6:$AV$47,42,0))</f>
        <v>0</v>
      </c>
      <c r="I18" s="7">
        <f>VLOOKUP($A18,[6]HISTOSEPT25!$A$6:$BB$47,41,0)</f>
        <v>0</v>
      </c>
      <c r="J18" s="7">
        <f>+TONTAOUT25!F18+TONTAOUT25!G18</f>
        <v>0</v>
      </c>
      <c r="K18" s="7">
        <f>VLOOKUP($A18,[6]HISTOSEPT25!$A$6:$BB$47,18,0)</f>
        <v>0</v>
      </c>
      <c r="L18" s="7" t="str">
        <f>IF(K18&lt;&gt;0,VLOOKUP($A18,[6]HISTOSEPT25!$A$6:$BB$47,42,0),"ECHEC")</f>
        <v>ECHEC</v>
      </c>
      <c r="M18" s="7" t="str">
        <f>IF(P18&lt;&gt;0,VLOOKUP($A18,[6]HISTOSEPT25!$A$6:$BB$47,32,0),"ECHEC")</f>
        <v>ECHEC</v>
      </c>
      <c r="N18" s="7">
        <f>VLOOKUP($A18,[6]HISTOSEPT25!$A$6:$BB$47,33,0)</f>
        <v>0</v>
      </c>
      <c r="O18" s="7">
        <f t="shared" si="0"/>
        <v>0</v>
      </c>
      <c r="P18" s="7">
        <f>VLOOKUP($A18,[6]HISTOSEPT25!$A$6:$BB$47,31,0)</f>
        <v>0</v>
      </c>
    </row>
    <row r="19" spans="1:16" x14ac:dyDescent="0.35">
      <c r="A19" s="1" t="s">
        <v>55</v>
      </c>
      <c r="B19" s="7">
        <f>IF(D19=0,0,VLOOKUP($A19,[6]HISTOSEPT25!$A$6:$BQ$47,14,0))</f>
        <v>1</v>
      </c>
      <c r="C19" s="1" t="str">
        <f>VLOOKUP(A19,[7]LISTADHERENT!A$5:H$60,3,0)</f>
        <v>TCHOUATEU AUGUSTIN</v>
      </c>
      <c r="D19" s="7">
        <f>IF(E19="ECHEC",0,VLOOKUP($A19,[6]HISTOSEPT25!$A$6:$BB$47,15,0))</f>
        <v>100000</v>
      </c>
      <c r="E19" s="7" t="str">
        <f>VLOOKUP($A19,[6]HISTOSEPT25!$A$6:$BB$47,9,0)</f>
        <v>BANQUE</v>
      </c>
      <c r="F19" s="7">
        <f>VLOOKUP($A19,[6]HISTOSEPT25!$A$6:$BB$47,37,0)</f>
        <v>0</v>
      </c>
      <c r="G19" s="7">
        <f>VLOOKUP($A19,[6]HISTOSEPT25!$A$6:$BB$47,40,0)</f>
        <v>0</v>
      </c>
      <c r="H19" s="7" t="str">
        <f>IF(G19=0,"",VLOOKUP($A19,[6]HISTOFEV25!$A$6:$AV$47,42,0))</f>
        <v/>
      </c>
      <c r="I19" s="7">
        <f>VLOOKUP($A19,[6]HISTOSEPT25!$A$6:$BB$47,41,0)</f>
        <v>0</v>
      </c>
      <c r="J19" s="7">
        <f>+TONTAOUT25!F19+TONTAOUT25!G19</f>
        <v>0</v>
      </c>
      <c r="K19" s="7">
        <f>VLOOKUP($A19,[6]HISTOSEPT25!$A$6:$BB$47,18,0)</f>
        <v>0</v>
      </c>
      <c r="L19" s="7" t="str">
        <f>IF(K19&lt;&gt;0,VLOOKUP($A19,[6]HISTOSEPT25!$A$6:$BB$47,42,0),"ECHEC")</f>
        <v>ECHEC</v>
      </c>
      <c r="M19" s="7" t="str">
        <f>IF(P19&lt;&gt;0,VLOOKUP($A19,[6]HISTOSEPT25!$A$6:$BB$47,32,0),"ECHEC")</f>
        <v>ECHEC</v>
      </c>
      <c r="N19" s="7">
        <f>VLOOKUP($A19,[6]HISTOSEPT25!$A$6:$BB$47,33,0)</f>
        <v>0</v>
      </c>
      <c r="O19" s="7">
        <f t="shared" si="0"/>
        <v>0</v>
      </c>
      <c r="P19" s="7">
        <f>VLOOKUP($A19,[6]HISTOSEPT25!$A$6:$BB$47,31,0)</f>
        <v>0</v>
      </c>
    </row>
    <row r="20" spans="1:16" x14ac:dyDescent="0.35">
      <c r="A20" s="1" t="s">
        <v>46</v>
      </c>
      <c r="B20" s="7">
        <f>IF(D20=0,0,VLOOKUP($A20,[6]HISTOSEPT25!$A$6:$BQ$47,14,0))</f>
        <v>0</v>
      </c>
      <c r="C20" s="1" t="str">
        <f>VLOOKUP(A20,[7]LISTADHERENT!A$5:H$60,3,0)</f>
        <v>SIMO PIERRE</v>
      </c>
      <c r="D20" s="7">
        <f>IF(E20="ECHEC",0,VLOOKUP($A20,[6]HISTOSEPT25!$A$6:$BB$47,15,0))</f>
        <v>0</v>
      </c>
      <c r="E20" s="7" t="str">
        <f>VLOOKUP($A20,[6]HISTOSEPT25!$A$6:$BB$47,9,0)</f>
        <v>ECHEC</v>
      </c>
      <c r="F20" s="7">
        <f>VLOOKUP($A20,[6]HISTOSEPT25!$A$6:$BB$47,37,0)</f>
        <v>0</v>
      </c>
      <c r="G20" s="7">
        <f>VLOOKUP($A20,[6]HISTOSEPT25!$A$6:$BB$47,40,0)</f>
        <v>0</v>
      </c>
      <c r="H20" s="7" t="str">
        <f>IF(G20=0,"",VLOOKUP($A20,[6]HISTOFEV25!$A$6:$AV$47,42,0))</f>
        <v/>
      </c>
      <c r="I20" s="7">
        <f>VLOOKUP($A20,[6]HISTOSEPT25!$A$6:$BB$47,41,0)</f>
        <v>0</v>
      </c>
      <c r="J20" s="7">
        <f>+TONTAOUT25!F20+TONTAOUT25!G20</f>
        <v>0</v>
      </c>
      <c r="K20" s="7">
        <f>VLOOKUP($A20,[6]HISTOSEPT25!$A$6:$BB$47,18,0)</f>
        <v>0</v>
      </c>
      <c r="L20" s="7" t="str">
        <f>IF(K20&lt;&gt;0,VLOOKUP($A20,[6]HISTOSEPT25!$A$6:$BB$47,42,0),"ECHEC")</f>
        <v>ECHEC</v>
      </c>
      <c r="M20" s="7" t="str">
        <f>IF(P20&lt;&gt;0,VLOOKUP($A20,[6]HISTOSEPT25!$A$6:$BB$47,32,0),"ECHEC")</f>
        <v>ECHEC</v>
      </c>
      <c r="N20" s="7">
        <f>VLOOKUP($A20,[6]HISTOSEPT25!$A$6:$BB$47,33,0)</f>
        <v>0</v>
      </c>
      <c r="O20" s="7">
        <f t="shared" si="0"/>
        <v>0</v>
      </c>
      <c r="P20" s="7">
        <f>VLOOKUP($A20,[6]HISTOSEPT25!$A$6:$BB$47,31,0)</f>
        <v>0</v>
      </c>
    </row>
    <row r="21" spans="1:16" x14ac:dyDescent="0.35">
      <c r="A21" s="1" t="s">
        <v>53</v>
      </c>
      <c r="B21" s="7">
        <f>IF(D21=0,0,VLOOKUP($A21,[6]HISTOSEPT25!$A$6:$BQ$47,14,0))</f>
        <v>2</v>
      </c>
      <c r="C21" s="1" t="str">
        <f>VLOOKUP(A21,[7]LISTADHERENT!A$5:H$60,3,0)</f>
        <v>YIALA ALAIN OSCAR</v>
      </c>
      <c r="D21" s="7">
        <f>IF(E21="ECHEC",0,VLOOKUP($A21,[6]HISTOSEPT25!$A$6:$BB$47,15,0))</f>
        <v>200000</v>
      </c>
      <c r="E21" s="7" t="str">
        <f>VLOOKUP($A21,[6]HISTOSEPT25!$A$6:$BB$47,9,0)</f>
        <v>BANQUE</v>
      </c>
      <c r="F21" s="7">
        <f>VLOOKUP($A21,[6]HISTOSEPT25!$A$6:$BB$47,37,0)</f>
        <v>0</v>
      </c>
      <c r="G21" s="7">
        <f>VLOOKUP($A21,[6]HISTOSEPT25!$A$6:$BB$47,40,0)</f>
        <v>0</v>
      </c>
      <c r="H21" s="7" t="str">
        <f>IF(G21=0,"",VLOOKUP($A21,[6]HISTOFEV25!$A$6:$AV$47,42,0))</f>
        <v/>
      </c>
      <c r="I21" s="7">
        <f>VLOOKUP($A21,[6]HISTOSEPT25!$A$6:$BB$47,41,0)</f>
        <v>0</v>
      </c>
      <c r="J21" s="7">
        <f>+TONTAOUT25!F21+TONTAOUT25!G21</f>
        <v>0</v>
      </c>
      <c r="K21" s="7">
        <f>VLOOKUP($A21,[6]HISTOSEPT25!$A$6:$BB$47,18,0)</f>
        <v>0</v>
      </c>
      <c r="L21" s="7" t="str">
        <f>IF(K21&lt;&gt;0,VLOOKUP($A21,[6]HISTOSEPT25!$A$6:$BB$47,42,0),"ECHEC")</f>
        <v>ECHEC</v>
      </c>
      <c r="M21" s="7" t="str">
        <f>IF(P21&lt;&gt;0,VLOOKUP($A21,[6]HISTOSEPT25!$A$6:$BB$47,32,0),"ECHEC")</f>
        <v>ECHEC</v>
      </c>
      <c r="N21" s="7">
        <f>VLOOKUP($A21,[6]HISTOSEPT25!$A$6:$BB$47,33,0)</f>
        <v>0</v>
      </c>
      <c r="O21" s="7">
        <f t="shared" si="0"/>
        <v>0</v>
      </c>
      <c r="P21" s="7">
        <f>VLOOKUP($A21,[6]HISTOSEPT25!$A$6:$BB$47,31,0)</f>
        <v>0</v>
      </c>
    </row>
    <row r="22" spans="1:16" x14ac:dyDescent="0.35">
      <c r="A22" s="1" t="s">
        <v>61</v>
      </c>
      <c r="B22" s="7">
        <f>IF(D22=0,0,VLOOKUP($A22,[6]HISTOSEPT25!$A$6:$BQ$47,14,0))</f>
        <v>1</v>
      </c>
      <c r="C22" s="1" t="str">
        <f>VLOOKUP(A22,[7]LISTADHERENT!A$5:H$60,3,0)</f>
        <v>YOUMBI EMMANUEL</v>
      </c>
      <c r="D22" s="7">
        <f>IF(E22="ECHEC",0,VLOOKUP($A22,[6]HISTOSEPT25!$A$6:$BB$47,15,0))</f>
        <v>100000</v>
      </c>
      <c r="E22" s="7" t="str">
        <f>VLOOKUP($A22,[6]HISTOSEPT25!$A$6:$BB$47,9,0)</f>
        <v>BANQUE</v>
      </c>
      <c r="F22" s="7">
        <f>VLOOKUP($A22,[6]HISTOSEPT25!$A$6:$BB$47,37,0)</f>
        <v>0</v>
      </c>
      <c r="G22" s="7">
        <f>VLOOKUP($A22,[6]HISTOSEPT25!$A$6:$BB$47,40,0)</f>
        <v>0</v>
      </c>
      <c r="H22" s="7" t="str">
        <f>IF(G22=0,"",VLOOKUP($A22,[6]HISTOFEV25!$A$6:$AV$47,42,0))</f>
        <v/>
      </c>
      <c r="I22" s="7">
        <f>VLOOKUP($A22,[6]HISTOSEPT25!$A$6:$BB$47,41,0)</f>
        <v>0</v>
      </c>
      <c r="J22" s="7">
        <f>+TONTAOUT25!F22+TONTAOUT25!G22</f>
        <v>0</v>
      </c>
      <c r="K22" s="7">
        <f>VLOOKUP($A22,[6]HISTOSEPT25!$A$6:$BB$47,18,0)</f>
        <v>0</v>
      </c>
      <c r="L22" s="7" t="str">
        <f>IF(K22&lt;&gt;0,VLOOKUP($A22,[6]HISTOSEPT25!$A$6:$BB$47,42,0),"ECHEC")</f>
        <v>ECHEC</v>
      </c>
      <c r="M22" s="7" t="str">
        <f>IF(P22&lt;&gt;0,VLOOKUP($A22,[6]HISTOSEPT25!$A$6:$BB$47,32,0),"ECHEC")</f>
        <v>ECHEC</v>
      </c>
      <c r="N22" s="7">
        <f>VLOOKUP($A22,[6]HISTOSEPT25!$A$6:$BB$47,33,0)</f>
        <v>0</v>
      </c>
      <c r="O22" s="7">
        <f t="shared" si="0"/>
        <v>0</v>
      </c>
      <c r="P22" s="7">
        <f>VLOOKUP($A22,[6]HISTOSEPT25!$A$6:$BB$47,31,0)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23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2300000</v>
      </c>
      <c r="E25" s="8">
        <f t="shared" ref="E25:P25" si="1">SUM(E6:E22)</f>
        <v>0</v>
      </c>
      <c r="F25" s="8">
        <f t="shared" si="1"/>
        <v>1074500</v>
      </c>
      <c r="G25" s="8">
        <f>SUM(G6:G22)</f>
        <v>18500</v>
      </c>
      <c r="H25" s="8">
        <f t="shared" si="1"/>
        <v>0</v>
      </c>
      <c r="I25" s="8">
        <f t="shared" si="1"/>
        <v>0</v>
      </c>
      <c r="J25" s="8">
        <f t="shared" si="1"/>
        <v>1144500</v>
      </c>
      <c r="K25" s="8">
        <f t="shared" si="1"/>
        <v>1144500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2370000</v>
      </c>
      <c r="P25" s="8">
        <f t="shared" si="1"/>
        <v>30000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3449500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200000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200000</v>
      </c>
      <c r="I28" s="8"/>
      <c r="K28" s="8" t="s">
        <v>34</v>
      </c>
      <c r="L28" s="8">
        <f>C3*COUNTIF(O6:O22,"&gt;0")</f>
        <v>2400000</v>
      </c>
      <c r="M28" s="8">
        <f>D3</f>
        <v>2</v>
      </c>
      <c r="N28" s="8">
        <f>COUNTIF(O6:O21,"&gt;0")</f>
        <v>2</v>
      </c>
      <c r="O28" s="8"/>
    </row>
    <row r="29" spans="1:16" s="2" customFormat="1" ht="17.5" x14ac:dyDescent="0.35">
      <c r="C29" s="8" t="s">
        <v>7</v>
      </c>
      <c r="D29" s="8">
        <f>SUMIFS(D6:D22,E6:E22,"BANQUE")</f>
        <v>2100000</v>
      </c>
      <c r="E29" s="8">
        <f>SUMIFS(K6:K22,L6:L22,"BANQUE")</f>
        <v>1144500</v>
      </c>
      <c r="F29" s="8">
        <f>SUMIFS(F6:F22,H6:H22,"BANQUE")</f>
        <v>874500</v>
      </c>
      <c r="G29" s="8">
        <f>SUMIFS(O6:O22,M6:M22,"BANQUE")</f>
        <v>2370000</v>
      </c>
      <c r="H29" s="8">
        <f>D29+E29-F29-G29</f>
        <v>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1300500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D28+D29+200000</f>
        <v>2500000</v>
      </c>
      <c r="E31" s="8">
        <f>E28+E29</f>
        <v>1144500</v>
      </c>
      <c r="F31" s="8">
        <f>F28+F29</f>
        <v>874500</v>
      </c>
      <c r="G31" s="8">
        <f t="shared" ref="G31:H31" si="2">G28+G29</f>
        <v>2370000</v>
      </c>
      <c r="H31" s="8">
        <f t="shared" si="2"/>
        <v>200000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226000</v>
      </c>
      <c r="M32"/>
      <c r="N32" s="8">
        <f>L32</f>
        <v>226000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100000</v>
      </c>
      <c r="N34" s="8">
        <f>L34+TONTFEV25!N34</f>
        <v>100000</v>
      </c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L35+TONTFEV25!N35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65A5-0D47-4EB5-85EA-E2459079CC60}">
  <dimension ref="A1:P37"/>
  <sheetViews>
    <sheetView workbookViewId="0">
      <pane xSplit="3" ySplit="5" topLeftCell="F18" activePane="bottomRight" state="frozen"/>
      <selection activeCell="C4" sqref="C4:L4"/>
      <selection pane="topRight" activeCell="C4" sqref="C4:L4"/>
      <selection pane="bottomLeft" activeCell="C4" sqref="C4:L4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2</v>
      </c>
      <c r="E3" s="1"/>
      <c r="L3" s="1"/>
      <c r="M3" s="1"/>
    </row>
    <row r="4" spans="1:16" s="12" customFormat="1" ht="17.5" x14ac:dyDescent="0.35">
      <c r="B4" s="13"/>
      <c r="C4" s="37">
        <v>45943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IF(D6=0,0,VLOOKUP($A6,[6]HISTOOCT25!$A$6:$BQ$47,14,0))</f>
        <v>1</v>
      </c>
      <c r="C6" s="1" t="str">
        <f>VLOOKUP(A6,[7]LISTADHERENT!A$5:H$60,3,0)</f>
        <v>ASELBY</v>
      </c>
      <c r="D6" s="7">
        <f>IF(E6="ECHEC",0,VLOOKUP($A6,[6]HISTOOCT25!$A$6:$BB$47,15,0))</f>
        <v>100000</v>
      </c>
      <c r="E6" s="7" t="str">
        <f>VLOOKUP($A6,[6]HISTOOCT25!$A$6:$BB$47,9,0)</f>
        <v>BANQUE</v>
      </c>
      <c r="F6" s="7">
        <f>VLOOKUP($A6,[6]HISTOOCT25!$A$6:$BB$47,37,0)</f>
        <v>0</v>
      </c>
      <c r="G6" s="7">
        <f>VLOOKUP($A6,[6]HISTOOCT25!$A$6:$BB$47,40,0)</f>
        <v>0</v>
      </c>
      <c r="H6" s="7" t="str">
        <f>IF(G6=0,"",VLOOKUP($A6,[6]HISTOFEV25!$A$6:$AV$47,42,0))</f>
        <v/>
      </c>
      <c r="I6" s="7">
        <f>VLOOKUP($A6,[6]HISTOOCT25!$A$6:$BB$47,41,0)</f>
        <v>0</v>
      </c>
      <c r="J6" s="7">
        <f>+TONTSEPT25!F6+TONTSEPT25!G6</f>
        <v>0</v>
      </c>
      <c r="K6" s="7">
        <f>VLOOKUP($A6,[6]HISTOOCT25!$A$6:$BB$47,18,0)</f>
        <v>0</v>
      </c>
      <c r="L6" s="7" t="str">
        <f>IF(K6&lt;&gt;0,VLOOKUP($A6,[6]HISTOOCT25!$A$6:$BB$47,42,0),"ECHEC")</f>
        <v>ECHEC</v>
      </c>
      <c r="M6" s="7" t="str">
        <f>IF(P6&lt;&gt;0,VLOOKUP($A6,[6]HISTOOCT25!$A$6:$BB$47,32,0),"ECHEC")</f>
        <v>ECHEC</v>
      </c>
      <c r="N6" s="7">
        <f>VLOOKUP($A6,[6]HISTOOCT25!$A$6:$BB$47,33,0)</f>
        <v>0</v>
      </c>
      <c r="O6" s="7">
        <f t="shared" ref="O6:O22" si="0">IF(P6=0,0,($C$3-P6))</f>
        <v>0</v>
      </c>
      <c r="P6" s="7">
        <f>VLOOKUP($A6,[6]HISTOOCT25!$A$6:$BB$47,31,0)</f>
        <v>0</v>
      </c>
    </row>
    <row r="7" spans="1:16" x14ac:dyDescent="0.35">
      <c r="A7" s="1" t="s">
        <v>47</v>
      </c>
      <c r="B7" s="7">
        <f>IF(D7=0,0,VLOOKUP($A7,[6]HISTOOCT25!$A$6:$BQ$47,14,0))</f>
        <v>2</v>
      </c>
      <c r="C7" s="1" t="str">
        <f>VLOOKUP(A7,[7]LISTADHERENT!A$5:H$60,3,0)</f>
        <v xml:space="preserve">DJOMO JEAN PAUL </v>
      </c>
      <c r="D7" s="7">
        <f>IF(E7="ECHEC",0,VLOOKUP($A7,[6]HISTOOCT25!$A$6:$BB$47,15,0))</f>
        <v>200000</v>
      </c>
      <c r="E7" s="7" t="str">
        <f>VLOOKUP($A7,[6]HISTOOCT25!$A$6:$BB$47,9,0)</f>
        <v>ESPECES</v>
      </c>
      <c r="F7" s="7">
        <f>VLOOKUP($A7,[6]HISTOOCT25!$A$6:$BB$47,37,0)</f>
        <v>200000</v>
      </c>
      <c r="G7" s="7">
        <f>VLOOKUP($A7,[6]HISTOOCT25!$A$6:$BB$47,40,0)</f>
        <v>4000</v>
      </c>
      <c r="H7" s="7" t="str">
        <f>IF(G7=0,"",VLOOKUP($A7,[6]HISTOFEV25!$A$6:$AV$47,42,0))</f>
        <v>BANQUE</v>
      </c>
      <c r="I7" s="7">
        <f>VLOOKUP($A7,[6]HISTOOCT25!$A$6:$BB$47,41,0)</f>
        <v>0</v>
      </c>
      <c r="J7" s="7">
        <f>+TONTSEPT25!F7+TONTSEPT25!G7</f>
        <v>176500</v>
      </c>
      <c r="K7" s="7">
        <f>VLOOKUP($A7,[6]HISTOOCT25!$A$6:$BB$47,18,0)</f>
        <v>176500</v>
      </c>
      <c r="L7" s="7" t="str">
        <f>IF(K7&lt;&gt;0,VLOOKUP($A7,[6]HISTOOCT25!$A$6:$BB$47,42,0),"ECHEC")</f>
        <v>BANQUE</v>
      </c>
      <c r="M7" s="7" t="str">
        <f>IF(P7&lt;&gt;0,VLOOKUP($A7,[6]HISTOOCT25!$A$6:$BB$47,32,0),"ECHEC")</f>
        <v>ECHEC</v>
      </c>
      <c r="N7" s="7">
        <f>VLOOKUP($A7,[6]HISTOOCT25!$A$6:$BB$47,33,0)</f>
        <v>0</v>
      </c>
      <c r="O7" s="7">
        <f t="shared" si="0"/>
        <v>0</v>
      </c>
      <c r="P7" s="7">
        <f>VLOOKUP($A7,[6]HISTOOCT25!$A$6:$BB$47,31,0)</f>
        <v>0</v>
      </c>
    </row>
    <row r="8" spans="1:16" x14ac:dyDescent="0.35">
      <c r="A8" s="1" t="s">
        <v>60</v>
      </c>
      <c r="B8" s="7">
        <f>IF(D8=0,0,VLOOKUP($A8,[6]HISTOOCT25!$A$6:$BQ$47,14,0))</f>
        <v>1</v>
      </c>
      <c r="C8" s="1" t="str">
        <f>VLOOKUP(A8,[7]LISTADHERENT!A$5:H$60,3,0)</f>
        <v>DJOUKWE NANGUEN GUY BLAISE</v>
      </c>
      <c r="D8" s="7">
        <f>IF(E8="ECHEC",0,VLOOKUP($A8,[6]HISTOOCT25!$A$6:$BB$47,15,0))</f>
        <v>100000</v>
      </c>
      <c r="E8" s="7" t="str">
        <f>VLOOKUP($A8,[6]HISTOOCT25!$A$6:$BB$47,9,0)</f>
        <v>BANQUE</v>
      </c>
      <c r="F8" s="7">
        <f>VLOOKUP($A8,[6]HISTOOCT25!$A$6:$BB$47,37,0)</f>
        <v>159500</v>
      </c>
      <c r="G8" s="7">
        <f>VLOOKUP($A8,[6]HISTOOCT25!$A$6:$BB$47,40,0)</f>
        <v>6000</v>
      </c>
      <c r="H8" s="7" t="str">
        <f>IF(G8=0,"",VLOOKUP($A8,[6]HISTOFEV25!$A$6:$AV$47,42,0))</f>
        <v>BANQUE</v>
      </c>
      <c r="I8" s="7">
        <f>VLOOKUP($A8,[6]HISTOOCT25!$A$6:$BB$47,41,0)</f>
        <v>0</v>
      </c>
      <c r="J8" s="7">
        <f>+TONTSEPT25!F8+TONTSEPT25!G8</f>
        <v>203500</v>
      </c>
      <c r="K8" s="7">
        <f>VLOOKUP($A8,[6]HISTOOCT25!$A$6:$BB$47,18,0)</f>
        <v>203500</v>
      </c>
      <c r="L8" s="7" t="str">
        <f>IF(K8&lt;&gt;0,VLOOKUP($A8,[6]HISTOOCT25!$A$6:$BB$47,42,0),"ECHEC")</f>
        <v>BANQUE</v>
      </c>
      <c r="M8" s="7" t="str">
        <f>IF(P8&lt;&gt;0,VLOOKUP($A8,[6]HISTOOCT25!$A$6:$BB$47,32,0),"ECHEC")</f>
        <v>ECHEC</v>
      </c>
      <c r="N8" s="7">
        <f>VLOOKUP($A8,[6]HISTOOCT25!$A$6:$BB$47,33,0)</f>
        <v>0</v>
      </c>
      <c r="O8" s="7">
        <f t="shared" si="0"/>
        <v>0</v>
      </c>
      <c r="P8" s="7">
        <f>VLOOKUP($A8,[6]HISTOOCT25!$A$6:$BB$47,31,0)</f>
        <v>0</v>
      </c>
    </row>
    <row r="9" spans="1:16" x14ac:dyDescent="0.35">
      <c r="A9" s="1" t="s">
        <v>20</v>
      </c>
      <c r="B9" s="7">
        <f>IF(D9=0,0,VLOOKUP($A9,[6]HISTOOCT25!$A$6:$BQ$47,14,0))</f>
        <v>2</v>
      </c>
      <c r="C9" s="1" t="str">
        <f>VLOOKUP(A9,[7]LISTADHERENT!A$5:H$60,3,0)</f>
        <v>DJUOMBESSY ANTOINE</v>
      </c>
      <c r="D9" s="7">
        <f>IF(E9="ECHEC",0,VLOOKUP($A9,[6]HISTOOCT25!$A$6:$BB$47,15,0))</f>
        <v>200000</v>
      </c>
      <c r="E9" s="7" t="str">
        <f>VLOOKUP($A9,[6]HISTOOCT25!$A$6:$BB$47,9,0)</f>
        <v>BANQUE</v>
      </c>
      <c r="F9" s="7">
        <f>VLOOKUP($A9,[6]HISTOOCT25!$A$6:$BB$47,37,0)</f>
        <v>0</v>
      </c>
      <c r="G9" s="7">
        <f>VLOOKUP($A9,[6]HISTOOCT25!$A$6:$BB$47,40,0)</f>
        <v>0</v>
      </c>
      <c r="H9" s="7" t="str">
        <f>IF(G9=0,"",VLOOKUP($A9,[6]HISTOFEV25!$A$6:$AV$47,42,0))</f>
        <v/>
      </c>
      <c r="I9" s="7">
        <f>VLOOKUP($A9,[6]HISTOOCT25!$A$6:$BB$47,41,0)</f>
        <v>0</v>
      </c>
      <c r="J9" s="7">
        <f>+TONTSEPT25!F9+TONTSEPT25!G9</f>
        <v>0</v>
      </c>
      <c r="K9" s="7">
        <f>VLOOKUP($A9,[6]HISTOOCT25!$A$6:$BB$47,18,0)</f>
        <v>0</v>
      </c>
      <c r="L9" s="7" t="str">
        <f>IF(K9&lt;&gt;0,VLOOKUP($A9,[6]HISTOOCT25!$A$6:$BB$47,42,0),"ECHEC")</f>
        <v>ECHEC</v>
      </c>
      <c r="M9" s="7" t="str">
        <f>IF(P9&lt;&gt;0,VLOOKUP($A9,[6]HISTOOCT25!$A$6:$BB$47,32,0),"ECHEC")</f>
        <v>ECHEC</v>
      </c>
      <c r="N9" s="7">
        <f>VLOOKUP($A9,[6]HISTOOCT25!$A$6:$BB$47,33,0)</f>
        <v>0</v>
      </c>
      <c r="O9" s="7">
        <f t="shared" si="0"/>
        <v>0</v>
      </c>
      <c r="P9" s="7">
        <f>VLOOKUP($A9,[6]HISTOOCT25!$A$6:$BB$47,31,0)</f>
        <v>0</v>
      </c>
    </row>
    <row r="10" spans="1:16" x14ac:dyDescent="0.35">
      <c r="A10" s="1" t="s">
        <v>62</v>
      </c>
      <c r="B10" s="7">
        <f>IF(D10=0,0,VLOOKUP($A10,[6]HISTOOCT25!$A$6:$BQ$47,14,0))</f>
        <v>1</v>
      </c>
      <c r="C10" s="1" t="str">
        <f>VLOOKUP(A10,[7]LISTADHERENT!A$5:H$60,3,0)</f>
        <v>FAMPOU PAUL</v>
      </c>
      <c r="D10" s="7">
        <f>IF(E10="ECHEC",0,VLOOKUP($A10,[6]HISTOOCT25!$A$6:$BB$47,15,0))</f>
        <v>100000</v>
      </c>
      <c r="E10" s="7" t="str">
        <f>VLOOKUP($A10,[6]HISTOOCT25!$A$6:$BB$47,9,0)</f>
        <v>BANQUE</v>
      </c>
      <c r="F10" s="7">
        <f>VLOOKUP($A10,[6]HISTOOCT25!$A$6:$BB$47,37,0)</f>
        <v>0</v>
      </c>
      <c r="G10" s="7">
        <f>VLOOKUP($A10,[6]HISTOOCT25!$A$6:$BB$47,40,0)</f>
        <v>0</v>
      </c>
      <c r="H10" s="7" t="str">
        <f>IF(G10=0,"",VLOOKUP($A10,[6]HISTOFEV25!$A$6:$AV$47,42,0))</f>
        <v/>
      </c>
      <c r="I10" s="7">
        <f>VLOOKUP($A10,[6]HISTOOCT25!$A$6:$BB$47,41,0)</f>
        <v>0</v>
      </c>
      <c r="J10" s="7">
        <f>+TONTSEPT25!F10+TONTSEPT25!G10</f>
        <v>0</v>
      </c>
      <c r="K10" s="7">
        <f>VLOOKUP($A10,[6]HISTOOCT25!$A$6:$BB$47,18,0)</f>
        <v>0</v>
      </c>
      <c r="L10" s="7" t="str">
        <f>IF(K10&lt;&gt;0,VLOOKUP($A10,[6]HISTOOCT25!$A$6:$BB$47,42,0),"ECHEC")</f>
        <v>ECHEC</v>
      </c>
      <c r="M10" s="7" t="str">
        <f>IF(P10&lt;&gt;0,VLOOKUP($A10,[6]HISTOOCT25!$A$6:$BB$47,32,0),"ECHEC")</f>
        <v>ECHEC</v>
      </c>
      <c r="N10" s="7">
        <f>VLOOKUP($A10,[6]HISTOOCT25!$A$6:$BB$47,33,0)</f>
        <v>0</v>
      </c>
      <c r="O10" s="7">
        <f t="shared" si="0"/>
        <v>0</v>
      </c>
      <c r="P10" s="7">
        <f>VLOOKUP($A10,[6]HISTOOCT25!$A$6:$BB$47,31,0)</f>
        <v>0</v>
      </c>
    </row>
    <row r="11" spans="1:16" x14ac:dyDescent="0.35">
      <c r="A11" s="1" t="s">
        <v>21</v>
      </c>
      <c r="B11" s="7">
        <f>IF(D11=0,0,VLOOKUP($A11,[6]HISTOOCT25!$A$6:$BQ$47,14,0))</f>
        <v>1</v>
      </c>
      <c r="C11" s="1" t="str">
        <f>VLOOKUP(A11,[7]LISTADHERENT!A$5:H$60,3,0)</f>
        <v>HOTCHO BENJAMIN</v>
      </c>
      <c r="D11" s="7">
        <f>IF(E11="ECHEC",0,VLOOKUP($A11,[6]HISTOOCT25!$A$6:$BB$47,15,0))</f>
        <v>100000</v>
      </c>
      <c r="E11" s="7" t="str">
        <f>VLOOKUP($A11,[6]HISTOOCT25!$A$6:$BB$47,9,0)</f>
        <v>BANQUE</v>
      </c>
      <c r="F11" s="7">
        <f>VLOOKUP($A11,[6]HISTOOCT25!$A$6:$BB$47,37,0)</f>
        <v>0</v>
      </c>
      <c r="G11" s="7">
        <f>VLOOKUP($A11,[6]HISTOOCT25!$A$6:$BB$47,40,0)</f>
        <v>0</v>
      </c>
      <c r="H11" s="7" t="str">
        <f>IF(G11=0,"",VLOOKUP($A11,[6]HISTOFEV25!$A$6:$AV$47,42,0))</f>
        <v/>
      </c>
      <c r="I11" s="7">
        <f>VLOOKUP($A11,[6]HISTOOCT25!$A$6:$BB$47,41,0)</f>
        <v>0</v>
      </c>
      <c r="J11" s="7">
        <f>+TONTSEPT25!F11+TONTSEPT25!G11</f>
        <v>0</v>
      </c>
      <c r="K11" s="7">
        <f>VLOOKUP($A11,[6]HISTOOCT25!$A$6:$BB$47,18,0)</f>
        <v>0</v>
      </c>
      <c r="L11" s="7" t="str">
        <f>IF(K11&lt;&gt;0,VLOOKUP($A11,[6]HISTOOCT25!$A$6:$BB$47,42,0),"ECHEC")</f>
        <v>ECHEC</v>
      </c>
      <c r="M11" s="7" t="str">
        <f>IF(P11&lt;&gt;0,VLOOKUP($A11,[6]HISTOOCT25!$A$6:$BB$47,32,0),"ECHEC")</f>
        <v>ECHEC</v>
      </c>
      <c r="N11" s="7">
        <f>VLOOKUP($A11,[6]HISTOOCT25!$A$6:$BB$47,33,0)</f>
        <v>0</v>
      </c>
      <c r="O11" s="7">
        <f t="shared" si="0"/>
        <v>0</v>
      </c>
      <c r="P11" s="7">
        <f>VLOOKUP($A11,[6]HISTOOCT25!$A$6:$BB$47,31,0)</f>
        <v>0</v>
      </c>
    </row>
    <row r="12" spans="1:16" x14ac:dyDescent="0.35">
      <c r="A12" s="1" t="s">
        <v>26</v>
      </c>
      <c r="B12" s="7">
        <f>IF(D12=0,0,VLOOKUP($A12,[6]HISTOOCT25!$A$6:$BQ$47,14,0))</f>
        <v>1</v>
      </c>
      <c r="C12" s="1" t="str">
        <f>VLOOKUP(A12,[7]LISTADHERENT!A$5:H$60,3,0)</f>
        <v>KOUAMOU MOISE</v>
      </c>
      <c r="D12" s="7">
        <f>IF(E12="ECHEC",0,VLOOKUP($A12,[6]HISTOOCT25!$A$6:$BB$47,15,0))</f>
        <v>100000</v>
      </c>
      <c r="E12" s="7" t="str">
        <f>VLOOKUP($A12,[6]HISTOOCT25!$A$6:$BB$47,9,0)</f>
        <v>BANQUE</v>
      </c>
      <c r="F12" s="7">
        <f>VLOOKUP($A12,[6]HISTOOCT25!$A$6:$BB$47,37,0)</f>
        <v>100000</v>
      </c>
      <c r="G12" s="7">
        <f>VLOOKUP($A12,[6]HISTOOCT25!$A$6:$BB$47,40,0)</f>
        <v>2500</v>
      </c>
      <c r="H12" s="7">
        <f>IF(G12=0,"",VLOOKUP($A12,[6]HISTOFEV25!$A$6:$AV$47,42,0))</f>
        <v>0</v>
      </c>
      <c r="I12" s="7">
        <f>VLOOKUP($A12,[6]HISTOOCT25!$A$6:$BB$47,41,0)</f>
        <v>0</v>
      </c>
      <c r="J12" s="7">
        <f>+TONTSEPT25!F12+TONTSEPT25!G12</f>
        <v>0</v>
      </c>
      <c r="K12" s="7">
        <f>VLOOKUP($A12,[6]HISTOOCT25!$A$6:$BB$47,18,0)</f>
        <v>0</v>
      </c>
      <c r="L12" s="7" t="str">
        <f>IF(K12&lt;&gt;0,VLOOKUP($A12,[6]HISTOOCT25!$A$6:$BB$47,42,0),"ECHEC")</f>
        <v>ECHEC</v>
      </c>
      <c r="M12" s="7" t="str">
        <f>IF(P12&lt;&gt;0,VLOOKUP($A12,[6]HISTOOCT25!$A$6:$BB$47,32,0),"ECHEC")</f>
        <v>ECHEC</v>
      </c>
      <c r="N12" s="7">
        <f>VLOOKUP($A12,[6]HISTOOCT25!$A$6:$BB$47,33,0)</f>
        <v>0</v>
      </c>
      <c r="O12" s="7">
        <f t="shared" si="0"/>
        <v>0</v>
      </c>
      <c r="P12" s="7">
        <f>VLOOKUP($A12,[6]HISTOOCT25!$A$6:$BB$47,31,0)</f>
        <v>0</v>
      </c>
    </row>
    <row r="13" spans="1:16" x14ac:dyDescent="0.35">
      <c r="A13" s="1" t="s">
        <v>8</v>
      </c>
      <c r="B13" s="7">
        <f>IF(D13=0,0,VLOOKUP($A13,[6]HISTOOCT25!$A$6:$BQ$47,14,0))</f>
        <v>1</v>
      </c>
      <c r="C13" s="1" t="str">
        <f>VLOOKUP(A13,[7]LISTADHERENT!A$5:H$60,3,0)</f>
        <v>KOUATCHO MESSACK</v>
      </c>
      <c r="D13" s="7">
        <f>IF(E13="ECHEC",0,VLOOKUP($A13,[6]HISTOOCT25!$A$6:$BB$47,15,0))</f>
        <v>100000</v>
      </c>
      <c r="E13" s="7" t="str">
        <f>VLOOKUP($A13,[6]HISTOOCT25!$A$6:$BB$47,9,0)</f>
        <v>ESPECES</v>
      </c>
      <c r="F13" s="7">
        <f>VLOOKUP($A13,[6]HISTOOCT25!$A$6:$BB$47,37,0)</f>
        <v>0</v>
      </c>
      <c r="G13" s="7">
        <f>VLOOKUP($A13,[6]HISTOOCT25!$A$6:$BB$47,40,0)</f>
        <v>0</v>
      </c>
      <c r="H13" s="7" t="str">
        <f>IF(G13=0,"",VLOOKUP($A13,[6]HISTOFEV25!$A$6:$AV$47,42,0))</f>
        <v/>
      </c>
      <c r="I13" s="7">
        <f>VLOOKUP($A13,[6]HISTOOCT25!$A$6:$BB$47,41,0)</f>
        <v>0</v>
      </c>
      <c r="J13" s="7">
        <f>+TONTSEPT25!F13+TONTSEPT25!G13</f>
        <v>101000</v>
      </c>
      <c r="K13" s="7">
        <f>VLOOKUP($A13,[6]HISTOOCT25!$A$6:$BB$47,18,0)</f>
        <v>101000</v>
      </c>
      <c r="L13" s="7" t="str">
        <f>IF(K13&lt;&gt;0,VLOOKUP($A13,[6]HISTOOCT25!$A$6:$BB$47,42,0),"ECHEC")</f>
        <v>BANQUE</v>
      </c>
      <c r="M13" s="7" t="str">
        <f>IF(P13&lt;&gt;0,VLOOKUP($A13,[6]HISTOOCT25!$A$6:$BB$47,32,0),"ECHEC")</f>
        <v>ECHEC</v>
      </c>
      <c r="N13" s="7">
        <f>VLOOKUP($A13,[6]HISTOOCT25!$A$6:$BB$47,33,0)</f>
        <v>0</v>
      </c>
      <c r="O13" s="7">
        <f t="shared" si="0"/>
        <v>0</v>
      </c>
      <c r="P13" s="7">
        <f>VLOOKUP($A13,[6]HISTOOCT25!$A$6:$BB$47,31,0)</f>
        <v>0</v>
      </c>
    </row>
    <row r="14" spans="1:16" x14ac:dyDescent="0.35">
      <c r="A14" s="1" t="s">
        <v>22</v>
      </c>
      <c r="B14" s="7">
        <f>IF(D14=0,0,VLOOKUP($A14,[6]HISTOOCT25!$A$6:$BQ$47,14,0))</f>
        <v>2</v>
      </c>
      <c r="C14" s="1" t="str">
        <f>VLOOKUP(A14,[7]LISTADHERENT!A$5:H$60,3,0)</f>
        <v>MBOGNING TUGMA GUY</v>
      </c>
      <c r="D14" s="7">
        <f>IF(E14="ECHEC",0,VLOOKUP($A14,[6]HISTOOCT25!$A$6:$BB$47,15,0))</f>
        <v>200000</v>
      </c>
      <c r="E14" s="7" t="str">
        <f>VLOOKUP($A14,[6]HISTOOCT25!$A$6:$BB$47,9,0)</f>
        <v>BANQUE</v>
      </c>
      <c r="F14" s="7">
        <f>VLOOKUP($A14,[6]HISTOOCT25!$A$6:$BB$47,37,0)</f>
        <v>200000</v>
      </c>
      <c r="G14" s="7">
        <f>VLOOKUP($A14,[6]HISTOOCT25!$A$6:$BB$47,40,0)</f>
        <v>5500</v>
      </c>
      <c r="H14" s="7" t="str">
        <f>IF(G14=0,"",VLOOKUP($A14,[6]HISTOFEV25!$A$6:$AV$47,42,0))</f>
        <v>BANQUE</v>
      </c>
      <c r="I14" s="7">
        <f>VLOOKUP($A14,[6]HISTOOCT25!$A$6:$BB$47,41,0)</f>
        <v>0</v>
      </c>
      <c r="J14" s="7">
        <f>+TONTSEPT25!F14+TONTSEPT25!G14</f>
        <v>101000</v>
      </c>
      <c r="K14" s="7">
        <f>VLOOKUP($A14,[6]HISTOOCT25!$A$6:$BB$47,18,0)</f>
        <v>101000</v>
      </c>
      <c r="L14" s="7" t="str">
        <f>IF(K14&lt;&gt;0,VLOOKUP($A14,[6]HISTOOCT25!$A$6:$BB$47,42,0),"ECHEC")</f>
        <v>BANQUE</v>
      </c>
      <c r="M14" s="7" t="str">
        <f>IF(P14&lt;&gt;0,VLOOKUP($A14,[6]HISTOOCT25!$A$6:$BB$47,32,0),"ECHEC")</f>
        <v>ECHEC</v>
      </c>
      <c r="N14" s="7">
        <f>VLOOKUP($A14,[6]HISTOOCT25!$A$6:$BB$47,33,0)</f>
        <v>0</v>
      </c>
      <c r="O14" s="7">
        <f t="shared" si="0"/>
        <v>0</v>
      </c>
      <c r="P14" s="7">
        <f>VLOOKUP($A14,[6]HISTOOCT25!$A$6:$BB$47,31,0)</f>
        <v>0</v>
      </c>
    </row>
    <row r="15" spans="1:16" x14ac:dyDescent="0.35">
      <c r="A15" s="1" t="s">
        <v>9</v>
      </c>
      <c r="B15" s="7">
        <f>IF(D15=0,0,VLOOKUP($A15,[6]HISTOOCT25!$A$6:$BQ$47,14,0))</f>
        <v>2</v>
      </c>
      <c r="C15" s="1" t="str">
        <f>VLOOKUP(A15,[7]LISTADHERENT!A$5:H$60,3,0)</f>
        <v>NDJOMO ETIENNE</v>
      </c>
      <c r="D15" s="7">
        <f>IF(E15="ECHEC",0,VLOOKUP($A15,[6]HISTOOCT25!$A$6:$BB$47,15,0))</f>
        <v>200000</v>
      </c>
      <c r="E15" s="7" t="str">
        <f>VLOOKUP($A15,[6]HISTOOCT25!$A$6:$BB$47,9,0)</f>
        <v>BANQUE</v>
      </c>
      <c r="F15" s="7">
        <f>VLOOKUP($A15,[6]HISTOOCT25!$A$6:$BB$47,37,0)</f>
        <v>100000</v>
      </c>
      <c r="G15" s="7">
        <f>VLOOKUP($A15,[6]HISTOOCT25!$A$6:$BB$47,40,0)</f>
        <v>2500</v>
      </c>
      <c r="H15" s="7" t="str">
        <f>IF(G15=0,"",VLOOKUP($A15,[6]HISTOFEV25!$A$6:$AV$47,42,0))</f>
        <v>BANQUE</v>
      </c>
      <c r="I15" s="7">
        <f>VLOOKUP($A15,[6]HISTOOCT25!$A$6:$BB$47,41,0)</f>
        <v>0</v>
      </c>
      <c r="J15" s="7">
        <f>+TONTSEPT25!F15+TONTSEPT25!G15</f>
        <v>102500</v>
      </c>
      <c r="K15" s="7">
        <f>VLOOKUP($A15,[6]HISTOOCT25!$A$6:$BB$47,18,0)</f>
        <v>102500</v>
      </c>
      <c r="L15" s="7" t="str">
        <f>IF(K15&lt;&gt;0,VLOOKUP($A15,[6]HISTOOCT25!$A$6:$BB$47,42,0),"ECHEC")</f>
        <v>BANQUE</v>
      </c>
      <c r="M15" s="7" t="str">
        <f>IF(P15&lt;&gt;0,VLOOKUP($A15,[6]HISTOOCT25!$A$6:$BB$47,32,0),"ECHEC")</f>
        <v>ECHEC</v>
      </c>
      <c r="N15" s="7">
        <f>VLOOKUP($A15,[6]HISTOOCT25!$A$6:$BB$47,33,0)</f>
        <v>0</v>
      </c>
      <c r="O15" s="7">
        <f t="shared" si="0"/>
        <v>0</v>
      </c>
      <c r="P15" s="7">
        <f>VLOOKUP($A15,[6]HISTOOCT25!$A$6:$BB$47,31,0)</f>
        <v>0</v>
      </c>
    </row>
    <row r="16" spans="1:16" x14ac:dyDescent="0.35">
      <c r="A16" s="1" t="s">
        <v>10</v>
      </c>
      <c r="B16" s="7">
        <f>IF(D16=0,0,VLOOKUP($A16,[6]HISTOOCT25!$A$6:$BQ$47,14,0))</f>
        <v>1</v>
      </c>
      <c r="C16" s="1" t="str">
        <f>VLOOKUP(A16,[7]LISTADHERENT!A$5:H$60,3,0)</f>
        <v>NGONDIEP CLAUDE</v>
      </c>
      <c r="D16" s="7">
        <f>IF(E16="ECHEC",0,VLOOKUP($A16,[6]HISTOOCT25!$A$6:$BB$47,15,0))</f>
        <v>100000</v>
      </c>
      <c r="E16" s="7" t="str">
        <f>VLOOKUP($A16,[6]HISTOOCT25!$A$6:$BB$47,9,0)</f>
        <v>BANQUE</v>
      </c>
      <c r="F16" s="7">
        <f>VLOOKUP($A16,[6]HISTOOCT25!$A$6:$BB$47,37,0)</f>
        <v>0</v>
      </c>
      <c r="G16" s="7">
        <f>VLOOKUP($A16,[6]HISTOOCT25!$A$6:$BB$47,40,0)</f>
        <v>0</v>
      </c>
      <c r="H16" s="7" t="str">
        <f>IF(G16=0,"",VLOOKUP($A16,[6]HISTOFEV25!$A$6:$AV$47,42,0))</f>
        <v/>
      </c>
      <c r="I16" s="7">
        <f>VLOOKUP($A16,[6]HISTOOCT25!$A$6:$BB$47,41,0)</f>
        <v>0</v>
      </c>
      <c r="J16" s="7">
        <f>+TONTSEPT25!F16+TONTSEPT25!G16</f>
        <v>0</v>
      </c>
      <c r="K16" s="7">
        <f>VLOOKUP($A16,[6]HISTOOCT25!$A$6:$BB$47,18,0)</f>
        <v>0</v>
      </c>
      <c r="L16" s="7" t="str">
        <f>IF(K16&lt;&gt;0,VLOOKUP($A16,[6]HISTOOCT25!$A$6:$BB$47,42,0),"ECHEC")</f>
        <v>ECHEC</v>
      </c>
      <c r="M16" s="7" t="str">
        <f>IF(P16&lt;&gt;0,VLOOKUP($A16,[6]HISTOOCT25!$A$6:$BB$47,32,0),"ECHEC")</f>
        <v>ECHEC</v>
      </c>
      <c r="N16" s="7">
        <f>VLOOKUP($A16,[6]HISTOOCT25!$A$6:$BB$47,33,0)</f>
        <v>0</v>
      </c>
      <c r="O16" s="7">
        <f t="shared" si="0"/>
        <v>0</v>
      </c>
      <c r="P16" s="7">
        <f>VLOOKUP($A16,[6]HISTOOCT25!$A$6:$BB$47,31,0)</f>
        <v>0</v>
      </c>
    </row>
    <row r="17" spans="1:16" x14ac:dyDescent="0.35">
      <c r="A17" s="1" t="s">
        <v>43</v>
      </c>
      <c r="B17" s="7">
        <f>IF(D17=0,0,VLOOKUP($A17,[6]HISTOOCT25!$A$6:$BQ$47,14,0))</f>
        <v>2</v>
      </c>
      <c r="C17" s="1" t="str">
        <f>VLOOKUP(A17,[7]LISTADHERENT!A$5:H$60,3,0)</f>
        <v>NGUIEMEGNI MATHIEU BLAISE</v>
      </c>
      <c r="D17" s="7">
        <f>IF(E17="ECHEC",0,VLOOKUP($A17,[6]HISTOOCT25!$A$6:$BB$47,15,0))</f>
        <v>200000</v>
      </c>
      <c r="E17" s="7" t="str">
        <f>VLOOKUP($A17,[6]HISTOOCT25!$A$6:$BB$47,9,0)</f>
        <v>BANQUE</v>
      </c>
      <c r="F17" s="7">
        <f>VLOOKUP($A17,[6]HISTOOCT25!$A$6:$BB$47,37,0)</f>
        <v>100000</v>
      </c>
      <c r="G17" s="7">
        <f>VLOOKUP($A17,[6]HISTOOCT25!$A$6:$BB$47,40,0)</f>
        <v>2500</v>
      </c>
      <c r="H17" s="7" t="str">
        <f>IF(G17=0,"",VLOOKUP($A17,[6]HISTOFEV25!$A$6:$AV$47,42,0))</f>
        <v>BANQUE</v>
      </c>
      <c r="I17" s="7">
        <f>VLOOKUP($A17,[6]HISTOOCT25!$A$6:$BB$47,41,0)</f>
        <v>0</v>
      </c>
      <c r="J17" s="7">
        <f>+TONTSEPT25!F17+TONTSEPT25!G17</f>
        <v>205000</v>
      </c>
      <c r="K17" s="7">
        <f>VLOOKUP($A17,[6]HISTOOCT25!$A$6:$BB$47,18,0)</f>
        <v>205000</v>
      </c>
      <c r="L17" s="7" t="str">
        <f>IF(K17&lt;&gt;0,VLOOKUP($A17,[6]HISTOOCT25!$A$6:$BB$47,42,0),"ECHEC")</f>
        <v>BANQUE</v>
      </c>
      <c r="M17" s="7" t="str">
        <f>IF(P17&lt;&gt;0,VLOOKUP($A17,[6]HISTOOCT25!$A$6:$BB$47,32,0),"ECHEC")</f>
        <v>ECHEC</v>
      </c>
      <c r="N17" s="7">
        <f>VLOOKUP($A17,[6]HISTOOCT25!$A$6:$BB$47,33,0)</f>
        <v>0</v>
      </c>
      <c r="O17" s="7">
        <f t="shared" si="0"/>
        <v>0</v>
      </c>
      <c r="P17" s="7">
        <f>VLOOKUP($A17,[6]HISTOOCT25!$A$6:$BB$47,31,0)</f>
        <v>0</v>
      </c>
    </row>
    <row r="18" spans="1:16" x14ac:dyDescent="0.35">
      <c r="A18" s="1" t="s">
        <v>54</v>
      </c>
      <c r="B18" s="7">
        <f>IF(D18=0,0,VLOOKUP($A18,[6]HISTOOCT25!$A$6:$BQ$47,14,0))</f>
        <v>2</v>
      </c>
      <c r="C18" s="1" t="str">
        <f>VLOOKUP(A18,[7]LISTADHERENT!A$5:H$60,3,0)</f>
        <v>SIME BRICE</v>
      </c>
      <c r="D18" s="7">
        <f>IF(E18="ECHEC",0,VLOOKUP($A18,[6]HISTOOCT25!$A$6:$BB$47,15,0))</f>
        <v>200000</v>
      </c>
      <c r="E18" s="7" t="str">
        <f>VLOOKUP($A18,[6]HISTOOCT25!$A$6:$BB$47,9,0)</f>
        <v>BANQUE</v>
      </c>
      <c r="F18" s="7">
        <f>VLOOKUP($A18,[6]HISTOOCT25!$A$6:$BB$47,37,0)</f>
        <v>200000</v>
      </c>
      <c r="G18" s="7">
        <f>VLOOKUP($A18,[6]HISTOOCT25!$A$6:$BB$47,40,0)</f>
        <v>7000</v>
      </c>
      <c r="H18" s="7">
        <f>IF(G18=0,"",VLOOKUP($A18,[6]HISTOFEV25!$A$6:$AV$47,42,0))</f>
        <v>0</v>
      </c>
      <c r="I18" s="7">
        <f>VLOOKUP($A18,[6]HISTOOCT25!$A$6:$BB$47,41,0)</f>
        <v>0</v>
      </c>
      <c r="J18" s="7">
        <f>+TONTSEPT25!F18+TONTSEPT25!G18</f>
        <v>203500</v>
      </c>
      <c r="K18" s="7">
        <f>VLOOKUP($A18,[6]HISTOOCT25!$A$6:$BB$47,18,0)</f>
        <v>203500</v>
      </c>
      <c r="L18" s="7">
        <f>IF(K18&lt;&gt;0,VLOOKUP($A18,[6]HISTOOCT25!$A$6:$BB$47,42,0),"ECHEC")</f>
        <v>0</v>
      </c>
      <c r="M18" s="7">
        <f>IF(P18&lt;&gt;0,VLOOKUP($A18,[6]HISTOOCT25!$A$6:$BB$47,32,0),"ECHEC")</f>
        <v>0</v>
      </c>
      <c r="N18" s="7">
        <f>VLOOKUP($A18,[6]HISTOOCT25!$A$6:$BB$47,33,0)</f>
        <v>0</v>
      </c>
      <c r="O18" s="7">
        <f t="shared" si="0"/>
        <v>1185000</v>
      </c>
      <c r="P18" s="7">
        <f>VLOOKUP($A18,[6]HISTOOCT25!$A$6:$BB$47,31,0)</f>
        <v>15000</v>
      </c>
    </row>
    <row r="19" spans="1:16" x14ac:dyDescent="0.35">
      <c r="A19" s="1" t="s">
        <v>55</v>
      </c>
      <c r="B19" s="7">
        <f>IF(D19=0,0,VLOOKUP($A19,[6]HISTOOCT25!$A$6:$BQ$47,14,0))</f>
        <v>1</v>
      </c>
      <c r="C19" s="1" t="str">
        <f>VLOOKUP(A19,[7]LISTADHERENT!A$5:H$60,3,0)</f>
        <v>TCHOUATEU AUGUSTIN</v>
      </c>
      <c r="D19" s="7">
        <f>IF(E19="ECHEC",0,VLOOKUP($A19,[6]HISTOOCT25!$A$6:$BB$47,15,0))</f>
        <v>100000</v>
      </c>
      <c r="E19" s="7" t="str">
        <f>VLOOKUP($A19,[6]HISTOOCT25!$A$6:$BB$47,9,0)</f>
        <v>BANQUE</v>
      </c>
      <c r="F19" s="7">
        <f>VLOOKUP($A19,[6]HISTOOCT25!$A$6:$BB$47,37,0)</f>
        <v>100000</v>
      </c>
      <c r="G19" s="7">
        <f>VLOOKUP($A19,[6]HISTOOCT25!$A$6:$BB$47,40,0)</f>
        <v>2500</v>
      </c>
      <c r="H19" s="7">
        <f>IF(G19=0,"",VLOOKUP($A19,[6]HISTOFEV25!$A$6:$AV$47,42,0))</f>
        <v>0</v>
      </c>
      <c r="I19" s="7">
        <f>VLOOKUP($A19,[6]HISTOOCT25!$A$6:$BB$47,41,0)</f>
        <v>0</v>
      </c>
      <c r="J19" s="7">
        <f>+TONTSEPT25!F19+TONTSEPT25!G19</f>
        <v>0</v>
      </c>
      <c r="K19" s="7">
        <f>VLOOKUP($A19,[6]HISTOOCT25!$A$6:$BB$47,18,0)</f>
        <v>0</v>
      </c>
      <c r="L19" s="7" t="str">
        <f>IF(K19&lt;&gt;0,VLOOKUP($A19,[6]HISTOOCT25!$A$6:$BB$47,42,0),"ECHEC")</f>
        <v>ECHEC</v>
      </c>
      <c r="M19" s="7" t="str">
        <f>IF(P19&lt;&gt;0,VLOOKUP($A19,[6]HISTOOCT25!$A$6:$BB$47,32,0),"ECHEC")</f>
        <v>ECHEC</v>
      </c>
      <c r="N19" s="7">
        <f>VLOOKUP($A19,[6]HISTOOCT25!$A$6:$BB$47,33,0)</f>
        <v>0</v>
      </c>
      <c r="O19" s="7">
        <f t="shared" si="0"/>
        <v>0</v>
      </c>
      <c r="P19" s="7">
        <f>VLOOKUP($A19,[6]HISTOOCT25!$A$6:$BB$47,31,0)</f>
        <v>0</v>
      </c>
    </row>
    <row r="20" spans="1:16" x14ac:dyDescent="0.35">
      <c r="A20" s="1" t="s">
        <v>46</v>
      </c>
      <c r="B20" s="7">
        <f>IF(D20=0,0,VLOOKUP($A20,[6]HISTOOCT25!$A$6:$BQ$47,14,0))</f>
        <v>0</v>
      </c>
      <c r="C20" s="1" t="str">
        <f>VLOOKUP(A20,[7]LISTADHERENT!A$5:H$60,3,0)</f>
        <v>SIMO PIERRE</v>
      </c>
      <c r="D20" s="7">
        <f>IF(E20="ECHEC",0,VLOOKUP($A20,[6]HISTOOCT25!$A$6:$BB$47,15,0))</f>
        <v>0</v>
      </c>
      <c r="E20" s="7" t="str">
        <f>VLOOKUP($A20,[6]HISTOOCT25!$A$6:$BB$47,9,0)</f>
        <v>ESPECES</v>
      </c>
      <c r="F20" s="7">
        <f>VLOOKUP($A20,[6]HISTOOCT25!$A$6:$BB$47,37,0)</f>
        <v>0</v>
      </c>
      <c r="G20" s="7">
        <f>VLOOKUP($A20,[6]HISTOOCT25!$A$6:$BB$47,40,0)</f>
        <v>0</v>
      </c>
      <c r="H20" s="7" t="str">
        <f>IF(G20=0,"",VLOOKUP($A20,[6]HISTOFEV25!$A$6:$AV$47,42,0))</f>
        <v/>
      </c>
      <c r="I20" s="7">
        <f>VLOOKUP($A20,[6]HISTOOCT25!$A$6:$BB$47,41,0)</f>
        <v>0</v>
      </c>
      <c r="J20" s="7">
        <f>+TONTSEPT25!F20+TONTSEPT25!G20</f>
        <v>0</v>
      </c>
      <c r="K20" s="7">
        <f>VLOOKUP($A20,[6]HISTOOCT25!$A$6:$BB$47,18,0)</f>
        <v>0</v>
      </c>
      <c r="L20" s="7" t="str">
        <f>IF(K20&lt;&gt;0,VLOOKUP($A20,[6]HISTOOCT25!$A$6:$BB$47,42,0),"ECHEC")</f>
        <v>ECHEC</v>
      </c>
      <c r="M20" s="7" t="str">
        <f>IF(P20&lt;&gt;0,VLOOKUP($A20,[6]HISTOOCT25!$A$6:$BB$47,32,0),"ECHEC")</f>
        <v>ECHEC</v>
      </c>
      <c r="N20" s="7">
        <f>VLOOKUP($A20,[6]HISTOOCT25!$A$6:$BB$47,33,0)</f>
        <v>0</v>
      </c>
      <c r="O20" s="7">
        <f t="shared" si="0"/>
        <v>0</v>
      </c>
      <c r="P20" s="7">
        <f>VLOOKUP($A20,[6]HISTOOCT25!$A$6:$BB$47,31,0)</f>
        <v>0</v>
      </c>
    </row>
    <row r="21" spans="1:16" x14ac:dyDescent="0.35">
      <c r="A21" s="1" t="s">
        <v>53</v>
      </c>
      <c r="B21" s="7">
        <f>IF(D21=0,0,VLOOKUP($A21,[6]HISTOOCT25!$A$6:$BQ$47,14,0))</f>
        <v>2</v>
      </c>
      <c r="C21" s="1" t="str">
        <f>VLOOKUP(A21,[7]LISTADHERENT!A$5:H$60,3,0)</f>
        <v>YIALA ALAIN OSCAR</v>
      </c>
      <c r="D21" s="7">
        <f>IF(E21="ECHEC",0,VLOOKUP($A21,[6]HISTOOCT25!$A$6:$BB$47,15,0))</f>
        <v>200000</v>
      </c>
      <c r="E21" s="7" t="str">
        <f>VLOOKUP($A21,[6]HISTOOCT25!$A$6:$BB$47,9,0)</f>
        <v>ESPECES</v>
      </c>
      <c r="F21" s="7">
        <f>VLOOKUP($A21,[6]HISTOOCT25!$A$6:$BB$47,37,0)</f>
        <v>0</v>
      </c>
      <c r="G21" s="7">
        <f>VLOOKUP($A21,[6]HISTOOCT25!$A$6:$BB$47,40,0)</f>
        <v>0</v>
      </c>
      <c r="H21" s="7" t="str">
        <f>IF(G21=0,"",VLOOKUP($A21,[6]HISTOFEV25!$A$6:$AV$47,42,0))</f>
        <v/>
      </c>
      <c r="I21" s="7">
        <f>VLOOKUP($A21,[6]HISTOOCT25!$A$6:$BB$47,41,0)</f>
        <v>0</v>
      </c>
      <c r="J21" s="7">
        <f>+TONTSEPT25!F21+TONTSEPT25!G21</f>
        <v>0</v>
      </c>
      <c r="K21" s="7">
        <f>VLOOKUP($A21,[6]HISTOOCT25!$A$6:$BB$47,18,0)</f>
        <v>0</v>
      </c>
      <c r="L21" s="7" t="str">
        <f>IF(K21&lt;&gt;0,VLOOKUP($A21,[6]HISTOOCT25!$A$6:$BB$47,42,0),"ECHEC")</f>
        <v>ECHEC</v>
      </c>
      <c r="M21" s="7">
        <f>IF(P21&lt;&gt;0,VLOOKUP($A21,[6]HISTOOCT25!$A$6:$BB$47,32,0),"ECHEC")</f>
        <v>0</v>
      </c>
      <c r="N21" s="7">
        <f>VLOOKUP($A21,[6]HISTOOCT25!$A$6:$BB$47,33,0)</f>
        <v>0</v>
      </c>
      <c r="O21" s="7">
        <f t="shared" si="0"/>
        <v>1185000</v>
      </c>
      <c r="P21" s="7">
        <f>VLOOKUP($A21,[6]HISTOOCT25!$A$6:$BB$47,31,0)</f>
        <v>15000</v>
      </c>
    </row>
    <row r="22" spans="1:16" x14ac:dyDescent="0.35">
      <c r="A22" s="1" t="s">
        <v>61</v>
      </c>
      <c r="B22" s="7">
        <f>IF(D22=0,0,VLOOKUP($A22,[6]HISTOOCT25!$A$6:$BQ$47,14,0))</f>
        <v>1</v>
      </c>
      <c r="C22" s="1" t="str">
        <f>VLOOKUP(A22,[7]LISTADHERENT!A$5:H$60,3,0)</f>
        <v>YOUMBI EMMANUEL</v>
      </c>
      <c r="D22" s="7">
        <f>IF(E22="ECHEC",0,VLOOKUP($A22,[6]HISTOOCT25!$A$6:$BB$47,15,0))</f>
        <v>100000</v>
      </c>
      <c r="E22" s="7" t="str">
        <f>VLOOKUP($A22,[6]HISTOOCT25!$A$6:$BB$47,9,0)</f>
        <v>BANQUE</v>
      </c>
      <c r="F22" s="7">
        <f>VLOOKUP($A22,[6]HISTOOCT25!$A$6:$BB$47,37,0)</f>
        <v>0</v>
      </c>
      <c r="G22" s="7">
        <f>VLOOKUP($A22,[6]HISTOOCT25!$A$6:$BB$47,40,0)</f>
        <v>0</v>
      </c>
      <c r="H22" s="7" t="str">
        <f>IF(G22=0,"",VLOOKUP($A22,[6]HISTOFEV25!$A$6:$AV$47,42,0))</f>
        <v/>
      </c>
      <c r="I22" s="7">
        <f>VLOOKUP($A22,[6]HISTOOCT25!$A$6:$BB$47,41,0)</f>
        <v>0</v>
      </c>
      <c r="J22" s="7">
        <f>+TONTSEPT25!F22+TONTSEPT25!G22</f>
        <v>0</v>
      </c>
      <c r="K22" s="7">
        <f>VLOOKUP($A22,[6]HISTOOCT25!$A$6:$BB$47,18,0)</f>
        <v>0</v>
      </c>
      <c r="L22" s="7" t="str">
        <f>IF(K22&lt;&gt;0,VLOOKUP($A22,[6]HISTOOCT25!$A$6:$BB$47,42,0),"ECHEC")</f>
        <v>ECHEC</v>
      </c>
      <c r="M22" s="7" t="str">
        <f>IF(P22&lt;&gt;0,VLOOKUP($A22,[6]HISTOOCT25!$A$6:$BB$47,32,0),"ECHEC")</f>
        <v>ECHEC</v>
      </c>
      <c r="N22" s="7">
        <f>VLOOKUP($A22,[6]HISTOOCT25!$A$6:$BB$47,33,0)</f>
        <v>0</v>
      </c>
      <c r="O22" s="7">
        <f t="shared" si="0"/>
        <v>0</v>
      </c>
      <c r="P22" s="7">
        <f>VLOOKUP($A22,[6]HISTOOCT25!$A$6:$BB$47,31,0)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23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2300000</v>
      </c>
      <c r="E25" s="8">
        <f t="shared" ref="E25:P25" si="1">SUM(E6:E22)</f>
        <v>0</v>
      </c>
      <c r="F25" s="8">
        <f t="shared" si="1"/>
        <v>1159500</v>
      </c>
      <c r="G25" s="8">
        <f>SUM(G6:G22)</f>
        <v>32500</v>
      </c>
      <c r="H25" s="8">
        <f t="shared" si="1"/>
        <v>0</v>
      </c>
      <c r="I25" s="8">
        <f t="shared" si="1"/>
        <v>0</v>
      </c>
      <c r="J25" s="8">
        <f t="shared" si="1"/>
        <v>1093000</v>
      </c>
      <c r="K25" s="8">
        <f t="shared" si="1"/>
        <v>1093000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2370000</v>
      </c>
      <c r="P25" s="8">
        <f t="shared" si="1"/>
        <v>30000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3194500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500000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500000</v>
      </c>
      <c r="I28" s="8"/>
      <c r="K28" s="8" t="s">
        <v>34</v>
      </c>
      <c r="L28" s="8">
        <f>C3*COUNTIF(O6:O22,"&gt;0")</f>
        <v>2400000</v>
      </c>
      <c r="M28" s="8">
        <f>D3</f>
        <v>2</v>
      </c>
      <c r="N28" s="8">
        <f>COUNTIF(O6:O21,"&gt;0")</f>
        <v>2</v>
      </c>
      <c r="O28" s="8"/>
    </row>
    <row r="29" spans="1:16" s="2" customFormat="1" ht="17.5" x14ac:dyDescent="0.35">
      <c r="C29" s="8" t="s">
        <v>7</v>
      </c>
      <c r="D29" s="8">
        <f>SUMIFS(D6:D22,E6:E22,"BANQUE")</f>
        <v>1800000</v>
      </c>
      <c r="E29" s="8">
        <f>SUMIFS(K6:K22,L6:L22,"BANQUE")</f>
        <v>889500</v>
      </c>
      <c r="F29" s="8">
        <f>SUMIFS(F6:F22,H6:H22,"BANQUE")</f>
        <v>759500</v>
      </c>
      <c r="G29" s="8">
        <f>SUMIFS(O6:O22,M6:M22,"BANQUE")</f>
        <v>0</v>
      </c>
      <c r="H29" s="8">
        <f>D29+E29-F29-G29</f>
        <v>1930000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1045500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D28+D29+200000</f>
        <v>2500000</v>
      </c>
      <c r="E31" s="8">
        <f>E28+E29</f>
        <v>889500</v>
      </c>
      <c r="F31" s="8">
        <f>F28+F29</f>
        <v>759500</v>
      </c>
      <c r="G31" s="8">
        <f t="shared" ref="G31:H31" si="2">G28+G29</f>
        <v>0</v>
      </c>
      <c r="H31" s="8">
        <f t="shared" si="2"/>
        <v>2430000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-114000</v>
      </c>
      <c r="M32"/>
      <c r="N32" s="8">
        <f>L32</f>
        <v>-114000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0</v>
      </c>
      <c r="N34" s="8">
        <f>L34+TONTFEV25!N34</f>
        <v>0</v>
      </c>
      <c r="O34" s="8" t="s">
        <v>28</v>
      </c>
    </row>
    <row r="35" spans="1:15" ht="17.5" x14ac:dyDescent="0.35">
      <c r="K35" s="8" t="s">
        <v>36</v>
      </c>
      <c r="L35" s="8">
        <f>J25-E31</f>
        <v>203500</v>
      </c>
      <c r="N35" s="8">
        <f>L35+TONTFEV25!N35</f>
        <v>203500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060-CC8C-417B-9855-AED0CBD2D116}">
  <dimension ref="A1:P37"/>
  <sheetViews>
    <sheetView workbookViewId="0">
      <pane xSplit="3" ySplit="5" topLeftCell="D6" activePane="bottomRight" state="frozen"/>
      <selection activeCell="C4" sqref="C4:L4"/>
      <selection pane="topRight" activeCell="C4" sqref="C4:L4"/>
      <selection pane="bottomLeft" activeCell="C4" sqref="C4:L4"/>
      <selection pane="bottomRight" activeCell="C7" sqref="C7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2</v>
      </c>
      <c r="E3" s="1"/>
      <c r="L3" s="1"/>
      <c r="M3" s="1"/>
    </row>
    <row r="4" spans="1:16" s="12" customFormat="1" ht="17.5" x14ac:dyDescent="0.35">
      <c r="B4" s="13"/>
      <c r="C4" s="37">
        <v>45974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IF(D6=0,0,VLOOKUP($A6,[6]HISTONOV25!$A$6:$BQ$47,14,0))</f>
        <v>1</v>
      </c>
      <c r="C6" s="1" t="str">
        <f>VLOOKUP(A6,[7]LISTADHERENT!A$5:H$60,3,0)</f>
        <v>ASELBY</v>
      </c>
      <c r="D6" s="7">
        <f>IF(E6="ECHEC",0,VLOOKUP($A6,[6]HISTONOV25!$A$6:$BB$47,15,0))</f>
        <v>100000</v>
      </c>
      <c r="E6" s="7" t="str">
        <f>VLOOKUP($A6,[6]HISTONOV25!$A$6:$BB$47,9,0)</f>
        <v>BANQUE</v>
      </c>
      <c r="F6" s="7">
        <f>VLOOKUP($A6,[6]HISTONOV25!$A$6:$BB$47,37,0)</f>
        <v>0</v>
      </c>
      <c r="G6" s="7">
        <f>VLOOKUP($A6,[6]HISTONOV25!$A$6:$BB$47,40,0)</f>
        <v>0</v>
      </c>
      <c r="H6" s="7" t="str">
        <f>IF(G6=0,"",VLOOKUP($A6,[6]HISTOFEV25!$A$6:$AV$47,42,0))</f>
        <v/>
      </c>
      <c r="I6" s="7">
        <f>VLOOKUP($A6,[6]HISTONOV25!$A$6:$BB$47,41,0)</f>
        <v>0</v>
      </c>
      <c r="J6" s="7">
        <f>+TONTOCT25!F6+TONTOCT25!G6</f>
        <v>0</v>
      </c>
      <c r="K6" s="7">
        <f>VLOOKUP($A6,[6]HISTONOV25!$A$6:$BB$47,18,0)</f>
        <v>0</v>
      </c>
      <c r="L6" s="7" t="str">
        <f>IF(K6&lt;&gt;0,VLOOKUP($A6,[6]HISTONOV25!$A$6:$BB$47,42,0),"ECHEC")</f>
        <v>ECHEC</v>
      </c>
      <c r="M6" s="7" t="str">
        <f>IF(P6&lt;&gt;0,VLOOKUP($A6,[6]HISTONOV25!$A$6:$BB$47,32,0),"ECHEC")</f>
        <v>ECHEC</v>
      </c>
      <c r="N6" s="7">
        <f>VLOOKUP($A6,[6]HISTONOV25!$A$6:$BB$47,33,0)</f>
        <v>0</v>
      </c>
      <c r="O6" s="7">
        <f t="shared" ref="O6:O22" si="0">IF(P6=0,0,($C$3-P6))</f>
        <v>0</v>
      </c>
      <c r="P6" s="7">
        <f>VLOOKUP($A6,[6]HISTONOV25!$A$6:$BB$47,31,0)</f>
        <v>0</v>
      </c>
    </row>
    <row r="7" spans="1:16" x14ac:dyDescent="0.35">
      <c r="A7" s="1" t="s">
        <v>47</v>
      </c>
      <c r="B7" s="7">
        <f>IF(D7=0,0,VLOOKUP($A7,[6]HISTONOV25!$A$6:$BQ$47,14,0))</f>
        <v>2</v>
      </c>
      <c r="C7" s="1" t="str">
        <f>VLOOKUP(A7,[7]LISTADHERENT!A$5:H$60,3,0)</f>
        <v xml:space="preserve">DJOMO JEAN PAUL </v>
      </c>
      <c r="D7" s="7">
        <f>IF(E7="ECHEC",0,VLOOKUP($A7,[6]HISTONOV25!$A$6:$BB$47,15,0))</f>
        <v>200000</v>
      </c>
      <c r="E7" s="7" t="str">
        <f>VLOOKUP($A7,[6]HISTONOV25!$A$6:$BB$47,9,0)</f>
        <v>BANQUE</v>
      </c>
      <c r="F7" s="7">
        <f>VLOOKUP($A7,[6]HISTONOV25!$A$6:$BB$47,37,0)</f>
        <v>200000</v>
      </c>
      <c r="G7" s="7">
        <f>VLOOKUP($A7,[6]HISTONOV25!$A$6:$BB$47,40,0)</f>
        <v>7000</v>
      </c>
      <c r="H7" s="7" t="str">
        <f>IF(G7=0,"",VLOOKUP($A7,[6]HISTOFEV25!$A$6:$AV$47,42,0))</f>
        <v>BANQUE</v>
      </c>
      <c r="I7" s="7">
        <f>VLOOKUP($A7,[6]HISTONOV25!$A$6:$BB$47,41,0)</f>
        <v>0</v>
      </c>
      <c r="J7" s="7">
        <f>+TONTOCT25!F7+TONTOCT25!G7</f>
        <v>204000</v>
      </c>
      <c r="K7" s="7">
        <f>VLOOKUP($A7,[6]HISTONOV25!$A$6:$BB$47,18,0)</f>
        <v>204000</v>
      </c>
      <c r="L7" s="7" t="str">
        <f>IF(K7&lt;&gt;0,VLOOKUP($A7,[6]HISTONOV25!$A$6:$BB$47,42,0),"ECHEC")</f>
        <v>BANQUE</v>
      </c>
      <c r="M7" s="7" t="str">
        <f>IF(P7&lt;&gt;0,VLOOKUP($A7,[6]HISTONOV25!$A$6:$BB$47,32,0),"ECHEC")</f>
        <v>ECHEC</v>
      </c>
      <c r="N7" s="7">
        <f>VLOOKUP($A7,[6]HISTONOV25!$A$6:$BB$47,33,0)</f>
        <v>0</v>
      </c>
      <c r="O7" s="7">
        <f t="shared" si="0"/>
        <v>0</v>
      </c>
      <c r="P7" s="7">
        <f>VLOOKUP($A7,[6]HISTONOV25!$A$6:$BB$47,31,0)</f>
        <v>0</v>
      </c>
    </row>
    <row r="8" spans="1:16" x14ac:dyDescent="0.35">
      <c r="A8" s="1" t="s">
        <v>60</v>
      </c>
      <c r="B8" s="7">
        <f>IF(D8=0,0,VLOOKUP($A8,[6]HISTONOV25!$A$6:$BQ$47,14,0))</f>
        <v>1</v>
      </c>
      <c r="C8" s="1" t="str">
        <f>VLOOKUP(A8,[7]LISTADHERENT!A$5:H$60,3,0)</f>
        <v>DJOUKWE NANGUEN GUY BLAISE</v>
      </c>
      <c r="D8" s="7">
        <f>IF(E8="ECHEC",0,VLOOKUP($A8,[6]HISTONOV25!$A$6:$BB$47,15,0))</f>
        <v>100000</v>
      </c>
      <c r="E8" s="7" t="str">
        <f>VLOOKUP($A8,[6]HISTONOV25!$A$6:$BB$47,9,0)</f>
        <v>BANQUE</v>
      </c>
      <c r="F8" s="7">
        <f>VLOOKUP($A8,[6]HISTONOV25!$A$6:$BB$47,37,0)</f>
        <v>165500</v>
      </c>
      <c r="G8" s="7">
        <f>VLOOKUP($A8,[6]HISTONOV25!$A$6:$BB$47,40,0)</f>
        <v>3000</v>
      </c>
      <c r="H8" s="7" t="str">
        <f>IF(G8=0,"",VLOOKUP($A8,[6]HISTOFEV25!$A$6:$AV$47,42,0))</f>
        <v>BANQUE</v>
      </c>
      <c r="I8" s="7">
        <f>VLOOKUP($A8,[6]HISTONOV25!$A$6:$BB$47,41,0)</f>
        <v>0</v>
      </c>
      <c r="J8" s="7">
        <f>+TONTOCT25!F8+TONTOCT25!G8</f>
        <v>165500</v>
      </c>
      <c r="K8" s="7">
        <f>VLOOKUP($A8,[6]HISTONOV25!$A$6:$BB$47,18,0)</f>
        <v>165500</v>
      </c>
      <c r="L8" s="7" t="str">
        <f>IF(K8&lt;&gt;0,VLOOKUP($A8,[6]HISTONOV25!$A$6:$BB$47,42,0),"ECHEC")</f>
        <v>BANQUE</v>
      </c>
      <c r="M8" s="7" t="str">
        <f>IF(P8&lt;&gt;0,VLOOKUP($A8,[6]HISTONOV25!$A$6:$BB$47,32,0),"ECHEC")</f>
        <v>ECHEC</v>
      </c>
      <c r="N8" s="7">
        <f>VLOOKUP($A8,[6]HISTONOV25!$A$6:$BB$47,33,0)</f>
        <v>0</v>
      </c>
      <c r="O8" s="7">
        <f t="shared" si="0"/>
        <v>0</v>
      </c>
      <c r="P8" s="7">
        <f>VLOOKUP($A8,[6]HISTONOV25!$A$6:$BB$47,31,0)</f>
        <v>0</v>
      </c>
    </row>
    <row r="9" spans="1:16" x14ac:dyDescent="0.35">
      <c r="A9" s="1" t="s">
        <v>20</v>
      </c>
      <c r="B9" s="7">
        <f>IF(D9=0,0,VLOOKUP($A9,[6]HISTONOV25!$A$6:$BQ$47,14,0))</f>
        <v>2</v>
      </c>
      <c r="C9" s="1" t="str">
        <f>VLOOKUP(A9,[7]LISTADHERENT!A$5:H$60,3,0)</f>
        <v>DJUOMBESSY ANTOINE</v>
      </c>
      <c r="D9" s="7">
        <f>IF(E9="ECHEC",0,VLOOKUP($A9,[6]HISTONOV25!$A$6:$BB$47,15,0))</f>
        <v>200000</v>
      </c>
      <c r="E9" s="7" t="str">
        <f>VLOOKUP($A9,[6]HISTONOV25!$A$6:$BB$47,9,0)</f>
        <v>BANQUE</v>
      </c>
      <c r="F9" s="7">
        <f>VLOOKUP($A9,[6]HISTONOV25!$A$6:$BB$47,37,0)</f>
        <v>100000</v>
      </c>
      <c r="G9" s="7">
        <f>VLOOKUP($A9,[6]HISTONOV25!$A$6:$BB$47,40,0)</f>
        <v>1500</v>
      </c>
      <c r="H9" s="7">
        <f>IF(G9=0,"",VLOOKUP($A9,[6]HISTOFEV25!$A$6:$AV$47,42,0))</f>
        <v>0</v>
      </c>
      <c r="I9" s="7">
        <f>VLOOKUP($A9,[6]HISTONOV25!$A$6:$BB$47,41,0)</f>
        <v>0</v>
      </c>
      <c r="J9" s="7">
        <f>+TONTOCT25!F9+TONTOCT25!G9</f>
        <v>0</v>
      </c>
      <c r="K9" s="7">
        <f>VLOOKUP($A9,[6]HISTONOV25!$A$6:$BB$47,18,0)</f>
        <v>0</v>
      </c>
      <c r="L9" s="7" t="str">
        <f>IF(K9&lt;&gt;0,VLOOKUP($A9,[6]HISTONOV25!$A$6:$BB$47,42,0),"ECHEC")</f>
        <v>ECHEC</v>
      </c>
      <c r="M9" s="7" t="str">
        <f>IF(P9&lt;&gt;0,VLOOKUP($A9,[6]HISTONOV25!$A$6:$BB$47,32,0),"ECHEC")</f>
        <v>ECHEC</v>
      </c>
      <c r="N9" s="7">
        <f>VLOOKUP($A9,[6]HISTONOV25!$A$6:$BB$47,33,0)</f>
        <v>0</v>
      </c>
      <c r="O9" s="7">
        <f t="shared" si="0"/>
        <v>0</v>
      </c>
      <c r="P9" s="7">
        <f>VLOOKUP($A9,[6]HISTONOV25!$A$6:$BB$47,31,0)</f>
        <v>0</v>
      </c>
    </row>
    <row r="10" spans="1:16" x14ac:dyDescent="0.35">
      <c r="A10" s="1" t="s">
        <v>62</v>
      </c>
      <c r="B10" s="7">
        <f>IF(D10=0,0,VLOOKUP($A10,[6]HISTONOV25!$A$6:$BQ$47,14,0))</f>
        <v>1</v>
      </c>
      <c r="C10" s="1" t="str">
        <f>VLOOKUP(A10,[7]LISTADHERENT!A$5:H$60,3,0)</f>
        <v>FAMPOU PAUL</v>
      </c>
      <c r="D10" s="7">
        <f>IF(E10="ECHEC",0,VLOOKUP($A10,[6]HISTONOV25!$A$6:$BB$47,15,0))</f>
        <v>100000</v>
      </c>
      <c r="E10" s="7" t="str">
        <f>VLOOKUP($A10,[6]HISTONOV25!$A$6:$BB$47,9,0)</f>
        <v>BANQUE</v>
      </c>
      <c r="F10" s="7">
        <f>VLOOKUP($A10,[6]HISTONOV25!$A$6:$BB$47,37,0)</f>
        <v>200000</v>
      </c>
      <c r="G10" s="7">
        <f>VLOOKUP($A10,[6]HISTONOV25!$A$6:$BB$47,40,0)</f>
        <v>3000</v>
      </c>
      <c r="H10" s="7">
        <f>IF(G10=0,"",VLOOKUP($A10,[6]HISTOFEV25!$A$6:$AV$47,42,0))</f>
        <v>0</v>
      </c>
      <c r="I10" s="7">
        <f>VLOOKUP($A10,[6]HISTONOV25!$A$6:$BB$47,41,0)</f>
        <v>0</v>
      </c>
      <c r="J10" s="7">
        <f>+TONTOCT25!F10+TONTOCT25!G10</f>
        <v>0</v>
      </c>
      <c r="K10" s="7">
        <f>VLOOKUP($A10,[6]HISTONOV25!$A$6:$BB$47,18,0)</f>
        <v>0</v>
      </c>
      <c r="L10" s="7" t="str">
        <f>IF(K10&lt;&gt;0,VLOOKUP($A10,[6]HISTONOV25!$A$6:$BB$47,42,0),"ECHEC")</f>
        <v>ECHEC</v>
      </c>
      <c r="M10" s="7" t="str">
        <f>IF(P10&lt;&gt;0,VLOOKUP($A10,[6]HISTONOV25!$A$6:$BB$47,32,0),"ECHEC")</f>
        <v>ECHEC</v>
      </c>
      <c r="N10" s="7">
        <f>VLOOKUP($A10,[6]HISTONOV25!$A$6:$BB$47,33,0)</f>
        <v>0</v>
      </c>
      <c r="O10" s="7">
        <f t="shared" si="0"/>
        <v>0</v>
      </c>
      <c r="P10" s="7">
        <f>VLOOKUP($A10,[6]HISTONOV25!$A$6:$BB$47,31,0)</f>
        <v>0</v>
      </c>
    </row>
    <row r="11" spans="1:16" x14ac:dyDescent="0.35">
      <c r="A11" s="1" t="s">
        <v>21</v>
      </c>
      <c r="B11" s="7">
        <f>IF(D11=0,0,VLOOKUP($A11,[6]HISTONOV25!$A$6:$BQ$47,14,0))</f>
        <v>1</v>
      </c>
      <c r="C11" s="1" t="str">
        <f>VLOOKUP(A11,[7]LISTADHERENT!A$5:H$60,3,0)</f>
        <v>HOTCHO BENJAMIN</v>
      </c>
      <c r="D11" s="7">
        <f>IF(E11="ECHEC",0,VLOOKUP($A11,[6]HISTONOV25!$A$6:$BB$47,15,0))</f>
        <v>100000</v>
      </c>
      <c r="E11" s="7" t="str">
        <f>VLOOKUP($A11,[6]HISTONOV25!$A$6:$BB$47,9,0)</f>
        <v>BANQUE</v>
      </c>
      <c r="F11" s="7">
        <f>VLOOKUP($A11,[6]HISTONOV25!$A$6:$BB$47,37,0)</f>
        <v>200000</v>
      </c>
      <c r="G11" s="7">
        <f>VLOOKUP($A11,[6]HISTONOV25!$A$6:$BB$47,40,0)</f>
        <v>3000</v>
      </c>
      <c r="H11" s="7">
        <f>IF(G11=0,"",VLOOKUP($A11,[6]HISTOFEV25!$A$6:$AV$47,42,0))</f>
        <v>0</v>
      </c>
      <c r="I11" s="7">
        <f>VLOOKUP($A11,[6]HISTONOV25!$A$6:$BB$47,41,0)</f>
        <v>0</v>
      </c>
      <c r="J11" s="7">
        <f>+TONTOCT25!F11+TONTOCT25!G11</f>
        <v>0</v>
      </c>
      <c r="K11" s="7">
        <f>VLOOKUP($A11,[6]HISTONOV25!$A$6:$BB$47,18,0)</f>
        <v>0</v>
      </c>
      <c r="L11" s="7" t="str">
        <f>IF(K11&lt;&gt;0,VLOOKUP($A11,[6]HISTONOV25!$A$6:$BB$47,42,0),"ECHEC")</f>
        <v>ECHEC</v>
      </c>
      <c r="M11" s="7" t="str">
        <f>IF(P11&lt;&gt;0,VLOOKUP($A11,[6]HISTONOV25!$A$6:$BB$47,32,0),"ECHEC")</f>
        <v>ECHEC</v>
      </c>
      <c r="N11" s="7">
        <f>VLOOKUP($A11,[6]HISTONOV25!$A$6:$BB$47,33,0)</f>
        <v>0</v>
      </c>
      <c r="O11" s="7">
        <f t="shared" si="0"/>
        <v>0</v>
      </c>
      <c r="P11" s="7">
        <f>VLOOKUP($A11,[6]HISTONOV25!$A$6:$BB$47,31,0)</f>
        <v>0</v>
      </c>
    </row>
    <row r="12" spans="1:16" x14ac:dyDescent="0.35">
      <c r="A12" s="1" t="s">
        <v>26</v>
      </c>
      <c r="B12" s="7">
        <f>IF(D12=0,0,VLOOKUP($A12,[6]HISTONOV25!$A$6:$BQ$47,14,0))</f>
        <v>1</v>
      </c>
      <c r="C12" s="1" t="str">
        <f>VLOOKUP(A12,[7]LISTADHERENT!A$5:H$60,3,0)</f>
        <v>KOUAMOU MOISE</v>
      </c>
      <c r="D12" s="7">
        <f>IF(E12="ECHEC",0,VLOOKUP($A12,[6]HISTONOV25!$A$6:$BB$47,15,0))</f>
        <v>100000</v>
      </c>
      <c r="E12" s="7" t="str">
        <f>VLOOKUP($A12,[6]HISTONOV25!$A$6:$BB$47,9,0)</f>
        <v>ESPECES</v>
      </c>
      <c r="F12" s="7">
        <f>VLOOKUP($A12,[6]HISTONOV25!$A$6:$BB$47,37,0)</f>
        <v>207500</v>
      </c>
      <c r="G12" s="7">
        <f>VLOOKUP($A12,[6]HISTONOV25!$A$6:$BB$47,40,0)</f>
        <v>3000</v>
      </c>
      <c r="H12" s="7">
        <f>IF(G12=0,"",VLOOKUP($A12,[6]HISTOFEV25!$A$6:$AV$47,42,0))</f>
        <v>0</v>
      </c>
      <c r="I12" s="7">
        <f>VLOOKUP($A12,[6]HISTONOV25!$A$6:$BB$47,41,0)</f>
        <v>0</v>
      </c>
      <c r="J12" s="7">
        <f>+TONTOCT25!F12+TONTOCT25!G12</f>
        <v>102500</v>
      </c>
      <c r="K12" s="7">
        <f>VLOOKUP($A12,[6]HISTONOV25!$A$6:$BB$47,18,0)</f>
        <v>102500</v>
      </c>
      <c r="L12" s="7" t="str">
        <f>IF(K12&lt;&gt;0,VLOOKUP($A12,[6]HISTONOV25!$A$6:$BB$47,42,0),"ECHEC")</f>
        <v>BANQUE</v>
      </c>
      <c r="M12" s="7" t="str">
        <f>IF(P12&lt;&gt;0,VLOOKUP($A12,[6]HISTONOV25!$A$6:$BB$47,32,0),"ECHEC")</f>
        <v>ECHEC</v>
      </c>
      <c r="N12" s="7">
        <f>VLOOKUP($A12,[6]HISTONOV25!$A$6:$BB$47,33,0)</f>
        <v>0</v>
      </c>
      <c r="O12" s="7">
        <f t="shared" si="0"/>
        <v>0</v>
      </c>
      <c r="P12" s="7">
        <f>VLOOKUP($A12,[6]HISTONOV25!$A$6:$BB$47,31,0)</f>
        <v>0</v>
      </c>
    </row>
    <row r="13" spans="1:16" x14ac:dyDescent="0.35">
      <c r="A13" s="1" t="s">
        <v>8</v>
      </c>
      <c r="B13" s="7">
        <f>IF(D13=0,0,VLOOKUP($A13,[6]HISTONOV25!$A$6:$BQ$47,14,0))</f>
        <v>1</v>
      </c>
      <c r="C13" s="1" t="str">
        <f>VLOOKUP(A13,[7]LISTADHERENT!A$5:H$60,3,0)</f>
        <v>KOUATCHO MESSACK</v>
      </c>
      <c r="D13" s="7">
        <f>IF(E13="ECHEC",0,VLOOKUP($A13,[6]HISTONOV25!$A$6:$BB$47,15,0))</f>
        <v>100000</v>
      </c>
      <c r="E13" s="7" t="str">
        <f>VLOOKUP($A13,[6]HISTONOV25!$A$6:$BB$47,9,0)</f>
        <v>BANQUE</v>
      </c>
      <c r="F13" s="7">
        <f>VLOOKUP($A13,[6]HISTONOV25!$A$6:$BB$47,37,0)</f>
        <v>200000</v>
      </c>
      <c r="G13" s="7">
        <f>VLOOKUP($A13,[6]HISTONOV25!$A$6:$BB$47,40,0)</f>
        <v>8000</v>
      </c>
      <c r="H13" s="7" t="str">
        <f>IF(G13=0,"",VLOOKUP($A13,[6]HISTOFEV25!$A$6:$AV$47,42,0))</f>
        <v>BANQUE</v>
      </c>
      <c r="I13" s="7">
        <f>VLOOKUP($A13,[6]HISTONOV25!$A$6:$BB$47,41,0)</f>
        <v>0</v>
      </c>
      <c r="J13" s="7">
        <f>+TONTOCT25!F13+TONTOCT25!G13</f>
        <v>0</v>
      </c>
      <c r="K13" s="7">
        <f>VLOOKUP($A13,[6]HISTONOV25!$A$6:$BB$47,18,0)</f>
        <v>0</v>
      </c>
      <c r="L13" s="7" t="str">
        <f>IF(K13&lt;&gt;0,VLOOKUP($A13,[6]HISTONOV25!$A$6:$BB$47,42,0),"ECHEC")</f>
        <v>ECHEC</v>
      </c>
      <c r="M13" s="7" t="str">
        <f>IF(P13&lt;&gt;0,VLOOKUP($A13,[6]HISTONOV25!$A$6:$BB$47,32,0),"ECHEC")</f>
        <v>ECHEC</v>
      </c>
      <c r="N13" s="7">
        <f>VLOOKUP($A13,[6]HISTONOV25!$A$6:$BB$47,33,0)</f>
        <v>0</v>
      </c>
      <c r="O13" s="7">
        <f t="shared" si="0"/>
        <v>0</v>
      </c>
      <c r="P13" s="7">
        <f>VLOOKUP($A13,[6]HISTONOV25!$A$6:$BB$47,31,0)</f>
        <v>0</v>
      </c>
    </row>
    <row r="14" spans="1:16" x14ac:dyDescent="0.35">
      <c r="A14" s="1" t="s">
        <v>22</v>
      </c>
      <c r="B14" s="7">
        <f>IF(D14=0,0,VLOOKUP($A14,[6]HISTONOV25!$A$6:$BQ$47,14,0))</f>
        <v>2</v>
      </c>
      <c r="C14" s="1" t="str">
        <f>VLOOKUP(A14,[7]LISTADHERENT!A$5:H$60,3,0)</f>
        <v>MBOGNING TUGMA GUY</v>
      </c>
      <c r="D14" s="7">
        <f>IF(E14="ECHEC",0,VLOOKUP($A14,[6]HISTONOV25!$A$6:$BB$47,15,0))</f>
        <v>200000</v>
      </c>
      <c r="E14" s="7" t="str">
        <f>VLOOKUP($A14,[6]HISTONOV25!$A$6:$BB$47,9,0)</f>
        <v>BANQUE</v>
      </c>
      <c r="F14" s="7">
        <f>VLOOKUP($A14,[6]HISTONOV25!$A$6:$BB$47,37,0)</f>
        <v>144000</v>
      </c>
      <c r="G14" s="7">
        <f>VLOOKUP($A14,[6]HISTONOV25!$A$6:$BB$47,40,0)</f>
        <v>2000</v>
      </c>
      <c r="H14" s="7" t="str">
        <f>IF(G14=0,"",VLOOKUP($A14,[6]HISTOFEV25!$A$6:$AV$47,42,0))</f>
        <v>BANQUE</v>
      </c>
      <c r="I14" s="7">
        <f>VLOOKUP($A14,[6]HISTONOV25!$A$6:$BB$47,41,0)</f>
        <v>0</v>
      </c>
      <c r="J14" s="7">
        <f>+TONTOCT25!F14+TONTOCT25!G14</f>
        <v>205500</v>
      </c>
      <c r="K14" s="7">
        <f>VLOOKUP($A14,[6]HISTONOV25!$A$6:$BB$47,18,0)</f>
        <v>205500</v>
      </c>
      <c r="L14" s="7" t="str">
        <f>IF(K14&lt;&gt;0,VLOOKUP($A14,[6]HISTONOV25!$A$6:$BB$47,42,0),"ECHEC")</f>
        <v>BANQUE</v>
      </c>
      <c r="M14" s="7" t="str">
        <f>IF(P14&lt;&gt;0,VLOOKUP($A14,[6]HISTONOV25!$A$6:$BB$47,32,0),"ECHEC")</f>
        <v>ECHEC</v>
      </c>
      <c r="N14" s="7">
        <f>VLOOKUP($A14,[6]HISTONOV25!$A$6:$BB$47,33,0)</f>
        <v>0</v>
      </c>
      <c r="O14" s="7">
        <f t="shared" si="0"/>
        <v>0</v>
      </c>
      <c r="P14" s="7">
        <f>VLOOKUP($A14,[6]HISTONOV25!$A$6:$BB$47,31,0)</f>
        <v>0</v>
      </c>
    </row>
    <row r="15" spans="1:16" x14ac:dyDescent="0.35">
      <c r="A15" s="1" t="s">
        <v>9</v>
      </c>
      <c r="B15" s="7">
        <f>IF(D15=0,0,VLOOKUP($A15,[6]HISTONOV25!$A$6:$BQ$47,14,0))</f>
        <v>2</v>
      </c>
      <c r="C15" s="1" t="str">
        <f>VLOOKUP(A15,[7]LISTADHERENT!A$5:H$60,3,0)</f>
        <v>NDJOMO ETIENNE</v>
      </c>
      <c r="D15" s="7">
        <f>IF(E15="ECHEC",0,VLOOKUP($A15,[6]HISTONOV25!$A$6:$BB$47,15,0))</f>
        <v>200000</v>
      </c>
      <c r="E15" s="7" t="str">
        <f>VLOOKUP($A15,[6]HISTONOV25!$A$6:$BB$47,9,0)</f>
        <v>BANQUE</v>
      </c>
      <c r="F15" s="7">
        <f>VLOOKUP($A15,[6]HISTONOV25!$A$6:$BB$47,37,0)</f>
        <v>200000</v>
      </c>
      <c r="G15" s="7">
        <f>VLOOKUP($A15,[6]HISTONOV25!$A$6:$BB$47,40,0)</f>
        <v>3000</v>
      </c>
      <c r="H15" s="7" t="str">
        <f>IF(G15=0,"",VLOOKUP($A15,[6]HISTOFEV25!$A$6:$AV$47,42,0))</f>
        <v>BANQUE</v>
      </c>
      <c r="I15" s="7">
        <f>VLOOKUP($A15,[6]HISTONOV25!$A$6:$BB$47,41,0)</f>
        <v>0</v>
      </c>
      <c r="J15" s="7">
        <f>+TONTOCT25!F15+TONTOCT25!G15</f>
        <v>102500</v>
      </c>
      <c r="K15" s="7">
        <f>VLOOKUP($A15,[6]HISTONOV25!$A$6:$BB$47,18,0)</f>
        <v>102500</v>
      </c>
      <c r="L15" s="7" t="str">
        <f>IF(K15&lt;&gt;0,VLOOKUP($A15,[6]HISTONOV25!$A$6:$BB$47,42,0),"ECHEC")</f>
        <v>BANQUE</v>
      </c>
      <c r="M15" s="7">
        <f>IF(P15&lt;&gt;0,VLOOKUP($A15,[6]HISTONOV25!$A$6:$BB$47,32,0),"ECHEC")</f>
        <v>0</v>
      </c>
      <c r="N15" s="7">
        <f>VLOOKUP($A15,[6]HISTONOV25!$A$6:$BB$47,33,0)</f>
        <v>0</v>
      </c>
      <c r="O15" s="7">
        <f t="shared" si="0"/>
        <v>1190000</v>
      </c>
      <c r="P15" s="7">
        <f>VLOOKUP($A15,[6]HISTONOV25!$A$6:$BB$47,31,0)</f>
        <v>10000</v>
      </c>
    </row>
    <row r="16" spans="1:16" x14ac:dyDescent="0.35">
      <c r="A16" s="1" t="s">
        <v>10</v>
      </c>
      <c r="B16" s="7">
        <f>IF(D16=0,0,VLOOKUP($A16,[6]HISTONOV25!$A$6:$BQ$47,14,0))</f>
        <v>1</v>
      </c>
      <c r="C16" s="1" t="str">
        <f>VLOOKUP(A16,[7]LISTADHERENT!A$5:H$60,3,0)</f>
        <v>NGONDIEP CLAUDE</v>
      </c>
      <c r="D16" s="7">
        <f>IF(E16="ECHEC",0,VLOOKUP($A16,[6]HISTONOV25!$A$6:$BB$47,15,0))</f>
        <v>100000</v>
      </c>
      <c r="E16" s="7" t="str">
        <f>VLOOKUP($A16,[6]HISTONOV25!$A$6:$BB$47,9,0)</f>
        <v>BANQUE</v>
      </c>
      <c r="F16" s="7">
        <f>VLOOKUP($A16,[6]HISTONOV25!$A$6:$BB$47,37,0)</f>
        <v>200000</v>
      </c>
      <c r="G16" s="7">
        <f>VLOOKUP($A16,[6]HISTONOV25!$A$6:$BB$47,40,0)</f>
        <v>3000</v>
      </c>
      <c r="H16" s="7">
        <f>IF(G16=0,"",VLOOKUP($A16,[6]HISTOFEV25!$A$6:$AV$47,42,0))</f>
        <v>0</v>
      </c>
      <c r="I16" s="7">
        <f>VLOOKUP($A16,[6]HISTONOV25!$A$6:$BB$47,41,0)</f>
        <v>0</v>
      </c>
      <c r="J16" s="7">
        <f>+TONTOCT25!F16+TONTOCT25!G16</f>
        <v>0</v>
      </c>
      <c r="K16" s="7">
        <f>VLOOKUP($A16,[6]HISTONOV25!$A$6:$BB$47,18,0)</f>
        <v>0</v>
      </c>
      <c r="L16" s="7" t="str">
        <f>IF(K16&lt;&gt;0,VLOOKUP($A16,[6]HISTONOV25!$A$6:$BB$47,42,0),"ECHEC")</f>
        <v>ECHEC</v>
      </c>
      <c r="M16" s="7" t="str">
        <f>IF(P16&lt;&gt;0,VLOOKUP($A16,[6]HISTONOV25!$A$6:$BB$47,32,0),"ECHEC")</f>
        <v>ECHEC</v>
      </c>
      <c r="N16" s="7">
        <f>VLOOKUP($A16,[6]HISTONOV25!$A$6:$BB$47,33,0)</f>
        <v>0</v>
      </c>
      <c r="O16" s="7">
        <f t="shared" si="0"/>
        <v>0</v>
      </c>
      <c r="P16" s="7">
        <f>VLOOKUP($A16,[6]HISTONOV25!$A$6:$BB$47,31,0)</f>
        <v>0</v>
      </c>
    </row>
    <row r="17" spans="1:16" x14ac:dyDescent="0.35">
      <c r="A17" s="1" t="s">
        <v>43</v>
      </c>
      <c r="B17" s="7">
        <f>IF(D17=0,0,VLOOKUP($A17,[6]HISTONOV25!$A$6:$BQ$47,14,0))</f>
        <v>2</v>
      </c>
      <c r="C17" s="1" t="str">
        <f>VLOOKUP(A17,[7]LISTADHERENT!A$5:H$60,3,0)</f>
        <v>NGUIEMEGNI MATHIEU BLAISE</v>
      </c>
      <c r="D17" s="7">
        <f>IF(E17="ECHEC",0,VLOOKUP($A17,[6]HISTONOV25!$A$6:$BB$47,15,0))</f>
        <v>200000</v>
      </c>
      <c r="E17" s="7" t="str">
        <f>VLOOKUP($A17,[6]HISTONOV25!$A$6:$BB$47,9,0)</f>
        <v>BANQUE</v>
      </c>
      <c r="F17" s="7">
        <f>VLOOKUP($A17,[6]HISTONOV25!$A$6:$BB$47,37,0)</f>
        <v>200000</v>
      </c>
      <c r="G17" s="7">
        <f>VLOOKUP($A17,[6]HISTONOV25!$A$6:$BB$47,40,0)</f>
        <v>6500</v>
      </c>
      <c r="H17" s="7" t="str">
        <f>IF(G17=0,"",VLOOKUP($A17,[6]HISTOFEV25!$A$6:$AV$47,42,0))</f>
        <v>BANQUE</v>
      </c>
      <c r="I17" s="7">
        <f>VLOOKUP($A17,[6]HISTONOV25!$A$6:$BB$47,41,0)</f>
        <v>0</v>
      </c>
      <c r="J17" s="7">
        <f>+TONTOCT25!F17+TONTOCT25!G17</f>
        <v>102500</v>
      </c>
      <c r="K17" s="7">
        <f>VLOOKUP($A17,[6]HISTONOV25!$A$6:$BB$47,18,0)</f>
        <v>102500</v>
      </c>
      <c r="L17" s="7" t="str">
        <f>IF(K17&lt;&gt;0,VLOOKUP($A17,[6]HISTONOV25!$A$6:$BB$47,42,0),"ECHEC")</f>
        <v>BANQUE</v>
      </c>
      <c r="M17" s="7" t="str">
        <f>IF(P17&lt;&gt;0,VLOOKUP($A17,[6]HISTONOV25!$A$6:$BB$47,32,0),"ECHEC")</f>
        <v>ECHEC</v>
      </c>
      <c r="N17" s="7">
        <f>VLOOKUP($A17,[6]HISTONOV25!$A$6:$BB$47,33,0)</f>
        <v>0</v>
      </c>
      <c r="O17" s="7">
        <f t="shared" si="0"/>
        <v>0</v>
      </c>
      <c r="P17" s="7">
        <f>VLOOKUP($A17,[6]HISTONOV25!$A$6:$BB$47,31,0)</f>
        <v>0</v>
      </c>
    </row>
    <row r="18" spans="1:16" x14ac:dyDescent="0.35">
      <c r="A18" s="1" t="s">
        <v>54</v>
      </c>
      <c r="B18" s="7">
        <f>IF(D18=0,0,VLOOKUP($A18,[6]HISTONOV25!$A$6:$BQ$47,14,0))</f>
        <v>2</v>
      </c>
      <c r="C18" s="1" t="str">
        <f>VLOOKUP(A18,[7]LISTADHERENT!A$5:H$60,3,0)</f>
        <v>SIME BRICE</v>
      </c>
      <c r="D18" s="7">
        <f>IF(E18="ECHEC",0,VLOOKUP($A18,[6]HISTONOV25!$A$6:$BB$47,15,0))</f>
        <v>200000</v>
      </c>
      <c r="E18" s="7" t="str">
        <f>VLOOKUP($A18,[6]HISTONOV25!$A$6:$BB$47,9,0)</f>
        <v>BANQUE</v>
      </c>
      <c r="F18" s="7">
        <f>VLOOKUP($A18,[6]HISTONOV25!$A$6:$BB$47,37,0)</f>
        <v>200000</v>
      </c>
      <c r="G18" s="7">
        <f>VLOOKUP($A18,[6]HISTONOV25!$A$6:$BB$47,40,0)</f>
        <v>3000</v>
      </c>
      <c r="H18" s="7">
        <f>IF(G18=0,"",VLOOKUP($A18,[6]HISTOFEV25!$A$6:$AV$47,42,0))</f>
        <v>0</v>
      </c>
      <c r="I18" s="7">
        <f>VLOOKUP($A18,[6]HISTONOV25!$A$6:$BB$47,41,0)</f>
        <v>0</v>
      </c>
      <c r="J18" s="7">
        <f>+TONTOCT25!F18+TONTOCT25!G18</f>
        <v>207000</v>
      </c>
      <c r="K18" s="7">
        <f>VLOOKUP($A18,[6]HISTONOV25!$A$6:$BB$47,18,0)</f>
        <v>207000</v>
      </c>
      <c r="L18" s="7" t="str">
        <f>IF(K18&lt;&gt;0,VLOOKUP($A18,[6]HISTONOV25!$A$6:$BB$47,42,0),"ECHEC")</f>
        <v>BANQUE</v>
      </c>
      <c r="M18" s="7" t="str">
        <f>IF(P18&lt;&gt;0,VLOOKUP($A18,[6]HISTONOV25!$A$6:$BB$47,32,0),"ECHEC")</f>
        <v>ECHEC</v>
      </c>
      <c r="N18" s="7">
        <f>VLOOKUP($A18,[6]HISTONOV25!$A$6:$BB$47,33,0)</f>
        <v>0</v>
      </c>
      <c r="O18" s="7">
        <f t="shared" si="0"/>
        <v>0</v>
      </c>
      <c r="P18" s="7">
        <f>VLOOKUP($A18,[6]HISTONOV25!$A$6:$BB$47,31,0)</f>
        <v>0</v>
      </c>
    </row>
    <row r="19" spans="1:16" x14ac:dyDescent="0.35">
      <c r="A19" s="1" t="s">
        <v>55</v>
      </c>
      <c r="B19" s="7">
        <f>IF(D19=0,0,VLOOKUP($A19,[6]HISTONOV25!$A$6:$BQ$47,14,0))</f>
        <v>1</v>
      </c>
      <c r="C19" s="1" t="str">
        <f>VLOOKUP(A19,[7]LISTADHERENT!A$5:H$60,3,0)</f>
        <v>TCHOUATEU AUGUSTIN</v>
      </c>
      <c r="D19" s="7">
        <f>IF(E19="ECHEC",0,VLOOKUP($A19,[6]HISTONOV25!$A$6:$BB$47,15,0))</f>
        <v>100000</v>
      </c>
      <c r="E19" s="7" t="str">
        <f>VLOOKUP($A19,[6]HISTONOV25!$A$6:$BB$47,9,0)</f>
        <v>BANQUE</v>
      </c>
      <c r="F19" s="7">
        <f>VLOOKUP($A19,[6]HISTONOV25!$A$6:$BB$47,37,0)</f>
        <v>100000</v>
      </c>
      <c r="G19" s="7">
        <f>VLOOKUP($A19,[6]HISTONOV25!$A$6:$BB$47,40,0)</f>
        <v>3500</v>
      </c>
      <c r="H19" s="7">
        <f>IF(G19=0,"",VLOOKUP($A19,[6]HISTOFEV25!$A$6:$AV$47,42,0))</f>
        <v>0</v>
      </c>
      <c r="I19" s="7">
        <f>VLOOKUP($A19,[6]HISTONOV25!$A$6:$BB$47,41,0)</f>
        <v>0</v>
      </c>
      <c r="J19" s="7">
        <f>+TONTOCT25!F19+TONTOCT25!G19</f>
        <v>102500</v>
      </c>
      <c r="K19" s="7">
        <f>VLOOKUP($A19,[6]HISTONOV25!$A$6:$BB$47,18,0)</f>
        <v>102500</v>
      </c>
      <c r="L19" s="7" t="str">
        <f>IF(K19&lt;&gt;0,VLOOKUP($A19,[6]HISTONOV25!$A$6:$BB$47,42,0),"ECHEC")</f>
        <v>BANQUE</v>
      </c>
      <c r="M19" s="7" t="str">
        <f>IF(P19&lt;&gt;0,VLOOKUP($A19,[6]HISTONOV25!$A$6:$BB$47,32,0),"ECHEC")</f>
        <v>ECHEC</v>
      </c>
      <c r="N19" s="7">
        <f>VLOOKUP($A19,[6]HISTONOV25!$A$6:$BB$47,33,0)</f>
        <v>0</v>
      </c>
      <c r="O19" s="7">
        <f t="shared" si="0"/>
        <v>0</v>
      </c>
      <c r="P19" s="7">
        <f>VLOOKUP($A19,[6]HISTONOV25!$A$6:$BB$47,31,0)</f>
        <v>0</v>
      </c>
    </row>
    <row r="20" spans="1:16" x14ac:dyDescent="0.35">
      <c r="A20" s="1" t="s">
        <v>46</v>
      </c>
      <c r="B20" s="7">
        <f>IF(D20=0,0,VLOOKUP($A20,[6]HISTONOV25!$A$6:$BQ$47,14,0))</f>
        <v>0</v>
      </c>
      <c r="C20" s="1" t="str">
        <f>VLOOKUP(A20,[7]LISTADHERENT!A$5:H$60,3,0)</f>
        <v>SIMO PIERRE</v>
      </c>
      <c r="D20" s="7">
        <f>IF(E20="ECHEC",0,VLOOKUP($A20,[6]HISTONOV25!$A$6:$BB$47,15,0))</f>
        <v>0</v>
      </c>
      <c r="E20" s="7" t="str">
        <f>VLOOKUP($A20,[6]HISTONOV25!$A$6:$BB$47,9,0)</f>
        <v>ECHEC</v>
      </c>
      <c r="F20" s="7">
        <f>VLOOKUP($A20,[6]HISTONOV25!$A$6:$BB$47,37,0)</f>
        <v>0</v>
      </c>
      <c r="G20" s="7">
        <f>VLOOKUP($A20,[6]HISTONOV25!$A$6:$BB$47,40,0)</f>
        <v>0</v>
      </c>
      <c r="H20" s="7" t="str">
        <f>IF(G20=0,"",VLOOKUP($A20,[6]HISTOFEV25!$A$6:$AV$47,42,0))</f>
        <v/>
      </c>
      <c r="I20" s="7">
        <f>VLOOKUP($A20,[6]HISTONOV25!$A$6:$BB$47,41,0)</f>
        <v>0</v>
      </c>
      <c r="J20" s="7">
        <f>+TONTOCT25!F20+TONTOCT25!G20</f>
        <v>0</v>
      </c>
      <c r="K20" s="7">
        <f>VLOOKUP($A20,[6]HISTONOV25!$A$6:$BB$47,18,0)</f>
        <v>0</v>
      </c>
      <c r="L20" s="7" t="str">
        <f>IF(K20&lt;&gt;0,VLOOKUP($A20,[6]HISTONOV25!$A$6:$BB$47,42,0),"ECHEC")</f>
        <v>ECHEC</v>
      </c>
      <c r="M20" s="7" t="str">
        <f>IF(P20&lt;&gt;0,VLOOKUP($A20,[6]HISTONOV25!$A$6:$BB$47,32,0),"ECHEC")</f>
        <v>ECHEC</v>
      </c>
      <c r="N20" s="7">
        <f>VLOOKUP($A20,[6]HISTONOV25!$A$6:$BB$47,33,0)</f>
        <v>0</v>
      </c>
      <c r="O20" s="7">
        <f t="shared" si="0"/>
        <v>0</v>
      </c>
      <c r="P20" s="7">
        <f>VLOOKUP($A20,[6]HISTONOV25!$A$6:$BB$47,31,0)</f>
        <v>0</v>
      </c>
    </row>
    <row r="21" spans="1:16" x14ac:dyDescent="0.35">
      <c r="A21" s="1" t="s">
        <v>53</v>
      </c>
      <c r="B21" s="7">
        <f>IF(D21=0,0,VLOOKUP($A21,[6]HISTONOV25!$A$6:$BQ$47,14,0))</f>
        <v>2</v>
      </c>
      <c r="C21" s="1" t="str">
        <f>VLOOKUP(A21,[7]LISTADHERENT!A$5:H$60,3,0)</f>
        <v>YIALA ALAIN OSCAR</v>
      </c>
      <c r="D21" s="7">
        <f>IF(E21="ECHEC",0,VLOOKUP($A21,[6]HISTONOV25!$A$6:$BB$47,15,0))</f>
        <v>200000</v>
      </c>
      <c r="E21" s="7" t="str">
        <f>VLOOKUP($A21,[6]HISTONOV25!$A$6:$BB$47,9,0)</f>
        <v>ESPECES</v>
      </c>
      <c r="F21" s="7">
        <f>VLOOKUP($A21,[6]HISTONOV25!$A$6:$BB$47,37,0)</f>
        <v>200000</v>
      </c>
      <c r="G21" s="7">
        <f>VLOOKUP($A21,[6]HISTONOV25!$A$6:$BB$47,40,0)</f>
        <v>3000</v>
      </c>
      <c r="H21" s="7">
        <f>IF(G21=0,"",VLOOKUP($A21,[6]HISTOFEV25!$A$6:$AV$47,42,0))</f>
        <v>0</v>
      </c>
      <c r="I21" s="7">
        <f>VLOOKUP($A21,[6]HISTONOV25!$A$6:$BB$47,41,0)</f>
        <v>0</v>
      </c>
      <c r="J21" s="7">
        <f>+TONTOCT25!F21+TONTOCT25!G21</f>
        <v>0</v>
      </c>
      <c r="K21" s="7">
        <f>VLOOKUP($A21,[6]HISTONOV25!$A$6:$BB$47,18,0)</f>
        <v>0</v>
      </c>
      <c r="L21" s="7" t="str">
        <f>IF(K21&lt;&gt;0,VLOOKUP($A21,[6]HISTONOV25!$A$6:$BB$47,42,0),"ECHEC")</f>
        <v>ECHEC</v>
      </c>
      <c r="M21" s="7" t="str">
        <f>IF(P21&lt;&gt;0,VLOOKUP($A21,[6]HISTONOV25!$A$6:$BB$47,32,0),"ECHEC")</f>
        <v>ECHEC</v>
      </c>
      <c r="N21" s="7">
        <f>VLOOKUP($A21,[6]HISTONOV25!$A$6:$BB$47,33,0)</f>
        <v>0</v>
      </c>
      <c r="O21" s="7">
        <f t="shared" si="0"/>
        <v>0</v>
      </c>
      <c r="P21" s="7">
        <f>VLOOKUP($A21,[6]HISTONOV25!$A$6:$BB$47,31,0)</f>
        <v>0</v>
      </c>
    </row>
    <row r="22" spans="1:16" x14ac:dyDescent="0.35">
      <c r="A22" s="1" t="s">
        <v>61</v>
      </c>
      <c r="B22" s="7">
        <f>IF(D22=0,0,VLOOKUP($A22,[6]HISTONOV25!$A$6:$BQ$47,14,0))</f>
        <v>1</v>
      </c>
      <c r="C22" s="1" t="str">
        <f>VLOOKUP(A22,[7]LISTADHERENT!A$5:H$60,3,0)</f>
        <v>YOUMBI EMMANUEL</v>
      </c>
      <c r="D22" s="7">
        <f>IF(E22="ECHEC",0,VLOOKUP($A22,[6]HISTONOV25!$A$6:$BB$47,15,0))</f>
        <v>100000</v>
      </c>
      <c r="E22" s="7" t="str">
        <f>VLOOKUP($A22,[6]HISTONOV25!$A$6:$BB$47,9,0)</f>
        <v>BANQUE</v>
      </c>
      <c r="F22" s="7">
        <f>VLOOKUP($A22,[6]HISTONOV25!$A$6:$BB$47,37,0)</f>
        <v>0</v>
      </c>
      <c r="G22" s="7">
        <f>VLOOKUP($A22,[6]HISTONOV25!$A$6:$BB$47,40,0)</f>
        <v>0</v>
      </c>
      <c r="H22" s="7" t="str">
        <f>IF(G22=0,"",VLOOKUP($A22,[6]HISTOFEV25!$A$6:$AV$47,42,0))</f>
        <v/>
      </c>
      <c r="I22" s="7">
        <f>VLOOKUP($A22,[6]HISTONOV25!$A$6:$BB$47,41,0)</f>
        <v>0</v>
      </c>
      <c r="J22" s="7">
        <f>+TONTOCT25!F22+TONTOCT25!G22</f>
        <v>0</v>
      </c>
      <c r="K22" s="7">
        <f>VLOOKUP($A22,[6]HISTONOV25!$A$6:$BB$47,18,0)</f>
        <v>0</v>
      </c>
      <c r="L22" s="7" t="str">
        <f>IF(K22&lt;&gt;0,VLOOKUP($A22,[6]HISTONOV25!$A$6:$BB$47,42,0),"ECHEC")</f>
        <v>ECHEC</v>
      </c>
      <c r="M22" s="7">
        <f>IF(P22&lt;&gt;0,VLOOKUP($A22,[6]HISTONOV25!$A$6:$BB$47,32,0),"ECHEC")</f>
        <v>0</v>
      </c>
      <c r="N22" s="7">
        <f>VLOOKUP($A22,[6]HISTONOV25!$A$6:$BB$47,33,0)</f>
        <v>0</v>
      </c>
      <c r="O22" s="7">
        <f t="shared" si="0"/>
        <v>1190000</v>
      </c>
      <c r="P22" s="7">
        <f>VLOOKUP($A22,[6]HISTONOV25!$A$6:$BB$47,31,0)</f>
        <v>10000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23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SUM(D6:D22)+200000</f>
        <v>2500000</v>
      </c>
      <c r="E25" s="8">
        <f t="shared" ref="E25:P25" si="1">SUM(E6:E22)</f>
        <v>0</v>
      </c>
      <c r="F25" s="8">
        <f t="shared" si="1"/>
        <v>2517000</v>
      </c>
      <c r="G25" s="8">
        <f>SUM(G6:G22)</f>
        <v>52500</v>
      </c>
      <c r="H25" s="8">
        <f t="shared" si="1"/>
        <v>0</v>
      </c>
      <c r="I25" s="8">
        <f t="shared" si="1"/>
        <v>0</v>
      </c>
      <c r="J25" s="8">
        <f t="shared" si="1"/>
        <v>1192000</v>
      </c>
      <c r="K25" s="8">
        <f t="shared" si="1"/>
        <v>1192000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2380000</v>
      </c>
      <c r="P25" s="8">
        <f t="shared" si="1"/>
        <v>20000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3487000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300000</v>
      </c>
      <c r="E28" s="8">
        <f>SUMIFS(K6:K22,L6:L22,"ESPECES")</f>
        <v>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300000</v>
      </c>
      <c r="I28" s="8"/>
      <c r="K28" s="8" t="s">
        <v>34</v>
      </c>
      <c r="L28" s="8">
        <f>C3*COUNTIF(O6:O22,"&gt;0")</f>
        <v>2400000</v>
      </c>
      <c r="M28" s="8">
        <f>D3</f>
        <v>2</v>
      </c>
      <c r="N28" s="8">
        <f>COUNTIF(O6:O21,"&gt;0")</f>
        <v>1</v>
      </c>
      <c r="O28" s="8"/>
    </row>
    <row r="29" spans="1:16" s="2" customFormat="1" ht="17.5" x14ac:dyDescent="0.35">
      <c r="C29" s="8" t="s">
        <v>7</v>
      </c>
      <c r="D29" s="8">
        <f>SUMIFS(D6:D22,E6:E22,"BANQUE")</f>
        <v>2000000</v>
      </c>
      <c r="E29" s="8">
        <f>SUMIFS(K6:K22,L6:L22,"BANQUE")</f>
        <v>1192000</v>
      </c>
      <c r="F29" s="8">
        <f>SUMIFS(F6:F22,H6:H22,"BANQUE")</f>
        <v>1109500</v>
      </c>
      <c r="G29" s="8">
        <f>SUMIFS(O6:O22,M6:M22,"BANQUE")</f>
        <v>0</v>
      </c>
      <c r="H29" s="8">
        <f>D29+E29-F29-G29</f>
        <v>2082500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1338000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D28+D29+200000</f>
        <v>2500000</v>
      </c>
      <c r="E31" s="8">
        <f>E28+E29</f>
        <v>1192000</v>
      </c>
      <c r="F31" s="8">
        <f>F28+F29</f>
        <v>1109500</v>
      </c>
      <c r="G31" s="8">
        <f t="shared" ref="G31:H31" si="2">G28+G29</f>
        <v>0</v>
      </c>
      <c r="H31" s="8">
        <f t="shared" si="2"/>
        <v>2382500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-1179000</v>
      </c>
      <c r="M32"/>
      <c r="N32" s="8">
        <f>L32</f>
        <v>-1179000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100000</v>
      </c>
      <c r="N34" s="8">
        <f>L34+TONTFEV25!N34</f>
        <v>100000</v>
      </c>
      <c r="O34" s="8" t="s">
        <v>28</v>
      </c>
    </row>
    <row r="35" spans="1:15" ht="17.5" x14ac:dyDescent="0.35">
      <c r="K35" s="8" t="s">
        <v>36</v>
      </c>
      <c r="L35" s="8">
        <f>J25-E31</f>
        <v>0</v>
      </c>
      <c r="N35" s="8">
        <f>L35+TONTFEV25!N35</f>
        <v>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1" xr:uid="{00000000-0009-0000-0000-000001000000}"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8B2B-DB6F-4FDE-BC22-C8BF19B1195A}">
  <sheetPr filterMode="1"/>
  <dimension ref="A1:P37"/>
  <sheetViews>
    <sheetView tabSelected="1" workbookViewId="0">
      <pane xSplit="3" ySplit="5" topLeftCell="J6" activePane="bottomRight" state="frozen"/>
      <selection activeCell="C4" sqref="C4:L4"/>
      <selection pane="topRight" activeCell="C4" sqref="C4:L4"/>
      <selection pane="bottomLeft" activeCell="C4" sqref="C4:L4"/>
      <selection pane="bottomRight" activeCell="K7" sqref="K7:K21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2025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3</v>
      </c>
      <c r="E3" s="1"/>
      <c r="L3" s="1"/>
      <c r="M3" s="1"/>
    </row>
    <row r="4" spans="1:16" s="12" customFormat="1" ht="17.5" x14ac:dyDescent="0.35">
      <c r="B4" s="13"/>
      <c r="C4" s="37">
        <v>46004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hidden="1" x14ac:dyDescent="0.35">
      <c r="A6" s="1" t="s">
        <v>44</v>
      </c>
      <c r="B6" s="7">
        <f>IF(D6=0,0,VLOOKUP($A6,[6]HISTODEC25!$A$6:$BQ$47,14,0))</f>
        <v>1</v>
      </c>
      <c r="C6" s="1" t="str">
        <f>VLOOKUP(A6,[7]LISTADHERENT!A$5:H$60,3,0)</f>
        <v>ASELBY</v>
      </c>
      <c r="D6" s="7">
        <f>IF(E6="ECHEC",0,VLOOKUP($A6,[6]HISTODEC25!$A$6:$BB$47,15,0))</f>
        <v>100000</v>
      </c>
      <c r="E6" s="7" t="str">
        <f>VLOOKUP($A6,[6]HISTODEC25!$A$6:$BB$47,9,0)</f>
        <v>BANQUE</v>
      </c>
      <c r="F6" s="7">
        <f>VLOOKUP($A6,[6]HISTODEC25!$A$6:$BB$47,37,0)</f>
        <v>0</v>
      </c>
      <c r="G6" s="7">
        <f>VLOOKUP($A6,[6]HISTODEC25!$A$6:$BB$47,40,0)</f>
        <v>0</v>
      </c>
      <c r="H6" s="7" t="str">
        <f>IF(G6=0,"",VLOOKUP($A6,[6]HISTOFEV25!$A$6:$AV$47,42,0))</f>
        <v/>
      </c>
      <c r="I6" s="7">
        <f>VLOOKUP($A6,[6]HISTODEC25!$A$6:$BB$47,41,0)</f>
        <v>0</v>
      </c>
      <c r="J6" s="7">
        <f>+TONTNOV25!F6+TONTNOV25!G6</f>
        <v>0</v>
      </c>
      <c r="K6" s="7">
        <f>VLOOKUP($A6,[6]HISTODEC25!$A$6:$BB$47,18,0)</f>
        <v>0</v>
      </c>
      <c r="L6" s="7" t="str">
        <f>IF(K6&lt;&gt;0,VLOOKUP($A6,[6]HISTODEC25!$A$6:$BB$47,42,0),"ECHEC")</f>
        <v>ECHEC</v>
      </c>
      <c r="M6" s="7" t="str">
        <f>IF(P6&lt;&gt;0,VLOOKUP($A6,[6]HISTODEC25!$A$6:$BB$47,32,0),"ECHEC")</f>
        <v>ECHEC</v>
      </c>
      <c r="N6" s="7">
        <f>VLOOKUP($A6,[6]HISTODEC25!$A$6:$BB$47,33,0)</f>
        <v>0</v>
      </c>
      <c r="O6" s="7">
        <f t="shared" ref="O6:O22" si="0">IF(P6=0,0,($C$3-P6))</f>
        <v>0</v>
      </c>
      <c r="P6" s="7">
        <f>VLOOKUP($A6,[6]HISTODEC25!$A$6:$BB$47,31,0)</f>
        <v>0</v>
      </c>
    </row>
    <row r="7" spans="1:16" x14ac:dyDescent="0.35">
      <c r="A7" s="1" t="s">
        <v>47</v>
      </c>
      <c r="B7" s="7">
        <f>IF(D7=0,0,VLOOKUP($A7,[6]HISTODEC25!$A$6:$BQ$47,14,0))</f>
        <v>2</v>
      </c>
      <c r="C7" s="1" t="str">
        <f>VLOOKUP(A7,[7]LISTADHERENT!A$5:H$60,3,0)</f>
        <v xml:space="preserve">DJOMO JEAN PAUL </v>
      </c>
      <c r="D7" s="7">
        <f>IF(E7="ECHEC",0,VLOOKUP($A7,[6]HISTODEC25!$A$6:$BB$47,15,0))</f>
        <v>200000</v>
      </c>
      <c r="E7" s="7" t="str">
        <f>VLOOKUP($A7,[6]HISTODEC25!$A$6:$BB$47,9,0)</f>
        <v>ESPECES</v>
      </c>
      <c r="F7" s="7">
        <f>VLOOKUP($A7,[6]HISTODEC25!$A$6:$BB$47,37,0)</f>
        <v>0</v>
      </c>
      <c r="G7" s="7">
        <f>VLOOKUP($A7,[6]HISTODEC25!$A$6:$BB$47,40,0)</f>
        <v>0</v>
      </c>
      <c r="H7" s="7" t="str">
        <f>IF(G7=0,"",VLOOKUP($A7,[6]HISTOFEV25!$A$6:$AV$47,42,0))</f>
        <v/>
      </c>
      <c r="I7" s="7">
        <f>VLOOKUP($A7,[6]HISTODEC25!$A$6:$BB$47,41,0)</f>
        <v>0</v>
      </c>
      <c r="J7" s="7">
        <f>+TONTNOV25!F7+TONTNOV25!G7</f>
        <v>207000</v>
      </c>
      <c r="K7" s="7">
        <f>VLOOKUP($A7,[6]HISTODEC25!$A$6:$BB$47,18,0)</f>
        <v>207000</v>
      </c>
      <c r="L7" s="7" t="s">
        <v>11</v>
      </c>
      <c r="M7" s="7" t="str">
        <f>IF(P7&lt;&gt;0,VLOOKUP($A7,[6]HISTODEC25!$A$6:$BB$47,32,0),"ECHEC")</f>
        <v>ECHEC</v>
      </c>
      <c r="N7" s="7">
        <f>VLOOKUP($A7,[6]HISTODEC25!$A$6:$BB$47,33,0)</f>
        <v>0</v>
      </c>
      <c r="O7" s="7">
        <f t="shared" si="0"/>
        <v>0</v>
      </c>
      <c r="P7" s="7">
        <f>VLOOKUP($A7,[6]HISTODEC25!$A$6:$BB$47,31,0)</f>
        <v>0</v>
      </c>
    </row>
    <row r="8" spans="1:16" hidden="1" x14ac:dyDescent="0.35">
      <c r="A8" s="1" t="s">
        <v>60</v>
      </c>
      <c r="B8" s="7">
        <f>IF(D8=0,0,VLOOKUP($A8,[6]HISTODEC25!$A$6:$BQ$47,14,0))</f>
        <v>1</v>
      </c>
      <c r="C8" s="1" t="str">
        <f>VLOOKUP(A8,[7]LISTADHERENT!A$5:H$60,3,0)</f>
        <v>DJOUKWE NANGUEN GUY BLAISE</v>
      </c>
      <c r="D8" s="7">
        <f>IF(E8="ECHEC",0,VLOOKUP($A8,[6]HISTODEC25!$A$6:$BB$47,15,0))</f>
        <v>100000</v>
      </c>
      <c r="E8" s="7" t="str">
        <f>VLOOKUP($A8,[6]HISTODEC25!$A$6:$BB$47,9,0)</f>
        <v>ESPECES</v>
      </c>
      <c r="F8" s="7">
        <f>VLOOKUP($A8,[6]HISTODEC25!$A$6:$BB$47,37,0)</f>
        <v>0</v>
      </c>
      <c r="G8" s="7">
        <f>VLOOKUP($A8,[6]HISTODEC25!$A$6:$BB$47,40,0)</f>
        <v>0</v>
      </c>
      <c r="H8" s="7" t="str">
        <f>IF(G8=0,"",VLOOKUP($A8,[6]HISTOFEV25!$A$6:$AV$47,42,0))</f>
        <v/>
      </c>
      <c r="I8" s="7">
        <f>VLOOKUP($A8,[6]HISTODEC25!$A$6:$BB$47,41,0)</f>
        <v>0</v>
      </c>
      <c r="J8" s="7">
        <f>+TONTNOV25!F8+TONTNOV25!G8</f>
        <v>168500</v>
      </c>
      <c r="K8" s="7">
        <f>VLOOKUP($A8,[6]HISTODEC25!$A$6:$BB$47,18,0)</f>
        <v>168500</v>
      </c>
      <c r="L8" s="36" t="s">
        <v>70</v>
      </c>
      <c r="M8" s="7" t="str">
        <f>IF(P8&lt;&gt;0,VLOOKUP($A8,[6]HISTODEC25!$A$6:$BB$47,32,0),"ECHEC")</f>
        <v>ECHEC</v>
      </c>
      <c r="N8" s="7">
        <f>VLOOKUP($A8,[6]HISTODEC25!$A$6:$BB$47,33,0)</f>
        <v>0</v>
      </c>
      <c r="O8" s="7">
        <f t="shared" si="0"/>
        <v>0</v>
      </c>
      <c r="P8" s="7">
        <f>VLOOKUP($A8,[6]HISTODEC25!$A$6:$BB$47,31,0)</f>
        <v>0</v>
      </c>
    </row>
    <row r="9" spans="1:16" x14ac:dyDescent="0.35">
      <c r="A9" s="1" t="s">
        <v>20</v>
      </c>
      <c r="B9" s="7">
        <f>IF(D9=0,0,VLOOKUP($A9,[6]HISTODEC25!$A$6:$BQ$47,14,0))</f>
        <v>2</v>
      </c>
      <c r="C9" s="1" t="str">
        <f>VLOOKUP(A9,[7]LISTADHERENT!A$5:H$60,3,0)</f>
        <v>DJUOMBESSY ANTOINE</v>
      </c>
      <c r="D9" s="7">
        <f>IF(E9="ECHEC",0,VLOOKUP($A9,[6]HISTODEC25!$A$6:$BB$47,15,0))</f>
        <v>200000</v>
      </c>
      <c r="E9" s="7" t="str">
        <f>VLOOKUP($A9,[6]HISTODEC25!$A$6:$BB$47,9,0)</f>
        <v>BANQUE</v>
      </c>
      <c r="F9" s="7">
        <f>VLOOKUP($A9,[6]HISTODEC25!$A$6:$BB$47,37,0)</f>
        <v>0</v>
      </c>
      <c r="G9" s="7">
        <f>VLOOKUP($A9,[6]HISTODEC25!$A$6:$BB$47,40,0)</f>
        <v>0</v>
      </c>
      <c r="H9" s="7" t="str">
        <f>IF(G9=0,"",VLOOKUP($A9,[6]HISTOFEV25!$A$6:$AV$47,42,0))</f>
        <v/>
      </c>
      <c r="I9" s="7">
        <f>VLOOKUP($A9,[6]HISTODEC25!$A$6:$BB$47,41,0)</f>
        <v>0</v>
      </c>
      <c r="J9" s="7">
        <f>+TONTNOV25!F9+TONTNOV25!G9</f>
        <v>101500</v>
      </c>
      <c r="K9" s="7">
        <f>VLOOKUP($A9,[6]HISTODEC25!$A$6:$BB$47,18,0)</f>
        <v>101500</v>
      </c>
      <c r="L9" s="7" t="s">
        <v>11</v>
      </c>
      <c r="M9" s="7" t="str">
        <f>IF(P9&lt;&gt;0,VLOOKUP($A9,[6]HISTODEC25!$A$6:$BB$47,32,0),"ECHEC")</f>
        <v>ECHEC</v>
      </c>
      <c r="N9" s="7">
        <f>VLOOKUP($A9,[6]HISTODEC25!$A$6:$BB$47,33,0)</f>
        <v>0</v>
      </c>
      <c r="O9" s="7">
        <f t="shared" si="0"/>
        <v>0</v>
      </c>
      <c r="P9" s="7">
        <f>VLOOKUP($A9,[6]HISTODEC25!$A$6:$BB$47,31,0)</f>
        <v>0</v>
      </c>
    </row>
    <row r="10" spans="1:16" hidden="1" x14ac:dyDescent="0.35">
      <c r="A10" s="1" t="s">
        <v>62</v>
      </c>
      <c r="B10" s="7">
        <f>IF(D10=0,0,VLOOKUP($A10,[6]HISTODEC25!$A$6:$BQ$47,14,0))</f>
        <v>1</v>
      </c>
      <c r="C10" s="1" t="str">
        <f>VLOOKUP(A10,[7]LISTADHERENT!A$5:H$60,3,0)</f>
        <v>FAMPOU PAUL</v>
      </c>
      <c r="D10" s="7">
        <f>IF(E10="ECHEC",0,VLOOKUP($A10,[6]HISTODEC25!$A$6:$BB$47,15,0))</f>
        <v>100000</v>
      </c>
      <c r="E10" s="7" t="str">
        <f>VLOOKUP($A10,[6]HISTODEC25!$A$6:$BB$47,9,0)</f>
        <v>BANQUE</v>
      </c>
      <c r="F10" s="7">
        <f>VLOOKUP($A10,[6]HISTODEC25!$A$6:$BB$47,37,0)</f>
        <v>0</v>
      </c>
      <c r="G10" s="7">
        <f>VLOOKUP($A10,[6]HISTODEC25!$A$6:$BB$47,40,0)</f>
        <v>0</v>
      </c>
      <c r="H10" s="7" t="str">
        <f>IF(G10=0,"",VLOOKUP($A10,[6]HISTOFEV25!$A$6:$AV$47,42,0))</f>
        <v/>
      </c>
      <c r="I10" s="7">
        <f>VLOOKUP($A10,[6]HISTODEC25!$A$6:$BB$47,41,0)</f>
        <v>0</v>
      </c>
      <c r="J10" s="7">
        <f>+TONTNOV25!F10+TONTNOV25!G10</f>
        <v>203000</v>
      </c>
      <c r="K10" s="7">
        <f>VLOOKUP($A10,[6]HISTODEC25!$A$6:$BB$47,18,0)</f>
        <v>203000</v>
      </c>
      <c r="L10" s="7" t="str">
        <f>IF(K10&lt;&gt;0,VLOOKUP($A10,[6]HISTODEC25!$A$6:$BB$47,42,0),"ECHEC")</f>
        <v>BANQUE</v>
      </c>
      <c r="M10" s="7" t="str">
        <f>IF(P10&lt;&gt;0,VLOOKUP($A10,[6]HISTODEC25!$A$6:$BB$47,32,0),"ECHEC")</f>
        <v>ECHEC</v>
      </c>
      <c r="N10" s="7">
        <f>VLOOKUP($A10,[6]HISTODEC25!$A$6:$BB$47,33,0)</f>
        <v>0</v>
      </c>
      <c r="O10" s="7">
        <f t="shared" si="0"/>
        <v>0</v>
      </c>
      <c r="P10" s="7">
        <f>VLOOKUP($A10,[6]HISTODEC25!$A$6:$BB$47,31,0)</f>
        <v>0</v>
      </c>
    </row>
    <row r="11" spans="1:16" x14ac:dyDescent="0.35">
      <c r="A11" s="1" t="s">
        <v>21</v>
      </c>
      <c r="B11" s="7">
        <f>IF(D11=0,0,VLOOKUP($A11,[6]HISTODEC25!$A$6:$BQ$47,14,0))</f>
        <v>1</v>
      </c>
      <c r="C11" s="1" t="str">
        <f>VLOOKUP(A11,[7]LISTADHERENT!A$5:H$60,3,0)</f>
        <v>HOTCHO BENJAMIN</v>
      </c>
      <c r="D11" s="7">
        <f>IF(E11="ECHEC",0,VLOOKUP($A11,[6]HISTODEC25!$A$6:$BB$47,15,0))</f>
        <v>100000</v>
      </c>
      <c r="E11" s="7" t="str">
        <f>VLOOKUP($A11,[6]HISTODEC25!$A$6:$BB$47,9,0)</f>
        <v>BANQUE</v>
      </c>
      <c r="F11" s="7">
        <f>VLOOKUP($A11,[6]HISTODEC25!$A$6:$BB$47,37,0)</f>
        <v>0</v>
      </c>
      <c r="G11" s="7">
        <f>VLOOKUP($A11,[6]HISTODEC25!$A$6:$BB$47,40,0)</f>
        <v>0</v>
      </c>
      <c r="H11" s="7" t="str">
        <f>IF(G11=0,"",VLOOKUP($A11,[6]HISTOFEV25!$A$6:$AV$47,42,0))</f>
        <v/>
      </c>
      <c r="I11" s="7">
        <f>VLOOKUP($A11,[6]HISTODEC25!$A$6:$BB$47,41,0)</f>
        <v>0</v>
      </c>
      <c r="J11" s="7">
        <f>+TONTNOV25!F11+TONTNOV25!G11</f>
        <v>203000</v>
      </c>
      <c r="K11" s="7">
        <f>VLOOKUP($A11,[6]HISTODEC25!$A$6:$BB$47,18,0)</f>
        <v>203000</v>
      </c>
      <c r="L11" s="7" t="s">
        <v>11</v>
      </c>
      <c r="M11" s="7" t="str">
        <f>IF(P11&lt;&gt;0,VLOOKUP($A11,[6]HISTODEC25!$A$6:$BB$47,32,0),"ECHEC")</f>
        <v>ECHEC</v>
      </c>
      <c r="N11" s="7">
        <f>VLOOKUP($A11,[6]HISTODEC25!$A$6:$BB$47,33,0)</f>
        <v>0</v>
      </c>
      <c r="O11" s="7">
        <f t="shared" si="0"/>
        <v>0</v>
      </c>
      <c r="P11" s="7">
        <f>VLOOKUP($A11,[6]HISTODEC25!$A$6:$BB$47,31,0)</f>
        <v>0</v>
      </c>
    </row>
    <row r="12" spans="1:16" hidden="1" x14ac:dyDescent="0.35">
      <c r="A12" s="1" t="s">
        <v>26</v>
      </c>
      <c r="B12" s="7">
        <f>IF(D12=0,0,VLOOKUP($A12,[6]HISTODEC25!$A$6:$BQ$47,14,0))</f>
        <v>1</v>
      </c>
      <c r="C12" s="1" t="str">
        <f>VLOOKUP(A12,[7]LISTADHERENT!A$5:H$60,3,0)</f>
        <v>KOUAMOU MOISE</v>
      </c>
      <c r="D12" s="7">
        <f>IF(E12="ECHEC",0,VLOOKUP($A12,[6]HISTODEC25!$A$6:$BB$47,15,0))</f>
        <v>100000</v>
      </c>
      <c r="E12" s="7" t="str">
        <f>VLOOKUP($A12,[6]HISTODEC25!$A$6:$BB$47,9,0)</f>
        <v>BANQUE</v>
      </c>
      <c r="F12" s="7">
        <f>VLOOKUP($A12,[6]HISTODEC25!$A$6:$BB$47,37,0)</f>
        <v>0</v>
      </c>
      <c r="G12" s="7">
        <f>VLOOKUP($A12,[6]HISTODEC25!$A$6:$BB$47,40,0)</f>
        <v>0</v>
      </c>
      <c r="H12" s="7" t="str">
        <f>IF(G12=0,"",VLOOKUP($A12,[6]HISTOFEV25!$A$6:$AV$47,42,0))</f>
        <v/>
      </c>
      <c r="I12" s="7">
        <f>VLOOKUP($A12,[6]HISTODEC25!$A$6:$BB$47,41,0)</f>
        <v>0</v>
      </c>
      <c r="J12" s="7">
        <f>+TONTNOV25!F12+TONTNOV25!G12</f>
        <v>210500</v>
      </c>
      <c r="K12" s="7">
        <f>VLOOKUP($A12,[6]HISTODEC25!$A$6:$BB$47,18,0)</f>
        <v>210500</v>
      </c>
      <c r="L12" s="36" t="str">
        <f>IF(K12&lt;&gt;0,VLOOKUP($A12,[6]HISTODEC25!$A$6:$BB$47,42,0),"ECHEC")</f>
        <v>BANQUE</v>
      </c>
      <c r="M12" s="7" t="str">
        <f>IF(P12&lt;&gt;0,VLOOKUP($A12,[6]HISTODEC25!$A$6:$BB$47,32,0),"ECHEC")</f>
        <v>ECHEC</v>
      </c>
      <c r="N12" s="7">
        <f>VLOOKUP($A12,[6]HISTODEC25!$A$6:$BB$47,33,0)</f>
        <v>0</v>
      </c>
      <c r="O12" s="7">
        <f t="shared" si="0"/>
        <v>0</v>
      </c>
      <c r="P12" s="7">
        <f>VLOOKUP($A12,[6]HISTODEC25!$A$6:$BB$47,31,0)</f>
        <v>0</v>
      </c>
    </row>
    <row r="13" spans="1:16" hidden="1" x14ac:dyDescent="0.35">
      <c r="A13" s="1" t="s">
        <v>8</v>
      </c>
      <c r="B13" s="7">
        <f>IF(D13=0,0,VLOOKUP($A13,[6]HISTODEC25!$A$6:$BQ$47,14,0))</f>
        <v>1</v>
      </c>
      <c r="C13" s="1" t="str">
        <f>VLOOKUP(A13,[7]LISTADHERENT!A$5:H$60,3,0)</f>
        <v>KOUATCHO MESSACK</v>
      </c>
      <c r="D13" s="7">
        <f>IF(E13="ECHEC",0,VLOOKUP($A13,[6]HISTODEC25!$A$6:$BB$47,15,0))</f>
        <v>100000</v>
      </c>
      <c r="E13" s="7" t="str">
        <f>VLOOKUP($A13,[6]HISTODEC25!$A$6:$BB$47,9,0)</f>
        <v>BANQUE</v>
      </c>
      <c r="F13" s="7">
        <f>VLOOKUP($A13,[6]HISTODEC25!$A$6:$BB$47,37,0)</f>
        <v>0</v>
      </c>
      <c r="G13" s="7">
        <f>VLOOKUP($A13,[6]HISTODEC25!$A$6:$BB$47,40,0)</f>
        <v>0</v>
      </c>
      <c r="H13" s="7" t="str">
        <f>IF(G13=0,"",VLOOKUP($A13,[6]HISTOFEV25!$A$6:$AV$47,42,0))</f>
        <v/>
      </c>
      <c r="I13" s="7">
        <f>VLOOKUP($A13,[6]HISTODEC25!$A$6:$BB$47,41,0)</f>
        <v>0</v>
      </c>
      <c r="J13" s="7">
        <f>+TONTNOV25!F13+TONTNOV25!G13</f>
        <v>208000</v>
      </c>
      <c r="K13" s="7">
        <f>VLOOKUP($A13,[6]HISTODEC25!$A$6:$BB$47,18,0)</f>
        <v>208000</v>
      </c>
      <c r="L13" s="7" t="str">
        <f>IF(K13&lt;&gt;0,VLOOKUP($A13,[6]HISTODEC25!$A$6:$BB$47,42,0),"ECHEC")</f>
        <v>BANQUE</v>
      </c>
      <c r="M13" s="7" t="str">
        <f>IF(P13&lt;&gt;0,VLOOKUP($A13,[6]HISTODEC25!$A$6:$BB$47,32,0),"ECHEC")</f>
        <v>ECHEC</v>
      </c>
      <c r="N13" s="7">
        <f>VLOOKUP($A13,[6]HISTODEC25!$A$6:$BB$47,33,0)</f>
        <v>0</v>
      </c>
      <c r="O13" s="7">
        <f t="shared" si="0"/>
        <v>0</v>
      </c>
      <c r="P13" s="7">
        <f>VLOOKUP($A13,[6]HISTODEC25!$A$6:$BB$47,31,0)</f>
        <v>0</v>
      </c>
    </row>
    <row r="14" spans="1:16" x14ac:dyDescent="0.35">
      <c r="A14" s="1" t="s">
        <v>22</v>
      </c>
      <c r="B14" s="7">
        <f>IF(D14=0,0,VLOOKUP($A14,[6]HISTODEC25!$A$6:$BQ$47,14,0))</f>
        <v>2</v>
      </c>
      <c r="C14" s="1" t="str">
        <f>VLOOKUP(A14,[7]LISTADHERENT!A$5:H$60,3,0)</f>
        <v>MBOGNING TUGMA GUY</v>
      </c>
      <c r="D14" s="7">
        <f>IF(E14="ECHEC",0,VLOOKUP($A14,[6]HISTODEC25!$A$6:$BB$47,15,0))</f>
        <v>200000</v>
      </c>
      <c r="E14" s="7" t="str">
        <f>VLOOKUP($A14,[6]HISTODEC25!$A$6:$BB$47,9,0)</f>
        <v>ESPECES</v>
      </c>
      <c r="F14" s="7">
        <f>VLOOKUP($A14,[6]HISTODEC25!$A$6:$BB$47,37,0)</f>
        <v>0</v>
      </c>
      <c r="G14" s="7">
        <f>VLOOKUP($A14,[6]HISTODEC25!$A$6:$BB$47,40,0)</f>
        <v>0</v>
      </c>
      <c r="H14" s="7" t="str">
        <f>IF(G14=0,"",VLOOKUP($A14,[6]HISTOFEV25!$A$6:$AV$47,42,0))</f>
        <v/>
      </c>
      <c r="I14" s="7">
        <f>VLOOKUP($A14,[6]HISTODEC25!$A$6:$BB$47,41,0)</f>
        <v>0</v>
      </c>
      <c r="J14" s="7">
        <f>+TONTNOV25!F14+TONTNOV25!G14</f>
        <v>146000</v>
      </c>
      <c r="K14" s="7">
        <f>VLOOKUP($A14,[6]HISTODEC25!$A$6:$BB$47,18,0)</f>
        <v>146000</v>
      </c>
      <c r="L14" s="7" t="s">
        <v>11</v>
      </c>
      <c r="M14" s="7" t="str">
        <f>IF(P14&lt;&gt;0,VLOOKUP($A14,[6]HISTODEC25!$A$6:$BB$47,32,0),"ECHEC")</f>
        <v>ECHEC</v>
      </c>
      <c r="N14" s="7">
        <f>VLOOKUP($A14,[6]HISTODEC25!$A$6:$BB$47,33,0)</f>
        <v>0</v>
      </c>
      <c r="O14" s="7">
        <f t="shared" si="0"/>
        <v>0</v>
      </c>
      <c r="P14" s="7">
        <f>VLOOKUP($A14,[6]HISTODEC25!$A$6:$BB$47,31,0)</f>
        <v>0</v>
      </c>
    </row>
    <row r="15" spans="1:16" x14ac:dyDescent="0.35">
      <c r="A15" s="1" t="s">
        <v>9</v>
      </c>
      <c r="B15" s="7">
        <f>IF(D15=0,0,VLOOKUP($A15,[6]HISTODEC25!$A$6:$BQ$47,14,0))</f>
        <v>2</v>
      </c>
      <c r="C15" s="1" t="str">
        <f>VLOOKUP(A15,[7]LISTADHERENT!A$5:H$60,3,0)</f>
        <v>NDJOMO ETIENNE</v>
      </c>
      <c r="D15" s="7">
        <f>IF(E15="ECHEC",0,VLOOKUP($A15,[6]HISTODEC25!$A$6:$BB$47,15,0))</f>
        <v>200000</v>
      </c>
      <c r="E15" s="7" t="str">
        <f>VLOOKUP($A15,[6]HISTODEC25!$A$6:$BB$47,9,0)</f>
        <v>BANQUE</v>
      </c>
      <c r="F15" s="7">
        <f>VLOOKUP($A15,[6]HISTODEC25!$A$6:$BB$47,37,0)</f>
        <v>0</v>
      </c>
      <c r="G15" s="7">
        <f>VLOOKUP($A15,[6]HISTODEC25!$A$6:$BB$47,40,0)</f>
        <v>0</v>
      </c>
      <c r="H15" s="7" t="str">
        <f>IF(G15=0,"",VLOOKUP($A15,[6]HISTOFEV25!$A$6:$AV$47,42,0))</f>
        <v/>
      </c>
      <c r="I15" s="7">
        <f>VLOOKUP($A15,[6]HISTODEC25!$A$6:$BB$47,41,0)</f>
        <v>0</v>
      </c>
      <c r="J15" s="7">
        <f>+TONTNOV25!F15+TONTNOV25!G15</f>
        <v>203000</v>
      </c>
      <c r="K15" s="7">
        <f>VLOOKUP($A15,[6]HISTODEC25!$A$6:$BB$47,18,0)</f>
        <v>203000</v>
      </c>
      <c r="L15" s="7" t="s">
        <v>11</v>
      </c>
      <c r="M15" s="7" t="str">
        <f>IF(P15&lt;&gt;0,VLOOKUP($A15,[6]HISTODEC25!$A$6:$BB$47,32,0),"ECHEC")</f>
        <v>ECHEC</v>
      </c>
      <c r="N15" s="7">
        <f>VLOOKUP($A15,[6]HISTODEC25!$A$6:$BB$47,33,0)</f>
        <v>0</v>
      </c>
      <c r="O15" s="7">
        <f t="shared" si="0"/>
        <v>0</v>
      </c>
      <c r="P15" s="7">
        <f>VLOOKUP($A15,[6]HISTODEC25!$A$6:$BB$47,31,0)</f>
        <v>0</v>
      </c>
    </row>
    <row r="16" spans="1:16" hidden="1" x14ac:dyDescent="0.35">
      <c r="A16" s="1" t="s">
        <v>10</v>
      </c>
      <c r="B16" s="7">
        <f>IF(D16=0,0,VLOOKUP($A16,[6]HISTODEC25!$A$6:$BQ$47,14,0))</f>
        <v>1</v>
      </c>
      <c r="C16" s="1" t="str">
        <f>VLOOKUP(A16,[7]LISTADHERENT!A$5:H$60,3,0)</f>
        <v>NGONDIEP CLAUDE</v>
      </c>
      <c r="D16" s="7">
        <f>IF(E16="ECHEC",0,VLOOKUP($A16,[6]HISTODEC25!$A$6:$BB$47,15,0))</f>
        <v>100000</v>
      </c>
      <c r="E16" s="7" t="str">
        <f>VLOOKUP($A16,[6]HISTODEC25!$A$6:$BB$47,9,0)</f>
        <v>BANQUE</v>
      </c>
      <c r="F16" s="7">
        <f>VLOOKUP($A16,[6]HISTODEC25!$A$6:$BB$47,37,0)</f>
        <v>0</v>
      </c>
      <c r="G16" s="7">
        <f>VLOOKUP($A16,[6]HISTODEC25!$A$6:$BB$47,40,0)</f>
        <v>0</v>
      </c>
      <c r="H16" s="7" t="str">
        <f>IF(G16=0,"",VLOOKUP($A16,[6]HISTOFEV25!$A$6:$AV$47,42,0))</f>
        <v/>
      </c>
      <c r="I16" s="7">
        <f>VLOOKUP($A16,[6]HISTODEC25!$A$6:$BB$47,41,0)</f>
        <v>0</v>
      </c>
      <c r="J16" s="7">
        <f>+TONTNOV25!F16+TONTNOV25!G16</f>
        <v>203000</v>
      </c>
      <c r="K16" s="7">
        <f>VLOOKUP($A16,[6]HISTODEC25!$A$6:$BB$47,18,0)</f>
        <v>203000</v>
      </c>
      <c r="L16" s="7" t="str">
        <f>IF(K16&lt;&gt;0,VLOOKUP($A16,[6]HISTODEC25!$A$6:$BB$47,42,0),"ECHEC")</f>
        <v>BANQUE</v>
      </c>
      <c r="M16" s="7" t="str">
        <f>IF(P16&lt;&gt;0,VLOOKUP($A16,[6]HISTODEC25!$A$6:$BB$47,32,0),"ECHEC")</f>
        <v>ECHEC</v>
      </c>
      <c r="N16" s="7">
        <f>VLOOKUP($A16,[6]HISTODEC25!$A$6:$BB$47,33,0)</f>
        <v>0</v>
      </c>
      <c r="O16" s="7">
        <f t="shared" si="0"/>
        <v>0</v>
      </c>
      <c r="P16" s="7">
        <f>VLOOKUP($A16,[6]HISTODEC25!$A$6:$BB$47,31,0)</f>
        <v>0</v>
      </c>
    </row>
    <row r="17" spans="1:16" hidden="1" x14ac:dyDescent="0.35">
      <c r="A17" s="1" t="s">
        <v>43</v>
      </c>
      <c r="B17" s="7">
        <f>IF(D17=0,0,VLOOKUP($A17,[6]HISTODEC25!$A$6:$BQ$47,14,0))</f>
        <v>2</v>
      </c>
      <c r="C17" s="1" t="str">
        <f>VLOOKUP(A17,[7]LISTADHERENT!A$5:H$60,3,0)</f>
        <v>NGUIEMEGNI MATHIEU BLAISE</v>
      </c>
      <c r="D17" s="7">
        <f>IF(E17="ECHEC",0,VLOOKUP($A17,[6]HISTODEC25!$A$6:$BB$47,15,0))</f>
        <v>200000</v>
      </c>
      <c r="E17" s="7" t="str">
        <f>VLOOKUP($A17,[6]HISTODEC25!$A$6:$BB$47,9,0)</f>
        <v>BANQUE</v>
      </c>
      <c r="F17" s="7">
        <f>VLOOKUP($A17,[6]HISTODEC25!$A$6:$BB$47,37,0)</f>
        <v>0</v>
      </c>
      <c r="G17" s="7">
        <f>VLOOKUP($A17,[6]HISTODEC25!$A$6:$BB$47,40,0)</f>
        <v>0</v>
      </c>
      <c r="H17" s="7" t="str">
        <f>IF(G17=0,"",VLOOKUP($A17,[6]HISTOFEV25!$A$6:$AV$47,42,0))</f>
        <v/>
      </c>
      <c r="I17" s="7">
        <f>VLOOKUP($A17,[6]HISTODEC25!$A$6:$BB$47,41,0)</f>
        <v>0</v>
      </c>
      <c r="J17" s="7">
        <f>+TONTNOV25!F17+TONTNOV25!G17</f>
        <v>206500</v>
      </c>
      <c r="K17" s="7">
        <f>VLOOKUP($A17,[6]HISTODEC25!$A$6:$BB$47,18,0)</f>
        <v>206500</v>
      </c>
      <c r="L17" s="7" t="str">
        <f>IF(K17&lt;&gt;0,VLOOKUP($A17,[6]HISTODEC25!$A$6:$BB$47,42,0),"ECHEC")</f>
        <v>BANQUE</v>
      </c>
      <c r="M17" s="7" t="str">
        <f>IF(P17&lt;&gt;0,VLOOKUP($A17,[6]HISTODEC25!$A$6:$BB$47,32,0),"ECHEC")</f>
        <v>ECHEC</v>
      </c>
      <c r="N17" s="7">
        <f>VLOOKUP($A17,[6]HISTODEC25!$A$6:$BB$47,33,0)</f>
        <v>0</v>
      </c>
      <c r="O17" s="7">
        <f t="shared" si="0"/>
        <v>0</v>
      </c>
      <c r="P17" s="7">
        <f>VLOOKUP($A17,[6]HISTODEC25!$A$6:$BB$47,31,0)</f>
        <v>0</v>
      </c>
    </row>
    <row r="18" spans="1:16" x14ac:dyDescent="0.35">
      <c r="A18" s="1" t="s">
        <v>54</v>
      </c>
      <c r="B18" s="7">
        <f>IF(D18=0,0,VLOOKUP($A18,[6]HISTODEC25!$A$6:$BQ$47,14,0))</f>
        <v>2</v>
      </c>
      <c r="C18" s="1" t="str">
        <f>VLOOKUP(A18,[7]LISTADHERENT!A$5:H$60,3,0)</f>
        <v>SIME BRICE</v>
      </c>
      <c r="D18" s="7">
        <f>IF(E18="ECHEC",0,VLOOKUP($A18,[6]HISTODEC25!$A$6:$BB$47,15,0))</f>
        <v>200000</v>
      </c>
      <c r="E18" s="7" t="str">
        <f>VLOOKUP($A18,[6]HISTODEC25!$A$6:$BB$47,9,0)</f>
        <v>BANQUE</v>
      </c>
      <c r="F18" s="7">
        <f>VLOOKUP($A18,[6]HISTODEC25!$A$6:$BB$47,37,0)</f>
        <v>0</v>
      </c>
      <c r="G18" s="7">
        <f>VLOOKUP($A18,[6]HISTODEC25!$A$6:$BB$47,40,0)</f>
        <v>0</v>
      </c>
      <c r="H18" s="7" t="str">
        <f>IF(G18=0,"",VLOOKUP($A18,[6]HISTOFEV25!$A$6:$AV$47,42,0))</f>
        <v/>
      </c>
      <c r="I18" s="7">
        <f>VLOOKUP($A18,[6]HISTODEC25!$A$6:$BB$47,41,0)</f>
        <v>0</v>
      </c>
      <c r="J18" s="7">
        <f>+TONTNOV25!F18+TONTNOV25!G18</f>
        <v>203000</v>
      </c>
      <c r="K18" s="7">
        <f>VLOOKUP($A18,[6]HISTODEC25!$A$6:$BB$47,18,0)</f>
        <v>203000</v>
      </c>
      <c r="L18" s="7" t="s">
        <v>11</v>
      </c>
      <c r="M18" s="7" t="str">
        <f>IF(P18&lt;&gt;0,VLOOKUP($A18,[6]HISTODEC25!$A$6:$BB$47,32,0),"ECHEC")</f>
        <v>ECHEC</v>
      </c>
      <c r="N18" s="7">
        <f>VLOOKUP($A18,[6]HISTODEC25!$A$6:$BB$47,33,0)</f>
        <v>0</v>
      </c>
      <c r="O18" s="7">
        <f t="shared" si="0"/>
        <v>0</v>
      </c>
      <c r="P18" s="7">
        <f>VLOOKUP($A18,[6]HISTODEC25!$A$6:$BB$47,31,0)</f>
        <v>0</v>
      </c>
    </row>
    <row r="19" spans="1:16" hidden="1" x14ac:dyDescent="0.35">
      <c r="A19" s="1" t="s">
        <v>55</v>
      </c>
      <c r="B19" s="7">
        <f>IF(D19=0,0,VLOOKUP($A19,[6]HISTODEC25!$A$6:$BQ$47,14,0))</f>
        <v>1</v>
      </c>
      <c r="C19" s="1" t="str">
        <f>VLOOKUP(A19,[7]LISTADHERENT!A$5:H$60,3,0)</f>
        <v>TCHOUATEU AUGUSTIN</v>
      </c>
      <c r="D19" s="7">
        <f>IF(E19="ECHEC",0,VLOOKUP($A19,[6]HISTODEC25!$A$6:$BB$47,15,0))</f>
        <v>100000</v>
      </c>
      <c r="E19" s="7" t="str">
        <f>VLOOKUP($A19,[6]HISTODEC25!$A$6:$BB$47,9,0)</f>
        <v>BANQUE</v>
      </c>
      <c r="F19" s="7">
        <f>VLOOKUP($A19,[6]HISTODEC25!$A$6:$BB$47,37,0)</f>
        <v>0</v>
      </c>
      <c r="G19" s="7">
        <f>VLOOKUP($A19,[6]HISTODEC25!$A$6:$BB$47,40,0)</f>
        <v>0</v>
      </c>
      <c r="H19" s="7" t="str">
        <f>IF(G19=0,"",VLOOKUP($A19,[6]HISTOFEV25!$A$6:$AV$47,42,0))</f>
        <v/>
      </c>
      <c r="I19" s="7">
        <f>VLOOKUP($A19,[6]HISTODEC25!$A$6:$BB$47,41,0)</f>
        <v>0</v>
      </c>
      <c r="J19" s="7">
        <f>+TONTNOV25!F19+TONTNOV25!G19</f>
        <v>103500</v>
      </c>
      <c r="K19" s="7">
        <f>VLOOKUP($A19,[6]HISTODEC25!$A$6:$BB$47,18,0)</f>
        <v>103500</v>
      </c>
      <c r="L19" s="7" t="str">
        <f>IF(K19&lt;&gt;0,VLOOKUP($A19,[6]HISTODEC25!$A$6:$BB$47,42,0),"ECHEC")</f>
        <v>BANQUE</v>
      </c>
      <c r="M19" s="7" t="str">
        <f>IF(P19&lt;&gt;0,VLOOKUP($A19,[6]HISTODEC25!$A$6:$BB$47,32,0),"ECHEC")</f>
        <v>ECHEC</v>
      </c>
      <c r="N19" s="7">
        <f>VLOOKUP($A19,[6]HISTODEC25!$A$6:$BB$47,33,0)</f>
        <v>0</v>
      </c>
      <c r="O19" s="7">
        <f t="shared" si="0"/>
        <v>0</v>
      </c>
      <c r="P19" s="7">
        <f>VLOOKUP($A19,[6]HISTODEC25!$A$6:$BB$47,31,0)</f>
        <v>0</v>
      </c>
    </row>
    <row r="20" spans="1:16" hidden="1" x14ac:dyDescent="0.35">
      <c r="A20" s="1" t="s">
        <v>46</v>
      </c>
      <c r="B20" s="7">
        <f>IF(D20=0,0,VLOOKUP($A20,[6]HISTODEC25!$A$6:$BQ$47,14,0))</f>
        <v>0</v>
      </c>
      <c r="C20" s="1" t="str">
        <f>VLOOKUP(A20,[7]LISTADHERENT!A$5:H$60,3,0)</f>
        <v>SIMO PIERRE</v>
      </c>
      <c r="D20" s="7">
        <f>IF(E20="ECHEC",0,VLOOKUP($A20,[6]HISTODEC25!$A$6:$BB$47,15,0))</f>
        <v>0</v>
      </c>
      <c r="E20" s="7" t="str">
        <f>VLOOKUP($A20,[6]HISTODEC25!$A$6:$BB$47,9,0)</f>
        <v>ECHEC</v>
      </c>
      <c r="F20" s="7">
        <f>VLOOKUP($A20,[6]HISTODEC25!$A$6:$BB$47,37,0)</f>
        <v>0</v>
      </c>
      <c r="G20" s="7">
        <f>VLOOKUP($A20,[6]HISTODEC25!$A$6:$BB$47,40,0)</f>
        <v>0</v>
      </c>
      <c r="H20" s="7" t="str">
        <f>IF(G20=0,"",VLOOKUP($A20,[6]HISTOFEV25!$A$6:$AV$47,42,0))</f>
        <v/>
      </c>
      <c r="I20" s="7">
        <f>VLOOKUP($A20,[6]HISTODEC25!$A$6:$BB$47,41,0)</f>
        <v>0</v>
      </c>
      <c r="J20" s="7">
        <f>+TONTNOV25!F20+TONTNOV25!G20</f>
        <v>0</v>
      </c>
      <c r="K20" s="7">
        <f>VLOOKUP($A20,[6]HISTODEC25!$A$6:$BB$47,18,0)</f>
        <v>0</v>
      </c>
      <c r="L20" s="7" t="str">
        <f>IF(K20&lt;&gt;0,VLOOKUP($A20,[6]HISTODEC25!$A$6:$BB$47,42,0),"ECHEC")</f>
        <v>ECHEC</v>
      </c>
      <c r="M20" s="7" t="str">
        <f>IF(P20&lt;&gt;0,VLOOKUP($A20,[6]HISTODEC25!$A$6:$BB$47,32,0),"ECHEC")</f>
        <v>ECHEC</v>
      </c>
      <c r="N20" s="7">
        <f>VLOOKUP($A20,[6]HISTODEC25!$A$6:$BB$47,33,0)</f>
        <v>0</v>
      </c>
      <c r="O20" s="7">
        <f t="shared" si="0"/>
        <v>0</v>
      </c>
      <c r="P20" s="7">
        <f>VLOOKUP($A20,[6]HISTODEC25!$A$6:$BB$47,31,0)</f>
        <v>0</v>
      </c>
    </row>
    <row r="21" spans="1:16" x14ac:dyDescent="0.35">
      <c r="A21" s="1" t="s">
        <v>53</v>
      </c>
      <c r="B21" s="7">
        <f>IF(D21=0,0,VLOOKUP($A21,[6]HISTODEC25!$A$6:$BQ$47,14,0))</f>
        <v>2</v>
      </c>
      <c r="C21" s="1" t="str">
        <f>VLOOKUP(A21,[7]LISTADHERENT!A$5:H$60,3,0)</f>
        <v>YIALA ALAIN OSCAR</v>
      </c>
      <c r="D21" s="7">
        <f>IF(E21="ECHEC",0,VLOOKUP($A21,[6]HISTODEC25!$A$6:$BB$47,15,0))</f>
        <v>200000</v>
      </c>
      <c r="E21" s="7" t="str">
        <f>VLOOKUP($A21,[6]HISTODEC25!$A$6:$BB$47,9,0)</f>
        <v>ESPECES</v>
      </c>
      <c r="F21" s="7">
        <f>VLOOKUP($A21,[6]HISTODEC25!$A$6:$BB$47,37,0)</f>
        <v>0</v>
      </c>
      <c r="G21" s="7">
        <f>VLOOKUP($A21,[6]HISTODEC25!$A$6:$BB$47,40,0)</f>
        <v>0</v>
      </c>
      <c r="H21" s="7" t="str">
        <f>IF(G21=0,"",VLOOKUP($A21,[6]HISTOFEV25!$A$6:$AV$47,42,0))</f>
        <v/>
      </c>
      <c r="I21" s="7">
        <f>VLOOKUP($A21,[6]HISTODEC25!$A$6:$BB$47,41,0)</f>
        <v>0</v>
      </c>
      <c r="J21" s="7">
        <f>+TONTNOV25!F21+TONTNOV25!G21</f>
        <v>203000</v>
      </c>
      <c r="K21" s="7">
        <f>VLOOKUP($A21,[6]HISTODEC25!$A$6:$BB$47,18,0)</f>
        <v>203000</v>
      </c>
      <c r="L21" s="7" t="s">
        <v>11</v>
      </c>
      <c r="M21" s="7" t="str">
        <f>IF(P21&lt;&gt;0,VLOOKUP($A21,[6]HISTODEC25!$A$6:$BB$47,32,0),"ECHEC")</f>
        <v>ECHEC</v>
      </c>
      <c r="N21" s="7">
        <f>VLOOKUP($A21,[6]HISTODEC25!$A$6:$BB$47,33,0)</f>
        <v>0</v>
      </c>
      <c r="O21" s="7">
        <f t="shared" si="0"/>
        <v>0</v>
      </c>
      <c r="P21" s="7">
        <f>VLOOKUP($A21,[6]HISTODEC25!$A$6:$BB$47,31,0)</f>
        <v>0</v>
      </c>
    </row>
    <row r="22" spans="1:16" hidden="1" x14ac:dyDescent="0.35">
      <c r="A22" s="1" t="s">
        <v>61</v>
      </c>
      <c r="B22" s="7">
        <f>IF(D22=0,0,VLOOKUP($A22,[6]HISTODEC25!$A$6:$BQ$47,14,0))</f>
        <v>1</v>
      </c>
      <c r="C22" s="1" t="str">
        <f>VLOOKUP(A22,[7]LISTADHERENT!A$5:H$60,3,0)</f>
        <v>YOUMBI EMMANUEL</v>
      </c>
      <c r="D22" s="7">
        <f>IF(E22="ECHEC",0,VLOOKUP($A22,[6]HISTODEC25!$A$6:$BB$47,15,0))</f>
        <v>100000</v>
      </c>
      <c r="E22" s="7" t="str">
        <f>VLOOKUP($A22,[6]HISTODEC25!$A$6:$BB$47,9,0)</f>
        <v>BANQUE</v>
      </c>
      <c r="F22" s="7">
        <f>VLOOKUP($A22,[6]HISTODEC25!$A$6:$BB$47,37,0)</f>
        <v>0</v>
      </c>
      <c r="G22" s="7">
        <f>VLOOKUP($A22,[6]HISTODEC25!$A$6:$BB$47,40,0)</f>
        <v>0</v>
      </c>
      <c r="H22" s="7" t="str">
        <f>IF(G22=0,"",VLOOKUP($A22,[6]HISTOFEV25!$A$6:$AV$47,42,0))</f>
        <v/>
      </c>
      <c r="I22" s="7">
        <f>VLOOKUP($A22,[6]HISTODEC25!$A$6:$BB$47,41,0)</f>
        <v>0</v>
      </c>
      <c r="J22" s="7">
        <f>+TONTNOV25!F22+TONTNOV25!G22</f>
        <v>0</v>
      </c>
      <c r="K22" s="7">
        <f>VLOOKUP($A22,[6]HISTODEC25!$A$6:$BB$47,18,0)</f>
        <v>0</v>
      </c>
      <c r="L22" s="7" t="str">
        <f>IF(K22&lt;&gt;0,VLOOKUP($A22,[6]HISTODEC25!$A$6:$BB$47,42,0),"ECHEC")</f>
        <v>ECHEC</v>
      </c>
      <c r="M22" s="7" t="str">
        <f>IF(P22&lt;&gt;0,VLOOKUP($A22,[6]HISTODEC25!$A$6:$BB$47,32,0),"ECHEC")</f>
        <v>ECHEC</v>
      </c>
      <c r="N22" s="7">
        <f>VLOOKUP($A22,[6]HISTODEC25!$A$6:$BB$47,33,0)</f>
        <v>0</v>
      </c>
      <c r="O22" s="7">
        <f t="shared" si="0"/>
        <v>0</v>
      </c>
      <c r="P22" s="7">
        <f>VLOOKUP($A22,[6]HISTODEC25!$A$6:$BB$47,31,0)</f>
        <v>0</v>
      </c>
    </row>
    <row r="23" spans="1:16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</row>
    <row r="24" spans="1:16" ht="17.5" x14ac:dyDescent="0.35">
      <c r="A24" s="1" t="s">
        <v>40</v>
      </c>
      <c r="B24" s="8">
        <f>SUM(B6:B22)</f>
        <v>23</v>
      </c>
      <c r="G24" s="10"/>
    </row>
    <row r="25" spans="1:16" ht="17.5" x14ac:dyDescent="0.35">
      <c r="A25" s="1" t="s">
        <v>41</v>
      </c>
      <c r="B25" s="15">
        <f>+COUNT(D6:D22)</f>
        <v>17</v>
      </c>
      <c r="C25" s="8"/>
      <c r="D25" s="8">
        <f>SUM(D6:D22)</f>
        <v>2300000</v>
      </c>
      <c r="E25" s="8">
        <f t="shared" ref="E25:P25" si="1">SUM(E6:E22)</f>
        <v>0</v>
      </c>
      <c r="F25" s="8">
        <f t="shared" si="1"/>
        <v>0</v>
      </c>
      <c r="G25" s="8">
        <f>SUM(G6:G22)</f>
        <v>0</v>
      </c>
      <c r="H25" s="8">
        <f t="shared" si="1"/>
        <v>0</v>
      </c>
      <c r="I25" s="8">
        <f t="shared" si="1"/>
        <v>0</v>
      </c>
      <c r="J25" s="8">
        <f t="shared" si="1"/>
        <v>2569500</v>
      </c>
      <c r="K25" s="8">
        <f t="shared" si="1"/>
        <v>2569500</v>
      </c>
      <c r="L25" s="8">
        <f t="shared" si="1"/>
        <v>0</v>
      </c>
      <c r="M25" s="8">
        <f t="shared" si="1"/>
        <v>0</v>
      </c>
      <c r="N25" s="8">
        <f t="shared" si="1"/>
        <v>0</v>
      </c>
      <c r="O25" s="8">
        <f t="shared" si="1"/>
        <v>0</v>
      </c>
      <c r="P25" s="8">
        <f t="shared" si="1"/>
        <v>0</v>
      </c>
    </row>
    <row r="26" spans="1:16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</row>
    <row r="27" spans="1:16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D31+E31+P25+TONTFEV25!N32+2400000</f>
        <v>4476000</v>
      </c>
      <c r="M27" s="5"/>
      <c r="N27"/>
      <c r="O27" s="5"/>
    </row>
    <row r="28" spans="1:16" s="2" customFormat="1" ht="17.5" x14ac:dyDescent="0.35">
      <c r="C28" s="8" t="s">
        <v>11</v>
      </c>
      <c r="D28" s="8">
        <f>SUMIFS(D6:D22,E6:E22,"ESPECES")</f>
        <v>700000</v>
      </c>
      <c r="E28" s="8">
        <f>SUMIFS(K6:K22,L6:L22,"ESPECES")</f>
        <v>1266500</v>
      </c>
      <c r="F28" s="8">
        <f>SUMIFS(F6:F22,H6:H22,"ESPECES")</f>
        <v>0</v>
      </c>
      <c r="G28" s="8">
        <f>SUMIFS(O6:O22,M6:M22,"ESPECES")</f>
        <v>0</v>
      </c>
      <c r="H28" s="8">
        <f>D28+E28-F28-G28</f>
        <v>1966500</v>
      </c>
      <c r="I28" s="8"/>
      <c r="K28" s="8" t="s">
        <v>34</v>
      </c>
      <c r="L28" s="8">
        <f>C3*COUNTIF(O6:O22,"&gt;0")</f>
        <v>0</v>
      </c>
      <c r="M28" s="8">
        <f>D3</f>
        <v>3</v>
      </c>
      <c r="N28" s="8">
        <f>COUNTIF(O6:O21,"&gt;0")</f>
        <v>0</v>
      </c>
      <c r="O28" s="8"/>
    </row>
    <row r="29" spans="1:16" s="2" customFormat="1" ht="17.5" x14ac:dyDescent="0.35">
      <c r="C29" s="8" t="s">
        <v>7</v>
      </c>
      <c r="D29" s="8">
        <f>SUMIFS(D6:D22,E6:E22,"BANQUE")</f>
        <v>1600000</v>
      </c>
      <c r="E29" s="8">
        <f>SUMIFS(K6:K22,L6:L22,"BANQUE")</f>
        <v>1134500</v>
      </c>
      <c r="F29" s="8">
        <f>SUMIFS(F6:F22,H6:H22,"BANQUE")</f>
        <v>0</v>
      </c>
      <c r="G29" s="8">
        <f>SUMIFS(O6:O22,M6:M22,"BANQUE")</f>
        <v>0</v>
      </c>
      <c r="H29" s="8">
        <f>D29+E29-F29-G29</f>
        <v>2734500</v>
      </c>
      <c r="I29" s="8"/>
      <c r="L29" s="8"/>
      <c r="M29" s="8"/>
      <c r="N29" s="8"/>
      <c r="O29" s="8"/>
    </row>
    <row r="30" spans="1:16" s="2" customFormat="1" ht="17.5" x14ac:dyDescent="0.35">
      <c r="D30" s="8"/>
      <c r="E30" s="8"/>
      <c r="F30" s="8"/>
      <c r="G30" s="8"/>
      <c r="I30" s="8"/>
      <c r="K30" s="8" t="s">
        <v>23</v>
      </c>
      <c r="L30" s="8">
        <f>+L27-L28+251000</f>
        <v>4727000</v>
      </c>
      <c r="M30" s="8"/>
      <c r="N30" s="8"/>
      <c r="O30" s="8"/>
    </row>
    <row r="31" spans="1:16" s="2" customFormat="1" ht="17.5" x14ac:dyDescent="0.35">
      <c r="C31" s="8" t="s">
        <v>45</v>
      </c>
      <c r="D31" s="8">
        <f>D28+D29</f>
        <v>2300000</v>
      </c>
      <c r="E31" s="8">
        <f>E28+E29</f>
        <v>2401000</v>
      </c>
      <c r="F31" s="8">
        <f>F28+F29</f>
        <v>0</v>
      </c>
      <c r="G31" s="8">
        <f t="shared" ref="G31:H31" si="2">G28+G29</f>
        <v>0</v>
      </c>
      <c r="H31" s="8">
        <f t="shared" si="2"/>
        <v>4701000</v>
      </c>
      <c r="I31" s="8"/>
      <c r="L31" s="8"/>
      <c r="M31" s="8"/>
      <c r="N31" s="8"/>
      <c r="O31" s="8"/>
    </row>
    <row r="32" spans="1:16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4727000</v>
      </c>
      <c r="M32"/>
      <c r="N32" s="8">
        <f>L32</f>
        <v>4727000</v>
      </c>
      <c r="O32" s="8" t="s">
        <v>28</v>
      </c>
    </row>
    <row r="33" spans="1:15" s="2" customFormat="1" x14ac:dyDescent="0.35">
      <c r="D33" s="5"/>
      <c r="E33"/>
      <c r="F33"/>
      <c r="G33" s="3"/>
      <c r="H33" s="3"/>
      <c r="I33" s="3"/>
      <c r="M33"/>
      <c r="N33" s="3"/>
      <c r="O33" s="3"/>
    </row>
    <row r="34" spans="1:15" ht="17.5" x14ac:dyDescent="0.35">
      <c r="K34" s="8" t="s">
        <v>35</v>
      </c>
      <c r="L34" s="8">
        <f>COUNTIFS(E6:E29,"ECHEC")*100000</f>
        <v>100000</v>
      </c>
      <c r="N34" s="8">
        <f>L34+TONTFEV25!N34</f>
        <v>100000</v>
      </c>
      <c r="O34" s="8" t="s">
        <v>28</v>
      </c>
    </row>
    <row r="35" spans="1:15" ht="17.5" x14ac:dyDescent="0.35">
      <c r="K35" s="8" t="s">
        <v>36</v>
      </c>
      <c r="L35" s="8">
        <f>J25-E31</f>
        <v>168500</v>
      </c>
      <c r="N35" s="8">
        <f>L35+TONTFEV25!N35</f>
        <v>168500</v>
      </c>
      <c r="O35" s="8" t="s">
        <v>28</v>
      </c>
    </row>
    <row r="36" spans="1:15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</row>
    <row r="37" spans="1:15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</row>
  </sheetData>
  <autoFilter ref="A5:P22" xr:uid="{00000000-0009-0000-0000-000001000000}">
    <filterColumn colId="11">
      <filters>
        <filter val="ESPECES"/>
      </filters>
    </filterColumn>
    <sortState ref="A5:N51">
      <sortCondition ref="C5:C51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D85D-C934-44C4-BDE9-CB017A38ECB1}">
  <dimension ref="A1:W37"/>
  <sheetViews>
    <sheetView workbookViewId="0">
      <pane xSplit="3" ySplit="5" topLeftCell="D21" activePane="bottomRight" state="frozen"/>
      <selection activeCell="G6" sqref="G6:G39"/>
      <selection pane="topRight" activeCell="G6" sqref="G6:G39"/>
      <selection pane="bottomLeft" activeCell="G6" sqref="G6:G39"/>
      <selection pane="bottomRight" activeCell="I24" sqref="I24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5" width="18.1796875" style="2" customWidth="1"/>
    <col min="16" max="16" width="22.26953125" style="2" customWidth="1"/>
    <col min="17" max="17" width="16.81640625" customWidth="1"/>
    <col min="19" max="19" width="16.26953125" customWidth="1"/>
    <col min="20" max="20" width="13.08984375" bestFit="1" customWidth="1"/>
    <col min="22" max="22" width="12.54296875" customWidth="1"/>
  </cols>
  <sheetData>
    <row r="1" spans="1:20" x14ac:dyDescent="0.35">
      <c r="A1" s="1" t="s">
        <v>0</v>
      </c>
      <c r="B1" s="1" t="s">
        <v>1</v>
      </c>
      <c r="D1" s="1"/>
      <c r="E1" s="1"/>
      <c r="L1" s="1"/>
      <c r="M1" s="1"/>
    </row>
    <row r="2" spans="1:20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20" x14ac:dyDescent="0.35">
      <c r="A3" s="1" t="s">
        <v>38</v>
      </c>
      <c r="B3" s="4">
        <v>100000</v>
      </c>
      <c r="C3" s="4">
        <f>B3*12</f>
        <v>1200000</v>
      </c>
      <c r="D3" s="1">
        <f>ROUNDDOWN(L27/C3,0)</f>
        <v>0</v>
      </c>
      <c r="E3" s="1"/>
      <c r="L3" s="1"/>
      <c r="M3" s="1"/>
    </row>
    <row r="4" spans="1:20" s="12" customFormat="1" ht="17.5" x14ac:dyDescent="0.35">
      <c r="B4" s="13"/>
      <c r="C4" s="37" t="s">
        <v>56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20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  <c r="Q5" s="5" t="s">
        <v>48</v>
      </c>
      <c r="R5" s="5" t="s">
        <v>49</v>
      </c>
      <c r="S5" s="5" t="s">
        <v>51</v>
      </c>
      <c r="T5" s="5" t="s">
        <v>57</v>
      </c>
    </row>
    <row r="6" spans="1:20" ht="18.5" x14ac:dyDescent="0.45">
      <c r="A6" s="1" t="s">
        <v>44</v>
      </c>
      <c r="B6" s="7">
        <f>TONTJANV25!B6+TONTFEV25!B6+TONTMARS25!B6+TONTAVRIL25!B6+TONTMAI25!B6+TONTJUIN25!B6+TONTJUIL25!B6+TONTAOUT25!B6+TONTSEPT25!B6+TONTOCT25!B6+TONTNOV25!B6+TONTDEC25!B6</f>
        <v>12</v>
      </c>
      <c r="C6" s="1" t="str">
        <f>VLOOKUP(A6,[7]LISTADHERENT!A$5:H$60,3,0)</f>
        <v>ASELBY</v>
      </c>
      <c r="D6" s="7">
        <f>TONTJANV25!D6+TONTFEV25!D6+TONTMARS25!D6+TONTAVRIL25!D6+TONTMAI25!D6+TONTJUIN25!D6+TONTJUIL25!D6+TONTAOUT25!D6+TONTSEPT25!D6+TONTOCT25!D6+TONTNOV25!D6+TONTDEC25!D6</f>
        <v>1200000</v>
      </c>
      <c r="E6" s="7"/>
      <c r="F6" s="7">
        <f>TONTJANV25!F6+TONTFEV25!F6+TONTMARS25!F6+TONTAVRIL25!F6+TONTMAI25!F6+TONTJUIN25!F6+TONTJUIL25!F6+TONTAOUT25!F6+TONTSEPT25!F6+TONTOCT25!F6+TONTNOV25!F6+TONTDEC25!F6</f>
        <v>0</v>
      </c>
      <c r="G6" s="7">
        <f>TONTJANV25!G6+TONTFEV25!G6+TONTMARS25!G6+TONTAVRIL25!G6+TONTMAI25!G6+TONTJUIN25!G6+TONTJUIL25!G6+TONTAOUT25!G6+TONTSEPT25!G6+TONTOCT25!G6+TONTNOV25!G6+TONTDEC25!G6</f>
        <v>0</v>
      </c>
      <c r="H6" s="7"/>
      <c r="I6" s="7">
        <f>TONTJANV25!I6+TONTFEV25!I6+TONTMARS25!I6+TONTAVRIL25!I6+TONTMAI25!I6+TONTJUIN25!I6+TONTJUIL25!I6+TONTAOUT25!I6+TONTSEPT25!I6+TONTOCT25!I6+TONTNOV25!I6+TONTDEC25!I6</f>
        <v>0</v>
      </c>
      <c r="J6" s="7">
        <f>TONTJANV25!J6+TONTFEV25!J6+TONTMARS25!J6+TONTAVRIL25!J6+TONTMAI25!J6+TONTJUIN25!J6+TONTJUIL25!J6+TONTAOUT25!J6+TONTSEPT25!J6+TONTOCT25!J6+TONTNOV25!J6+TONTDEC25!J6</f>
        <v>0</v>
      </c>
      <c r="K6" s="7">
        <f>TONTJANV25!K6+TONTFEV25!K6+TONTMARS25!K6+TONTAVRIL25!K6+TONTMAI25!K6+TONTJUIN25!K6+TONTJUIL25!K6+TONTAOUT25!K6+TONTSEPT25!K6+TONTOCT25!K6+TONTNOV25!K6+TONTDEC25!K6</f>
        <v>0</v>
      </c>
      <c r="L6" s="7"/>
      <c r="N6" s="7">
        <f>TONTJANV25!N6+TONTFEV25!N6+TONTMARS25!N6+TONTAVRIL25!N6+TONTMAI25!N6+TONTJUIN25!N6+TONTJUIL25!N6+TONTAOUT25!N6+TONTSEPT25!N6+TONTOCT25!N6+TONTNOV25!N6+TONTDEC25!N6</f>
        <v>0</v>
      </c>
      <c r="O6" s="7">
        <f>TONTJANV25!O6+TONTFEV25!O6+TONTMARS25!O6+TONTAVRIL25!O6+TONTMAI25!O6+TONTJUIN25!O6+TONTJUIL25!O6+TONTAOUT25!O6+TONTSEPT25!O6+TONTOCT25!O6+TONTNOV25!O6+TONTDEC25!O6</f>
        <v>1190000</v>
      </c>
      <c r="P6" s="7">
        <f>TONTJANV25!P6+TONTFEV25!P6+TONTMARS25!P6+TONTAVRIL25!P6+TONTMAI25!P6+TONTJUIN25!P6+TONTJUIL25!P6+TONTAOUT25!P6+TONTSEPT25!P6+TONTOCT25!P6+TONTNOV25!P6+TONTDEC25!P6</f>
        <v>10000</v>
      </c>
      <c r="Q6" s="16">
        <v>45825</v>
      </c>
      <c r="R6" s="16"/>
      <c r="S6" s="8">
        <f>$Q$31*TONTJANV25!B6</f>
        <v>51833.333333333336</v>
      </c>
      <c r="T6" s="8">
        <v>48000</v>
      </c>
    </row>
    <row r="7" spans="1:20" ht="18.5" x14ac:dyDescent="0.45">
      <c r="A7" s="1" t="s">
        <v>47</v>
      </c>
      <c r="B7" s="7">
        <f>TONTJANV25!B7+TONTFEV25!B7+TONTMARS25!B7+TONTAVRIL25!B7+TONTMAI25!B7+TONTJUIN25!B7+TONTJUIL25!B7+TONTAOUT25!B7+TONTSEPT25!B7+TONTOCT25!B7+TONTNOV25!B7+TONTDEC25!B7</f>
        <v>24</v>
      </c>
      <c r="C7" s="1" t="str">
        <f>VLOOKUP(A7,[7]LISTADHERENT!A$5:H$60,3,0)</f>
        <v xml:space="preserve">DJOMO JEAN PAUL </v>
      </c>
      <c r="D7" s="7">
        <f>TONTJANV25!D7+TONTFEV25!D7+TONTMARS25!D7+TONTAVRIL25!D7+TONTMAI25!D7+TONTJUIN25!D7+TONTJUIL25!D7+TONTAOUT25!D7+TONTSEPT25!D7+TONTOCT25!D7+TONTNOV25!D7+TONTDEC25!D7</f>
        <v>2400000</v>
      </c>
      <c r="E7" s="7"/>
      <c r="F7" s="7">
        <f>TONTJANV25!F7+TONTFEV25!F7+TONTMARS25!F7+TONTAVRIL25!F7+TONTMAI25!F7+TONTJUIN25!F7+TONTJUIL25!F7+TONTAOUT25!F7+TONTSEPT25!F7+TONTOCT25!F7+TONTNOV25!F7+TONTDEC25!F7</f>
        <v>1574500</v>
      </c>
      <c r="G7" s="7">
        <f>TONTJANV25!G7+TONTFEV25!G7+TONTMARS25!G7+TONTAVRIL25!G7+TONTMAI25!G7+TONTJUIN25!G7+TONTJUIL25!G7+TONTAOUT25!G7+TONTSEPT25!G7+TONTOCT25!G7+TONTNOV25!G7+TONTDEC25!G7</f>
        <v>32000</v>
      </c>
      <c r="H7" s="7"/>
      <c r="I7" s="7">
        <f>TONTJANV25!I7+TONTFEV25!I7+TONTMARS25!I7+TONTAVRIL25!I7+TONTMAI25!I7+TONTJUIN25!I7+TONTJUIL25!I7+TONTAOUT25!I7+TONTSEPT25!I7+TONTOCT25!I7+TONTNOV25!I7+TONTDEC25!I7</f>
        <v>0</v>
      </c>
      <c r="J7" s="7">
        <f>TONTJANV25!J7+TONTFEV25!J7+TONTMARS25!J7+TONTAVRIL25!J7+TONTMAI25!J7+TONTJUIN25!J7+TONTJUIL25!J7+TONTAOUT25!J7+TONTSEPT25!J7+TONTOCT25!J7+TONTNOV25!J7+TONTDEC25!J7</f>
        <v>1505500</v>
      </c>
      <c r="K7" s="7">
        <f>TONTJANV25!K7+TONTFEV25!K7+TONTMARS25!K7+TONTAVRIL25!K7+TONTMAI25!K7+TONTJUIN25!K7+TONTJUIL25!K7+TONTAOUT25!K7+TONTSEPT25!K7+TONTOCT25!K7+TONTNOV25!K7+TONTDEC25!K7</f>
        <v>1505500</v>
      </c>
      <c r="L7" s="7"/>
      <c r="N7" s="7">
        <f>TONTJANV25!N7+TONTFEV25!N7+TONTMARS25!N7+TONTAVRIL25!N7+TONTMAI25!N7+TONTJUIN25!N7+TONTJUIL25!N7+TONTAOUT25!N7+TONTSEPT25!N7+TONTOCT25!N7+TONTNOV25!N7+TONTDEC25!N7</f>
        <v>0</v>
      </c>
      <c r="O7" s="7">
        <f>TONTJANV25!O7+TONTFEV25!O7+TONTMARS25!O7+TONTAVRIL25!O7+TONTMAI25!O7+TONTJUIN25!O7+TONTJUIL25!O7+TONTAOUT25!O7+TONTSEPT25!O7+TONTOCT25!O7+TONTNOV25!O7+TONTDEC25!O7</f>
        <v>2310000</v>
      </c>
      <c r="P7" s="7">
        <f>TONTJANV25!P7+TONTFEV25!P7+TONTMARS25!P7+TONTAVRIL25!P7+TONTMAI25!P7+TONTJUIN25!P7+TONTJUIL25!P7+TONTAOUT25!P7+TONTSEPT25!P7+TONTOCT25!P7+TONTNOV25!P7+TONTDEC25!P7</f>
        <v>90000</v>
      </c>
      <c r="Q7" s="16">
        <v>45711</v>
      </c>
      <c r="R7" s="16">
        <v>45886</v>
      </c>
      <c r="S7" s="8">
        <f>$Q$31*TONTJANV25!B7</f>
        <v>103666.66666666667</v>
      </c>
      <c r="T7" s="8">
        <v>96000</v>
      </c>
    </row>
    <row r="8" spans="1:20" ht="18.5" x14ac:dyDescent="0.45">
      <c r="A8" s="1" t="s">
        <v>60</v>
      </c>
      <c r="B8" s="7">
        <f>TONTJANV25!B8+TONTFEV25!B8+TONTMARS25!B8+TONTAVRIL25!B8+TONTMAI25!B8+TONTJUIN25!B8+TONTJUIL25!B8+TONTAOUT25!B8+TONTSEPT25!B8+TONTOCT25!B8+TONTNOV25!B8+TONTDEC25!B8</f>
        <v>12</v>
      </c>
      <c r="C8" s="1" t="str">
        <f>VLOOKUP(A8,[7]LISTADHERENT!A$5:H$60,3,0)</f>
        <v>DJOUKWE NANGUEN GUY BLAISE</v>
      </c>
      <c r="D8" s="7">
        <f>TONTJANV25!D8+TONTFEV25!D8+TONTMARS25!D8+TONTAVRIL25!D8+TONTMAI25!D8+TONTJUIN25!D8+TONTJUIL25!D8+TONTAOUT25!D8+TONTSEPT25!D8+TONTOCT25!D8+TONTNOV25!D8+TONTDEC25!D8</f>
        <v>1200000</v>
      </c>
      <c r="E8" s="7"/>
      <c r="F8" s="7">
        <f>TONTJANV25!F8+TONTFEV25!F8+TONTMARS25!F8+TONTAVRIL25!F8+TONTMAI25!F8+TONTJUIN25!F8+TONTJUIL25!F8+TONTAOUT25!F8+TONTSEPT25!F8+TONTOCT25!F8+TONTNOV25!F8+TONTDEC25!F8</f>
        <v>1025000</v>
      </c>
      <c r="G8" s="7">
        <f>TONTJANV25!G8+TONTFEV25!G8+TONTMARS25!G8+TONTAVRIL25!G8+TONTMAI25!G8+TONTJUIN25!G8+TONTJUIL25!G8+TONTAOUT25!G8+TONTSEPT25!G8+TONTOCT25!G8+TONTNOV25!G8+TONTDEC25!G8</f>
        <v>25500</v>
      </c>
      <c r="H8" s="7"/>
      <c r="I8" s="7">
        <f>TONTJANV25!I8+TONTFEV25!I8+TONTMARS25!I8+TONTAVRIL25!I8+TONTMAI25!I8+TONTJUIN25!I8+TONTJUIL25!I8+TONTAOUT25!I8+TONTSEPT25!I8+TONTOCT25!I8+TONTNOV25!I8+TONTDEC25!I8</f>
        <v>0</v>
      </c>
      <c r="J8" s="7">
        <f>TONTJANV25!J8+TONTFEV25!J8+TONTMARS25!J8+TONTAVRIL25!J8+TONTMAI25!J8+TONTJUIN25!J8+TONTJUIL25!J8+TONTAOUT25!J8+TONTSEPT25!J8+TONTOCT25!J8+TONTNOV25!J8+TONTDEC25!J8</f>
        <v>1157000</v>
      </c>
      <c r="K8" s="7">
        <f>TONTJANV25!K8+TONTFEV25!K8+TONTMARS25!K8+TONTAVRIL25!K8+TONTMAI25!K8+TONTJUIN25!K8+TONTJUIL25!K8+TONTAOUT25!K8+TONTSEPT25!K8+TONTOCT25!K8+TONTNOV25!K8+TONTDEC25!K8</f>
        <v>1157000</v>
      </c>
      <c r="L8" s="7"/>
      <c r="N8" s="7">
        <f>TONTJANV25!N8+TONTFEV25!N8+TONTMARS25!N8+TONTAVRIL25!N8+TONTMAI25!N8+TONTJUIN25!N8+TONTJUIL25!N8+TONTAOUT25!N8+TONTSEPT25!N8+TONTOCT25!N8+TONTNOV25!N8+TONTDEC25!N8</f>
        <v>0</v>
      </c>
      <c r="O8" s="7">
        <f>TONTJANV25!O8+TONTFEV25!O8+TONTMARS25!O8+TONTAVRIL25!O8+TONTMAI25!O8+TONTJUIN25!O8+TONTJUIL25!O8+TONTAOUT25!O8+TONTSEPT25!O8+TONTOCT25!O8+TONTNOV25!O8+TONTDEC25!O8</f>
        <v>1165000</v>
      </c>
      <c r="P8" s="7">
        <f>TONTJANV25!P8+TONTFEV25!P8+TONTMARS25!P8+TONTAVRIL25!P8+TONTMAI25!P8+TONTJUIN25!P8+TONTJUIL25!P8+TONTAOUT25!P8+TONTSEPT25!P8+TONTOCT25!P8+TONTNOV25!P8+TONTDEC25!P8</f>
        <v>35000</v>
      </c>
      <c r="Q8" s="16">
        <v>45739</v>
      </c>
      <c r="R8" s="35"/>
      <c r="S8" s="8">
        <f>$Q$31*TONTJANV25!B8</f>
        <v>51833.333333333336</v>
      </c>
      <c r="T8" s="8">
        <v>48000</v>
      </c>
    </row>
    <row r="9" spans="1:20" ht="18.5" x14ac:dyDescent="0.45">
      <c r="A9" s="1" t="s">
        <v>20</v>
      </c>
      <c r="B9" s="7">
        <f>TONTJANV25!B9+TONTFEV25!B9+TONTMARS25!B9+TONTAVRIL25!B9+TONTMAI25!B9+TONTJUIN25!B9+TONTJUIL25!B9+TONTAOUT25!B9+TONTSEPT25!B9+TONTOCT25!B9+TONTNOV25!B9+TONTDEC25!B9</f>
        <v>24</v>
      </c>
      <c r="C9" s="1" t="str">
        <f>VLOOKUP(A9,[7]LISTADHERENT!A$5:H$60,3,0)</f>
        <v>DJUOMBESSY ANTOINE</v>
      </c>
      <c r="D9" s="7">
        <f>TONTJANV25!D9+TONTFEV25!D9+TONTMARS25!D9+TONTAVRIL25!D9+TONTMAI25!D9+TONTJUIN25!D9+TONTJUIL25!D9+TONTAOUT25!D9+TONTSEPT25!D9+TONTOCT25!D9+TONTNOV25!D9+TONTDEC25!D9</f>
        <v>2400000</v>
      </c>
      <c r="E9" s="7"/>
      <c r="F9" s="7">
        <f>TONTJANV25!F9+TONTFEV25!F9+TONTMARS25!F9+TONTAVRIL25!F9+TONTMAI25!F9+TONTJUIN25!F9+TONTJUIL25!F9+TONTAOUT25!F9+TONTSEPT25!F9+TONTOCT25!F9+TONTNOV25!F9+TONTDEC25!F9</f>
        <v>600000</v>
      </c>
      <c r="G9" s="7">
        <f>TONTJANV25!G9+TONTFEV25!G9+TONTMARS25!G9+TONTAVRIL25!G9+TONTMAI25!G9+TONTJUIN25!G9+TONTJUIL25!G9+TONTAOUT25!G9+TONTSEPT25!G9+TONTOCT25!G9+TONTNOV25!G9+TONTDEC25!G9</f>
        <v>12000</v>
      </c>
      <c r="H9" s="7"/>
      <c r="I9" s="7">
        <f>TONTJANV25!I9+TONTFEV25!I9+TONTMARS25!I9+TONTAVRIL25!I9+TONTMAI25!I9+TONTJUIN25!I9+TONTJUIL25!I9+TONTAOUT25!I9+TONTSEPT25!I9+TONTOCT25!I9+TONTNOV25!I9+TONTDEC25!I9</f>
        <v>0</v>
      </c>
      <c r="J9" s="7">
        <f>TONTJANV25!J9+TONTFEV25!J9+TONTMARS25!J9+TONTAVRIL25!J9+TONTMAI25!J9+TONTJUIN25!J9+TONTJUIL25!J9+TONTAOUT25!J9+TONTSEPT25!J9+TONTOCT25!J9+TONTNOV25!J9+TONTDEC25!J9</f>
        <v>815000</v>
      </c>
      <c r="K9" s="7">
        <f>TONTJANV25!K9+TONTFEV25!K9+TONTMARS25!K9+TONTAVRIL25!K9+TONTMAI25!K9+TONTJUIN25!K9+TONTJUIL25!K9+TONTAOUT25!K9+TONTSEPT25!K9+TONTOCT25!K9+TONTNOV25!K9+TONTDEC25!K9</f>
        <v>815000</v>
      </c>
      <c r="L9" s="7"/>
      <c r="N9" s="7">
        <f>TONTJANV25!N9+TONTFEV25!N9+TONTMARS25!N9+TONTAVRIL25!N9+TONTMAI25!N9+TONTJUIN25!N9+TONTJUIL25!N9+TONTAOUT25!N9+TONTSEPT25!N9+TONTOCT25!N9+TONTNOV25!N9+TONTDEC25!N9</f>
        <v>0</v>
      </c>
      <c r="O9" s="7">
        <f>TONTJANV25!O9+TONTFEV25!O9+TONTMARS25!O9+TONTAVRIL25!O9+TONTMAI25!O9+TONTJUIN25!O9+TONTJUIL25!O9+TONTAOUT25!O9+TONTSEPT25!O9+TONTOCT25!O9+TONTNOV25!O9+TONTDEC25!O9</f>
        <v>2355000</v>
      </c>
      <c r="P9" s="7">
        <f>TONTJANV25!P9+TONTFEV25!P9+TONTMARS25!P9+TONTAVRIL25!P9+TONTMAI25!P9+TONTJUIN25!P9+TONTJUIL25!P9+TONTAOUT25!P9+TONTSEPT25!P9+TONTOCT25!P9+TONTNOV25!P9+TONTDEC25!P9</f>
        <v>45000</v>
      </c>
      <c r="Q9" s="16">
        <v>45739</v>
      </c>
      <c r="R9" s="16">
        <v>45917</v>
      </c>
      <c r="S9" s="8">
        <f>$Q$31*TONTJANV25!B9</f>
        <v>103666.66666666667</v>
      </c>
      <c r="T9" s="8">
        <v>96000</v>
      </c>
    </row>
    <row r="10" spans="1:20" ht="18.5" x14ac:dyDescent="0.45">
      <c r="A10" s="1" t="s">
        <v>62</v>
      </c>
      <c r="B10" s="7">
        <f>TONTJANV25!B10+TONTFEV25!B10+TONTMARS25!B10+TONTAVRIL25!B10+TONTMAI25!B10+TONTJUIN25!B10+TONTJUIL25!B10+TONTAOUT25!B10+TONTSEPT25!B10+TONTOCT25!B10+TONTNOV25!B10+TONTDEC25!B10</f>
        <v>11</v>
      </c>
      <c r="C10" s="1" t="str">
        <f>VLOOKUP(A10,[7]LISTADHERENT!A$5:H$60,3,0)</f>
        <v>FAMPOU PAUL</v>
      </c>
      <c r="D10" s="7">
        <f>TONTJANV25!D10+TONTFEV25!D10+TONTMARS25!D10+TONTAVRIL25!D10+TONTMAI25!D10+TONTJUIN25!D10+TONTJUIL25!D10+TONTAOUT25!D10+TONTSEPT25!D10+TONTOCT25!D10+TONTNOV25!D10+TONTDEC25!D10</f>
        <v>1100000</v>
      </c>
      <c r="E10" s="7"/>
      <c r="F10" s="7">
        <f>TONTJANV25!F10+TONTFEV25!F10+TONTMARS25!F10+TONTAVRIL25!F10+TONTMAI25!F10+TONTJUIN25!F10+TONTJUIL25!F10+TONTAOUT25!F10+TONTSEPT25!F10+TONTOCT25!F10+TONTNOV25!F10+TONTDEC25!F10</f>
        <v>300000</v>
      </c>
      <c r="G10" s="7">
        <f>TONTJANV25!G10+TONTFEV25!G10+TONTMARS25!G10+TONTAVRIL25!G10+TONTMAI25!G10+TONTJUIN25!G10+TONTJUIL25!G10+TONTAOUT25!G10+TONTSEPT25!G10+TONTOCT25!G10+TONTNOV25!G10+TONTDEC25!G10</f>
        <v>31000</v>
      </c>
      <c r="H10" s="7"/>
      <c r="I10" s="7">
        <f>TONTJANV25!I10+TONTFEV25!I10+TONTMARS25!I10+TONTAVRIL25!I10+TONTMAI25!I10+TONTJUIN25!I10+TONTJUIL25!I10+TONTAOUT25!I10+TONTSEPT25!I10+TONTOCT25!I10+TONTNOV25!I10+TONTDEC25!I10</f>
        <v>0</v>
      </c>
      <c r="J10" s="7">
        <f>TONTJANV25!J10+TONTFEV25!J10+TONTMARS25!J10+TONTAVRIL25!J10+TONTMAI25!J10+TONTJUIN25!J10+TONTJUIL25!J10+TONTAOUT25!J10+TONTSEPT25!J10+TONTOCT25!J10+TONTNOV25!J10+TONTDEC25!J10</f>
        <v>331000</v>
      </c>
      <c r="K10" s="7">
        <f>TONTJANV25!K10+TONTFEV25!K10+TONTMARS25!K10+TONTAVRIL25!K10+TONTMAI25!K10+TONTJUIN25!K10+TONTJUIL25!K10+TONTAOUT25!K10+TONTSEPT25!K10+TONTOCT25!K10+TONTNOV25!K10+TONTDEC25!K10</f>
        <v>331000</v>
      </c>
      <c r="L10" s="7"/>
      <c r="N10" s="7">
        <f>TONTJANV25!N10+TONTFEV25!N10+TONTMARS25!N10+TONTAVRIL25!N10+TONTMAI25!N10+TONTJUIN25!N10+TONTJUIL25!N10+TONTAOUT25!N10+TONTSEPT25!N10+TONTOCT25!N10+TONTNOV25!N10+TONTDEC25!N10</f>
        <v>0</v>
      </c>
      <c r="O10" s="7">
        <f>TONTJANV25!O10+TONTFEV25!O10+TONTMARS25!O10+TONTAVRIL25!O10+TONTMAI25!O10+TONTJUIN25!O10+TONTJUIL25!O10+TONTAOUT25!O10+TONTSEPT25!O10+TONTOCT25!O10+TONTNOV25!O10+TONTDEC25!O10</f>
        <v>1185000</v>
      </c>
      <c r="P10" s="7">
        <f>TONTJANV25!P10+TONTFEV25!P10+TONTMARS25!P10+TONTAVRIL25!P10+TONTMAI25!P10+TONTJUIN25!P10+TONTJUIL25!P10+TONTAOUT25!P10+TONTSEPT25!P10+TONTOCT25!P10+TONTNOV25!P10+TONTDEC25!P10</f>
        <v>15000</v>
      </c>
      <c r="Q10" s="16">
        <v>45924</v>
      </c>
      <c r="S10" s="8">
        <f>$Q$31*1</f>
        <v>51833.333333333336</v>
      </c>
      <c r="T10" s="8">
        <v>48000</v>
      </c>
    </row>
    <row r="11" spans="1:20" ht="18.5" x14ac:dyDescent="0.45">
      <c r="A11" s="1" t="s">
        <v>21</v>
      </c>
      <c r="B11" s="7">
        <f>TONTJANV25!B11+TONTFEV25!B11+TONTMARS25!B11+TONTAVRIL25!B11+TONTMAI25!B11+TONTJUIN25!B11+TONTJUIL25!B11+TONTAOUT25!B11+TONTSEPT25!B11+TONTOCT25!B11+TONTNOV25!B11+TONTDEC25!B11</f>
        <v>12</v>
      </c>
      <c r="C11" s="1" t="str">
        <f>VLOOKUP(A11,[7]LISTADHERENT!A$5:H$60,3,0)</f>
        <v>HOTCHO BENJAMIN</v>
      </c>
      <c r="D11" s="7">
        <f>TONTJANV25!D11+TONTFEV25!D11+TONTMARS25!D11+TONTAVRIL25!D11+TONTMAI25!D11+TONTJUIN25!D11+TONTJUIL25!D11+TONTAOUT25!D11+TONTSEPT25!D11+TONTOCT25!D11+TONTNOV25!D11+TONTDEC25!D11</f>
        <v>1200000</v>
      </c>
      <c r="E11" s="7"/>
      <c r="F11" s="7">
        <f>TONTJANV25!F11+TONTFEV25!F11+TONTMARS25!F11+TONTAVRIL25!F11+TONTMAI25!F11+TONTJUIN25!F11+TONTJUIL25!F11+TONTAOUT25!F11+TONTSEPT25!F11+TONTOCT25!F11+TONTNOV25!F11+TONTDEC25!F11</f>
        <v>532000</v>
      </c>
      <c r="G11" s="7">
        <f>TONTJANV25!G11+TONTFEV25!G11+TONTMARS25!G11+TONTAVRIL25!G11+TONTMAI25!G11+TONTJUIN25!G11+TONTJUIL25!G11+TONTAOUT25!G11+TONTSEPT25!G11+TONTOCT25!G11+TONTNOV25!G11+TONTDEC25!G11</f>
        <v>6000</v>
      </c>
      <c r="H11" s="7"/>
      <c r="I11" s="7">
        <f>TONTJANV25!I11+TONTFEV25!I11+TONTMARS25!I11+TONTAVRIL25!I11+TONTMAI25!I11+TONTJUIN25!I11+TONTJUIL25!I11+TONTAOUT25!I11+TONTSEPT25!I11+TONTOCT25!I11+TONTNOV25!I11+TONTDEC25!I11</f>
        <v>0</v>
      </c>
      <c r="J11" s="7">
        <f>TONTJANV25!J11+TONTFEV25!J11+TONTMARS25!J11+TONTAVRIL25!J11+TONTMAI25!J11+TONTJUIN25!J11+TONTJUIL25!J11+TONTAOUT25!J11+TONTSEPT25!J11+TONTOCT25!J11+TONTNOV25!J11+TONTDEC25!J11</f>
        <v>538000</v>
      </c>
      <c r="K11" s="7">
        <f>TONTJANV25!K11+TONTFEV25!K11+TONTMARS25!K11+TONTAVRIL25!K11+TONTMAI25!K11+TONTJUIN25!K11+TONTJUIL25!K11+TONTAOUT25!K11+TONTSEPT25!K11+TONTOCT25!K11+TONTNOV25!K11+TONTDEC25!K11</f>
        <v>538000</v>
      </c>
      <c r="L11" s="7"/>
      <c r="N11" s="7">
        <f>TONTJANV25!N11+TONTFEV25!N11+TONTMARS25!N11+TONTAVRIL25!N11+TONTMAI25!N11+TONTJUIN25!N11+TONTJUIL25!N11+TONTAOUT25!N11+TONTSEPT25!N11+TONTOCT25!N11+TONTNOV25!N11+TONTDEC25!N11</f>
        <v>0</v>
      </c>
      <c r="O11" s="7">
        <f>TONTJANV25!O11+TONTFEV25!O11+TONTMARS25!O11+TONTAVRIL25!O11+TONTMAI25!O11+TONTJUIN25!O11+TONTJUIL25!O11+TONTAOUT25!O11+TONTSEPT25!O11+TONTOCT25!O11+TONTNOV25!O11+TONTDEC25!O11</f>
        <v>1170000</v>
      </c>
      <c r="P11" s="7">
        <f>TONTJANV25!P11+TONTFEV25!P11+TONTMARS25!P11+TONTAVRIL25!P11+TONTMAI25!P11+TONTJUIN25!P11+TONTJUIL25!P11+TONTAOUT25!P11+TONTSEPT25!P11+TONTOCT25!P11+TONTNOV25!P11+TONTDEC25!P11</f>
        <v>30000</v>
      </c>
      <c r="Q11" s="16">
        <v>45767</v>
      </c>
      <c r="S11" s="8">
        <f>$Q$31*TONTJANV25!B11</f>
        <v>51833.333333333336</v>
      </c>
      <c r="T11" s="8">
        <v>48000</v>
      </c>
    </row>
    <row r="12" spans="1:20" ht="18.5" x14ac:dyDescent="0.45">
      <c r="A12" s="1" t="s">
        <v>26</v>
      </c>
      <c r="B12" s="7">
        <f>TONTJANV25!B12+TONTFEV25!B12+TONTMARS25!B12+TONTAVRIL25!B12+TONTMAI25!B12+TONTJUIN25!B12+TONTJUIL25!B12+TONTAOUT25!B12+TONTSEPT25!B12+TONTOCT25!B12+TONTNOV25!B12+TONTDEC25!B12</f>
        <v>12</v>
      </c>
      <c r="C12" s="1" t="str">
        <f>VLOOKUP(A12,[7]LISTADHERENT!A$5:H$60,3,0)</f>
        <v>KOUAMOU MOISE</v>
      </c>
      <c r="D12" s="7">
        <f>TONTJANV25!D12+TONTFEV25!D12+TONTMARS25!D12+TONTAVRIL25!D12+TONTMAI25!D12+TONTJUIN25!D12+TONTJUIL25!D12+TONTAOUT25!D12+TONTSEPT25!D12+TONTOCT25!D12+TONTNOV25!D12+TONTDEC25!D12</f>
        <v>1200000</v>
      </c>
      <c r="E12" s="7"/>
      <c r="F12" s="7">
        <f>TONTJANV25!F12+TONTFEV25!F12+TONTMARS25!F12+TONTAVRIL25!F12+TONTMAI25!F12+TONTJUIN25!F12+TONTJUIL25!F12+TONTAOUT25!F12+TONTSEPT25!F12+TONTOCT25!F12+TONTNOV25!F12+TONTDEC25!F12</f>
        <v>509500</v>
      </c>
      <c r="G12" s="7">
        <f>TONTJANV25!G12+TONTFEV25!G12+TONTMARS25!G12+TONTAVRIL25!G12+TONTMAI25!G12+TONTJUIN25!G12+TONTJUIL25!G12+TONTAOUT25!G12+TONTSEPT25!G12+TONTOCT25!G12+TONTNOV25!G12+TONTDEC25!G12</f>
        <v>11500</v>
      </c>
      <c r="H12" s="7"/>
      <c r="I12" s="7">
        <f>TONTJANV25!I12+TONTFEV25!I12+TONTMARS25!I12+TONTAVRIL25!I12+TONTMAI25!I12+TONTJUIN25!I12+TONTJUIL25!I12+TONTAOUT25!I12+TONTSEPT25!I12+TONTOCT25!I12+TONTNOV25!I12+TONTDEC25!I12</f>
        <v>0</v>
      </c>
      <c r="J12" s="7">
        <f>TONTJANV25!J12+TONTFEV25!J12+TONTMARS25!J12+TONTAVRIL25!J12+TONTMAI25!J12+TONTJUIN25!J12+TONTJUIL25!J12+TONTAOUT25!J12+TONTSEPT25!J12+TONTOCT25!J12+TONTNOV25!J12+TONTDEC25!J12</f>
        <v>525000</v>
      </c>
      <c r="K12" s="7">
        <f>TONTJANV25!K12+TONTFEV25!K12+TONTMARS25!K12+TONTAVRIL25!K12+TONTMAI25!K12+TONTJUIN25!K12+TONTJUIL25!K12+TONTAOUT25!K12+TONTSEPT25!K12+TONTOCT25!K12+TONTNOV25!K12+TONTDEC25!K12</f>
        <v>525000</v>
      </c>
      <c r="L12" s="7"/>
      <c r="N12" s="7">
        <f>TONTJANV25!N12+TONTFEV25!N12+TONTMARS25!N12+TONTAVRIL25!N12+TONTMAI25!N12+TONTJUIN25!N12+TONTJUIL25!N12+TONTAOUT25!N12+TONTSEPT25!N12+TONTOCT25!N12+TONTNOV25!N12+TONTDEC25!N12</f>
        <v>0</v>
      </c>
      <c r="O12" s="7">
        <f>TONTJANV25!O12+TONTFEV25!O12+TONTMARS25!O12+TONTAVRIL25!O12+TONTMAI25!O12+TONTJUIN25!O12+TONTJUIL25!O12+TONTAOUT25!O12+TONTSEPT25!O12+TONTOCT25!O12+TONTNOV25!O12+TONTDEC25!O12</f>
        <v>1085000</v>
      </c>
      <c r="P12" s="7">
        <f>TONTJANV25!P12+TONTFEV25!P12+TONTMARS25!P12+TONTAVRIL25!P12+TONTMAI25!P12+TONTJUIN25!P12+TONTJUIL25!P12+TONTAOUT25!P12+TONTSEPT25!P12+TONTOCT25!P12+TONTNOV25!P12+TONTDEC25!P12</f>
        <v>115000</v>
      </c>
      <c r="Q12" s="16">
        <v>45676</v>
      </c>
      <c r="S12" s="8">
        <f>$Q$31*TONTJANV25!B12</f>
        <v>51833.333333333336</v>
      </c>
      <c r="T12" s="8">
        <v>48000</v>
      </c>
    </row>
    <row r="13" spans="1:20" ht="18.5" x14ac:dyDescent="0.45">
      <c r="A13" s="1" t="s">
        <v>8</v>
      </c>
      <c r="B13" s="7">
        <f>TONTJANV25!B13+TONTFEV25!B13+TONTMARS25!B13+TONTAVRIL25!B13+TONTMAI25!B13+TONTJUIN25!B13+TONTJUIL25!B13+TONTAOUT25!B13+TONTSEPT25!B13+TONTOCT25!B13+TONTNOV25!B13+TONTDEC25!B13</f>
        <v>12</v>
      </c>
      <c r="C13" s="1" t="str">
        <f>VLOOKUP(A13,[7]LISTADHERENT!A$5:H$60,3,0)</f>
        <v>KOUATCHO MESSACK</v>
      </c>
      <c r="D13" s="7">
        <f>TONTJANV25!D13+TONTFEV25!D13+TONTMARS25!D13+TONTAVRIL25!D13+TONTMAI25!D13+TONTJUIN25!D13+TONTJUIL25!D13+TONTAOUT25!D13+TONTSEPT25!D13+TONTOCT25!D13+TONTNOV25!D13+TONTDEC25!D13</f>
        <v>1200000</v>
      </c>
      <c r="E13" s="7"/>
      <c r="F13" s="7">
        <f>TONTJANV25!F13+TONTFEV25!F13+TONTMARS25!F13+TONTAVRIL25!F13+TONTMAI25!F13+TONTJUIN25!F13+TONTJUIL25!F13+TONTAOUT25!F13+TONTSEPT25!F13+TONTOCT25!F13+TONTNOV25!F13+TONTDEC25!F13</f>
        <v>985000</v>
      </c>
      <c r="G13" s="7">
        <f>TONTJANV25!G13+TONTFEV25!G13+TONTMARS25!G13+TONTAVRIL25!G13+TONTMAI25!G13+TONTJUIN25!G13+TONTJUIL25!G13+TONTAOUT25!G13+TONTSEPT25!G13+TONTOCT25!G13+TONTNOV25!G13+TONTDEC25!G13</f>
        <v>17500</v>
      </c>
      <c r="H13" s="7"/>
      <c r="I13" s="7">
        <f>TONTJANV25!I13+TONTFEV25!I13+TONTMARS25!I13+TONTAVRIL25!I13+TONTMAI25!I13+TONTJUIN25!I13+TONTJUIL25!I13+TONTAOUT25!I13+TONTSEPT25!I13+TONTOCT25!I13+TONTNOV25!I13+TONTDEC25!I13</f>
        <v>0</v>
      </c>
      <c r="J13" s="7">
        <f>TONTJANV25!J13+TONTFEV25!J13+TONTMARS25!J13+TONTAVRIL25!J13+TONTMAI25!J13+TONTJUIN25!J13+TONTJUIL25!J13+TONTAOUT25!J13+TONTSEPT25!J13+TONTOCT25!J13+TONTNOV25!J13+TONTDEC25!J13</f>
        <v>901500</v>
      </c>
      <c r="K13" s="7">
        <f>TONTJANV25!K13+TONTFEV25!K13+TONTMARS25!K13+TONTAVRIL25!K13+TONTMAI25!K13+TONTJUIN25!K13+TONTJUIL25!K13+TONTAOUT25!K13+TONTSEPT25!K13+TONTOCT25!K13+TONTNOV25!K13+TONTDEC25!K13</f>
        <v>901500</v>
      </c>
      <c r="L13" s="7"/>
      <c r="N13" s="7">
        <f>TONTJANV25!N13+TONTFEV25!N13+TONTMARS25!N13+TONTAVRIL25!N13+TONTMAI25!N13+TONTJUIN25!N13+TONTJUIL25!N13+TONTAOUT25!N13+TONTSEPT25!N13+TONTOCT25!N13+TONTNOV25!N13+TONTDEC25!N13</f>
        <v>0</v>
      </c>
      <c r="O13" s="7">
        <f>TONTJANV25!O13+TONTFEV25!O13+TONTMARS25!O13+TONTAVRIL25!O13+TONTMAI25!O13+TONTJUIN25!O13+TONTJUIL25!O13+TONTAOUT25!O13+TONTSEPT25!O13+TONTOCT25!O13+TONTNOV25!O13+TONTDEC25!O13</f>
        <v>1095000</v>
      </c>
      <c r="P13" s="7">
        <f>TONTJANV25!P13+TONTFEV25!P13+TONTMARS25!P13+TONTAVRIL25!P13+TONTMAI25!P13+TONTJUIN25!P13+TONTJUIL25!P13+TONTAOUT25!P13+TONTSEPT25!P13+TONTOCT25!P13+TONTNOV25!P13+TONTDEC25!P13</f>
        <v>105000</v>
      </c>
      <c r="Q13" s="16">
        <v>45676</v>
      </c>
      <c r="R13" s="35"/>
      <c r="S13" s="8">
        <f>$Q$31*TONTJANV25!B13</f>
        <v>51833.333333333336</v>
      </c>
      <c r="T13" s="8">
        <v>48000</v>
      </c>
    </row>
    <row r="14" spans="1:20" ht="18.5" x14ac:dyDescent="0.45">
      <c r="A14" s="1" t="s">
        <v>22</v>
      </c>
      <c r="B14" s="7">
        <f>TONTJANV25!B14+TONTFEV25!B14+TONTMARS25!B14+TONTAVRIL25!B14+TONTMAI25!B14+TONTJUIN25!B14+TONTJUIL25!B14+TONTAOUT25!B14+TONTSEPT25!B14+TONTOCT25!B14+TONTNOV25!B14+TONTDEC25!B14</f>
        <v>24</v>
      </c>
      <c r="C14" s="1" t="str">
        <f>VLOOKUP(A14,[7]LISTADHERENT!A$5:H$60,3,0)</f>
        <v>MBOGNING TUGMA GUY</v>
      </c>
      <c r="D14" s="7">
        <f>TONTJANV25!D14+TONTFEV25!D14+TONTMARS25!D14+TONTAVRIL25!D14+TONTMAI25!D14+TONTJUIN25!D14+TONTJUIL25!D14+TONTAOUT25!D14+TONTSEPT25!D14+TONTOCT25!D14+TONTNOV25!D14+TONTDEC25!D14</f>
        <v>2400000</v>
      </c>
      <c r="E14" s="7"/>
      <c r="F14" s="7">
        <f>TONTJANV25!F14+TONTFEV25!F14+TONTMARS25!F14+TONTAVRIL25!F14+TONTMAI25!F14+TONTJUIN25!F14+TONTJUIL25!F14+TONTAOUT25!F14+TONTSEPT25!F14+TONTOCT25!F14+TONTNOV25!F14+TONTDEC25!F14</f>
        <v>1544000</v>
      </c>
      <c r="G14" s="7">
        <f>TONTJANV25!G14+TONTFEV25!G14+TONTMARS25!G14+TONTAVRIL25!G14+TONTMAI25!G14+TONTJUIN25!G14+TONTJUIL25!G14+TONTAOUT25!G14+TONTSEPT25!G14+TONTOCT25!G14+TONTNOV25!G14+TONTDEC25!G14</f>
        <v>25500</v>
      </c>
      <c r="H14" s="7"/>
      <c r="I14" s="7">
        <f>TONTJANV25!I14+TONTFEV25!I14+TONTMARS25!I14+TONTAVRIL25!I14+TONTMAI25!I14+TONTJUIN25!I14+TONTJUIL25!I14+TONTAOUT25!I14+TONTSEPT25!I14+TONTOCT25!I14+TONTNOV25!I14+TONTDEC25!I14</f>
        <v>0</v>
      </c>
      <c r="J14" s="7">
        <f>TONTJANV25!J14+TONTFEV25!J14+TONTMARS25!J14+TONTAVRIL25!J14+TONTMAI25!J14+TONTJUIN25!J14+TONTJUIL25!J14+TONTAOUT25!J14+TONTSEPT25!J14+TONTOCT25!J14+TONTNOV25!J14+TONTDEC25!J14</f>
        <v>1572000</v>
      </c>
      <c r="K14" s="7">
        <f>TONTJANV25!K14+TONTFEV25!K14+TONTMARS25!K14+TONTAVRIL25!K14+TONTMAI25!K14+TONTJUIN25!K14+TONTJUIL25!K14+TONTAOUT25!K14+TONTSEPT25!K14+TONTOCT25!K14+TONTNOV25!K14+TONTDEC25!K14</f>
        <v>1572000</v>
      </c>
      <c r="L14" s="7"/>
      <c r="N14" s="7">
        <f>TONTJANV25!N14+TONTFEV25!N14+TONTMARS25!N14+TONTAVRIL25!N14+TONTMAI25!N14+TONTJUIN25!N14+TONTJUIL25!N14+TONTAOUT25!N14+TONTSEPT25!N14+TONTOCT25!N14+TONTNOV25!N14+TONTDEC25!N14</f>
        <v>0</v>
      </c>
      <c r="O14" s="7">
        <f>TONTJANV25!O14+TONTFEV25!O14+TONTMARS25!O14+TONTAVRIL25!O14+TONTMAI25!O14+TONTJUIN25!O14+TONTJUIL25!O14+TONTAOUT25!O14+TONTSEPT25!O14+TONTOCT25!O14+TONTNOV25!O14+TONTDEC25!O14</f>
        <v>2255000</v>
      </c>
      <c r="P14" s="7">
        <f>TONTJANV25!P14+TONTFEV25!P14+TONTMARS25!P14+TONTAVRIL25!P14+TONTMAI25!P14+TONTJUIN25!P14+TONTJUIL25!P14+TONTAOUT25!P14+TONTSEPT25!P14+TONTOCT25!P14+TONTNOV25!P14+TONTDEC25!P14</f>
        <v>145000</v>
      </c>
      <c r="Q14" s="16">
        <v>45711</v>
      </c>
      <c r="R14" s="16">
        <v>45855</v>
      </c>
      <c r="S14" s="8">
        <f>$Q$31*TONTJANV25!B14</f>
        <v>103666.66666666667</v>
      </c>
      <c r="T14" s="8">
        <v>96000</v>
      </c>
    </row>
    <row r="15" spans="1:20" ht="18.5" x14ac:dyDescent="0.45">
      <c r="A15" s="1" t="s">
        <v>9</v>
      </c>
      <c r="B15" s="7">
        <f>TONTJANV25!B15+TONTFEV25!B15+TONTMARS25!B15+TONTAVRIL25!B15+TONTMAI25!B15+TONTJUIN25!B15+TONTJUIL25!B15+TONTAOUT25!B15+TONTSEPT25!B15+TONTOCT25!B15+TONTNOV25!B15+TONTDEC25!B15</f>
        <v>24</v>
      </c>
      <c r="C15" s="1" t="str">
        <f>VLOOKUP(A15,[7]LISTADHERENT!A$5:H$60,3,0)</f>
        <v>NDJOMO ETIENNE</v>
      </c>
      <c r="D15" s="7">
        <f>TONTJANV25!D15+TONTFEV25!D15+TONTMARS25!D15+TONTAVRIL25!D15+TONTMAI25!D15+TONTJUIN25!D15+TONTJUIL25!D15+TONTAOUT25!D15+TONTSEPT25!D15+TONTOCT25!D15+TONTNOV25!D15+TONTDEC25!D15</f>
        <v>2400000</v>
      </c>
      <c r="E15" s="7"/>
      <c r="F15" s="7">
        <f>TONTJANV25!F15+TONTFEV25!F15+TONTMARS25!F15+TONTAVRIL25!F15+TONTMAI25!F15+TONTJUIN25!F15+TONTJUIL25!F15+TONTAOUT25!F15+TONTSEPT25!F15+TONTOCT25!F15+TONTNOV25!F15+TONTDEC25!F15</f>
        <v>1593000</v>
      </c>
      <c r="G15" s="7">
        <f>TONTJANV25!G15+TONTFEV25!G15+TONTMARS25!G15+TONTAVRIL25!G15+TONTMAI25!G15+TONTJUIN25!G15+TONTJUIL25!G15+TONTAOUT25!G15+TONTSEPT25!G15+TONTOCT25!G15+TONTNOV25!G15+TONTDEC25!G15</f>
        <v>29500</v>
      </c>
      <c r="H15" s="7"/>
      <c r="I15" s="7">
        <f>TONTJANV25!I15+TONTFEV25!I15+TONTMARS25!I15+TONTAVRIL25!I15+TONTMAI25!I15+TONTJUIN25!I15+TONTJUIL25!I15+TONTAOUT25!I15+TONTSEPT25!I15+TONTOCT25!I15+TONTNOV25!I15+TONTDEC25!I15</f>
        <v>0</v>
      </c>
      <c r="J15" s="7">
        <f>TONTJANV25!J15+TONTFEV25!J15+TONTMARS25!J15+TONTAVRIL25!J15+TONTMAI25!J15+TONTJUIN25!J15+TONTJUIL25!J15+TONTAOUT25!J15+TONTSEPT25!J15+TONTOCT25!J15+TONTNOV25!J15+TONTDEC25!J15</f>
        <v>1626500</v>
      </c>
      <c r="K15" s="7">
        <f>TONTJANV25!K15+TONTFEV25!K15+TONTMARS25!K15+TONTAVRIL25!K15+TONTMAI25!K15+TONTJUIN25!K15+TONTJUIL25!K15+TONTAOUT25!K15+TONTSEPT25!K15+TONTOCT25!K15+TONTNOV25!K15+TONTDEC25!K15</f>
        <v>1626500</v>
      </c>
      <c r="L15" s="7"/>
      <c r="N15" s="7">
        <f>TONTJANV25!N15+TONTFEV25!N15+TONTMARS25!N15+TONTAVRIL25!N15+TONTMAI25!N15+TONTJUIN25!N15+TONTJUIL25!N15+TONTAOUT25!N15+TONTSEPT25!N15+TONTOCT25!N15+TONTNOV25!N15+TONTDEC25!N15</f>
        <v>0</v>
      </c>
      <c r="O15" s="7">
        <f>TONTJANV25!O15+TONTFEV25!O15+TONTMARS25!O15+TONTAVRIL25!O15+TONTMAI25!O15+TONTJUIN25!O15+TONTJUIL25!O15+TONTAOUT25!O15+TONTSEPT25!O15+TONTOCT25!O15+TONTNOV25!O15+TONTDEC25!O15</f>
        <v>2380000</v>
      </c>
      <c r="P15" s="7">
        <f>TONTJANV25!P15+TONTFEV25!P15+TONTMARS25!P15+TONTAVRIL25!P15+TONTMAI25!P15+TONTJUIN25!P15+TONTJUIL25!P15+TONTAOUT25!P15+TONTSEPT25!P15+TONTOCT25!P15+TONTNOV25!P15+TONTDEC25!P15</f>
        <v>20000</v>
      </c>
      <c r="Q15" s="16">
        <v>45795</v>
      </c>
      <c r="R15" s="16">
        <v>45978</v>
      </c>
      <c r="S15" s="8">
        <f>$Q$31*TONTJANV25!B15</f>
        <v>103666.66666666667</v>
      </c>
      <c r="T15" s="8">
        <v>96000</v>
      </c>
    </row>
    <row r="16" spans="1:20" ht="18.5" x14ac:dyDescent="0.45">
      <c r="A16" s="1" t="s">
        <v>10</v>
      </c>
      <c r="B16" s="7">
        <f>TONTJANV25!B16+TONTFEV25!B16+TONTMARS25!B16+TONTAVRIL25!B16+TONTMAI25!B16+TONTJUIN25!B16+TONTJUIL25!B16+TONTAOUT25!B16+TONTSEPT25!B16+TONTOCT25!B16+TONTNOV25!B16+TONTDEC25!B16</f>
        <v>12</v>
      </c>
      <c r="C16" s="1" t="str">
        <f>VLOOKUP(A16,[7]LISTADHERENT!A$5:H$60,3,0)</f>
        <v>NGONDIEP CLAUDE</v>
      </c>
      <c r="D16" s="7">
        <f>TONTJANV25!D16+TONTFEV25!D16+TONTMARS25!D16+TONTAVRIL25!D16+TONTMAI25!D16+TONTJUIN25!D16+TONTJUIL25!D16+TONTAOUT25!D16+TONTSEPT25!D16+TONTOCT25!D16+TONTNOV25!D16+TONTDEC25!D16</f>
        <v>1200000</v>
      </c>
      <c r="E16" s="7"/>
      <c r="F16" s="7">
        <f>TONTJANV25!F16+TONTFEV25!F16+TONTMARS25!F16+TONTAVRIL25!F16+TONTMAI25!F16+TONTJUIN25!F16+TONTJUIL25!F16+TONTAOUT25!F16+TONTSEPT25!F16+TONTOCT25!F16+TONTNOV25!F16+TONTDEC25!F16</f>
        <v>663000</v>
      </c>
      <c r="G16" s="7">
        <f>TONTJANV25!G16+TONTFEV25!G16+TONTMARS25!G16+TONTAVRIL25!G16+TONTMAI25!G16+TONTJUIN25!G16+TONTJUIL25!G16+TONTAOUT25!G16+TONTSEPT25!G16+TONTOCT25!G16+TONTNOV25!G16+TONTDEC25!G16</f>
        <v>12000</v>
      </c>
      <c r="H16" s="7"/>
      <c r="I16" s="7">
        <f>TONTJANV25!I16+TONTFEV25!I16+TONTMARS25!I16+TONTAVRIL25!I16+TONTMAI25!I16+TONTJUIN25!I16+TONTJUIL25!I16+TONTAOUT25!I16+TONTSEPT25!I16+TONTOCT25!I16+TONTNOV25!I16+TONTDEC25!I16</f>
        <v>0</v>
      </c>
      <c r="J16" s="7">
        <f>TONTJANV25!J16+TONTFEV25!J16+TONTMARS25!J16+TONTAVRIL25!J16+TONTMAI25!J16+TONTJUIN25!J16+TONTJUIL25!J16+TONTAOUT25!J16+TONTSEPT25!J16+TONTOCT25!J16+TONTNOV25!J16+TONTDEC25!J16</f>
        <v>679000</v>
      </c>
      <c r="K16" s="7">
        <f>TONTJANV25!K16+TONTFEV25!K16+TONTMARS25!K16+TONTAVRIL25!K16+TONTMAI25!K16+TONTJUIN25!K16+TONTJUIL25!K16+TONTAOUT25!K16+TONTSEPT25!K16+TONTOCT25!K16+TONTNOV25!K16+TONTDEC25!K16</f>
        <v>679000</v>
      </c>
      <c r="L16" s="7"/>
      <c r="N16" s="7">
        <f>TONTJANV25!N16+TONTFEV25!N16+TONTMARS25!N16+TONTAVRIL25!N16+TONTMAI25!N16+TONTJUIN25!N16+TONTJUIL25!N16+TONTAOUT25!N16+TONTSEPT25!N16+TONTOCT25!N16+TONTNOV25!N16+TONTDEC25!N16</f>
        <v>0</v>
      </c>
      <c r="O16" s="7">
        <f>TONTJANV25!O16+TONTFEV25!O16+TONTMARS25!O16+TONTAVRIL25!O16+TONTMAI25!O16+TONTJUIN25!O16+TONTJUIL25!O16+TONTAOUT25!O16+TONTSEPT25!O16+TONTOCT25!O16+TONTNOV25!O16+TONTDEC25!O16</f>
        <v>1160000</v>
      </c>
      <c r="P16" s="7">
        <f>TONTJANV25!P16+TONTFEV25!P16+TONTMARS25!P16+TONTAVRIL25!P16+TONTMAI25!P16+TONTJUIN25!P16+TONTJUIL25!P16+TONTAOUT25!P16+TONTSEPT25!P16+TONTOCT25!P16+TONTNOV25!P16+TONTDEC25!P16</f>
        <v>40000</v>
      </c>
      <c r="Q16" s="16">
        <v>45767</v>
      </c>
      <c r="R16" s="16"/>
      <c r="S16" s="8">
        <f>$Q$31*TONTJANV25!B16</f>
        <v>51833.333333333336</v>
      </c>
      <c r="T16" s="8">
        <v>48000</v>
      </c>
    </row>
    <row r="17" spans="1:23" ht="18.5" x14ac:dyDescent="0.45">
      <c r="A17" s="1" t="s">
        <v>43</v>
      </c>
      <c r="B17" s="7">
        <f>TONTJANV25!B17+TONTFEV25!B17+TONTMARS25!B17+TONTAVRIL25!B17+TONTMAI25!B17+TONTJUIN25!B17+TONTJUIL25!B17+TONTAOUT25!B17+TONTSEPT25!B17+TONTOCT25!B17+TONTNOV25!B17+TONTDEC25!B17</f>
        <v>24</v>
      </c>
      <c r="C17" s="1" t="str">
        <f>VLOOKUP(A17,[7]LISTADHERENT!A$5:H$60,3,0)</f>
        <v>NGUIEMEGNI MATHIEU BLAISE</v>
      </c>
      <c r="D17" s="7">
        <f>TONTJANV25!D17+TONTFEV25!D17+TONTMARS25!D17+TONTAVRIL25!D17+TONTMAI25!D17+TONTJUIN25!D17+TONTJUIL25!D17+TONTAOUT25!D17+TONTSEPT25!D17+TONTOCT25!D17+TONTNOV25!D17+TONTDEC25!D17</f>
        <v>2400000</v>
      </c>
      <c r="E17" s="7"/>
      <c r="F17" s="7">
        <f>TONTJANV25!F17+TONTFEV25!F17+TONTMARS25!F17+TONTAVRIL25!F17+TONTMAI25!F17+TONTJUIN25!F17+TONTJUIL25!F17+TONTAOUT25!F17+TONTSEPT25!F17+TONTOCT25!F17+TONTNOV25!F17+TONTDEC25!F17</f>
        <v>1500000</v>
      </c>
      <c r="G17" s="7">
        <f>TONTJANV25!G17+TONTFEV25!G17+TONTMARS25!G17+TONTAVRIL25!G17+TONTMAI25!G17+TONTJUIN25!G17+TONTJUIL25!G17+TONTAOUT25!G17+TONTSEPT25!G17+TONTOCT25!G17+TONTNOV25!G17+TONTDEC25!G17</f>
        <v>33000</v>
      </c>
      <c r="H17" s="7"/>
      <c r="I17" s="7">
        <f>TONTJANV25!I17+TONTFEV25!I17+TONTMARS25!I17+TONTAVRIL25!I17+TONTMAI25!I17+TONTJUIN25!I17+TONTJUIL25!I17+TONTAOUT25!I17+TONTSEPT25!I17+TONTOCT25!I17+TONTNOV25!I17+TONTDEC25!I17</f>
        <v>0</v>
      </c>
      <c r="J17" s="7">
        <f>TONTJANV25!J17+TONTFEV25!J17+TONTMARS25!J17+TONTAVRIL25!J17+TONTMAI25!J17+TONTJUIN25!J17+TONTJUIL25!J17+TONTAOUT25!J17+TONTSEPT25!J17+TONTOCT25!J17+TONTNOV25!J17+TONTDEC25!J17</f>
        <v>1433500</v>
      </c>
      <c r="K17" s="7">
        <f>TONTJANV25!K17+TONTFEV25!K17+TONTMARS25!K17+TONTAVRIL25!K17+TONTMAI25!K17+TONTJUIN25!K17+TONTJUIL25!K17+TONTAOUT25!K17+TONTSEPT25!K17+TONTOCT25!K17+TONTNOV25!K17+TONTDEC25!K17</f>
        <v>1433500</v>
      </c>
      <c r="L17" s="7"/>
      <c r="N17" s="7">
        <f>TONTJANV25!N17+TONTFEV25!N17+TONTMARS25!N17+TONTAVRIL25!N17+TONTMAI25!N17+TONTJUIN25!N17+TONTJUIL25!N17+TONTAOUT25!N17+TONTSEPT25!N17+TONTOCT25!N17+TONTNOV25!N17+TONTDEC25!N17</f>
        <v>0</v>
      </c>
      <c r="O17" s="7">
        <f>TONTJANV25!O17+TONTFEV25!O17+TONTMARS25!O17+TONTAVRIL25!O17+TONTMAI25!O17+TONTJUIN25!O17+TONTJUIL25!O17+TONTAOUT25!O17+TONTSEPT25!O17+TONTOCT25!O17+TONTNOV25!O17+TONTDEC25!O17</f>
        <v>2265000</v>
      </c>
      <c r="P17" s="7">
        <f>TONTJANV25!P17+TONTFEV25!P17+TONTMARS25!P17+TONTAVRIL25!P17+TONTMAI25!P17+TONTJUIN25!P17+TONTJUIL25!P17+TONTAOUT25!P17+TONTSEPT25!P17+TONTOCT25!P17+TONTNOV25!P17+TONTDEC25!P17</f>
        <v>135000</v>
      </c>
      <c r="Q17" s="16">
        <v>45676</v>
      </c>
      <c r="R17" s="16">
        <v>45886</v>
      </c>
      <c r="S17" s="8">
        <f>$Q$31*TONTJANV25!B17</f>
        <v>103666.66666666667</v>
      </c>
      <c r="T17" s="8">
        <v>96000</v>
      </c>
    </row>
    <row r="18" spans="1:23" ht="18.5" x14ac:dyDescent="0.45">
      <c r="A18" s="1" t="s">
        <v>54</v>
      </c>
      <c r="B18" s="7">
        <f>TONTJANV25!B18+TONTFEV25!B18+TONTMARS25!B18+TONTAVRIL25!B18+TONTMAI25!B18+TONTJUIN25!B18+TONTJUIL25!B18+TONTAOUT25!B18+TONTSEPT25!B18+TONTOCT25!B18+TONTNOV25!B18+TONTDEC25!B18</f>
        <v>24</v>
      </c>
      <c r="C18" s="1" t="str">
        <f>VLOOKUP(A18,[7]LISTADHERENT!A$5:H$60,3,0)</f>
        <v>SIME BRICE</v>
      </c>
      <c r="D18" s="7">
        <f>TONTJANV25!D18+TONTFEV25!D18+TONTMARS25!D18+TONTAVRIL25!D18+TONTMAI25!D18+TONTJUIN25!D18+TONTJUIL25!D18+TONTAOUT25!D18+TONTSEPT25!D18+TONTOCT25!D18+TONTNOV25!D18+TONTDEC25!D18</f>
        <v>2400000</v>
      </c>
      <c r="E18" s="7"/>
      <c r="F18" s="7">
        <f>TONTJANV25!F18+TONTFEV25!F18+TONTMARS25!F18+TONTAVRIL25!F18+TONTMAI25!F18+TONTJUIN25!F18+TONTJUIL25!F18+TONTAOUT25!F18+TONTSEPT25!F18+TONTOCT25!F18+TONTNOV25!F18+TONTDEC25!F18</f>
        <v>600000</v>
      </c>
      <c r="G18" s="7">
        <f>TONTJANV25!G18+TONTFEV25!G18+TONTMARS25!G18+TONTAVRIL25!G18+TONTMAI25!G18+TONTJUIN25!G18+TONTJUIL25!G18+TONTAOUT25!G18+TONTSEPT25!G18+TONTOCT25!G18+TONTNOV25!G18+TONTDEC25!G18</f>
        <v>13500</v>
      </c>
      <c r="H18" s="7"/>
      <c r="I18" s="7">
        <f>TONTJANV25!I18+TONTFEV25!I18+TONTMARS25!I18+TONTAVRIL25!I18+TONTMAI25!I18+TONTJUIN25!I18+TONTJUIL25!I18+TONTAOUT25!I18+TONTSEPT25!I18+TONTOCT25!I18+TONTNOV25!I18+TONTDEC25!I18</f>
        <v>0</v>
      </c>
      <c r="J18" s="7">
        <f>TONTJANV25!J18+TONTFEV25!J18+TONTMARS25!J18+TONTAVRIL25!J18+TONTMAI25!J18+TONTJUIN25!J18+TONTJUIL25!J18+TONTAOUT25!J18+TONTSEPT25!J18+TONTOCT25!J18+TONTNOV25!J18+TONTDEC25!J18</f>
        <v>613500</v>
      </c>
      <c r="K18" s="7">
        <f>TONTJANV25!K18+TONTFEV25!K18+TONTMARS25!K18+TONTAVRIL25!K18+TONTMAI25!K18+TONTJUIN25!K18+TONTJUIL25!K18+TONTAOUT25!K18+TONTSEPT25!K18+TONTOCT25!K18+TONTNOV25!K18+TONTDEC25!K18</f>
        <v>613500</v>
      </c>
      <c r="L18" s="7"/>
      <c r="N18" s="7">
        <f>TONTJANV25!N18+TONTFEV25!N18+TONTMARS25!N18+TONTAVRIL25!N18+TONTMAI25!N18+TONTJUIN25!N18+TONTJUIL25!N18+TONTAOUT25!N18+TONTSEPT25!N18+TONTOCT25!N18+TONTNOV25!N18+TONTDEC25!N18</f>
        <v>0</v>
      </c>
      <c r="O18" s="7">
        <f>TONTJANV25!O18+TONTFEV25!O18+TONTMARS25!O18+TONTAVRIL25!O18+TONTMAI25!O18+TONTJUIN25!O18+TONTJUIL25!O18+TONTAOUT25!O18+TONTSEPT25!O18+TONTOCT25!O18+TONTNOV25!O18+TONTDEC25!O18</f>
        <v>2370000</v>
      </c>
      <c r="P18" s="7">
        <f>TONTJANV25!P18+TONTFEV25!P18+TONTMARS25!P18+TONTAVRIL25!P18+TONTMAI25!P18+TONTJUIN25!P18+TONTJUIL25!P18+TONTAOUT25!P18+TONTSEPT25!P18+TONTOCT25!P18+TONTNOV25!P18+TONTDEC25!P18</f>
        <v>30000</v>
      </c>
      <c r="Q18" s="16">
        <v>45795</v>
      </c>
      <c r="R18" s="16">
        <v>45948</v>
      </c>
      <c r="S18" s="8">
        <f>$Q$31*TONTJANV25!B18</f>
        <v>103666.66666666667</v>
      </c>
      <c r="T18" s="8">
        <v>96000</v>
      </c>
    </row>
    <row r="19" spans="1:23" ht="18.5" x14ac:dyDescent="0.45">
      <c r="A19" s="1" t="s">
        <v>55</v>
      </c>
      <c r="B19" s="7">
        <f>TONTJANV25!B19+TONTFEV25!B19+TONTMARS25!B19+TONTAVRIL25!B19+TONTMAI25!B19+TONTJUIN25!B19+TONTJUIL25!B19+TONTAOUT25!B19+TONTSEPT25!B19+TONTOCT25!B19+TONTNOV25!B19+TONTDEC25!B19</f>
        <v>12</v>
      </c>
      <c r="C19" s="1" t="str">
        <f>VLOOKUP(A19,[7]LISTADHERENT!A$5:H$60,3,0)</f>
        <v>TCHOUATEU AUGUSTIN</v>
      </c>
      <c r="D19" s="7">
        <f>TONTJANV25!D19+TONTFEV25!D19+TONTMARS25!D19+TONTAVRIL25!D19+TONTMAI25!D19+TONTJUIN25!D19+TONTJUIL25!D19+TONTAOUT25!D19+TONTSEPT25!D19+TONTOCT25!D19+TONTNOV25!D19+TONTDEC25!D19</f>
        <v>1200000</v>
      </c>
      <c r="E19" s="7"/>
      <c r="F19" s="7">
        <f>TONTJANV25!F19+TONTFEV25!F19+TONTMARS25!F19+TONTAVRIL25!F19+TONTMAI25!F19+TONTJUIN25!F19+TONTJUIL25!F19+TONTAOUT25!F19+TONTSEPT25!F19+TONTOCT25!F19+TONTNOV25!F19+TONTDEC25!F19</f>
        <v>300000</v>
      </c>
      <c r="G19" s="7">
        <f>TONTJANV25!G19+TONTFEV25!G19+TONTMARS25!G19+TONTAVRIL25!G19+TONTMAI25!G19+TONTJUIN25!G19+TONTJUIL25!G19+TONTAOUT25!G19+TONTSEPT25!G19+TONTOCT25!G19+TONTNOV25!G19+TONTDEC25!G19</f>
        <v>7000</v>
      </c>
      <c r="H19" s="7"/>
      <c r="I19" s="7">
        <f>TONTJANV25!I19+TONTFEV25!I19+TONTMARS25!I19+TONTAVRIL25!I19+TONTMAI25!I19+TONTJUIN25!I19+TONTJUIL25!I19+TONTAOUT25!I19+TONTSEPT25!I19+TONTOCT25!I19+TONTNOV25!I19+TONTDEC25!I19</f>
        <v>0</v>
      </c>
      <c r="J19" s="7">
        <f>TONTJANV25!J19+TONTFEV25!J19+TONTMARS25!J19+TONTAVRIL25!J19+TONTMAI25!J19+TONTJUIN25!J19+TONTJUIL25!J19+TONTAOUT25!J19+TONTSEPT25!J19+TONTOCT25!J19+TONTNOV25!J19+TONTDEC25!J19</f>
        <v>307000</v>
      </c>
      <c r="K19" s="7">
        <f>TONTJANV25!K19+TONTFEV25!K19+TONTMARS25!K19+TONTAVRIL25!K19+TONTMAI25!K19+TONTJUIN25!K19+TONTJUIL25!K19+TONTAOUT25!K19+TONTSEPT25!K19+TONTOCT25!K19+TONTNOV25!K19+TONTDEC25!K19</f>
        <v>307000</v>
      </c>
      <c r="L19" s="7"/>
      <c r="N19" s="7">
        <f>TONTJANV25!N19+TONTFEV25!N19+TONTMARS25!N19+TONTAVRIL25!N19+TONTMAI25!N19+TONTJUIN25!N19+TONTJUIL25!N19+TONTAOUT25!N19+TONTSEPT25!N19+TONTOCT25!N19+TONTNOV25!N19+TONTDEC25!N19</f>
        <v>0</v>
      </c>
      <c r="O19" s="7">
        <f>TONTJANV25!O19+TONTFEV25!O19+TONTMARS25!O19+TONTAVRIL25!O19+TONTMAI25!O19+TONTJUIN25!O19+TONTJUIL25!O19+TONTAOUT25!O19+TONTSEPT25!O19+TONTOCT25!O19+TONTNOV25!O19+TONTDEC25!O19</f>
        <v>1135000</v>
      </c>
      <c r="P19" s="7">
        <f>TONTJANV25!P19+TONTFEV25!P19+TONTMARS25!P19+TONTAVRIL25!P19+TONTMAI25!P19+TONTJUIN25!P19+TONTJUIL25!P19+TONTAOUT25!P19+TONTSEPT25!P19+TONTOCT25!P19+TONTNOV25!P19+TONTDEC25!P19</f>
        <v>65000</v>
      </c>
      <c r="Q19" s="16">
        <v>45856</v>
      </c>
      <c r="S19" s="8">
        <f>$Q$31*TONTJANV25!B19</f>
        <v>51833.333333333336</v>
      </c>
      <c r="T19" s="8">
        <v>48000</v>
      </c>
    </row>
    <row r="20" spans="1:23" ht="18.5" x14ac:dyDescent="0.45">
      <c r="A20" s="1" t="s">
        <v>46</v>
      </c>
      <c r="B20" s="7">
        <f>TONTJANV25!B20+TONTFEV25!B20+TONTMARS25!B20+TONTAVRIL25!B20+TONTMAI25!B20+TONTJUIN25!B20+TONTJUIL25!B20+TONTAOUT25!B20+TONTSEPT25!B20+TONTOCT25!B20+TONTNOV25!B20+TONTDEC25!B20</f>
        <v>8</v>
      </c>
      <c r="C20" s="1" t="str">
        <f>VLOOKUP(A20,[7]LISTADHERENT!A$5:H$60,3,0)</f>
        <v>SIMO PIERRE</v>
      </c>
      <c r="D20" s="7">
        <f>TONTJANV25!D20+TONTFEV25!D20+TONTMARS25!D20+TONTAVRIL25!D20+TONTMAI25!D20+TONTJUIN25!D20+TONTJUIL25!D20+TONTAOUT25!D20+TONTSEPT25!D20+TONTOCT25!D20+TONTNOV25!D20+TONTDEC25!D20</f>
        <v>800000</v>
      </c>
      <c r="E20" s="7"/>
      <c r="F20" s="7">
        <f>TONTJANV25!F20+TONTFEV25!F20+TONTMARS25!F20+TONTAVRIL25!F20+TONTMAI25!F20+TONTJUIN25!F20+TONTJUIL25!F20+TONTAOUT25!F20+TONTSEPT25!F20+TONTOCT25!F20+TONTNOV25!F20+TONTDEC25!F20</f>
        <v>0</v>
      </c>
      <c r="G20" s="7">
        <f>TONTJANV25!G20+TONTFEV25!G20+TONTMARS25!G20+TONTAVRIL25!G20+TONTMAI25!G20+TONTJUIN25!G20+TONTJUIL25!G20+TONTAOUT25!G20+TONTSEPT25!G20+TONTOCT25!G20+TONTNOV25!G20+TONTDEC25!G20</f>
        <v>0</v>
      </c>
      <c r="H20" s="7"/>
      <c r="I20" s="7">
        <f>TONTJANV25!I20+TONTFEV25!I20+TONTMARS25!I20+TONTAVRIL25!I20+TONTMAI25!I20+TONTJUIN25!I20+TONTJUIL25!I20+TONTAOUT25!I20+TONTSEPT25!I20+TONTOCT25!I20+TONTNOV25!I20+TONTDEC25!I20</f>
        <v>0</v>
      </c>
      <c r="J20" s="7">
        <f>TONTJANV25!J20+TONTFEV25!J20+TONTMARS25!J20+TONTAVRIL25!J20+TONTMAI25!J20+TONTJUIN25!J20+TONTJUIL25!J20+TONTAOUT25!J20+TONTSEPT25!J20+TONTOCT25!J20+TONTNOV25!J20+TONTDEC25!J20</f>
        <v>0</v>
      </c>
      <c r="K20" s="7">
        <f>TONTJANV25!K20+TONTFEV25!K20+TONTMARS25!K20+TONTAVRIL25!K20+TONTMAI25!K20+TONTJUIN25!K20+TONTJUIL25!K20+TONTAOUT25!K20+TONTSEPT25!K20+TONTOCT25!K20+TONTNOV25!K20+TONTDEC25!K20</f>
        <v>0</v>
      </c>
      <c r="L20" s="7"/>
      <c r="N20" s="7">
        <f>TONTJANV25!N20+TONTFEV25!N20+TONTMARS25!N20+TONTAVRIL25!N20+TONTMAI25!N20+TONTJUIN25!N20+TONTJUIL25!N20+TONTAOUT25!N20+TONTSEPT25!N20+TONTOCT25!N20+TONTNOV25!N20+TONTDEC25!N20</f>
        <v>0</v>
      </c>
      <c r="O20" s="7">
        <f>TONTJANV25!O20+TONTFEV25!O20+TONTMARS25!O20+TONTAVRIL25!O20+TONTMAI25!O20+TONTJUIN25!O20+TONTJUIL25!O20+TONTAOUT25!O20+TONTSEPT25!O20+TONTOCT25!O20+TONTNOV25!O20+TONTDEC25!O20</f>
        <v>1130000</v>
      </c>
      <c r="P20" s="7">
        <f>TONTJANV25!P20+TONTFEV25!P20+TONTMARS25!P20+TONTAVRIL25!P20+TONTMAI25!P20+TONTJUIN25!P20+TONTJUIL25!P20+TONTAOUT25!P20+TONTSEPT25!P20+TONTOCT25!P20+TONTNOV25!P20+TONTDEC25!P20</f>
        <v>70000</v>
      </c>
      <c r="Q20" s="16">
        <v>45711</v>
      </c>
      <c r="S20" s="8">
        <f>$Q$31*TONTJANV25!B20</f>
        <v>51833.333333333336</v>
      </c>
      <c r="T20" s="8">
        <v>48000</v>
      </c>
    </row>
    <row r="21" spans="1:23" ht="18.5" x14ac:dyDescent="0.45">
      <c r="A21" s="1" t="s">
        <v>53</v>
      </c>
      <c r="B21" s="7">
        <f>TONTJANV25!B21+TONTFEV25!B21+TONTMARS25!B21+TONTAVRIL25!B21+TONTMAI25!B21+TONTJUIN25!B21+TONTJUIL25!B21+TONTAOUT25!B21+TONTSEPT25!B21+TONTOCT25!B21+TONTNOV25!B21+TONTDEC25!B21</f>
        <v>24</v>
      </c>
      <c r="C21" s="1" t="str">
        <f>VLOOKUP(A21,[7]LISTADHERENT!A$5:H$60,3,0)</f>
        <v>YIALA ALAIN OSCAR</v>
      </c>
      <c r="D21" s="7">
        <f>TONTJANV25!D21+TONTFEV25!D21+TONTMARS25!D21+TONTAVRIL25!D21+TONTMAI25!D21+TONTJUIN25!D21+TONTJUIL25!D21+TONTAOUT25!D21+TONTSEPT25!D21+TONTOCT25!D21+TONTNOV25!D21+TONTDEC25!D21</f>
        <v>2400000</v>
      </c>
      <c r="E21" s="7"/>
      <c r="F21" s="7">
        <f>TONTJANV25!F21+TONTFEV25!F21+TONTMARS25!F21+TONTAVRIL25!F21+TONTMAI25!F21+TONTJUIN25!F21+TONTJUIL25!F21+TONTAOUT25!F21+TONTSEPT25!F21+TONTOCT25!F21+TONTNOV25!F21+TONTDEC25!F21</f>
        <v>200000</v>
      </c>
      <c r="G21" s="7">
        <f>TONTJANV25!G21+TONTFEV25!G21+TONTMARS25!G21+TONTAVRIL25!G21+TONTMAI25!G21+TONTJUIN25!G21+TONTJUIL25!G21+TONTAOUT25!G21+TONTSEPT25!G21+TONTOCT25!G21+TONTNOV25!G21+TONTDEC25!G21</f>
        <v>3000</v>
      </c>
      <c r="H21" s="7"/>
      <c r="I21" s="7">
        <f>TONTJANV25!I21+TONTFEV25!I21+TONTMARS25!I21+TONTAVRIL25!I21+TONTMAI25!I21+TONTJUIN25!I21+TONTJUIL25!I21+TONTAOUT25!I21+TONTSEPT25!I21+TONTOCT25!I21+TONTNOV25!I21+TONTDEC25!I21</f>
        <v>0</v>
      </c>
      <c r="J21" s="7">
        <f>TONTJANV25!J21+TONTFEV25!J21+TONTMARS25!J21+TONTAVRIL25!J21+TONTMAI25!J21+TONTJUIN25!J21+TONTJUIL25!J21+TONTAOUT25!J21+TONTSEPT25!J21+TONTOCT25!J21+TONTNOV25!J21+TONTDEC25!J21</f>
        <v>203000</v>
      </c>
      <c r="K21" s="7">
        <f>TONTJANV25!K21+TONTFEV25!K21+TONTMARS25!K21+TONTAVRIL25!K21+TONTMAI25!K21+TONTJUIN25!K21+TONTJUIL25!K21+TONTAOUT25!K21+TONTSEPT25!K21+TONTOCT25!K21+TONTNOV25!K21+TONTDEC25!K21</f>
        <v>203000</v>
      </c>
      <c r="L21" s="7"/>
      <c r="N21" s="7">
        <f>TONTJANV25!N21+TONTFEV25!N21+TONTMARS25!N21+TONTAVRIL25!N21+TONTMAI25!N21+TONTJUIN25!N21+TONTJUIL25!N21+TONTAOUT25!N21+TONTSEPT25!N21+TONTOCT25!N21+TONTNOV25!N21+TONTDEC25!N21</f>
        <v>0</v>
      </c>
      <c r="O21" s="7">
        <f>TONTJANV25!O21+TONTFEV25!O21+TONTMARS25!O21+TONTAVRIL25!O21+TONTMAI25!O21+TONTJUIN25!O21+TONTJUIL25!O21+TONTAOUT25!O21+TONTSEPT25!O21+TONTOCT25!O21+TONTNOV25!O21+TONTDEC25!O21</f>
        <v>2375000</v>
      </c>
      <c r="P21" s="7">
        <f>TONTJANV25!P21+TONTFEV25!P21+TONTMARS25!P21+TONTAVRIL25!P21+TONTMAI25!P21+TONTJUIN25!P21+TONTJUIL25!P21+TONTAOUT25!P21+TONTSEPT25!P21+TONTOCT25!P21+TONTNOV25!P21+TONTDEC25!P21</f>
        <v>25000</v>
      </c>
      <c r="Q21" s="16">
        <v>45831</v>
      </c>
      <c r="R21" s="16">
        <v>45948</v>
      </c>
      <c r="S21" s="8">
        <f>$Q$31*TONTJANV25!B21</f>
        <v>103666.66666666667</v>
      </c>
      <c r="T21" s="8">
        <v>96000</v>
      </c>
    </row>
    <row r="22" spans="1:23" ht="18.5" x14ac:dyDescent="0.45">
      <c r="A22" s="1" t="s">
        <v>61</v>
      </c>
      <c r="B22" s="7">
        <f>TONTJANV25!B22+TONTFEV25!B22+TONTMARS25!B22+TONTAVRIL25!B22+TONTMAI25!B22+TONTJUIN25!B22+TONTJUIL25!B22+TONTAOUT25!B22+TONTSEPT25!B22+TONTOCT25!B22+TONTNOV25!B22+TONTDEC25!B22</f>
        <v>12</v>
      </c>
      <c r="C22" s="1" t="str">
        <f>VLOOKUP(A22,[7]LISTADHERENT!A$5:H$60,3,0)</f>
        <v>YOUMBI EMMANUEL</v>
      </c>
      <c r="D22" s="7">
        <f>TONTJANV25!D22+TONTFEV25!D22+TONTMARS25!D22+TONTAVRIL25!D22+TONTMAI25!D22+TONTJUIN25!D22+TONTJUIL25!D22+TONTAOUT25!D22+TONTSEPT25!D22+TONTOCT25!D22+TONTNOV25!D22+TONTDEC25!D22</f>
        <v>1200000</v>
      </c>
      <c r="E22" s="7"/>
      <c r="F22" s="7">
        <f>TONTJANV25!F22+TONTFEV25!F22+TONTMARS25!F22+TONTAVRIL25!F22+TONTMAI25!F22+TONTJUIN25!F22+TONTJUIL25!F22+TONTAOUT25!F22+TONTSEPT25!F22+TONTOCT25!F22+TONTNOV25!F22+TONTDEC25!F22</f>
        <v>0</v>
      </c>
      <c r="G22" s="7">
        <f>TONTJANV25!G22+TONTFEV25!G22+TONTMARS25!G22+TONTAVRIL25!G22+TONTMAI25!G22+TONTJUIN25!G22+TONTJUIL25!G22+TONTAOUT25!G22+TONTSEPT25!G22+TONTOCT25!G22+TONTNOV25!G22+TONTDEC25!G22</f>
        <v>0</v>
      </c>
      <c r="H22" s="7"/>
      <c r="I22" s="7">
        <f>TONTJANV25!I22+TONTFEV25!I22+TONTMARS25!I22+TONTAVRIL25!I22+TONTMAI25!I22+TONTJUIN25!I22+TONTJUIL25!I22+TONTAOUT25!I22+TONTSEPT25!I22+TONTOCT25!I22+TONTNOV25!I22+TONTDEC25!I22</f>
        <v>0</v>
      </c>
      <c r="J22" s="7">
        <f>TONTJANV25!J22+TONTFEV25!J22+TONTMARS25!J22+TONTAVRIL25!J22+TONTMAI25!J22+TONTJUIN25!J22+TONTJUIL25!J22+TONTAOUT25!J22+TONTSEPT25!J22+TONTOCT25!J22+TONTNOV25!J22+TONTDEC25!J22</f>
        <v>0</v>
      </c>
      <c r="K22" s="7">
        <f>TONTJANV25!K22+TONTFEV25!K22+TONTMARS25!K22+TONTAVRIL25!K22+TONTMAI25!K22+TONTJUIN25!K22+TONTJUIL25!K22+TONTAOUT25!K22+TONTSEPT25!K22+TONTOCT25!K22+TONTNOV25!K22+TONTDEC25!K22</f>
        <v>0</v>
      </c>
      <c r="L22" s="7"/>
      <c r="N22" s="7">
        <f>TONTJANV25!N22+TONTFEV25!N22+TONTMARS25!N22+TONTAVRIL25!N22+TONTMAI25!N22+TONTJUIN25!N22+TONTJUIL25!N22+TONTAOUT25!N22+TONTSEPT25!N22+TONTOCT25!N22+TONTNOV25!N22+TONTDEC25!N22</f>
        <v>0</v>
      </c>
      <c r="O22" s="7">
        <f>TONTJANV25!O22+TONTFEV25!O22+TONTMARS25!O22+TONTAVRIL25!O22+TONTMAI25!O22+TONTJUIN25!O22+TONTJUIL25!O22+TONTAOUT25!O22+TONTSEPT25!O22+TONTOCT25!O22+TONTNOV25!O22+TONTDEC25!O22</f>
        <v>1190000</v>
      </c>
      <c r="P22" s="7">
        <f>TONTJANV25!P22+TONTFEV25!P22+TONTMARS25!P22+TONTAVRIL25!P22+TONTMAI25!P22+TONTJUIN25!P22+TONTJUIL25!P22+TONTAOUT25!P22+TONTSEPT25!P22+TONTOCT25!P22+TONTNOV25!P22+TONTDEC25!P22</f>
        <v>10000</v>
      </c>
      <c r="Q22" s="16">
        <v>45984</v>
      </c>
      <c r="S22" s="8">
        <f>$Q$31*TONTJANV25!B22</f>
        <v>51833.333333333336</v>
      </c>
      <c r="T22" s="8">
        <v>48000</v>
      </c>
    </row>
    <row r="23" spans="1:23" ht="17.5" x14ac:dyDescent="0.35">
      <c r="A23" s="1"/>
      <c r="B23" s="7"/>
      <c r="C23" s="1"/>
      <c r="D23" s="7"/>
      <c r="E23" s="7"/>
      <c r="F23" s="7"/>
      <c r="G23" s="7"/>
      <c r="H23" s="7"/>
      <c r="I23" s="7"/>
      <c r="J23"/>
      <c r="K23" s="7"/>
      <c r="L23" s="7"/>
      <c r="M23" s="7"/>
      <c r="N23" s="7"/>
      <c r="O23" s="7"/>
      <c r="P23" s="7"/>
      <c r="T23" s="8"/>
    </row>
    <row r="24" spans="1:23" ht="17.5" x14ac:dyDescent="0.35">
      <c r="A24" s="1" t="s">
        <v>40</v>
      </c>
      <c r="B24" s="8">
        <f>SUM(B6:B23)</f>
        <v>283</v>
      </c>
      <c r="G24" s="10"/>
      <c r="Q24" s="2"/>
      <c r="R24" s="2"/>
      <c r="S24" s="2"/>
      <c r="T24" s="8"/>
    </row>
    <row r="25" spans="1:23" ht="17.5" x14ac:dyDescent="0.35">
      <c r="A25" s="1" t="s">
        <v>41</v>
      </c>
      <c r="B25" s="15">
        <f>+COUNT(D6:D23)</f>
        <v>17</v>
      </c>
      <c r="C25" s="8"/>
      <c r="D25" s="8">
        <f>SUM(D6:D23)</f>
        <v>28300000</v>
      </c>
      <c r="E25" s="8">
        <f t="shared" ref="E25:P25" si="0">SUM(E6:E23)</f>
        <v>0</v>
      </c>
      <c r="F25" s="8">
        <f t="shared" si="0"/>
        <v>11926000</v>
      </c>
      <c r="G25" s="8">
        <f t="shared" si="0"/>
        <v>259000</v>
      </c>
      <c r="H25" s="8">
        <f t="shared" si="0"/>
        <v>0</v>
      </c>
      <c r="I25" s="8">
        <f t="shared" si="0"/>
        <v>0</v>
      </c>
      <c r="J25" s="8">
        <f t="shared" si="0"/>
        <v>12207500</v>
      </c>
      <c r="K25" s="8">
        <f t="shared" si="0"/>
        <v>12207500</v>
      </c>
      <c r="L25" s="8">
        <f>SUM(L6:L23)</f>
        <v>0</v>
      </c>
      <c r="M25" s="8">
        <f t="shared" si="0"/>
        <v>0</v>
      </c>
      <c r="N25" s="8">
        <f t="shared" si="0"/>
        <v>0</v>
      </c>
      <c r="O25" s="8">
        <f t="shared" si="0"/>
        <v>27815000</v>
      </c>
      <c r="P25" s="8">
        <f t="shared" si="0"/>
        <v>985000</v>
      </c>
      <c r="Q25" s="2"/>
      <c r="R25" s="2"/>
      <c r="S25" s="8">
        <f>SUM(S6:S22)</f>
        <v>1243999.9999999998</v>
      </c>
      <c r="T25" s="8">
        <f>SUM(T6:T22)</f>
        <v>1152000</v>
      </c>
      <c r="V25" s="2">
        <f>S25-T25</f>
        <v>91999.999999999767</v>
      </c>
    </row>
    <row r="26" spans="1:23" s="2" customFormat="1" x14ac:dyDescent="0.35">
      <c r="B26"/>
      <c r="C26"/>
      <c r="D26"/>
      <c r="E26"/>
      <c r="F26"/>
      <c r="G26" s="10"/>
      <c r="H26" s="3"/>
      <c r="I26" s="3"/>
      <c r="J26" s="3"/>
      <c r="L26"/>
      <c r="M26" s="5" t="s">
        <v>39</v>
      </c>
      <c r="N26" s="5" t="s">
        <v>42</v>
      </c>
      <c r="V26" s="2">
        <f>[8]TONTRESUME25!$W$42</f>
        <v>26499.999999999942</v>
      </c>
    </row>
    <row r="27" spans="1:23" s="2" customFormat="1" ht="28.5" x14ac:dyDescent="0.35">
      <c r="D27" s="5" t="s">
        <v>5</v>
      </c>
      <c r="E27" s="5" t="s">
        <v>14</v>
      </c>
      <c r="F27" s="5" t="s">
        <v>16</v>
      </c>
      <c r="G27" s="5" t="s">
        <v>18</v>
      </c>
      <c r="H27" s="5" t="s">
        <v>19</v>
      </c>
      <c r="I27" s="5"/>
      <c r="K27" s="8" t="s">
        <v>25</v>
      </c>
      <c r="L27" s="8">
        <f>D31+E31+P25+TONTFEV24!N29</f>
        <v>985000</v>
      </c>
      <c r="M27" s="5"/>
      <c r="N27"/>
      <c r="O27" s="5"/>
      <c r="P27" s="17" t="s">
        <v>12</v>
      </c>
      <c r="Q27" s="8">
        <f>G25</f>
        <v>259000</v>
      </c>
      <c r="S27" s="8"/>
      <c r="V27" s="2">
        <f>[9]TONTRESUME25!$V$20</f>
        <v>15499.999999999971</v>
      </c>
    </row>
    <row r="28" spans="1:23" s="2" customFormat="1" ht="17.5" x14ac:dyDescent="0.35">
      <c r="C28" s="8" t="s">
        <v>11</v>
      </c>
      <c r="D28" s="8">
        <f>SUMIFS(D6:D23,E6:E23,"ESPECES")</f>
        <v>0</v>
      </c>
      <c r="E28" s="8">
        <f>SUMIFS(K6:K23,L6:L23,"ESPECES")</f>
        <v>0</v>
      </c>
      <c r="F28" s="8">
        <f>SUMIFS(F6:F23,H6:H23,"ESPECES")</f>
        <v>0</v>
      </c>
      <c r="G28" s="8">
        <f>SUMIFS(O6:O23,M6:M23,"ESPECES")</f>
        <v>0</v>
      </c>
      <c r="H28" s="8">
        <f>D28+E28-F28-G28</f>
        <v>0</v>
      </c>
      <c r="I28" s="8"/>
      <c r="K28" s="8" t="s">
        <v>34</v>
      </c>
      <c r="L28" s="8">
        <f>C3*COUNTIF(O6:O23,"&gt;0")</f>
        <v>20400000</v>
      </c>
      <c r="M28" s="8">
        <f>D3</f>
        <v>0</v>
      </c>
      <c r="N28" s="8">
        <f>COUNTIF(O8:O19,"&gt;0")</f>
        <v>12</v>
      </c>
      <c r="O28" s="8"/>
      <c r="Q28" s="8"/>
      <c r="T28" s="8">
        <f>S27/7</f>
        <v>0</v>
      </c>
      <c r="V28" s="2">
        <f>V25+V26+V27</f>
        <v>133999.99999999968</v>
      </c>
    </row>
    <row r="29" spans="1:23" s="2" customFormat="1" ht="17.5" x14ac:dyDescent="0.35">
      <c r="C29" s="8" t="s">
        <v>7</v>
      </c>
      <c r="D29" s="8">
        <f>SUMIFS(D6:D23,E6:E23,"BANQUE")</f>
        <v>0</v>
      </c>
      <c r="E29" s="8">
        <f>SUMIFS(K6:K23,L6:L23,"BANQUE")</f>
        <v>0</v>
      </c>
      <c r="F29" s="8">
        <f>SUMIFS(F6:F23,H6:H23,"BANQUE")</f>
        <v>0</v>
      </c>
      <c r="G29" s="8">
        <f>SUMIFS(O6:O23,M6:M23,"BANQUE")</f>
        <v>0</v>
      </c>
      <c r="H29" s="8">
        <f>D29+E29-F29-G29</f>
        <v>0</v>
      </c>
      <c r="I29" s="8"/>
      <c r="L29" s="8"/>
      <c r="M29" s="8"/>
      <c r="N29" s="8"/>
      <c r="O29" s="8"/>
      <c r="P29" s="17" t="s">
        <v>50</v>
      </c>
      <c r="Q29" s="8">
        <f>G25+P25</f>
        <v>1244000</v>
      </c>
    </row>
    <row r="30" spans="1:23" s="2" customFormat="1" ht="17.5" x14ac:dyDescent="0.35">
      <c r="D30" s="8"/>
      <c r="E30" s="8"/>
      <c r="F30" s="8"/>
      <c r="G30" s="8"/>
      <c r="I30" s="8"/>
      <c r="K30" s="8" t="s">
        <v>23</v>
      </c>
      <c r="L30" s="8">
        <f>L27-L28</f>
        <v>-19415000</v>
      </c>
      <c r="M30" s="8"/>
      <c r="N30" s="8"/>
      <c r="O30" s="8"/>
      <c r="Q30" s="8"/>
      <c r="U30" s="2">
        <f>(17000+30500+57000)/6</f>
        <v>17416.666666666668</v>
      </c>
    </row>
    <row r="31" spans="1:23" s="2" customFormat="1" ht="17.5" x14ac:dyDescent="0.35">
      <c r="C31" s="8" t="s">
        <v>45</v>
      </c>
      <c r="D31" s="8">
        <f>D28+D29</f>
        <v>0</v>
      </c>
      <c r="E31" s="8">
        <f>E28+E29</f>
        <v>0</v>
      </c>
      <c r="F31" s="8">
        <f>F28+F29</f>
        <v>0</v>
      </c>
      <c r="G31" s="8">
        <f t="shared" ref="G31:H31" si="1">G28+G29</f>
        <v>0</v>
      </c>
      <c r="H31" s="8">
        <f t="shared" si="1"/>
        <v>0</v>
      </c>
      <c r="I31" s="8"/>
      <c r="L31" s="8"/>
      <c r="M31" s="8"/>
      <c r="N31" s="8"/>
      <c r="O31" s="8"/>
      <c r="P31" s="17" t="s">
        <v>52</v>
      </c>
      <c r="Q31" s="8">
        <f>Q29/24</f>
        <v>51833.333333333336</v>
      </c>
      <c r="V31" s="2" t="s">
        <v>63</v>
      </c>
      <c r="W31" s="2">
        <v>20000</v>
      </c>
    </row>
    <row r="32" spans="1:23" s="2" customFormat="1" ht="17.5" x14ac:dyDescent="0.35">
      <c r="D32" s="8"/>
      <c r="E32"/>
      <c r="F32"/>
      <c r="G32" s="3"/>
      <c r="H32" s="3"/>
      <c r="I32" s="3"/>
      <c r="K32" s="8" t="s">
        <v>27</v>
      </c>
      <c r="L32" s="8">
        <f>L30-F25</f>
        <v>-31341000</v>
      </c>
      <c r="M32"/>
      <c r="N32" s="8">
        <f>L32</f>
        <v>-31341000</v>
      </c>
      <c r="O32" s="8" t="s">
        <v>28</v>
      </c>
      <c r="Q32"/>
      <c r="R32"/>
      <c r="T32"/>
      <c r="V32" s="2" t="s">
        <v>64</v>
      </c>
      <c r="W32" s="2">
        <v>20000</v>
      </c>
    </row>
    <row r="33" spans="1:23" s="2" customFormat="1" x14ac:dyDescent="0.35">
      <c r="D33" s="5"/>
      <c r="E33"/>
      <c r="F33"/>
      <c r="G33" s="3"/>
      <c r="H33" s="3"/>
      <c r="I33" s="3"/>
      <c r="M33"/>
      <c r="N33" s="3"/>
      <c r="O33" s="3"/>
      <c r="Q33"/>
      <c r="R33"/>
      <c r="S33"/>
      <c r="T33"/>
      <c r="U33" s="2">
        <f>+V25+[9]TONTRESUME25!$V$20+[8]TONTRESUME25!$W$42</f>
        <v>133999.99999999968</v>
      </c>
      <c r="V33" s="2" t="s">
        <v>65</v>
      </c>
      <c r="W33" s="2">
        <v>10000</v>
      </c>
    </row>
    <row r="34" spans="1:23" ht="17.5" x14ac:dyDescent="0.35">
      <c r="K34" s="8" t="s">
        <v>35</v>
      </c>
      <c r="L34" s="8">
        <f>COUNTIFS(E6:E29,"ECHEC")*100000</f>
        <v>0</v>
      </c>
      <c r="N34" s="8">
        <f>L34</f>
        <v>0</v>
      </c>
      <c r="O34" s="8" t="s">
        <v>28</v>
      </c>
      <c r="V34" s="2" t="s">
        <v>66</v>
      </c>
      <c r="W34">
        <v>20000</v>
      </c>
    </row>
    <row r="35" spans="1:23" ht="17.5" x14ac:dyDescent="0.35">
      <c r="K35" s="8" t="s">
        <v>36</v>
      </c>
      <c r="L35" s="8">
        <f>J25-E31</f>
        <v>12207500</v>
      </c>
      <c r="N35" s="8">
        <f>L35</f>
        <v>12207500</v>
      </c>
      <c r="O35" s="8" t="s">
        <v>28</v>
      </c>
      <c r="V35" s="2" t="s">
        <v>67</v>
      </c>
      <c r="W35">
        <v>20000</v>
      </c>
    </row>
    <row r="36" spans="1:23" s="2" customFormat="1" x14ac:dyDescent="0.35">
      <c r="A36"/>
      <c r="B36"/>
      <c r="C36"/>
      <c r="D36"/>
      <c r="E36"/>
      <c r="F36"/>
      <c r="G36" s="3"/>
      <c r="H36" s="3"/>
      <c r="I36" s="3"/>
      <c r="J36" s="3"/>
      <c r="K36" s="3"/>
      <c r="M36"/>
      <c r="N36"/>
      <c r="O36" s="3"/>
      <c r="Q36"/>
      <c r="R36"/>
      <c r="S36"/>
      <c r="T36"/>
      <c r="U36"/>
      <c r="V36" s="2" t="s">
        <v>68</v>
      </c>
      <c r="W36" s="2">
        <v>23000</v>
      </c>
    </row>
    <row r="37" spans="1:23" s="2" customFormat="1" x14ac:dyDescent="0.35">
      <c r="A37"/>
      <c r="B37"/>
      <c r="C37"/>
      <c r="D37"/>
      <c r="E37"/>
      <c r="F37"/>
      <c r="G37" s="3"/>
      <c r="H37" s="3"/>
      <c r="I37" s="3"/>
      <c r="J37" s="3"/>
      <c r="K37" s="3"/>
      <c r="M37"/>
      <c r="N37"/>
      <c r="O37" s="3"/>
      <c r="Q37"/>
      <c r="R37"/>
      <c r="S37"/>
      <c r="T37"/>
      <c r="U37"/>
      <c r="V37" s="2" t="s">
        <v>69</v>
      </c>
      <c r="W37" s="2">
        <v>21000</v>
      </c>
    </row>
  </sheetData>
  <autoFilter ref="A5:T32" xr:uid="{C2269373-F197-4D4A-A828-F5690CE65B78}"/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workbookViewId="0">
      <pane xSplit="3" ySplit="5" topLeftCell="F6" activePane="bottomRight" state="frozen"/>
      <selection activeCell="G6" sqref="G6:G39"/>
      <selection pane="topRight" activeCell="G6" sqref="G6:G39"/>
      <selection pane="bottomLeft" activeCell="G6" sqref="G6:G39"/>
      <selection pane="bottomRight" activeCell="C4" sqref="C4:L4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3</v>
      </c>
      <c r="E3" s="1"/>
      <c r="L3" s="1"/>
      <c r="M3" s="1"/>
    </row>
    <row r="4" spans="1:16" s="12" customFormat="1" ht="17.5" x14ac:dyDescent="0.35">
      <c r="B4" s="13"/>
      <c r="C4" s="37">
        <v>45304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IF(D6=0,0,VLOOKUP($A6,[10]HISTOJANV24!$A$6:$BQ$47,14,0))</f>
        <v>1</v>
      </c>
      <c r="C6" s="1" t="str">
        <f>VLOOKUP(A6,[11]LISTADHERENT!A$5:H$60,3,0)</f>
        <v>ASELBY</v>
      </c>
      <c r="D6" s="7">
        <f>IF(E6="ECHEC",0,VLOOKUP($A6,[10]HISTOJANV24!$A$6:$BB$47,15,0))</f>
        <v>100000</v>
      </c>
      <c r="E6" s="7" t="str">
        <f>VLOOKUP($A6,[10]HISTOJANV24!$A$6:$BB$47,8,0)</f>
        <v>BANQUE</v>
      </c>
      <c r="F6" s="7">
        <f>VLOOKUP($A6,[10]HISTOJANV24!$A$6:$BB$47,37,0)</f>
        <v>0</v>
      </c>
      <c r="G6" s="7">
        <f>VLOOKUP($A6,[10]HISTOJANV24!$A$6:$BB$47,40,0)</f>
        <v>0</v>
      </c>
      <c r="H6" s="7" t="str">
        <f>IF(F6&lt;&gt;0,VLOOKUP($A6,[10]HISTOJANV24!$A$6:$BB$47,42,0),"ECHEC")</f>
        <v>ECHEC</v>
      </c>
      <c r="I6" s="7">
        <f>VLOOKUP($A6,[10]HISTOJANV24!$A$6:$BB$47,41,0)</f>
        <v>0</v>
      </c>
      <c r="J6"/>
      <c r="K6" s="7">
        <f>VLOOKUP($A6,[10]HISTOJANV24!$A$6:$BB$47,18,0)</f>
        <v>0</v>
      </c>
      <c r="L6" s="7" t="str">
        <f>IF(K6&lt;&gt;0,VLOOKUP($A6,[10]HISTOJANV24!$A$6:$BB$47,42,0),"ECHEC")</f>
        <v>ECHEC</v>
      </c>
      <c r="M6" s="7" t="str">
        <f>IF(P6&lt;&gt;0,VLOOKUP($A6,[10]HISTOJANV24!$A$6:$BB$47,32,0),"ECHEC")</f>
        <v>ECHEC</v>
      </c>
      <c r="N6" s="7">
        <f>VLOOKUP($A6,[10]HISTOJANV24!$A$6:$BB$47,33,0)</f>
        <v>0</v>
      </c>
      <c r="O6" s="7">
        <f t="shared" ref="O6" si="0">IF(P6=0,0,($C$3-P6))</f>
        <v>0</v>
      </c>
      <c r="P6" s="7">
        <f>VLOOKUP($A6,[10]HISTOJANV24!$A$6:$BB$47,31,0)</f>
        <v>0</v>
      </c>
    </row>
    <row r="7" spans="1:16" x14ac:dyDescent="0.35">
      <c r="A7" s="1" t="s">
        <v>47</v>
      </c>
      <c r="B7" s="7">
        <f>IF(D7=0,0,VLOOKUP($A7,[10]HISTOJANV24!$A$6:$BQ$47,14,0))</f>
        <v>2</v>
      </c>
      <c r="C7" s="1" t="str">
        <f>VLOOKUP(A7,[11]LISTADHERENT!A$5:H$60,3,0)</f>
        <v xml:space="preserve">DJOMO JEAN PAUL </v>
      </c>
      <c r="D7" s="7">
        <f>IF(E7="ECHEC",0,VLOOKUP($A7,[10]HISTOJANV24!$A$6:$BB$47,15,0))</f>
        <v>200000</v>
      </c>
      <c r="E7" s="7" t="str">
        <f>VLOOKUP($A7,[10]HISTOJANV24!$A$6:$BB$47,8,0)</f>
        <v>BANQUE</v>
      </c>
      <c r="F7" s="7">
        <f>VLOOKUP($A7,[10]HISTOJANV24!$A$6:$BB$47,37,0)</f>
        <v>0</v>
      </c>
      <c r="G7" s="7">
        <f>VLOOKUP($A7,[10]HISTOJANV24!$A$6:$BB$47,40,0)</f>
        <v>0</v>
      </c>
      <c r="H7" s="7" t="str">
        <f>IF(F7&lt;&gt;0,VLOOKUP($A7,[10]HISTOJANV24!$A$6:$BB$47,42,0),"ECHEC")</f>
        <v>ECHEC</v>
      </c>
      <c r="I7" s="7">
        <f>VLOOKUP($A7,[10]HISTOJANV24!$A$6:$BB$47,41,0)</f>
        <v>0</v>
      </c>
      <c r="J7"/>
      <c r="K7" s="7">
        <f>VLOOKUP($A7,[10]HISTOJANV24!$A$6:$BB$47,18,0)</f>
        <v>0</v>
      </c>
      <c r="L7" s="7" t="str">
        <f>IF(K7&lt;&gt;0,VLOOKUP($A7,[10]HISTOJANV24!$A$6:$BB$47,42,0),"ECHEC")</f>
        <v>ECHEC</v>
      </c>
      <c r="M7" s="7" t="str">
        <f>IF(P7&lt;&gt;0,VLOOKUP($A7,[10]HISTOJANV24!$A$6:$BB$47,32,0),"ECHEC")</f>
        <v>BANQUE</v>
      </c>
      <c r="N7" s="7">
        <f>VLOOKUP($A7,[10]HISTOJANV24!$A$6:$BB$47,33,0)</f>
        <v>0</v>
      </c>
      <c r="O7" s="7">
        <f t="shared" ref="O7:O19" si="1">IF(P7=0,0,($C$3-P7))</f>
        <v>1085000</v>
      </c>
      <c r="P7" s="7">
        <f>VLOOKUP($A7,[10]HISTOJANV24!$A$6:$BB$47,31,0)</f>
        <v>115000</v>
      </c>
    </row>
    <row r="8" spans="1:16" x14ac:dyDescent="0.35">
      <c r="A8" s="1" t="s">
        <v>20</v>
      </c>
      <c r="B8" s="7">
        <f>IF(D8=0,0,VLOOKUP($A8,[10]HISTOJANV24!$A$6:$BQ$47,14,0))</f>
        <v>2</v>
      </c>
      <c r="C8" s="1" t="str">
        <f>VLOOKUP(A8,[11]LISTADHERENT!A$5:H$60,3,0)</f>
        <v>DJUOMBESSY ANTOINE</v>
      </c>
      <c r="D8" s="7">
        <f>IF(E8="ECHEC",0,VLOOKUP($A8,[10]HISTOJANV24!$A$6:$BB$47,15,0))</f>
        <v>200000</v>
      </c>
      <c r="E8" s="7" t="str">
        <f>VLOOKUP($A8,[10]HISTOJANV24!$A$6:$BB$47,8,0)</f>
        <v>BANQUE</v>
      </c>
      <c r="F8" s="7">
        <f>VLOOKUP($A8,[10]HISTOJANV24!$A$6:$BB$47,37,0)</f>
        <v>0</v>
      </c>
      <c r="G8" s="7">
        <f>VLOOKUP($A8,[10]HISTOJANV24!$A$6:$BB$47,40,0)</f>
        <v>0</v>
      </c>
      <c r="H8" s="7" t="str">
        <f>IF(F8&lt;&gt;0,VLOOKUP($A8,[10]HISTOJANV24!$A$6:$BB$47,42,0),"ECHEC")</f>
        <v>ECHEC</v>
      </c>
      <c r="I8" s="7">
        <f>VLOOKUP($A8,[10]HISTOJANV24!$A$6:$BB$47,41,0)</f>
        <v>0</v>
      </c>
      <c r="J8"/>
      <c r="K8" s="7">
        <f>VLOOKUP($A8,[10]HISTOJANV24!$A$6:$BB$47,18,0)</f>
        <v>0</v>
      </c>
      <c r="L8" s="7" t="str">
        <f>IF(K8&lt;&gt;0,VLOOKUP($A8,[10]HISTOJANV24!$A$6:$BB$47,42,0),"ECHEC")</f>
        <v>ECHEC</v>
      </c>
      <c r="M8" s="7" t="str">
        <f>IF(P8&lt;&gt;0,VLOOKUP($A8,[10]HISTOJANV24!$A$6:$BB$47,32,0),"ECHEC")</f>
        <v>ECHEC</v>
      </c>
      <c r="N8" s="7">
        <f>VLOOKUP($A8,[10]HISTOJANV24!$A$6:$BB$47,33,0)</f>
        <v>0</v>
      </c>
      <c r="O8" s="7">
        <f t="shared" si="1"/>
        <v>0</v>
      </c>
      <c r="P8" s="7">
        <f>VLOOKUP($A8,[10]HISTOJANV24!$A$6:$BB$47,31,0)</f>
        <v>0</v>
      </c>
    </row>
    <row r="9" spans="1:16" x14ac:dyDescent="0.35">
      <c r="A9" s="1" t="s">
        <v>21</v>
      </c>
      <c r="B9" s="7">
        <f>IF(D9=0,0,VLOOKUP($A9,[10]HISTOJANV24!$A$6:$BQ$47,14,0))</f>
        <v>1</v>
      </c>
      <c r="C9" s="1" t="str">
        <f>VLOOKUP(A9,[11]LISTADHERENT!A$5:H$60,3,0)</f>
        <v>HOTCHO BENJAMIN</v>
      </c>
      <c r="D9" s="7">
        <f>IF(E9="ECHEC",0,VLOOKUP($A9,[10]HISTOJANV24!$A$6:$BB$47,15,0))</f>
        <v>100000</v>
      </c>
      <c r="E9" s="7" t="str">
        <f>VLOOKUP($A9,[10]HISTOJANV24!$A$6:$BB$47,8,0)</f>
        <v>BANQUE</v>
      </c>
      <c r="F9" s="7">
        <f>VLOOKUP($A9,[10]HISTOJANV24!$A$6:$BB$47,37,0)</f>
        <v>0</v>
      </c>
      <c r="G9" s="7">
        <f>VLOOKUP($A9,[10]HISTOJANV24!$A$6:$BB$47,40,0)</f>
        <v>0</v>
      </c>
      <c r="H9" s="7" t="str">
        <f>IF(F9&lt;&gt;0,VLOOKUP($A9,[10]HISTOJANV24!$A$6:$BB$47,42,0),"ECHEC")</f>
        <v>ECHEC</v>
      </c>
      <c r="I9" s="7">
        <f>VLOOKUP($A9,[10]HISTOJANV24!$A$6:$BB$47,41,0)</f>
        <v>0</v>
      </c>
      <c r="J9"/>
      <c r="K9" s="7">
        <f>VLOOKUP($A9,[10]HISTOJANV24!$A$6:$BB$47,18,0)</f>
        <v>0</v>
      </c>
      <c r="L9" s="7" t="str">
        <f>IF(K9&lt;&gt;0,VLOOKUP($A9,[10]HISTOJANV24!$A$6:$BB$47,42,0),"ECHEC")</f>
        <v>ECHEC</v>
      </c>
      <c r="M9" s="7" t="str">
        <f>IF(P9&lt;&gt;0,VLOOKUP($A9,[10]HISTOJANV24!$A$6:$BB$47,32,0),"ECHEC")</f>
        <v>ECHEC</v>
      </c>
      <c r="N9" s="7">
        <f>VLOOKUP($A9,[10]HISTOJANV24!$A$6:$BB$47,33,0)</f>
        <v>0</v>
      </c>
      <c r="O9" s="7">
        <f t="shared" si="1"/>
        <v>0</v>
      </c>
      <c r="P9" s="7">
        <f>VLOOKUP($A9,[10]HISTOJANV24!$A$6:$BB$47,31,0)</f>
        <v>0</v>
      </c>
    </row>
    <row r="10" spans="1:16" x14ac:dyDescent="0.35">
      <c r="A10" s="1" t="s">
        <v>26</v>
      </c>
      <c r="B10" s="7">
        <f>IF(D10=0,0,VLOOKUP($A10,[10]HISTOJANV24!$A$6:$BQ$47,14,0))</f>
        <v>1</v>
      </c>
      <c r="C10" s="1" t="str">
        <f>VLOOKUP(A10,[11]LISTADHERENT!A$5:H$60,3,0)</f>
        <v>KOUAMOU MOISE</v>
      </c>
      <c r="D10" s="7">
        <f>IF(E10="ECHEC",0,VLOOKUP($A10,[10]HISTOJANV24!$A$6:$BB$47,15,0))</f>
        <v>100000</v>
      </c>
      <c r="E10" s="7" t="str">
        <f>VLOOKUP($A10,[10]HISTOJANV24!$A$6:$BB$47,8,0)</f>
        <v>BANQUE</v>
      </c>
      <c r="F10" s="7">
        <f>VLOOKUP($A10,[10]HISTOJANV24!$A$6:$BB$47,37,0)</f>
        <v>100000</v>
      </c>
      <c r="G10" s="7">
        <f>VLOOKUP($A10,[10]HISTOJANV24!$A$6:$BB$47,40,0)</f>
        <v>1000</v>
      </c>
      <c r="H10" s="7">
        <f>IF(F10&lt;&gt;0,VLOOKUP($A10,[10]HISTOJANV24!$A$6:$BB$47,42,0),"ECHEC")</f>
        <v>0</v>
      </c>
      <c r="I10" s="7">
        <f>VLOOKUP($A10,[10]HISTOJANV24!$A$6:$BB$47,41,0)</f>
        <v>0</v>
      </c>
      <c r="J10"/>
      <c r="K10" s="7">
        <f>VLOOKUP($A10,[10]HISTOJANV24!$A$6:$BB$47,18,0)</f>
        <v>0</v>
      </c>
      <c r="L10" s="7" t="str">
        <f>IF(K10&lt;&gt;0,VLOOKUP($A10,[10]HISTOJANV24!$A$6:$BB$47,42,0),"ECHEC")</f>
        <v>ECHEC</v>
      </c>
      <c r="M10" s="7" t="str">
        <f>IF(P10&lt;&gt;0,VLOOKUP($A10,[10]HISTOJANV24!$A$6:$BB$47,32,0),"ECHEC")</f>
        <v>ECHEC</v>
      </c>
      <c r="N10" s="7">
        <f>VLOOKUP($A10,[10]HISTOJANV24!$A$6:$BB$47,33,0)</f>
        <v>0</v>
      </c>
      <c r="O10" s="7">
        <f t="shared" si="1"/>
        <v>0</v>
      </c>
      <c r="P10" s="7">
        <f>VLOOKUP($A10,[10]HISTOJANV24!$A$6:$BB$47,31,0)</f>
        <v>0</v>
      </c>
    </row>
    <row r="11" spans="1:16" x14ac:dyDescent="0.35">
      <c r="A11" s="1" t="s">
        <v>8</v>
      </c>
      <c r="B11" s="7">
        <f>IF(D11=0,0,VLOOKUP($A11,[10]HISTOJANV24!$A$6:$BQ$47,14,0))</f>
        <v>1</v>
      </c>
      <c r="C11" s="1" t="str">
        <f>VLOOKUP(A11,[11]LISTADHERENT!A$5:H$60,3,0)</f>
        <v>KOUATCHO MESSACK</v>
      </c>
      <c r="D11" s="7">
        <f>IF(E11="ECHEC",0,VLOOKUP($A11,[10]HISTOJANV24!$A$6:$BB$47,15,0))</f>
        <v>100000</v>
      </c>
      <c r="E11" s="7" t="str">
        <f>VLOOKUP($A11,[10]HISTOJANV24!$A$6:$BB$47,8,0)</f>
        <v>BANQUE</v>
      </c>
      <c r="F11" s="7">
        <f>VLOOKUP($A11,[10]HISTOJANV24!$A$6:$BB$47,37,0)</f>
        <v>0</v>
      </c>
      <c r="G11" s="7">
        <f>VLOOKUP($A11,[10]HISTOJANV24!$A$6:$BB$47,40,0)</f>
        <v>0</v>
      </c>
      <c r="H11" s="7" t="str">
        <f>IF(F11&lt;&gt;0,VLOOKUP($A11,[10]HISTOJANV24!$A$6:$BB$47,42,0),"ECHEC")</f>
        <v>ECHEC</v>
      </c>
      <c r="I11" s="7">
        <f>VLOOKUP($A11,[10]HISTOJANV24!$A$6:$BB$47,41,0)</f>
        <v>0</v>
      </c>
      <c r="J11"/>
      <c r="K11" s="7">
        <f>VLOOKUP($A11,[10]HISTOJANV24!$A$6:$BB$47,18,0)</f>
        <v>0</v>
      </c>
      <c r="L11" s="7" t="str">
        <f>IF(K11&lt;&gt;0,VLOOKUP($A11,[10]HISTOJANV24!$A$6:$BB$47,42,0),"ECHEC")</f>
        <v>ECHEC</v>
      </c>
      <c r="M11" s="7" t="str">
        <f>IF(P11&lt;&gt;0,VLOOKUP($A11,[10]HISTOJANV24!$A$6:$BB$47,32,0),"ECHEC")</f>
        <v>ECHEC</v>
      </c>
      <c r="N11" s="7">
        <f>VLOOKUP($A11,[10]HISTOJANV24!$A$6:$BB$47,33,0)</f>
        <v>0</v>
      </c>
      <c r="O11" s="7">
        <f t="shared" si="1"/>
        <v>0</v>
      </c>
      <c r="P11" s="7">
        <f>VLOOKUP($A11,[10]HISTOJANV24!$A$6:$BB$47,31,0)</f>
        <v>0</v>
      </c>
    </row>
    <row r="12" spans="1:16" x14ac:dyDescent="0.35">
      <c r="A12" s="1" t="s">
        <v>22</v>
      </c>
      <c r="B12" s="7">
        <f>IF(D12=0,0,VLOOKUP($A12,[10]HISTOJANV24!$A$6:$BQ$47,14,0))</f>
        <v>1</v>
      </c>
      <c r="C12" s="1" t="str">
        <f>VLOOKUP(A12,[11]LISTADHERENT!A$5:H$60,3,0)</f>
        <v>MBOGNING TUGMA GUY</v>
      </c>
      <c r="D12" s="7">
        <f>IF(E12="ECHEC",0,VLOOKUP($A12,[10]HISTOJANV24!$A$6:$BB$47,15,0))</f>
        <v>100000</v>
      </c>
      <c r="E12" s="7" t="str">
        <f>VLOOKUP($A12,[10]HISTOJANV24!$A$6:$BB$47,8,0)</f>
        <v>BANQUE</v>
      </c>
      <c r="F12" s="7">
        <f>VLOOKUP($A12,[10]HISTOJANV24!$A$6:$BB$47,37,0)</f>
        <v>0</v>
      </c>
      <c r="G12" s="7">
        <f>VLOOKUP($A12,[10]HISTOJANV24!$A$6:$BB$47,40,0)</f>
        <v>0</v>
      </c>
      <c r="H12" s="7" t="str">
        <f>IF(F12&lt;&gt;0,VLOOKUP($A12,[10]HISTOJANV24!$A$6:$BB$47,42,0),"ECHEC")</f>
        <v>ECHEC</v>
      </c>
      <c r="I12" s="7">
        <f>VLOOKUP($A12,[10]HISTOJANV24!$A$6:$BB$47,41,0)</f>
        <v>0</v>
      </c>
      <c r="J12"/>
      <c r="K12" s="7">
        <f>VLOOKUP($A12,[10]HISTOJANV24!$A$6:$BB$47,18,0)</f>
        <v>0</v>
      </c>
      <c r="L12" s="7" t="str">
        <f>IF(K12&lt;&gt;0,VLOOKUP($A12,[10]HISTOJANV24!$A$6:$BB$47,42,0),"ECHEC")</f>
        <v>ECHEC</v>
      </c>
      <c r="M12" s="7" t="str">
        <f>IF(P12&lt;&gt;0,VLOOKUP($A12,[10]HISTOJANV24!$A$6:$BB$47,32,0),"ECHEC")</f>
        <v>BANQUE</v>
      </c>
      <c r="N12" s="7">
        <f>VLOOKUP($A12,[10]HISTOJANV24!$A$6:$BB$47,33,0)</f>
        <v>0</v>
      </c>
      <c r="O12" s="7">
        <f t="shared" si="1"/>
        <v>1085000</v>
      </c>
      <c r="P12" s="7">
        <f>VLOOKUP($A12,[10]HISTOJANV24!$A$6:$BB$47,31,0)</f>
        <v>115000</v>
      </c>
    </row>
    <row r="13" spans="1:16" x14ac:dyDescent="0.35">
      <c r="A13" s="1" t="s">
        <v>9</v>
      </c>
      <c r="B13" s="7">
        <f>IF(D13=0,0,VLOOKUP($A13,[10]HISTOJANV24!$A$6:$BQ$47,14,0))</f>
        <v>2</v>
      </c>
      <c r="C13" s="1" t="str">
        <f>VLOOKUP(A13,[11]LISTADHERENT!A$5:H$60,3,0)</f>
        <v>NDJOMO ETIENNE</v>
      </c>
      <c r="D13" s="7">
        <f>IF(E13="ECHEC",0,VLOOKUP($A13,[10]HISTOJANV24!$A$6:$BB$47,15,0))</f>
        <v>200000</v>
      </c>
      <c r="E13" s="7" t="str">
        <f>VLOOKUP($A13,[10]HISTOJANV24!$A$6:$BB$47,8,0)</f>
        <v>BANQUE</v>
      </c>
      <c r="F13" s="7">
        <f>VLOOKUP($A13,[10]HISTOJANV24!$A$6:$BB$47,37,0)</f>
        <v>0</v>
      </c>
      <c r="G13" s="7">
        <f>VLOOKUP($A13,[10]HISTOJANV24!$A$6:$BB$47,40,0)</f>
        <v>0</v>
      </c>
      <c r="H13" s="7" t="str">
        <f>IF(F13&lt;&gt;0,VLOOKUP($A13,[10]HISTOJANV24!$A$6:$BB$47,42,0),"ECHEC")</f>
        <v>ECHEC</v>
      </c>
      <c r="I13" s="7">
        <f>VLOOKUP($A13,[10]HISTOJANV24!$A$6:$BB$47,41,0)</f>
        <v>0</v>
      </c>
      <c r="J13"/>
      <c r="K13" s="7">
        <f>VLOOKUP($A13,[10]HISTOJANV24!$A$6:$BB$47,18,0)</f>
        <v>0</v>
      </c>
      <c r="L13" s="7" t="str">
        <f>IF(K13&lt;&gt;0,VLOOKUP($A13,[10]HISTOJANV24!$A$6:$BB$47,42,0),"ECHEC")</f>
        <v>ECHEC</v>
      </c>
      <c r="M13" s="7" t="str">
        <f>IF(P13&lt;&gt;0,VLOOKUP($A13,[10]HISTOJANV24!$A$6:$BB$47,32,0),"ECHEC")</f>
        <v>ECHEC</v>
      </c>
      <c r="N13" s="7">
        <f>VLOOKUP($A13,[10]HISTOJANV24!$A$6:$BB$47,33,0)</f>
        <v>0</v>
      </c>
      <c r="O13" s="7">
        <f t="shared" si="1"/>
        <v>0</v>
      </c>
      <c r="P13" s="7">
        <f>VLOOKUP($A13,[10]HISTOJANV24!$A$6:$BB$47,31,0)</f>
        <v>0</v>
      </c>
    </row>
    <row r="14" spans="1:16" x14ac:dyDescent="0.35">
      <c r="A14" s="1" t="s">
        <v>10</v>
      </c>
      <c r="B14" s="7">
        <f>IF(D14=0,0,VLOOKUP($A14,[10]HISTOJANV24!$A$6:$BQ$47,14,0))</f>
        <v>1</v>
      </c>
      <c r="C14" s="1" t="str">
        <f>VLOOKUP(A14,[11]LISTADHERENT!A$5:H$60,3,0)</f>
        <v>NGONDIEP CLAUDE</v>
      </c>
      <c r="D14" s="7">
        <f>IF(E14="ECHEC",0,VLOOKUP($A14,[10]HISTOJANV24!$A$6:$BB$47,15,0))</f>
        <v>100000</v>
      </c>
      <c r="E14" s="7" t="str">
        <f>VLOOKUP($A14,[10]HISTOJANV24!$A$6:$BB$47,8,0)</f>
        <v>BANQUE</v>
      </c>
      <c r="F14" s="7">
        <f>VLOOKUP($A14,[10]HISTOJANV24!$A$6:$BB$47,37,0)</f>
        <v>0</v>
      </c>
      <c r="G14" s="7">
        <f>VLOOKUP($A14,[10]HISTOJANV24!$A$6:$BB$47,40,0)</f>
        <v>0</v>
      </c>
      <c r="H14" s="7" t="str">
        <f>IF(F14&lt;&gt;0,VLOOKUP($A14,[10]HISTOJANV24!$A$6:$BB$47,42,0),"ECHEC")</f>
        <v>ECHEC</v>
      </c>
      <c r="I14" s="7">
        <f>VLOOKUP($A14,[10]HISTOJANV24!$A$6:$BB$47,41,0)</f>
        <v>0</v>
      </c>
      <c r="J14"/>
      <c r="K14" s="7">
        <f>VLOOKUP($A14,[10]HISTOJANV24!$A$6:$BB$47,18,0)</f>
        <v>0</v>
      </c>
      <c r="L14" s="7" t="str">
        <f>IF(K14&lt;&gt;0,VLOOKUP($A14,[10]HISTOJANV24!$A$6:$BB$47,42,0),"ECHEC")</f>
        <v>ECHEC</v>
      </c>
      <c r="M14" s="7" t="str">
        <f>IF(P14&lt;&gt;0,VLOOKUP($A14,[10]HISTOJANV24!$A$6:$BB$47,32,0),"ECHEC")</f>
        <v>ECHEC</v>
      </c>
      <c r="N14" s="7">
        <f>VLOOKUP($A14,[10]HISTOJANV24!$A$6:$BB$47,33,0)</f>
        <v>0</v>
      </c>
      <c r="O14" s="7">
        <f t="shared" si="1"/>
        <v>0</v>
      </c>
      <c r="P14" s="7">
        <f>VLOOKUP($A14,[10]HISTOJANV24!$A$6:$BB$47,31,0)</f>
        <v>0</v>
      </c>
    </row>
    <row r="15" spans="1:16" x14ac:dyDescent="0.35">
      <c r="A15" s="1" t="s">
        <v>43</v>
      </c>
      <c r="B15" s="7">
        <f>IF(D15=0,0,VLOOKUP($A15,[10]HISTOJANV24!$A$6:$BQ$47,14,0))</f>
        <v>1</v>
      </c>
      <c r="C15" s="1" t="str">
        <f>VLOOKUP(A15,[11]LISTADHERENT!A$5:H$60,3,0)</f>
        <v>NGUIEMEGNI MATHIEU BLAISE</v>
      </c>
      <c r="D15" s="7">
        <f>IF(E15="ECHEC",0,VLOOKUP($A15,[10]HISTOJANV24!$A$6:$BB$47,15,0))</f>
        <v>100000</v>
      </c>
      <c r="E15" s="7" t="str">
        <f>VLOOKUP($A15,[10]HISTOJANV24!$A$6:$BB$47,8,0)</f>
        <v>BANQUE</v>
      </c>
      <c r="F15" s="7">
        <f>VLOOKUP($A15,[10]HISTOJANV24!$A$6:$BB$47,37,0)</f>
        <v>0</v>
      </c>
      <c r="G15" s="7">
        <f>VLOOKUP($A15,[10]HISTOJANV24!$A$6:$BB$47,40,0)</f>
        <v>0</v>
      </c>
      <c r="H15" s="7" t="str">
        <f>IF(F15&lt;&gt;0,VLOOKUP($A15,[10]HISTOJANV24!$A$6:$BB$47,42,0),"ECHEC")</f>
        <v>ECHEC</v>
      </c>
      <c r="I15" s="7">
        <f>VLOOKUP($A15,[10]HISTOJANV24!$A$6:$BB$47,41,0)</f>
        <v>0</v>
      </c>
      <c r="J15"/>
      <c r="K15" s="7">
        <f>VLOOKUP($A15,[10]HISTOJANV24!$A$6:$BB$47,18,0)</f>
        <v>0</v>
      </c>
      <c r="L15" s="7" t="str">
        <f>IF(K15&lt;&gt;0,VLOOKUP($A15,[10]HISTOJANV24!$A$6:$BB$47,42,0),"ECHEC")</f>
        <v>ECHEC</v>
      </c>
      <c r="M15" s="7" t="str">
        <f>IF(P15&lt;&gt;0,VLOOKUP($A15,[10]HISTOJANV24!$A$6:$BB$47,32,0),"ECHEC")</f>
        <v>BANQUE</v>
      </c>
      <c r="N15" s="7">
        <f>VLOOKUP($A15,[10]HISTOJANV24!$A$6:$BB$47,33,0)</f>
        <v>0</v>
      </c>
      <c r="O15" s="7">
        <f t="shared" si="1"/>
        <v>1075000</v>
      </c>
      <c r="P15" s="7">
        <f>VLOOKUP($A15,[10]HISTOJANV24!$A$6:$BB$47,31,0)</f>
        <v>125000</v>
      </c>
    </row>
    <row r="16" spans="1:16" x14ac:dyDescent="0.35">
      <c r="A16" s="1" t="s">
        <v>54</v>
      </c>
      <c r="B16" s="7">
        <f>IF(D16=0,0,VLOOKUP($A16,[10]HISTOJANV24!$A$6:$BQ$47,14,0))</f>
        <v>2</v>
      </c>
      <c r="C16" s="1" t="str">
        <f>VLOOKUP(A16,[11]LISTADHERENT!A$5:H$60,3,0)</f>
        <v>SIME BRICE</v>
      </c>
      <c r="D16" s="7">
        <f>IF(E16="ECHEC",0,VLOOKUP($A16,[10]HISTOJANV24!$A$6:$BB$47,15,0))</f>
        <v>200000</v>
      </c>
      <c r="E16" s="7" t="str">
        <f>VLOOKUP($A16,[10]HISTOJANV24!$A$6:$BB$47,8,0)</f>
        <v>BANQUE</v>
      </c>
      <c r="F16" s="7">
        <f>VLOOKUP($A16,[10]HISTOJANV24!$A$6:$BB$47,37,0)</f>
        <v>0</v>
      </c>
      <c r="G16" s="7">
        <f>VLOOKUP($A16,[10]HISTOJANV24!$A$6:$BB$47,40,0)</f>
        <v>0</v>
      </c>
      <c r="H16" s="7" t="str">
        <f>IF(F16&lt;&gt;0,VLOOKUP($A16,[10]HISTOJANV24!$A$6:$BB$47,42,0),"ECHEC")</f>
        <v>ECHEC</v>
      </c>
      <c r="I16" s="7">
        <f>VLOOKUP($A16,[10]HISTOJANV24!$A$6:$BB$47,41,0)</f>
        <v>0</v>
      </c>
      <c r="J16"/>
      <c r="K16" s="7">
        <f>VLOOKUP($A16,[10]HISTOJANV24!$A$6:$BB$47,18,0)</f>
        <v>0</v>
      </c>
      <c r="L16" s="7" t="str">
        <f>IF(K16&lt;&gt;0,VLOOKUP($A16,[10]HISTOJANV24!$A$6:$BB$47,42,0),"ECHEC")</f>
        <v>ECHEC</v>
      </c>
      <c r="M16" s="7" t="str">
        <f>IF(P16&lt;&gt;0,VLOOKUP($A16,[10]HISTOJANV24!$A$6:$BB$47,32,0),"ECHEC")</f>
        <v>ECHEC</v>
      </c>
      <c r="N16" s="7">
        <f>VLOOKUP($A16,[10]HISTOJANV24!$A$6:$BB$47,33,0)</f>
        <v>0</v>
      </c>
      <c r="O16" s="7">
        <f t="shared" si="1"/>
        <v>0</v>
      </c>
      <c r="P16" s="7">
        <f>VLOOKUP($A16,[10]HISTOJANV24!$A$6:$BB$47,31,0)</f>
        <v>0</v>
      </c>
    </row>
    <row r="17" spans="1:16" x14ac:dyDescent="0.35">
      <c r="A17" s="1" t="s">
        <v>55</v>
      </c>
      <c r="B17" s="7">
        <f>IF(D17=0,0,VLOOKUP($A17,[10]HISTOJANV24!$A$6:$BQ$47,14,0))</f>
        <v>1</v>
      </c>
      <c r="C17" s="1" t="str">
        <f>VLOOKUP(A17,[11]LISTADHERENT!A$5:H$60,3,0)</f>
        <v>TCHOUATEU AUGUSTIN</v>
      </c>
      <c r="D17" s="7">
        <f>IF(E17="ECHEC",0,VLOOKUP($A17,[10]HISTOJANV24!$A$6:$BB$47,15,0))</f>
        <v>100000</v>
      </c>
      <c r="E17" s="7" t="str">
        <f>VLOOKUP($A17,[10]HISTOJANV24!$A$6:$BB$47,8,0)</f>
        <v>BANQUE</v>
      </c>
      <c r="F17" s="7">
        <f>VLOOKUP($A17,[10]HISTOJANV24!$A$6:$BB$47,37,0)</f>
        <v>0</v>
      </c>
      <c r="G17" s="7">
        <f>VLOOKUP($A17,[10]HISTOJANV24!$A$6:$BB$47,40,0)</f>
        <v>0</v>
      </c>
      <c r="H17" s="7" t="str">
        <f>IF(F17&lt;&gt;0,VLOOKUP($A17,[10]HISTOJANV24!$A$6:$BB$47,42,0),"ECHEC")</f>
        <v>ECHEC</v>
      </c>
      <c r="I17" s="7">
        <f>VLOOKUP($A17,[10]HISTOJANV24!$A$6:$BB$47,41,0)</f>
        <v>0</v>
      </c>
      <c r="J17"/>
      <c r="K17" s="7">
        <f>VLOOKUP($A17,[10]HISTOJANV24!$A$6:$BB$47,18,0)</f>
        <v>0</v>
      </c>
      <c r="L17" s="7" t="str">
        <f>IF(K17&lt;&gt;0,VLOOKUP($A17,[10]HISTOJANV24!$A$6:$BB$47,42,0),"ECHEC")</f>
        <v>ECHEC</v>
      </c>
      <c r="M17" s="7" t="str">
        <f>IF(P17&lt;&gt;0,VLOOKUP($A17,[10]HISTOJANV24!$A$6:$BB$47,32,0),"ECHEC")</f>
        <v>ECHEC</v>
      </c>
      <c r="N17" s="7">
        <f>VLOOKUP($A17,[10]HISTOJANV24!$A$6:$BB$47,33,0)</f>
        <v>0</v>
      </c>
      <c r="O17" s="7">
        <f t="shared" ref="O17" si="2">IF(P17=0,0,($C$3-P17))</f>
        <v>0</v>
      </c>
      <c r="P17" s="7">
        <f>VLOOKUP($A17,[10]HISTOJANV24!$A$6:$BB$47,31,0)</f>
        <v>0</v>
      </c>
    </row>
    <row r="18" spans="1:16" x14ac:dyDescent="0.35">
      <c r="A18" s="1" t="s">
        <v>46</v>
      </c>
      <c r="B18" s="7">
        <f>IF(D18=0,0,VLOOKUP($A18,[10]HISTOJANV24!$A$6:$BQ$47,14,0))</f>
        <v>1</v>
      </c>
      <c r="C18" s="1" t="str">
        <f>VLOOKUP(A18,[11]LISTADHERENT!A$5:H$60,3,0)</f>
        <v>SIMO PIERRE</v>
      </c>
      <c r="D18" s="7">
        <f>IF(E18="ECHEC",0,VLOOKUP($A18,[10]HISTOJANV24!$A$6:$BB$47,15,0))</f>
        <v>100000</v>
      </c>
      <c r="E18" s="7" t="str">
        <f>VLOOKUP($A18,[10]HISTOJANV24!$A$6:$BB$47,8,0)</f>
        <v>BANQUE</v>
      </c>
      <c r="F18" s="7">
        <f>VLOOKUP($A18,[10]HISTOJANV24!$A$6:$BB$47,37,0)</f>
        <v>0</v>
      </c>
      <c r="G18" s="7">
        <f>VLOOKUP($A18,[10]HISTOJANV24!$A$6:$BB$47,40,0)</f>
        <v>0</v>
      </c>
      <c r="H18" s="7" t="str">
        <f>IF(F18&lt;&gt;0,VLOOKUP($A18,[10]HISTOJANV24!$A$6:$BB$47,42,0),"ECHEC")</f>
        <v>ECHEC</v>
      </c>
      <c r="I18" s="7">
        <f>VLOOKUP($A18,[10]HISTOJANV24!$A$6:$BB$47,41,0)</f>
        <v>0</v>
      </c>
      <c r="J18"/>
      <c r="K18" s="7">
        <f>VLOOKUP($A18,[10]HISTOJANV24!$A$6:$BB$47,18,0)</f>
        <v>0</v>
      </c>
      <c r="L18" s="7" t="str">
        <f>IF(K18&lt;&gt;0,VLOOKUP($A18,[10]HISTOJANV24!$A$6:$BB$47,42,0),"ECHEC")</f>
        <v>ECHEC</v>
      </c>
      <c r="M18" s="7" t="str">
        <f>IF(P18&lt;&gt;0,VLOOKUP($A18,[10]HISTOJANV24!$A$6:$BB$47,32,0),"ECHEC")</f>
        <v>ECHEC</v>
      </c>
      <c r="N18" s="7">
        <f>VLOOKUP($A18,[10]HISTOJANV24!$A$6:$BB$47,33,0)</f>
        <v>0</v>
      </c>
      <c r="O18" s="7">
        <f t="shared" si="1"/>
        <v>0</v>
      </c>
      <c r="P18" s="7">
        <f>VLOOKUP($A18,[10]HISTOJANV24!$A$6:$BB$47,31,0)</f>
        <v>0</v>
      </c>
    </row>
    <row r="19" spans="1:16" x14ac:dyDescent="0.35">
      <c r="A19" s="1" t="s">
        <v>53</v>
      </c>
      <c r="B19" s="7">
        <f>IF(D19=0,0,VLOOKUP($A19,[10]HISTOJANV24!$A$6:$BQ$47,14,0))</f>
        <v>1</v>
      </c>
      <c r="C19" s="1" t="str">
        <f>VLOOKUP(A19,[11]LISTADHERENT!A$5:H$60,3,0)</f>
        <v>YIALA ALAIN OSCAR</v>
      </c>
      <c r="D19" s="7">
        <f>IF(E19="ECHEC",0,VLOOKUP($A19,[10]HISTOJANV24!$A$6:$BB$47,15,0))</f>
        <v>100000</v>
      </c>
      <c r="E19" s="7" t="str">
        <f>VLOOKUP($A19,[10]HISTOJANV24!$A$6:$BB$47,8,0)</f>
        <v>BANQUE</v>
      </c>
      <c r="F19" s="7">
        <f>VLOOKUP($A19,[10]HISTOJANV24!$A$6:$BB$47,37,0)</f>
        <v>0</v>
      </c>
      <c r="G19" s="7">
        <f>VLOOKUP($A19,[10]HISTOJANV24!$A$6:$BB$47,40,0)</f>
        <v>0</v>
      </c>
      <c r="H19" s="7" t="str">
        <f>IF(F19&lt;&gt;0,VLOOKUP($A19,[10]HISTOJANV24!$A$6:$BB$47,42,0),"ECHEC")</f>
        <v>ECHEC</v>
      </c>
      <c r="I19" s="7">
        <f>VLOOKUP($A19,[10]HISTOJANV24!$A$6:$BB$47,41,0)</f>
        <v>0</v>
      </c>
      <c r="J19"/>
      <c r="K19" s="7">
        <f>VLOOKUP($A19,[10]HISTOJANV24!$A$6:$BB$47,18,0)</f>
        <v>0</v>
      </c>
      <c r="L19" s="7" t="str">
        <f>IF(K19&lt;&gt;0,VLOOKUP($A19,[10]HISTOJANV24!$A$6:$BB$47,42,0),"ECHEC")</f>
        <v>ECHEC</v>
      </c>
      <c r="M19" s="7" t="str">
        <f>IF(P19&lt;&gt;0,VLOOKUP($A19,[10]HISTOJANV24!$A$6:$BB$47,32,0),"ECHEC")</f>
        <v>ECHEC</v>
      </c>
      <c r="N19" s="7">
        <f>VLOOKUP($A19,[10]HISTOJANV24!$A$6:$BB$47,33,0)</f>
        <v>0</v>
      </c>
      <c r="O19" s="7">
        <f t="shared" si="1"/>
        <v>0</v>
      </c>
      <c r="P19" s="7">
        <f>VLOOKUP($A19,[10]HISTOJANV24!$A$6:$BB$47,31,0)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3">SUM(E6:E20)</f>
        <v>0</v>
      </c>
      <c r="F22" s="8">
        <f t="shared" si="3"/>
        <v>100000</v>
      </c>
      <c r="G22" s="8">
        <f t="shared" si="3"/>
        <v>1000</v>
      </c>
      <c r="H22" s="8">
        <f t="shared" si="3"/>
        <v>0</v>
      </c>
      <c r="I22" s="8">
        <f t="shared" si="3"/>
        <v>0</v>
      </c>
      <c r="J22" s="8">
        <f t="shared" si="3"/>
        <v>0</v>
      </c>
      <c r="K22" s="8">
        <f t="shared" si="3"/>
        <v>0</v>
      </c>
      <c r="L22" s="8">
        <f t="shared" si="3"/>
        <v>0</v>
      </c>
      <c r="M22" s="8">
        <f t="shared" si="3"/>
        <v>0</v>
      </c>
      <c r="N22" s="8">
        <f t="shared" si="3"/>
        <v>0</v>
      </c>
      <c r="O22" s="8">
        <f t="shared" si="3"/>
        <v>3245000</v>
      </c>
      <c r="P22" s="8">
        <f t="shared" si="3"/>
        <v>355000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</f>
        <v>4555000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0</v>
      </c>
      <c r="I25" s="8"/>
      <c r="K25" s="8" t="s">
        <v>34</v>
      </c>
      <c r="L25" s="8">
        <f>C3*COUNTIF(O6:O20,"&gt;0")</f>
        <v>3600000</v>
      </c>
      <c r="M25" s="8">
        <f>D3</f>
        <v>3</v>
      </c>
      <c r="N25" s="8">
        <f>COUNTIF(O8:O19,"&gt;0")</f>
        <v>2</v>
      </c>
      <c r="O25" s="8"/>
    </row>
    <row r="26" spans="1:16" s="2" customFormat="1" ht="17.5" x14ac:dyDescent="0.35">
      <c r="C26" s="8" t="s">
        <v>7</v>
      </c>
      <c r="D26" s="8">
        <f>SUMIFS(D6:D20,E6:E20,"BANQUE")</f>
        <v>1800000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3245000</v>
      </c>
      <c r="H26" s="8">
        <f>D26+E26-F26-G26</f>
        <v>-1445000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955000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D25+D26+1200000+1200000</f>
        <v>4200000</v>
      </c>
      <c r="E28" s="8">
        <f>E25+E26</f>
        <v>0</v>
      </c>
      <c r="F28" s="8">
        <f>F25+F26</f>
        <v>0</v>
      </c>
      <c r="G28" s="8">
        <f t="shared" ref="G28:H28" si="4">G25+G26</f>
        <v>3245000</v>
      </c>
      <c r="H28" s="8">
        <f t="shared" si="4"/>
        <v>-1445000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855000</v>
      </c>
      <c r="M29"/>
      <c r="N29" s="8">
        <f>L29</f>
        <v>855000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1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workbookViewId="0">
      <pane xSplit="3" ySplit="5" topLeftCell="I21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7.5" x14ac:dyDescent="0.35">
      <c r="B4" s="13"/>
      <c r="C4" s="37">
        <v>45335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IF(D6=0,0,VLOOKUP($A6,[10]HISTOFEV24!$A$6:$BQ$47,14,0))</f>
        <v>1</v>
      </c>
      <c r="C6" s="1" t="str">
        <f>VLOOKUP(A6,[11]LISTADHERENT!A$5:H$60,3,0)</f>
        <v>ASELBY</v>
      </c>
      <c r="D6" s="7">
        <f>IF(E6="ECHEC",0,VLOOKUP($A6,[10]HISTOFEV24!$A$6:$BB$47,15,0))</f>
        <v>100000</v>
      </c>
      <c r="E6" s="7" t="str">
        <f>VLOOKUP($A6,[10]HISTOFEV24!$A$6:$BB$47,8,0)</f>
        <v>BANQUE</v>
      </c>
      <c r="F6" s="7">
        <f>VLOOKUP($A6,[10]HISTOFEV24!$A$6:$BB$47,37,0)</f>
        <v>0</v>
      </c>
      <c r="G6" s="7">
        <f>VLOOKUP($A6,[10]HISTOFEV24!$A$6:$BB$47,40,0)</f>
        <v>0</v>
      </c>
      <c r="H6" s="7" t="str">
        <f>IF(F6&lt;&gt;0,VLOOKUP($A6,[10]HISTOFEV24!$A$6:$BB$47,42,0),"ECHEC")</f>
        <v>ECHEC</v>
      </c>
      <c r="I6" s="7">
        <f>VLOOKUP($A6,[10]HISTOFEV24!$A$6:$BB$47,41,0)</f>
        <v>0</v>
      </c>
      <c r="J6" s="7">
        <f>TONTJANV24!F6+TONTJANV24!G6</f>
        <v>0</v>
      </c>
      <c r="K6" s="7">
        <f>VLOOKUP($A6,[10]HISTOFEV24!$A$6:$BB$47,18,0)</f>
        <v>0</v>
      </c>
      <c r="L6" s="7" t="str">
        <f>IF(K6&lt;&gt;0,VLOOKUP($A6,[10]HISTOFEV24!$A$6:$BB$47,42,0),"ECHEC")</f>
        <v>ECHEC</v>
      </c>
      <c r="M6" s="7" t="str">
        <f>IF(P6&lt;&gt;0,VLOOKUP($A6,[10]HISTOFEV24!$A$6:$BB$47,32,0),"ECHEC")</f>
        <v>ECHEC</v>
      </c>
      <c r="N6" s="7">
        <f>VLOOKUP($A6,[10]HISTOFEV24!$A$6:$BB$47,33,0)</f>
        <v>0</v>
      </c>
      <c r="O6" s="7">
        <f t="shared" ref="O6:O19" si="0">IF(P6=0,0,($C$3-P6))</f>
        <v>0</v>
      </c>
      <c r="P6" s="7">
        <f>VLOOKUP($A6,[10]HISTOFEV24!$A$6:$BB$47,31,0)</f>
        <v>0</v>
      </c>
    </row>
    <row r="7" spans="1:16" x14ac:dyDescent="0.35">
      <c r="A7" s="1" t="s">
        <v>47</v>
      </c>
      <c r="B7" s="7">
        <f>IF(D7=0,0,VLOOKUP($A7,[10]HISTOFEV24!$A$6:$BQ$47,14,0))</f>
        <v>2</v>
      </c>
      <c r="C7" s="1" t="str">
        <f>VLOOKUP(A7,[11]LISTADHERENT!A$5:H$60,3,0)</f>
        <v xml:space="preserve">DJOMO JEAN PAUL </v>
      </c>
      <c r="D7" s="7">
        <f>IF(E7="ECHEC",0,VLOOKUP($A7,[10]HISTOFEV24!$A$6:$BB$47,15,0))</f>
        <v>200000</v>
      </c>
      <c r="E7" s="7" t="str">
        <f>VLOOKUP($A7,[10]HISTOFEV24!$A$6:$BB$47,8,0)</f>
        <v>BANQUE</v>
      </c>
      <c r="F7" s="7">
        <f>VLOOKUP($A7,[10]HISTOFEV24!$A$6:$BB$47,37,0)</f>
        <v>0</v>
      </c>
      <c r="G7" s="7">
        <f>VLOOKUP($A7,[10]HISTOFEV24!$A$6:$BB$47,40,0)</f>
        <v>0</v>
      </c>
      <c r="H7" s="7" t="str">
        <f>IF(F7&lt;&gt;0,VLOOKUP($A7,[10]HISTOFEV24!$A$6:$BB$47,42,0),"ECHEC")</f>
        <v>ECHEC</v>
      </c>
      <c r="I7" s="7">
        <f>VLOOKUP($A7,[10]HISTOFEV24!$A$6:$BB$47,41,0)</f>
        <v>0</v>
      </c>
      <c r="J7" s="7">
        <f>TONTJANV24!F7+TONTJANV24!G7</f>
        <v>0</v>
      </c>
      <c r="K7" s="7">
        <f>VLOOKUP($A7,[10]HISTOFEV24!$A$6:$BB$47,18,0)</f>
        <v>0</v>
      </c>
      <c r="L7" s="7" t="str">
        <f>IF(K7&lt;&gt;0,VLOOKUP($A7,[10]HISTOFEV24!$A$6:$BB$47,42,0),"ECHEC")</f>
        <v>ECHEC</v>
      </c>
      <c r="M7" s="7" t="str">
        <f>IF(P7&lt;&gt;0,VLOOKUP($A7,[10]HISTOFEV24!$A$6:$BB$47,32,0),"ECHEC")</f>
        <v>ECHEC</v>
      </c>
      <c r="N7" s="7">
        <f>VLOOKUP($A7,[10]HISTOFEV24!$A$6:$BB$47,33,0)</f>
        <v>0</v>
      </c>
      <c r="O7" s="7">
        <f t="shared" si="0"/>
        <v>0</v>
      </c>
      <c r="P7" s="7">
        <f>VLOOKUP($A7,[10]HISTOFEV24!$A$6:$BB$47,31,0)</f>
        <v>0</v>
      </c>
    </row>
    <row r="8" spans="1:16" x14ac:dyDescent="0.35">
      <c r="A8" s="1" t="s">
        <v>20</v>
      </c>
      <c r="B8" s="7">
        <f>IF(D8=0,0,VLOOKUP($A8,[10]HISTOFEV24!$A$6:$BQ$47,14,0))</f>
        <v>2</v>
      </c>
      <c r="C8" s="1" t="str">
        <f>VLOOKUP(A8,[11]LISTADHERENT!A$5:H$60,3,0)</f>
        <v>DJUOMBESSY ANTOINE</v>
      </c>
      <c r="D8" s="7">
        <f>IF(E8="ECHEC",0,VLOOKUP($A8,[10]HISTOFEV24!$A$6:$BB$47,15,0))</f>
        <v>200000</v>
      </c>
      <c r="E8" s="7" t="str">
        <f>VLOOKUP($A8,[10]HISTOFEV24!$A$6:$BB$47,8,0)</f>
        <v>BANQUE</v>
      </c>
      <c r="F8" s="7">
        <f>VLOOKUP($A8,[10]HISTOFEV24!$A$6:$BB$47,37,0)</f>
        <v>131000</v>
      </c>
      <c r="G8" s="7">
        <f>VLOOKUP($A8,[10]HISTOFEV24!$A$6:$BB$47,40,0)</f>
        <v>1000</v>
      </c>
      <c r="H8" s="7" t="str">
        <f>IF(F8&lt;&gt;0,VLOOKUP($A8,[10]HISTOFEV24!$A$6:$BB$47,42,0),"ECHEC")</f>
        <v>BANQUE</v>
      </c>
      <c r="I8" s="7">
        <f>VLOOKUP($A8,[10]HISTOFEV24!$A$6:$BB$47,41,0)</f>
        <v>0</v>
      </c>
      <c r="J8" s="7">
        <f>TONTJANV24!F8+TONTJANV24!G8</f>
        <v>0</v>
      </c>
      <c r="K8" s="7">
        <f>VLOOKUP($A8,[10]HISTOFEV24!$A$6:$BB$47,18,0)</f>
        <v>0</v>
      </c>
      <c r="L8" s="7" t="str">
        <f>IF(K8&lt;&gt;0,VLOOKUP($A8,[10]HISTOFEV24!$A$6:$BB$47,42,0),"ECHEC")</f>
        <v>ECHEC</v>
      </c>
      <c r="M8" s="7" t="str">
        <f>IF(P8&lt;&gt;0,VLOOKUP($A8,[10]HISTOFEV24!$A$6:$BB$47,32,0),"ECHEC")</f>
        <v>ECHEC</v>
      </c>
      <c r="N8" s="7">
        <f>VLOOKUP($A8,[10]HISTOFEV24!$A$6:$BB$47,33,0)</f>
        <v>0</v>
      </c>
      <c r="O8" s="7">
        <f t="shared" si="0"/>
        <v>0</v>
      </c>
      <c r="P8" s="7">
        <f>VLOOKUP($A8,[10]HISTOFEV24!$A$6:$BB$47,31,0)</f>
        <v>0</v>
      </c>
    </row>
    <row r="9" spans="1:16" x14ac:dyDescent="0.35">
      <c r="A9" s="1" t="s">
        <v>21</v>
      </c>
      <c r="B9" s="7">
        <f>IF(D9=0,0,VLOOKUP($A9,[10]HISTOFEV24!$A$6:$BQ$47,14,0))</f>
        <v>1</v>
      </c>
      <c r="C9" s="1" t="str">
        <f>VLOOKUP(A9,[11]LISTADHERENT!A$5:H$60,3,0)</f>
        <v>HOTCHO BENJAMIN</v>
      </c>
      <c r="D9" s="7">
        <f>IF(E9="ECHEC",0,VLOOKUP($A9,[10]HISTOFEV24!$A$6:$BB$47,15,0))</f>
        <v>100000</v>
      </c>
      <c r="E9" s="7" t="str">
        <f>VLOOKUP($A9,[10]HISTOFEV24!$A$6:$BB$47,8,0)</f>
        <v>BANQUE</v>
      </c>
      <c r="F9" s="7">
        <f>VLOOKUP($A9,[10]HISTOFEV24!$A$6:$BB$47,37,0)</f>
        <v>0</v>
      </c>
      <c r="G9" s="7">
        <f>VLOOKUP($A9,[10]HISTOFEV24!$A$6:$BB$47,40,0)</f>
        <v>0</v>
      </c>
      <c r="H9" s="7" t="str">
        <f>IF(F9&lt;&gt;0,VLOOKUP($A9,[10]HISTOFEV24!$A$6:$BB$47,42,0),"ECHEC")</f>
        <v>ECHEC</v>
      </c>
      <c r="I9" s="7">
        <f>VLOOKUP($A9,[10]HISTOFEV24!$A$6:$BB$47,41,0)</f>
        <v>0</v>
      </c>
      <c r="J9" s="7">
        <f>TONTJANV24!F9+TONTJANV24!G9</f>
        <v>0</v>
      </c>
      <c r="K9" s="7">
        <f>VLOOKUP($A9,[10]HISTOFEV24!$A$6:$BB$47,18,0)</f>
        <v>0</v>
      </c>
      <c r="L9" s="7" t="str">
        <f>IF(K9&lt;&gt;0,VLOOKUP($A9,[10]HISTOFEV24!$A$6:$BB$47,42,0),"ECHEC")</f>
        <v>ECHEC</v>
      </c>
      <c r="M9" s="7" t="str">
        <f>IF(P9&lt;&gt;0,VLOOKUP($A9,[10]HISTOFEV24!$A$6:$BB$47,32,0),"ECHEC")</f>
        <v>ECHEC</v>
      </c>
      <c r="N9" s="7">
        <f>VLOOKUP($A9,[10]HISTOFEV24!$A$6:$BB$47,33,0)</f>
        <v>0</v>
      </c>
      <c r="O9" s="7">
        <f t="shared" si="0"/>
        <v>0</v>
      </c>
      <c r="P9" s="7">
        <f>VLOOKUP($A9,[10]HISTOFEV24!$A$6:$BB$47,31,0)</f>
        <v>0</v>
      </c>
    </row>
    <row r="10" spans="1:16" x14ac:dyDescent="0.35">
      <c r="A10" s="1" t="s">
        <v>26</v>
      </c>
      <c r="B10" s="7">
        <f>IF(D10=0,0,VLOOKUP($A10,[10]HISTOFEV24!$A$6:$BQ$47,14,0))</f>
        <v>1</v>
      </c>
      <c r="C10" s="1" t="str">
        <f>VLOOKUP(A10,[11]LISTADHERENT!A$5:H$60,3,0)</f>
        <v>KOUAMOU MOISE</v>
      </c>
      <c r="D10" s="7">
        <f>IF(E10="ECHEC",0,VLOOKUP($A10,[10]HISTOFEV24!$A$6:$BB$47,15,0))</f>
        <v>100000</v>
      </c>
      <c r="E10" s="7" t="str">
        <f>VLOOKUP($A10,[10]HISTOFEV24!$A$6:$BB$47,8,0)</f>
        <v>BANQUE</v>
      </c>
      <c r="F10" s="7">
        <f>VLOOKUP($A10,[10]HISTOFEV24!$A$6:$BB$47,37,0)</f>
        <v>0</v>
      </c>
      <c r="G10" s="7">
        <f>VLOOKUP($A10,[10]HISTOFEV24!$A$6:$BB$47,40,0)</f>
        <v>0</v>
      </c>
      <c r="H10" s="7" t="str">
        <f>IF(F10&lt;&gt;0,VLOOKUP($A10,[10]HISTOFEV24!$A$6:$BB$47,42,0),"ECHEC")</f>
        <v>ECHEC</v>
      </c>
      <c r="I10" s="7">
        <f>VLOOKUP($A10,[10]HISTOFEV24!$A$6:$BB$47,41,0)</f>
        <v>0</v>
      </c>
      <c r="J10" s="7">
        <f>TONTJANV24!F10+TONTJANV24!G10</f>
        <v>101000</v>
      </c>
      <c r="K10" s="7">
        <f>VLOOKUP($A10,[10]HISTOFEV24!$A$6:$BB$47,18,0)</f>
        <v>101000</v>
      </c>
      <c r="L10" s="7" t="str">
        <f>IF(K10&lt;&gt;0,VLOOKUP($A10,[10]HISTOFEV24!$A$6:$BB$47,42,0),"ECHEC")</f>
        <v>BANQUE</v>
      </c>
      <c r="M10" s="7" t="str">
        <f>IF(P10&lt;&gt;0,VLOOKUP($A10,[10]HISTOFEV24!$A$6:$BB$47,32,0),"ECHEC")</f>
        <v>ECHEC</v>
      </c>
      <c r="N10" s="7">
        <f>VLOOKUP($A10,[10]HISTOFEV24!$A$6:$BB$47,33,0)</f>
        <v>0</v>
      </c>
      <c r="O10" s="7">
        <f t="shared" si="0"/>
        <v>0</v>
      </c>
      <c r="P10" s="7">
        <f>VLOOKUP($A10,[10]HISTOFEV24!$A$6:$BB$47,31,0)</f>
        <v>0</v>
      </c>
    </row>
    <row r="11" spans="1:16" x14ac:dyDescent="0.35">
      <c r="A11" s="1" t="s">
        <v>8</v>
      </c>
      <c r="B11" s="7">
        <f>IF(D11=0,0,VLOOKUP($A11,[10]HISTOFEV24!$A$6:$BQ$47,14,0))</f>
        <v>1</v>
      </c>
      <c r="C11" s="1" t="str">
        <f>VLOOKUP(A11,[11]LISTADHERENT!A$5:H$60,3,0)</f>
        <v>KOUATCHO MESSACK</v>
      </c>
      <c r="D11" s="7">
        <f>IF(E11="ECHEC",0,VLOOKUP($A11,[10]HISTOFEV24!$A$6:$BB$47,15,0))</f>
        <v>100000</v>
      </c>
      <c r="E11" s="7" t="str">
        <f>VLOOKUP($A11,[10]HISTOFEV24!$A$6:$BB$47,8,0)</f>
        <v>BANQUE</v>
      </c>
      <c r="F11" s="7">
        <f>VLOOKUP($A11,[10]HISTOFEV24!$A$6:$BB$47,37,0)</f>
        <v>0</v>
      </c>
      <c r="G11" s="7">
        <f>VLOOKUP($A11,[10]HISTOFEV24!$A$6:$BB$47,40,0)</f>
        <v>0</v>
      </c>
      <c r="H11" s="7" t="str">
        <f>IF(F11&lt;&gt;0,VLOOKUP($A11,[10]HISTOFEV24!$A$6:$BB$47,42,0),"ECHEC")</f>
        <v>ECHEC</v>
      </c>
      <c r="I11" s="7">
        <f>VLOOKUP($A11,[10]HISTOFEV24!$A$6:$BB$47,41,0)</f>
        <v>0</v>
      </c>
      <c r="J11" s="7">
        <f>TONTJANV24!F11+TONTJANV24!G11</f>
        <v>0</v>
      </c>
      <c r="K11" s="7">
        <f>VLOOKUP($A11,[10]HISTOFEV24!$A$6:$BB$47,18,0)</f>
        <v>0</v>
      </c>
      <c r="L11" s="7" t="str">
        <f>IF(K11&lt;&gt;0,VLOOKUP($A11,[10]HISTOFEV24!$A$6:$BB$47,42,0),"ECHEC")</f>
        <v>ECHEC</v>
      </c>
      <c r="M11" s="7" t="str">
        <f>IF(P11&lt;&gt;0,VLOOKUP($A11,[10]HISTOFEV24!$A$6:$BB$47,32,0),"ECHEC")</f>
        <v>BANQUE</v>
      </c>
      <c r="N11" s="7">
        <f>VLOOKUP($A11,[10]HISTOFEV24!$A$6:$BB$47,33,0)</f>
        <v>0</v>
      </c>
      <c r="O11" s="7">
        <f t="shared" si="0"/>
        <v>1160000</v>
      </c>
      <c r="P11" s="7">
        <f>VLOOKUP($A11,[10]HISTOFEV24!$A$6:$BB$47,31,0)</f>
        <v>40000</v>
      </c>
    </row>
    <row r="12" spans="1:16" x14ac:dyDescent="0.35">
      <c r="A12" s="1" t="s">
        <v>22</v>
      </c>
      <c r="B12" s="7">
        <f>IF(D12=0,0,VLOOKUP($A12,[10]HISTOFEV24!$A$6:$BQ$47,14,0))</f>
        <v>1</v>
      </c>
      <c r="C12" s="1" t="str">
        <f>VLOOKUP(A12,[11]LISTADHERENT!A$5:H$60,3,0)</f>
        <v>MBOGNING TUGMA GUY</v>
      </c>
      <c r="D12" s="7">
        <f>IF(E12="ECHEC",0,VLOOKUP($A12,[10]HISTOFEV24!$A$6:$BB$47,15,0))</f>
        <v>100000</v>
      </c>
      <c r="E12" s="7" t="str">
        <f>VLOOKUP($A12,[10]HISTOFEV24!$A$6:$BB$47,8,0)</f>
        <v>BANQUE</v>
      </c>
      <c r="F12" s="7">
        <f>VLOOKUP($A12,[10]HISTOFEV24!$A$6:$BB$47,37,0)</f>
        <v>200000</v>
      </c>
      <c r="G12" s="7">
        <f>VLOOKUP($A12,[10]HISTOFEV24!$A$6:$BB$47,40,0)</f>
        <v>2000</v>
      </c>
      <c r="H12" s="7" t="str">
        <f>IF(F12&lt;&gt;0,VLOOKUP($A12,[10]HISTOFEV24!$A$6:$BB$47,42,0),"ECHEC")</f>
        <v>BANQUE</v>
      </c>
      <c r="I12" s="7">
        <f>VLOOKUP($A12,[10]HISTOFEV24!$A$6:$BB$47,41,0)</f>
        <v>0</v>
      </c>
      <c r="J12" s="7">
        <f>TONTJANV24!F12+TONTJANV24!G12</f>
        <v>0</v>
      </c>
      <c r="K12" s="7">
        <f>VLOOKUP($A12,[10]HISTOFEV24!$A$6:$BB$47,18,0)</f>
        <v>0</v>
      </c>
      <c r="L12" s="7" t="str">
        <f>IF(K12&lt;&gt;0,VLOOKUP($A12,[10]HISTOFEV24!$A$6:$BB$47,42,0),"ECHEC")</f>
        <v>ECHEC</v>
      </c>
      <c r="M12" s="7" t="str">
        <f>IF(P12&lt;&gt;0,VLOOKUP($A12,[10]HISTOFEV24!$A$6:$BB$47,32,0),"ECHEC")</f>
        <v>ECHEC</v>
      </c>
      <c r="N12" s="7">
        <f>VLOOKUP($A12,[10]HISTOFEV24!$A$6:$BB$47,33,0)</f>
        <v>0</v>
      </c>
      <c r="O12" s="7">
        <f t="shared" si="0"/>
        <v>0</v>
      </c>
      <c r="P12" s="7">
        <f>VLOOKUP($A12,[10]HISTOFEV24!$A$6:$BB$47,31,0)</f>
        <v>0</v>
      </c>
    </row>
    <row r="13" spans="1:16" x14ac:dyDescent="0.35">
      <c r="A13" s="1" t="s">
        <v>9</v>
      </c>
      <c r="B13" s="7">
        <f>IF(D13=0,0,VLOOKUP($A13,[10]HISTOFEV24!$A$6:$BQ$47,14,0))</f>
        <v>2</v>
      </c>
      <c r="C13" s="1" t="str">
        <f>VLOOKUP(A13,[11]LISTADHERENT!A$5:H$60,3,0)</f>
        <v>NDJOMO ETIENNE</v>
      </c>
      <c r="D13" s="7">
        <f>IF(E13="ECHEC",0,VLOOKUP($A13,[10]HISTOFEV24!$A$6:$BB$47,15,0))</f>
        <v>200000</v>
      </c>
      <c r="E13" s="7" t="str">
        <f>VLOOKUP($A13,[10]HISTOFEV24!$A$6:$BB$47,8,0)</f>
        <v>BANQUE</v>
      </c>
      <c r="F13" s="7">
        <f>VLOOKUP($A13,[10]HISTOFEV24!$A$6:$BB$47,37,0)</f>
        <v>0</v>
      </c>
      <c r="G13" s="7">
        <f>VLOOKUP($A13,[10]HISTOFEV24!$A$6:$BB$47,40,0)</f>
        <v>0</v>
      </c>
      <c r="H13" s="7" t="str">
        <f>IF(F13&lt;&gt;0,VLOOKUP($A13,[10]HISTOFEV24!$A$6:$BB$47,42,0),"ECHEC")</f>
        <v>ECHEC</v>
      </c>
      <c r="I13" s="7">
        <f>VLOOKUP($A13,[10]HISTOFEV24!$A$6:$BB$47,41,0)</f>
        <v>0</v>
      </c>
      <c r="J13" s="7">
        <f>TONTJANV24!F13+TONTJANV24!G13</f>
        <v>0</v>
      </c>
      <c r="K13" s="7">
        <f>VLOOKUP($A13,[10]HISTOFEV24!$A$6:$BB$47,18,0)</f>
        <v>0</v>
      </c>
      <c r="L13" s="7" t="str">
        <f>IF(K13&lt;&gt;0,VLOOKUP($A13,[10]HISTOFEV24!$A$6:$BB$47,42,0),"ECHEC")</f>
        <v>ECHEC</v>
      </c>
      <c r="M13" s="7" t="str">
        <f>IF(P13&lt;&gt;0,VLOOKUP($A13,[10]HISTOFEV24!$A$6:$BB$47,32,0),"ECHEC")</f>
        <v>ECHEC</v>
      </c>
      <c r="N13" s="7">
        <f>VLOOKUP($A13,[10]HISTOFEV24!$A$6:$BB$47,33,0)</f>
        <v>0</v>
      </c>
      <c r="O13" s="7">
        <f t="shared" si="0"/>
        <v>0</v>
      </c>
      <c r="P13" s="7">
        <f>VLOOKUP($A13,[10]HISTOFEV24!$A$6:$BB$47,31,0)</f>
        <v>0</v>
      </c>
    </row>
    <row r="14" spans="1:16" x14ac:dyDescent="0.35">
      <c r="A14" s="1" t="s">
        <v>10</v>
      </c>
      <c r="B14" s="7">
        <f>IF(D14=0,0,VLOOKUP($A14,[10]HISTOFEV24!$A$6:$BQ$47,14,0))</f>
        <v>1</v>
      </c>
      <c r="C14" s="1" t="str">
        <f>VLOOKUP(A14,[11]LISTADHERENT!A$5:H$60,3,0)</f>
        <v>NGONDIEP CLAUDE</v>
      </c>
      <c r="D14" s="7">
        <f>IF(E14="ECHEC",0,VLOOKUP($A14,[10]HISTOFEV24!$A$6:$BB$47,15,0))</f>
        <v>100000</v>
      </c>
      <c r="E14" s="7" t="str">
        <f>VLOOKUP($A14,[10]HISTOFEV24!$A$6:$BB$47,8,0)</f>
        <v>BANQUE</v>
      </c>
      <c r="F14" s="7">
        <f>VLOOKUP($A14,[10]HISTOFEV24!$A$6:$BB$47,37,0)</f>
        <v>0</v>
      </c>
      <c r="G14" s="7">
        <f>VLOOKUP($A14,[10]HISTOFEV24!$A$6:$BB$47,40,0)</f>
        <v>0</v>
      </c>
      <c r="H14" s="7" t="str">
        <f>IF(F14&lt;&gt;0,VLOOKUP($A14,[10]HISTOFEV24!$A$6:$BB$47,42,0),"ECHEC")</f>
        <v>ECHEC</v>
      </c>
      <c r="I14" s="7">
        <f>VLOOKUP($A14,[10]HISTOFEV24!$A$6:$BB$47,41,0)</f>
        <v>0</v>
      </c>
      <c r="J14" s="7">
        <f>TONTJANV24!F14+TONTJANV24!G14</f>
        <v>0</v>
      </c>
      <c r="K14" s="7">
        <f>VLOOKUP($A14,[10]HISTOFEV24!$A$6:$BB$47,18,0)</f>
        <v>0</v>
      </c>
      <c r="L14" s="7" t="str">
        <f>IF(K14&lt;&gt;0,VLOOKUP($A14,[10]HISTOFEV24!$A$6:$BB$47,42,0),"ECHEC")</f>
        <v>ECHEC</v>
      </c>
      <c r="M14" s="7" t="str">
        <f>IF(P14&lt;&gt;0,VLOOKUP($A14,[10]HISTOFEV24!$A$6:$BB$47,32,0),"ECHEC")</f>
        <v>ECHEC</v>
      </c>
      <c r="N14" s="7">
        <f>VLOOKUP($A14,[10]HISTOFEV24!$A$6:$BB$47,33,0)</f>
        <v>0</v>
      </c>
      <c r="O14" s="7">
        <f t="shared" si="0"/>
        <v>0</v>
      </c>
      <c r="P14" s="7">
        <f>VLOOKUP($A14,[10]HISTOFEV24!$A$6:$BB$47,31,0)</f>
        <v>0</v>
      </c>
    </row>
    <row r="15" spans="1:16" x14ac:dyDescent="0.35">
      <c r="A15" s="1" t="s">
        <v>43</v>
      </c>
      <c r="B15" s="7">
        <f>IF(D15=0,0,VLOOKUP($A15,[10]HISTOFEV24!$A$6:$BQ$47,14,0))</f>
        <v>1</v>
      </c>
      <c r="C15" s="1" t="str">
        <f>VLOOKUP(A15,[11]LISTADHERENT!A$5:H$60,3,0)</f>
        <v>NGUIEMEGNI MATHIEU BLAISE</v>
      </c>
      <c r="D15" s="7">
        <f>IF(E15="ECHEC",0,VLOOKUP($A15,[10]HISTOFEV24!$A$6:$BB$47,15,0))</f>
        <v>100000</v>
      </c>
      <c r="E15" s="7" t="str">
        <f>VLOOKUP($A15,[10]HISTOFEV24!$A$6:$BB$47,8,0)</f>
        <v>BANQUE</v>
      </c>
      <c r="F15" s="7">
        <f>VLOOKUP($A15,[10]HISTOFEV24!$A$6:$BB$47,37,0)</f>
        <v>100000</v>
      </c>
      <c r="G15" s="7">
        <f>VLOOKUP($A15,[10]HISTOFEV24!$A$6:$BB$47,40,0)</f>
        <v>1500</v>
      </c>
      <c r="H15" s="7">
        <f>IF(F15&lt;&gt;0,VLOOKUP($A15,[10]HISTOFEV24!$A$6:$BB$47,42,0),"ECHEC")</f>
        <v>0</v>
      </c>
      <c r="I15" s="7">
        <f>VLOOKUP($A15,[10]HISTOFEV24!$A$6:$BB$47,41,0)</f>
        <v>0</v>
      </c>
      <c r="J15" s="7">
        <f>TONTJANV24!F15+TONTJANV24!G15</f>
        <v>0</v>
      </c>
      <c r="K15" s="7">
        <f>VLOOKUP($A15,[10]HISTOFEV24!$A$6:$BB$47,18,0)</f>
        <v>0</v>
      </c>
      <c r="L15" s="7" t="str">
        <f>IF(K15&lt;&gt;0,VLOOKUP($A15,[10]HISTOFEV24!$A$6:$BB$47,42,0),"ECHEC")</f>
        <v>ECHEC</v>
      </c>
      <c r="M15" s="7" t="str">
        <f>IF(P15&lt;&gt;0,VLOOKUP($A15,[10]HISTOFEV24!$A$6:$BB$47,32,0),"ECHEC")</f>
        <v>ECHEC</v>
      </c>
      <c r="N15" s="7">
        <f>VLOOKUP($A15,[10]HISTOFEV24!$A$6:$BB$47,33,0)</f>
        <v>0</v>
      </c>
      <c r="O15" s="7">
        <f t="shared" si="0"/>
        <v>0</v>
      </c>
      <c r="P15" s="7">
        <f>VLOOKUP($A15,[10]HISTOFEV24!$A$6:$BB$47,31,0)</f>
        <v>0</v>
      </c>
    </row>
    <row r="16" spans="1:16" x14ac:dyDescent="0.35">
      <c r="A16" s="1" t="s">
        <v>54</v>
      </c>
      <c r="B16" s="7">
        <f>IF(D16=0,0,VLOOKUP($A16,[10]HISTOFEV24!$A$6:$BQ$47,14,0))</f>
        <v>2</v>
      </c>
      <c r="C16" s="1" t="str">
        <f>VLOOKUP(A16,[11]LISTADHERENT!A$5:H$60,3,0)</f>
        <v>SIME BRICE</v>
      </c>
      <c r="D16" s="7">
        <f>IF(E16="ECHEC",0,VLOOKUP($A16,[10]HISTOFEV24!$A$6:$BB$47,15,0))</f>
        <v>200000</v>
      </c>
      <c r="E16" s="7" t="str">
        <f>VLOOKUP($A16,[10]HISTOFEV24!$A$6:$BB$47,8,0)</f>
        <v>BANQUE</v>
      </c>
      <c r="F16" s="7">
        <f>VLOOKUP($A16,[10]HISTOFEV24!$A$6:$BB$47,37,0)</f>
        <v>0</v>
      </c>
      <c r="G16" s="7">
        <f>VLOOKUP($A16,[10]HISTOFEV24!$A$6:$BB$47,40,0)</f>
        <v>0</v>
      </c>
      <c r="H16" s="7" t="str">
        <f>IF(F16&lt;&gt;0,VLOOKUP($A16,[10]HISTOFEV24!$A$6:$BB$47,42,0),"ECHEC")</f>
        <v>ECHEC</v>
      </c>
      <c r="I16" s="7">
        <f>VLOOKUP($A16,[10]HISTOFEV24!$A$6:$BB$47,41,0)</f>
        <v>0</v>
      </c>
      <c r="J16" s="7">
        <f>TONTJANV24!F16+TONTJANV24!G16</f>
        <v>0</v>
      </c>
      <c r="K16" s="7">
        <f>VLOOKUP($A16,[10]HISTOFEV24!$A$6:$BB$47,18,0)</f>
        <v>0</v>
      </c>
      <c r="L16" s="7" t="str">
        <f>IF(K16&lt;&gt;0,VLOOKUP($A16,[10]HISTOFEV24!$A$6:$BB$47,42,0),"ECHEC")</f>
        <v>ECHEC</v>
      </c>
      <c r="M16" s="7" t="str">
        <f>IF(P16&lt;&gt;0,VLOOKUP($A16,[10]HISTOFEV24!$A$6:$BB$47,32,0),"ECHEC")</f>
        <v>BANQUE</v>
      </c>
      <c r="N16" s="7">
        <f>VLOOKUP($A16,[10]HISTOFEV24!$A$6:$BB$47,33,0)</f>
        <v>0</v>
      </c>
      <c r="O16" s="7">
        <f t="shared" si="0"/>
        <v>1165000</v>
      </c>
      <c r="P16" s="7">
        <f>VLOOKUP($A16,[10]HISTOFEV24!$A$6:$BB$47,31,0)</f>
        <v>35000</v>
      </c>
    </row>
    <row r="17" spans="1:16" x14ac:dyDescent="0.35">
      <c r="A17" s="1" t="s">
        <v>55</v>
      </c>
      <c r="B17" s="7">
        <f>IF(D17=0,0,VLOOKUP($A17,[10]HISTOFEV24!$A$6:$BQ$47,14,0))</f>
        <v>1</v>
      </c>
      <c r="C17" s="1" t="str">
        <f>VLOOKUP(A17,[11]LISTADHERENT!A$5:H$60,3,0)</f>
        <v>TCHOUATEU AUGUSTIN</v>
      </c>
      <c r="D17" s="7">
        <f>IF(E17="ECHEC",0,VLOOKUP($A17,[10]HISTOFEV24!$A$6:$BB$47,15,0))</f>
        <v>100000</v>
      </c>
      <c r="E17" s="7" t="str">
        <f>VLOOKUP($A17,[10]HISTOFEV24!$A$6:$BB$47,8,0)</f>
        <v>BANQUE</v>
      </c>
      <c r="F17" s="7">
        <f>VLOOKUP($A17,[10]HISTOFEV24!$A$6:$BB$47,37,0)</f>
        <v>0</v>
      </c>
      <c r="G17" s="7">
        <f>VLOOKUP($A17,[10]HISTOFEV24!$A$6:$BB$47,40,0)</f>
        <v>0</v>
      </c>
      <c r="H17" s="7" t="str">
        <f>IF(F17&lt;&gt;0,VLOOKUP($A17,[10]HISTOFEV24!$A$6:$BB$47,42,0),"ECHEC")</f>
        <v>ECHEC</v>
      </c>
      <c r="I17" s="7">
        <f>VLOOKUP($A17,[10]HISTOFEV24!$A$6:$BB$47,41,0)</f>
        <v>0</v>
      </c>
      <c r="J17" s="7">
        <f>TONTJANV24!F17+TONTJANV24!G17</f>
        <v>0</v>
      </c>
      <c r="K17" s="7">
        <f>VLOOKUP($A17,[10]HISTOFEV24!$A$6:$BB$47,18,0)</f>
        <v>0</v>
      </c>
      <c r="L17" s="7" t="str">
        <f>IF(K17&lt;&gt;0,VLOOKUP($A17,[10]HISTOFEV24!$A$6:$BB$47,42,0),"ECHEC")</f>
        <v>ECHEC</v>
      </c>
      <c r="M17" s="7" t="str">
        <f>IF(P17&lt;&gt;0,VLOOKUP($A17,[10]HISTOFEV24!$A$6:$BB$47,32,0),"ECHEC")</f>
        <v>ECHEC</v>
      </c>
      <c r="N17" s="7">
        <f>VLOOKUP($A17,[10]HISTOFEV24!$A$6:$BB$47,33,0)</f>
        <v>0</v>
      </c>
      <c r="O17" s="7">
        <f t="shared" si="0"/>
        <v>0</v>
      </c>
      <c r="P17" s="7">
        <f>VLOOKUP($A17,[10]HISTOFEV24!$A$6:$BB$47,31,0)</f>
        <v>0</v>
      </c>
    </row>
    <row r="18" spans="1:16" x14ac:dyDescent="0.35">
      <c r="A18" s="1" t="s">
        <v>46</v>
      </c>
      <c r="B18" s="7">
        <f>IF(D18=0,0,VLOOKUP($A18,[10]HISTOFEV24!$A$6:$BQ$47,14,0))</f>
        <v>1</v>
      </c>
      <c r="C18" s="1" t="str">
        <f>VLOOKUP(A18,[11]LISTADHERENT!A$5:H$60,3,0)</f>
        <v>SIMO PIERRE</v>
      </c>
      <c r="D18" s="7">
        <f>IF(E18="ECHEC",0,VLOOKUP($A18,[10]HISTOFEV24!$A$6:$BB$47,15,0))</f>
        <v>100000</v>
      </c>
      <c r="E18" s="7" t="str">
        <f>VLOOKUP($A18,[10]HISTOFEV24!$A$6:$BB$47,8,0)</f>
        <v>BANQUE</v>
      </c>
      <c r="F18" s="7">
        <f>VLOOKUP($A18,[10]HISTOFEV24!$A$6:$BB$47,37,0)</f>
        <v>0</v>
      </c>
      <c r="G18" s="7">
        <f>VLOOKUP($A18,[10]HISTOFEV24!$A$6:$BB$47,40,0)</f>
        <v>0</v>
      </c>
      <c r="H18" s="7" t="str">
        <f>IF(F18&lt;&gt;0,VLOOKUP($A18,[10]HISTOFEV24!$A$6:$BB$47,42,0),"ECHEC")</f>
        <v>ECHEC</v>
      </c>
      <c r="I18" s="7">
        <f>VLOOKUP($A18,[10]HISTOFEV24!$A$6:$BB$47,41,0)</f>
        <v>0</v>
      </c>
      <c r="J18" s="7">
        <f>TONTJANV24!F18+TONTJANV24!G18</f>
        <v>0</v>
      </c>
      <c r="K18" s="7">
        <f>VLOOKUP($A18,[10]HISTOFEV24!$A$6:$BB$47,18,0)</f>
        <v>0</v>
      </c>
      <c r="L18" s="7" t="str">
        <f>IF(K18&lt;&gt;0,VLOOKUP($A18,[10]HISTOFEV24!$A$6:$BB$47,42,0),"ECHEC")</f>
        <v>ECHEC</v>
      </c>
      <c r="M18" s="7" t="str">
        <f>IF(P18&lt;&gt;0,VLOOKUP($A18,[10]HISTOFEV24!$A$6:$BB$47,32,0),"ECHEC")</f>
        <v>ECHEC</v>
      </c>
      <c r="N18" s="7">
        <f>VLOOKUP($A18,[10]HISTOFEV24!$A$6:$BB$47,33,0)</f>
        <v>0</v>
      </c>
      <c r="O18" s="7">
        <f t="shared" si="0"/>
        <v>0</v>
      </c>
      <c r="P18" s="7">
        <f>VLOOKUP($A18,[10]HISTOFEV24!$A$6:$BB$47,31,0)</f>
        <v>0</v>
      </c>
    </row>
    <row r="19" spans="1:16" x14ac:dyDescent="0.35">
      <c r="A19" s="1" t="s">
        <v>53</v>
      </c>
      <c r="B19" s="7">
        <f>IF(D19=0,0,VLOOKUP($A19,[10]HISTOFEV24!$A$6:$BQ$47,14,0))</f>
        <v>1</v>
      </c>
      <c r="C19" s="1" t="str">
        <f>VLOOKUP(A19,[11]LISTADHERENT!A$5:H$60,3,0)</f>
        <v>YIALA ALAIN OSCAR</v>
      </c>
      <c r="D19" s="7">
        <f>IF(E19="ECHEC",0,VLOOKUP($A19,[10]HISTOFEV24!$A$6:$BB$47,15,0))</f>
        <v>100000</v>
      </c>
      <c r="E19" s="7" t="str">
        <f>VLOOKUP($A19,[10]HISTOFEV24!$A$6:$BB$47,8,0)</f>
        <v>ESPECES</v>
      </c>
      <c r="F19" s="7">
        <f>VLOOKUP($A19,[10]HISTOFEV24!$A$6:$BB$47,37,0)</f>
        <v>0</v>
      </c>
      <c r="G19" s="7">
        <f>VLOOKUP($A19,[10]HISTOFEV24!$A$6:$BB$47,40,0)</f>
        <v>0</v>
      </c>
      <c r="H19" s="7" t="str">
        <f>IF(F19&lt;&gt;0,VLOOKUP($A19,[10]HISTOFEV24!$A$6:$BB$47,42,0),"ECHEC")</f>
        <v>ECHEC</v>
      </c>
      <c r="I19" s="7">
        <f>VLOOKUP($A19,[10]HISTOFEV24!$A$6:$BB$47,41,0)</f>
        <v>0</v>
      </c>
      <c r="J19" s="7">
        <f>TONTJANV24!F19+TONTJANV24!G19</f>
        <v>0</v>
      </c>
      <c r="K19" s="7">
        <f>VLOOKUP($A19,[10]HISTOFEV24!$A$6:$BB$47,18,0)</f>
        <v>0</v>
      </c>
      <c r="L19" s="7" t="str">
        <f>IF(K19&lt;&gt;0,VLOOKUP($A19,[10]HISTOFEV24!$A$6:$BB$47,42,0),"ECHEC")</f>
        <v>ECHEC</v>
      </c>
      <c r="M19" s="7" t="str">
        <f>IF(P19&lt;&gt;0,VLOOKUP($A19,[10]HISTOFEV24!$A$6:$BB$47,32,0),"ECHEC")</f>
        <v>ECHEC</v>
      </c>
      <c r="N19" s="7">
        <f>VLOOKUP($A19,[10]HISTOFEV24!$A$6:$BB$47,33,0)</f>
        <v>0</v>
      </c>
      <c r="O19" s="7">
        <f t="shared" si="0"/>
        <v>0</v>
      </c>
      <c r="P19" s="7">
        <f>VLOOKUP($A19,[10]HISTOFEV24!$A$6:$BB$47,31,0)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431000</v>
      </c>
      <c r="G22" s="8">
        <f t="shared" si="1"/>
        <v>4500</v>
      </c>
      <c r="H22" s="8">
        <f t="shared" si="1"/>
        <v>0</v>
      </c>
      <c r="I22" s="8">
        <f t="shared" si="1"/>
        <v>0</v>
      </c>
      <c r="J22" s="8">
        <f t="shared" si="1"/>
        <v>101000</v>
      </c>
      <c r="K22" s="8">
        <f t="shared" si="1"/>
        <v>101000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2325000</v>
      </c>
      <c r="P22" s="8">
        <f t="shared" si="1"/>
        <v>75000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D28+E28+P22+TONTJANV24!N29</f>
        <v>2831000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2400000</v>
      </c>
      <c r="M25" s="8">
        <f>D3</f>
        <v>2</v>
      </c>
      <c r="N25" s="8">
        <f>COUNTIF(O8:O19,"&gt;0")</f>
        <v>2</v>
      </c>
      <c r="O25" s="8"/>
    </row>
    <row r="26" spans="1:16" s="2" customFormat="1" ht="17.5" x14ac:dyDescent="0.35">
      <c r="C26" s="8" t="s">
        <v>7</v>
      </c>
      <c r="D26" s="8">
        <f>SUMIFS(D6:D20,E6:E20,"BANQUE")</f>
        <v>1700000</v>
      </c>
      <c r="E26" s="8">
        <f>SUMIFS(K6:K20,L6:L20,"BANQUE")</f>
        <v>101000</v>
      </c>
      <c r="F26" s="8">
        <f>SUMIFS(F6:F20,H6:H20,"BANQUE")</f>
        <v>331000</v>
      </c>
      <c r="G26" s="8">
        <f>SUMIFS(O6:O20,M6:M20,"BANQUE")</f>
        <v>2325000</v>
      </c>
      <c r="H26" s="8">
        <f>D26+E26-F26-G26</f>
        <v>-855000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431000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101000</v>
      </c>
      <c r="F28" s="8">
        <f>F25+F26</f>
        <v>331000</v>
      </c>
      <c r="G28" s="8">
        <f t="shared" ref="G28:H28" si="2">G25+G26</f>
        <v>2325000</v>
      </c>
      <c r="H28" s="8">
        <f t="shared" si="2"/>
        <v>-755000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0</v>
      </c>
      <c r="M29"/>
      <c r="N29" s="8">
        <f>L29</f>
        <v>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2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workbookViewId="0">
      <pane xSplit="3" ySplit="5" topLeftCell="G15" activePane="bottomRight" state="frozen"/>
      <selection activeCell="G6" sqref="G6:G39"/>
      <selection pane="topRight" activeCell="G6" sqref="G6:G39"/>
      <selection pane="bottomLeft" activeCell="G6" sqref="G6:G39"/>
      <selection pane="bottomRight" activeCell="G14" sqref="G14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1</v>
      </c>
      <c r="E3" s="1"/>
      <c r="L3" s="1"/>
      <c r="M3" s="1"/>
    </row>
    <row r="4" spans="1:16" s="12" customFormat="1" ht="17.5" x14ac:dyDescent="0.35">
      <c r="B4" s="13"/>
      <c r="C4" s="37">
        <v>45364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IF(D6=0,0,VLOOKUP($A6,[10]HISTOMARS24!$A$6:$BQ$47,14,0))</f>
        <v>1</v>
      </c>
      <c r="C6" s="1" t="str">
        <f>VLOOKUP(A6,[11]LISTADHERENT!A$5:H$60,3,0)</f>
        <v>ASELBY</v>
      </c>
      <c r="D6" s="7">
        <f>IF(E6="ECHEC",0,VLOOKUP($A6,[10]HISTOMARS24!$A$6:$BB$47,15,0))</f>
        <v>100000</v>
      </c>
      <c r="E6" s="7" t="str">
        <f>VLOOKUP($A6,[10]HISTOMARS24!$A$6:$BB$47,8,0)</f>
        <v>BANQUE</v>
      </c>
      <c r="F6" s="7">
        <f>VLOOKUP($A6,[10]HISTOMARS24!$A$6:$BB$47,37,0)</f>
        <v>0</v>
      </c>
      <c r="G6" s="7">
        <f>VLOOKUP($A6,[10]HISTOMARS24!$A$6:$BB$47,40,0)</f>
        <v>0</v>
      </c>
      <c r="H6" s="7" t="str">
        <f>IF(F6&lt;&gt;0,VLOOKUP($A6,[10]HISTOMARS24!$A$6:$BB$47,42,0),"ECHEC")</f>
        <v>ECHEC</v>
      </c>
      <c r="I6" s="7">
        <f>VLOOKUP($A6,[10]HISTOMARS24!$A$6:$BB$47,41,0)</f>
        <v>0</v>
      </c>
      <c r="J6" s="7">
        <f>TONTFEV24!F6+TONTFEV24!G6</f>
        <v>0</v>
      </c>
      <c r="K6" s="7">
        <f>VLOOKUP($A6,[10]HISTOMARS24!$A$6:$BB$47,18,0)</f>
        <v>0</v>
      </c>
      <c r="L6" s="7" t="str">
        <f>IF(K6&lt;&gt;0,VLOOKUP($A6,[10]HISTOMARS24!$A$6:$BB$47,42,0),"ECHEC")</f>
        <v>ECHEC</v>
      </c>
      <c r="M6" s="7" t="str">
        <f>IF(P6&lt;&gt;0,VLOOKUP($A6,[10]HISTOMARS24!$A$6:$BB$47,32,0),"ECHEC")</f>
        <v>ECHEC</v>
      </c>
      <c r="N6" s="7">
        <f>VLOOKUP($A6,[10]HISTOMARS24!$A$6:$BB$47,33,0)</f>
        <v>0</v>
      </c>
      <c r="O6" s="7">
        <f t="shared" ref="O6:O19" si="0">IF(P6=0,0,($C$3-P6))</f>
        <v>0</v>
      </c>
      <c r="P6" s="7">
        <f>VLOOKUP($A6,[10]HISTOMARS24!$A$6:$BB$47,31,0)</f>
        <v>0</v>
      </c>
    </row>
    <row r="7" spans="1:16" x14ac:dyDescent="0.35">
      <c r="A7" s="1" t="s">
        <v>47</v>
      </c>
      <c r="B7" s="7">
        <f>IF(D7=0,0,VLOOKUP($A7,[10]HISTOMARS24!$A$6:$BQ$47,14,0))</f>
        <v>2</v>
      </c>
      <c r="C7" s="1" t="str">
        <f>VLOOKUP(A7,[11]LISTADHERENT!A$5:H$60,3,0)</f>
        <v xml:space="preserve">DJOMO JEAN PAUL </v>
      </c>
      <c r="D7" s="7">
        <f>IF(E7="ECHEC",0,VLOOKUP($A7,[10]HISTOMARS24!$A$6:$BB$47,15,0))</f>
        <v>200000</v>
      </c>
      <c r="E7" s="7" t="str">
        <f>VLOOKUP($A7,[10]HISTOMARS24!$A$6:$BB$47,8,0)</f>
        <v>BANQUE</v>
      </c>
      <c r="F7" s="7">
        <f>VLOOKUP($A7,[10]HISTOMARS24!$A$6:$BB$47,37,0)</f>
        <v>205500</v>
      </c>
      <c r="G7" s="7">
        <f>VLOOKUP($A7,[10]HISTOMARS24!$A$6:$BB$47,40,0)</f>
        <v>2000</v>
      </c>
      <c r="H7" s="7">
        <f>IF(F7&lt;&gt;0,VLOOKUP($A7,[10]HISTOMARS24!$A$6:$BB$47,42,0),"ECHEC")</f>
        <v>0</v>
      </c>
      <c r="I7" s="7">
        <f>VLOOKUP($A7,[10]HISTOMARS24!$A$6:$BB$47,41,0)</f>
        <v>0</v>
      </c>
      <c r="J7" s="7">
        <f>TONTFEV24!F7+TONTFEV24!G7</f>
        <v>0</v>
      </c>
      <c r="K7" s="7">
        <f>VLOOKUP($A7,[10]HISTOMARS24!$A$6:$BB$47,18,0)</f>
        <v>0</v>
      </c>
      <c r="L7" s="7" t="str">
        <f>IF(K7&lt;&gt;0,VLOOKUP($A7,[10]HISTOMARS24!$A$6:$BB$47,42,0),"ECHEC")</f>
        <v>ECHEC</v>
      </c>
      <c r="M7" s="7" t="str">
        <f>IF(P7&lt;&gt;0,VLOOKUP($A7,[10]HISTOMARS24!$A$6:$BB$47,32,0),"ECHEC")</f>
        <v>ECHEC</v>
      </c>
      <c r="N7" s="7">
        <f>VLOOKUP($A7,[10]HISTOMARS24!$A$6:$BB$47,33,0)</f>
        <v>0</v>
      </c>
      <c r="O7" s="7">
        <f t="shared" si="0"/>
        <v>0</v>
      </c>
      <c r="P7" s="7">
        <f>VLOOKUP($A7,[10]HISTOMARS24!$A$6:$BB$47,31,0)</f>
        <v>0</v>
      </c>
    </row>
    <row r="8" spans="1:16" x14ac:dyDescent="0.35">
      <c r="A8" s="1" t="s">
        <v>20</v>
      </c>
      <c r="B8" s="7">
        <f>IF(D8=0,0,VLOOKUP($A8,[10]HISTOMARS24!$A$6:$BQ$47,14,0))</f>
        <v>2</v>
      </c>
      <c r="C8" s="1" t="str">
        <f>VLOOKUP(A8,[11]LISTADHERENT!A$5:H$60,3,0)</f>
        <v>DJUOMBESSY ANTOINE</v>
      </c>
      <c r="D8" s="7">
        <f>IF(E8="ECHEC",0,VLOOKUP($A8,[10]HISTOMARS24!$A$6:$BB$47,15,0))</f>
        <v>200000</v>
      </c>
      <c r="E8" s="7" t="str">
        <f>VLOOKUP($A8,[10]HISTOMARS24!$A$6:$BB$47,8,0)</f>
        <v>BANQUE</v>
      </c>
      <c r="F8" s="7">
        <f>VLOOKUP($A8,[10]HISTOMARS24!$A$6:$BB$47,37,0)</f>
        <v>0</v>
      </c>
      <c r="G8" s="7">
        <f>VLOOKUP($A8,[10]HISTOMARS24!$A$6:$BB$47,40,0)</f>
        <v>0</v>
      </c>
      <c r="H8" s="7" t="str">
        <f>IF(F8&lt;&gt;0,VLOOKUP($A8,[10]HISTOMARS24!$A$6:$BB$47,42,0),"ECHEC")</f>
        <v>ECHEC</v>
      </c>
      <c r="I8" s="7">
        <f>VLOOKUP($A8,[10]HISTOMARS24!$A$6:$BB$47,41,0)</f>
        <v>0</v>
      </c>
      <c r="J8" s="7">
        <f>TONTFEV24!F8+TONTFEV24!G8</f>
        <v>132000</v>
      </c>
      <c r="K8" s="7">
        <f>VLOOKUP($A8,[10]HISTOMARS24!$A$6:$BB$47,18,0)</f>
        <v>132000</v>
      </c>
      <c r="L8" s="7" t="str">
        <f>IF(K8&lt;&gt;0,VLOOKUP($A8,[10]HISTOMARS24!$A$6:$BB$47,42,0),"ECHEC")</f>
        <v>BANQUE</v>
      </c>
      <c r="M8" s="7" t="str">
        <f>IF(P8&lt;&gt;0,VLOOKUP($A8,[10]HISTOMARS24!$A$6:$BB$47,32,0),"ECHEC")</f>
        <v>ECHEC</v>
      </c>
      <c r="N8" s="7">
        <f>VLOOKUP($A8,[10]HISTOMARS24!$A$6:$BB$47,33,0)</f>
        <v>0</v>
      </c>
      <c r="O8" s="7">
        <f t="shared" si="0"/>
        <v>0</v>
      </c>
      <c r="P8" s="7">
        <f>VLOOKUP($A8,[10]HISTOMARS24!$A$6:$BB$47,31,0)</f>
        <v>0</v>
      </c>
    </row>
    <row r="9" spans="1:16" x14ac:dyDescent="0.35">
      <c r="A9" s="1" t="s">
        <v>21</v>
      </c>
      <c r="B9" s="7">
        <f>IF(D9=0,0,VLOOKUP($A9,[10]HISTOMARS24!$A$6:$BQ$47,14,0))</f>
        <v>1</v>
      </c>
      <c r="C9" s="1" t="str">
        <f>VLOOKUP(A9,[11]LISTADHERENT!A$5:H$60,3,0)</f>
        <v>HOTCHO BENJAMIN</v>
      </c>
      <c r="D9" s="7">
        <f>IF(E9="ECHEC",0,VLOOKUP($A9,[10]HISTOMARS24!$A$6:$BB$47,15,0))</f>
        <v>100000</v>
      </c>
      <c r="E9" s="7" t="str">
        <f>VLOOKUP($A9,[10]HISTOMARS24!$A$6:$BB$47,8,0)</f>
        <v>BANQUE</v>
      </c>
      <c r="F9" s="7">
        <f>VLOOKUP($A9,[10]HISTOMARS24!$A$6:$BB$47,37,0)</f>
        <v>0</v>
      </c>
      <c r="G9" s="7">
        <f>VLOOKUP($A9,[10]HISTOMARS24!$A$6:$BB$47,40,0)</f>
        <v>0</v>
      </c>
      <c r="H9" s="7" t="str">
        <f>IF(F9&lt;&gt;0,VLOOKUP($A9,[10]HISTOMARS24!$A$6:$BB$47,42,0),"ECHEC")</f>
        <v>ECHEC</v>
      </c>
      <c r="I9" s="7">
        <f>VLOOKUP($A9,[10]HISTOMARS24!$A$6:$BB$47,41,0)</f>
        <v>0</v>
      </c>
      <c r="J9" s="7">
        <f>TONTFEV24!F9+TONTFEV24!G9</f>
        <v>0</v>
      </c>
      <c r="K9" s="7">
        <f>VLOOKUP($A9,[10]HISTOMARS24!$A$6:$BB$47,18,0)</f>
        <v>0</v>
      </c>
      <c r="L9" s="7" t="str">
        <f>IF(K9&lt;&gt;0,VLOOKUP($A9,[10]HISTOMARS24!$A$6:$BB$47,42,0),"ECHEC")</f>
        <v>ECHEC</v>
      </c>
      <c r="M9" s="7" t="str">
        <f>IF(P9&lt;&gt;0,VLOOKUP($A9,[10]HISTOMARS24!$A$6:$BB$47,32,0),"ECHEC")</f>
        <v>ECHEC</v>
      </c>
      <c r="N9" s="7">
        <f>VLOOKUP($A9,[10]HISTOMARS24!$A$6:$BB$47,33,0)</f>
        <v>0</v>
      </c>
      <c r="O9" s="7">
        <f t="shared" si="0"/>
        <v>0</v>
      </c>
      <c r="P9" s="7">
        <f>VLOOKUP($A9,[10]HISTOMARS24!$A$6:$BB$47,31,0)</f>
        <v>0</v>
      </c>
    </row>
    <row r="10" spans="1:16" x14ac:dyDescent="0.35">
      <c r="A10" s="1" t="s">
        <v>26</v>
      </c>
      <c r="B10" s="7">
        <f>IF(D10=0,0,VLOOKUP($A10,[10]HISTOMARS24!$A$6:$BQ$47,14,0))</f>
        <v>1</v>
      </c>
      <c r="C10" s="1" t="str">
        <f>VLOOKUP(A10,[11]LISTADHERENT!A$5:H$60,3,0)</f>
        <v>KOUAMOU MOISE</v>
      </c>
      <c r="D10" s="7">
        <f>IF(E10="ECHEC",0,VLOOKUP($A10,[10]HISTOMARS24!$A$6:$BB$47,15,0))</f>
        <v>100000</v>
      </c>
      <c r="E10" s="7" t="str">
        <f>VLOOKUP($A10,[10]HISTOMARS24!$A$6:$BB$47,8,0)</f>
        <v>BANQUE</v>
      </c>
      <c r="F10" s="7">
        <f>VLOOKUP($A10,[10]HISTOMARS24!$A$6:$BB$47,37,0)</f>
        <v>0</v>
      </c>
      <c r="G10" s="7">
        <f>VLOOKUP($A10,[10]HISTOMARS24!$A$6:$BB$47,40,0)</f>
        <v>0</v>
      </c>
      <c r="H10" s="7" t="str">
        <f>IF(F10&lt;&gt;0,VLOOKUP($A10,[10]HISTOMARS24!$A$6:$BB$47,42,0),"ECHEC")</f>
        <v>ECHEC</v>
      </c>
      <c r="I10" s="7">
        <f>VLOOKUP($A10,[10]HISTOMARS24!$A$6:$BB$47,41,0)</f>
        <v>0</v>
      </c>
      <c r="J10" s="7">
        <f>TONTFEV24!F10+TONTFEV24!G10</f>
        <v>0</v>
      </c>
      <c r="K10" s="7">
        <f>VLOOKUP($A10,[10]HISTOMARS24!$A$6:$BB$47,18,0)</f>
        <v>0</v>
      </c>
      <c r="L10" s="7" t="str">
        <f>IF(K10&lt;&gt;0,VLOOKUP($A10,[10]HISTOMARS24!$A$6:$BB$47,42,0),"ECHEC")</f>
        <v>ECHEC</v>
      </c>
      <c r="M10" s="7" t="str">
        <f>IF(P10&lt;&gt;0,VLOOKUP($A10,[10]HISTOMARS24!$A$6:$BB$47,32,0),"ECHEC")</f>
        <v>BANQUE</v>
      </c>
      <c r="N10" s="7">
        <f>VLOOKUP($A10,[10]HISTOMARS24!$A$6:$BB$47,33,0)</f>
        <v>0</v>
      </c>
      <c r="O10" s="7">
        <f t="shared" si="0"/>
        <v>1130000</v>
      </c>
      <c r="P10" s="7">
        <f>VLOOKUP($A10,[10]HISTOMARS24!$A$6:$BB$47,31,0)</f>
        <v>70000</v>
      </c>
    </row>
    <row r="11" spans="1:16" x14ac:dyDescent="0.35">
      <c r="A11" s="1" t="s">
        <v>8</v>
      </c>
      <c r="B11" s="7">
        <f>IF(D11=0,0,VLOOKUP($A11,[10]HISTOMARS24!$A$6:$BQ$47,14,0))</f>
        <v>1</v>
      </c>
      <c r="C11" s="1" t="str">
        <f>VLOOKUP(A11,[11]LISTADHERENT!A$5:H$60,3,0)</f>
        <v>KOUATCHO MESSACK</v>
      </c>
      <c r="D11" s="7">
        <f>IF(E11="ECHEC",0,VLOOKUP($A11,[10]HISTOMARS24!$A$6:$BB$47,15,0))</f>
        <v>100000</v>
      </c>
      <c r="E11" s="7" t="str">
        <f>VLOOKUP($A11,[10]HISTOMARS24!$A$6:$BB$47,8,0)</f>
        <v>BANQUE</v>
      </c>
      <c r="F11" s="7">
        <f>VLOOKUP($A11,[10]HISTOMARS24!$A$6:$BB$47,37,0)</f>
        <v>200000</v>
      </c>
      <c r="G11" s="7">
        <f>VLOOKUP($A11,[10]HISTOMARS24!$A$6:$BB$47,40,0)</f>
        <v>2000</v>
      </c>
      <c r="H11" s="7">
        <f>IF(F11&lt;&gt;0,VLOOKUP($A11,[10]HISTOMARS24!$A$6:$BB$47,42,0),"ECHEC")</f>
        <v>0</v>
      </c>
      <c r="I11" s="7">
        <f>VLOOKUP($A11,[10]HISTOMARS24!$A$6:$BB$47,41,0)</f>
        <v>0</v>
      </c>
      <c r="J11" s="7">
        <f>TONTFEV24!F11+TONTFEV24!G11</f>
        <v>0</v>
      </c>
      <c r="K11" s="7">
        <f>VLOOKUP($A11,[10]HISTOMARS24!$A$6:$BB$47,18,0)</f>
        <v>0</v>
      </c>
      <c r="L11" s="7" t="str">
        <f>IF(K11&lt;&gt;0,VLOOKUP($A11,[10]HISTOMARS24!$A$6:$BB$47,42,0),"ECHEC")</f>
        <v>ECHEC</v>
      </c>
      <c r="M11" s="7" t="str">
        <f>IF(P11&lt;&gt;0,VLOOKUP($A11,[10]HISTOMARS24!$A$6:$BB$47,32,0),"ECHEC")</f>
        <v>ECHEC</v>
      </c>
      <c r="N11" s="7">
        <f>VLOOKUP($A11,[10]HISTOMARS24!$A$6:$BB$47,33,0)</f>
        <v>0</v>
      </c>
      <c r="O11" s="7">
        <f t="shared" si="0"/>
        <v>0</v>
      </c>
      <c r="P11" s="7">
        <f>VLOOKUP($A11,[10]HISTOMARS24!$A$6:$BB$47,31,0)</f>
        <v>0</v>
      </c>
    </row>
    <row r="12" spans="1:16" x14ac:dyDescent="0.35">
      <c r="A12" s="1" t="s">
        <v>22</v>
      </c>
      <c r="B12" s="7">
        <f>IF(D12=0,0,VLOOKUP($A12,[10]HISTOMARS24!$A$6:$BQ$47,14,0))</f>
        <v>1</v>
      </c>
      <c r="C12" s="1" t="str">
        <f>VLOOKUP(A12,[11]LISTADHERENT!A$5:H$60,3,0)</f>
        <v>MBOGNING TUGMA GUY</v>
      </c>
      <c r="D12" s="7">
        <f>IF(E12="ECHEC",0,VLOOKUP($A12,[10]HISTOMARS24!$A$6:$BB$47,15,0))</f>
        <v>100000</v>
      </c>
      <c r="E12" s="7" t="str">
        <f>VLOOKUP($A12,[10]HISTOMARS24!$A$6:$BB$47,8,0)</f>
        <v>BANQUE</v>
      </c>
      <c r="F12" s="7">
        <f>VLOOKUP($A12,[10]HISTOMARS24!$A$6:$BB$47,37,0)</f>
        <v>200000</v>
      </c>
      <c r="G12" s="7">
        <f>VLOOKUP($A12,[10]HISTOMARS24!$A$6:$BB$47,40,0)</f>
        <v>2000</v>
      </c>
      <c r="H12" s="7" t="str">
        <f>IF(F12&lt;&gt;0,VLOOKUP($A12,[10]HISTOMARS24!$A$6:$BB$47,42,0),"ECHEC")</f>
        <v>BANQUE</v>
      </c>
      <c r="I12" s="7">
        <f>VLOOKUP($A12,[10]HISTOMARS24!$A$6:$BB$47,41,0)</f>
        <v>0</v>
      </c>
      <c r="J12" s="7">
        <f>TONTFEV24!F12+TONTFEV24!G12</f>
        <v>202000</v>
      </c>
      <c r="K12" s="7">
        <f>VLOOKUP($A12,[10]HISTOMARS24!$A$6:$BB$47,18,0)</f>
        <v>202000</v>
      </c>
      <c r="L12" s="7" t="str">
        <f>IF(K12&lt;&gt;0,VLOOKUP($A12,[10]HISTOMARS24!$A$6:$BB$47,42,0),"ECHEC")</f>
        <v>BANQUE</v>
      </c>
      <c r="M12" s="7" t="str">
        <f>IF(P12&lt;&gt;0,VLOOKUP($A12,[10]HISTOMARS24!$A$6:$BB$47,32,0),"ECHEC")</f>
        <v>ECHEC</v>
      </c>
      <c r="N12" s="7">
        <f>VLOOKUP($A12,[10]HISTOMARS24!$A$6:$BB$47,33,0)</f>
        <v>0</v>
      </c>
      <c r="O12" s="7">
        <f t="shared" si="0"/>
        <v>0</v>
      </c>
      <c r="P12" s="7">
        <f>VLOOKUP($A12,[10]HISTOMARS24!$A$6:$BB$47,31,0)</f>
        <v>0</v>
      </c>
    </row>
    <row r="13" spans="1:16" x14ac:dyDescent="0.35">
      <c r="A13" s="1" t="s">
        <v>9</v>
      </c>
      <c r="B13" s="7">
        <f>IF(D13=0,0,VLOOKUP($A13,[10]HISTOMARS24!$A$6:$BQ$47,14,0))</f>
        <v>2</v>
      </c>
      <c r="C13" s="1" t="str">
        <f>VLOOKUP(A13,[11]LISTADHERENT!A$5:H$60,3,0)</f>
        <v>NDJOMO ETIENNE</v>
      </c>
      <c r="D13" s="7">
        <f>IF(E13="ECHEC",0,VLOOKUP($A13,[10]HISTOMARS24!$A$6:$BB$47,15,0))</f>
        <v>200000</v>
      </c>
      <c r="E13" s="7" t="str">
        <f>VLOOKUP($A13,[10]HISTOMARS24!$A$6:$BB$47,8,0)</f>
        <v>BANQUE</v>
      </c>
      <c r="F13" s="7">
        <f>VLOOKUP($A13,[10]HISTOMARS24!$A$6:$BB$47,37,0)</f>
        <v>200000</v>
      </c>
      <c r="G13" s="7">
        <f>VLOOKUP($A13,[10]HISTOMARS24!$A$6:$BB$47,40,0)</f>
        <v>2000</v>
      </c>
      <c r="H13" s="7">
        <f>IF(F13&lt;&gt;0,VLOOKUP($A13,[10]HISTOMARS24!$A$6:$BB$47,42,0),"ECHEC")</f>
        <v>0</v>
      </c>
      <c r="I13" s="7">
        <f>VLOOKUP($A13,[10]HISTOMARS24!$A$6:$BB$47,41,0)</f>
        <v>0</v>
      </c>
      <c r="J13" s="7">
        <f>TONTFEV24!F13+TONTFEV24!G13</f>
        <v>0</v>
      </c>
      <c r="K13" s="7">
        <f>VLOOKUP($A13,[10]HISTOMARS24!$A$6:$BB$47,18,0)</f>
        <v>0</v>
      </c>
      <c r="L13" s="7" t="str">
        <f>IF(K13&lt;&gt;0,VLOOKUP($A13,[10]HISTOMARS24!$A$6:$BB$47,42,0),"ECHEC")</f>
        <v>ECHEC</v>
      </c>
      <c r="M13" s="7" t="str">
        <f>IF(P13&lt;&gt;0,VLOOKUP($A13,[10]HISTOMARS24!$A$6:$BB$47,32,0),"ECHEC")</f>
        <v>ECHEC</v>
      </c>
      <c r="N13" s="7">
        <f>VLOOKUP($A13,[10]HISTOMARS24!$A$6:$BB$47,33,0)</f>
        <v>0</v>
      </c>
      <c r="O13" s="7">
        <f t="shared" si="0"/>
        <v>0</v>
      </c>
      <c r="P13" s="7">
        <f>VLOOKUP($A13,[10]HISTOMARS24!$A$6:$BB$47,31,0)</f>
        <v>0</v>
      </c>
    </row>
    <row r="14" spans="1:16" x14ac:dyDescent="0.35">
      <c r="A14" s="1" t="s">
        <v>10</v>
      </c>
      <c r="B14" s="7">
        <f>IF(D14=0,0,VLOOKUP($A14,[10]HISTOMARS24!$A$6:$BQ$47,14,0))</f>
        <v>1</v>
      </c>
      <c r="C14" s="1" t="str">
        <f>VLOOKUP(A14,[11]LISTADHERENT!A$5:H$60,3,0)</f>
        <v>NGONDIEP CLAUDE</v>
      </c>
      <c r="D14" s="7">
        <f>IF(E14="ECHEC",0,VLOOKUP($A14,[10]HISTOMARS24!$A$6:$BB$47,15,0))</f>
        <v>100000</v>
      </c>
      <c r="E14" s="7" t="str">
        <f>VLOOKUP($A14,[10]HISTOMARS24!$A$6:$BB$47,8,0)</f>
        <v>BANQUE</v>
      </c>
      <c r="F14" s="7">
        <f>VLOOKUP($A14,[10]HISTOMARS24!$A$6:$BB$47,37,0)</f>
        <v>100000</v>
      </c>
      <c r="G14" s="7">
        <f>VLOOKUP($A14,[10]HISTOMARS24!$A$6:$BB$47,40,0)</f>
        <v>1000</v>
      </c>
      <c r="H14" s="7">
        <f>IF(F14&lt;&gt;0,VLOOKUP($A14,[10]HISTOMARS24!$A$6:$BB$47,42,0),"ECHEC")</f>
        <v>0</v>
      </c>
      <c r="I14" s="7">
        <f>VLOOKUP($A14,[10]HISTOMARS24!$A$6:$BB$47,41,0)</f>
        <v>0</v>
      </c>
      <c r="J14" s="7">
        <f>TONTFEV24!F14+TONTFEV24!G14</f>
        <v>0</v>
      </c>
      <c r="K14" s="7">
        <f>VLOOKUP($A14,[10]HISTOMARS24!$A$6:$BB$47,18,0)</f>
        <v>0</v>
      </c>
      <c r="L14" s="7" t="str">
        <f>IF(K14&lt;&gt;0,VLOOKUP($A14,[10]HISTOMARS24!$A$6:$BB$47,42,0),"ECHEC")</f>
        <v>ECHEC</v>
      </c>
      <c r="M14" s="7" t="str">
        <f>IF(P14&lt;&gt;0,VLOOKUP($A14,[10]HISTOMARS24!$A$6:$BB$47,32,0),"ECHEC")</f>
        <v>ECHEC</v>
      </c>
      <c r="N14" s="7">
        <f>VLOOKUP($A14,[10]HISTOMARS24!$A$6:$BB$47,33,0)</f>
        <v>0</v>
      </c>
      <c r="O14" s="7">
        <f t="shared" si="0"/>
        <v>0</v>
      </c>
      <c r="P14" s="7">
        <f>VLOOKUP($A14,[10]HISTOMARS24!$A$6:$BB$47,31,0)</f>
        <v>0</v>
      </c>
    </row>
    <row r="15" spans="1:16" x14ac:dyDescent="0.35">
      <c r="A15" s="1" t="s">
        <v>43</v>
      </c>
      <c r="B15" s="7">
        <f>IF(D15=0,0,VLOOKUP($A15,[10]HISTOMARS24!$A$6:$BQ$47,14,0))</f>
        <v>1</v>
      </c>
      <c r="C15" s="1" t="str">
        <f>VLOOKUP(A15,[11]LISTADHERENT!A$5:H$60,3,0)</f>
        <v>NGUIEMEGNI MATHIEU BLAISE</v>
      </c>
      <c r="D15" s="7">
        <f>IF(E15="ECHEC",0,VLOOKUP($A15,[10]HISTOMARS24!$A$6:$BB$47,15,0))</f>
        <v>100000</v>
      </c>
      <c r="E15" s="7" t="str">
        <f>VLOOKUP($A15,[10]HISTOMARS24!$A$6:$BB$47,8,0)</f>
        <v>BANQUE</v>
      </c>
      <c r="F15" s="7">
        <f>VLOOKUP($A15,[10]HISTOMARS24!$A$6:$BB$47,37,0)</f>
        <v>200000</v>
      </c>
      <c r="G15" s="7">
        <f>VLOOKUP($A15,[10]HISTOMARS24!$A$6:$BB$47,40,0)</f>
        <v>2000</v>
      </c>
      <c r="H15" s="7" t="str">
        <f>IF(F15&lt;&gt;0,VLOOKUP($A15,[10]HISTOMARS24!$A$6:$BB$47,42,0),"ECHEC")</f>
        <v>BANQUE</v>
      </c>
      <c r="I15" s="7">
        <f>VLOOKUP($A15,[10]HISTOMARS24!$A$6:$BB$47,41,0)</f>
        <v>0</v>
      </c>
      <c r="J15" s="7">
        <f>TONTFEV24!F15+TONTFEV24!G15</f>
        <v>101500</v>
      </c>
      <c r="K15" s="7">
        <f>VLOOKUP($A15,[10]HISTOMARS24!$A$6:$BB$47,18,0)</f>
        <v>101500</v>
      </c>
      <c r="L15" s="7" t="str">
        <f>IF(K15&lt;&gt;0,VLOOKUP($A15,[10]HISTOMARS24!$A$6:$BB$47,42,0),"ECHEC")</f>
        <v>BANQUE</v>
      </c>
      <c r="M15" s="7" t="str">
        <f>IF(P15&lt;&gt;0,VLOOKUP($A15,[10]HISTOMARS24!$A$6:$BB$47,32,0),"ECHEC")</f>
        <v>ECHEC</v>
      </c>
      <c r="N15" s="7">
        <f>VLOOKUP($A15,[10]HISTOMARS24!$A$6:$BB$47,33,0)</f>
        <v>0</v>
      </c>
      <c r="O15" s="7">
        <f t="shared" si="0"/>
        <v>0</v>
      </c>
      <c r="P15" s="7">
        <f>VLOOKUP($A15,[10]HISTOMARS24!$A$6:$BB$47,31,0)</f>
        <v>0</v>
      </c>
    </row>
    <row r="16" spans="1:16" x14ac:dyDescent="0.35">
      <c r="A16" s="1" t="s">
        <v>54</v>
      </c>
      <c r="B16" s="7">
        <f>IF(D16=0,0,VLOOKUP($A16,[10]HISTOMARS24!$A$6:$BQ$47,14,0))</f>
        <v>2</v>
      </c>
      <c r="C16" s="1" t="str">
        <f>VLOOKUP(A16,[11]LISTADHERENT!A$5:H$60,3,0)</f>
        <v>SIME BRICE</v>
      </c>
      <c r="D16" s="7">
        <f>IF(E16="ECHEC",0,VLOOKUP($A16,[10]HISTOMARS24!$A$6:$BB$47,15,0))</f>
        <v>200000</v>
      </c>
      <c r="E16" s="7" t="str">
        <f>VLOOKUP($A16,[10]HISTOMARS24!$A$6:$BB$47,8,0)</f>
        <v>BANQUE</v>
      </c>
      <c r="F16" s="7">
        <f>VLOOKUP($A16,[10]HISTOMARS24!$A$6:$BB$47,37,0)</f>
        <v>0</v>
      </c>
      <c r="G16" s="7">
        <f>VLOOKUP($A16,[10]HISTOMARS24!$A$6:$BB$47,40,0)</f>
        <v>0</v>
      </c>
      <c r="H16" s="7" t="str">
        <f>IF(F16&lt;&gt;0,VLOOKUP($A16,[10]HISTOMARS24!$A$6:$BB$47,42,0),"ECHEC")</f>
        <v>ECHEC</v>
      </c>
      <c r="I16" s="7">
        <f>VLOOKUP($A16,[10]HISTOMARS24!$A$6:$BB$47,41,0)</f>
        <v>0</v>
      </c>
      <c r="J16" s="7">
        <f>TONTFEV24!F16+TONTFEV24!G16</f>
        <v>0</v>
      </c>
      <c r="K16" s="7">
        <f>VLOOKUP($A16,[10]HISTOMARS24!$A$6:$BB$47,18,0)</f>
        <v>0</v>
      </c>
      <c r="L16" s="7" t="str">
        <f>IF(K16&lt;&gt;0,VLOOKUP($A16,[10]HISTOMARS24!$A$6:$BB$47,42,0),"ECHEC")</f>
        <v>ECHEC</v>
      </c>
      <c r="M16" s="7" t="str">
        <f>IF(P16&lt;&gt;0,VLOOKUP($A16,[10]HISTOMARS24!$A$6:$BB$47,32,0),"ECHEC")</f>
        <v>ECHEC</v>
      </c>
      <c r="N16" s="7">
        <f>VLOOKUP($A16,[10]HISTOMARS24!$A$6:$BB$47,33,0)</f>
        <v>0</v>
      </c>
      <c r="O16" s="7">
        <f t="shared" si="0"/>
        <v>0</v>
      </c>
      <c r="P16" s="7">
        <f>VLOOKUP($A16,[10]HISTOMARS24!$A$6:$BB$47,31,0)</f>
        <v>0</v>
      </c>
    </row>
    <row r="17" spans="1:16" x14ac:dyDescent="0.35">
      <c r="A17" s="1" t="s">
        <v>55</v>
      </c>
      <c r="B17" s="7">
        <f>IF(D17=0,0,VLOOKUP($A17,[10]HISTOMARS24!$A$6:$BQ$47,14,0))</f>
        <v>1</v>
      </c>
      <c r="C17" s="1" t="str">
        <f>VLOOKUP(A17,[11]LISTADHERENT!A$5:H$60,3,0)</f>
        <v>TCHOUATEU AUGUSTIN</v>
      </c>
      <c r="D17" s="7">
        <f>IF(E17="ECHEC",0,VLOOKUP($A17,[10]HISTOMARS24!$A$6:$BB$47,15,0))</f>
        <v>100000</v>
      </c>
      <c r="E17" s="7" t="str">
        <f>VLOOKUP($A17,[10]HISTOMARS24!$A$6:$BB$47,8,0)</f>
        <v>BANQUE</v>
      </c>
      <c r="F17" s="7">
        <f>VLOOKUP($A17,[10]HISTOMARS24!$A$6:$BB$47,37,0)</f>
        <v>0</v>
      </c>
      <c r="G17" s="7">
        <f>VLOOKUP($A17,[10]HISTOMARS24!$A$6:$BB$47,40,0)</f>
        <v>0</v>
      </c>
      <c r="H17" s="7" t="str">
        <f>IF(F17&lt;&gt;0,VLOOKUP($A17,[10]HISTOMARS24!$A$6:$BB$47,42,0),"ECHEC")</f>
        <v>ECHEC</v>
      </c>
      <c r="I17" s="7">
        <f>VLOOKUP($A17,[10]HISTOMARS24!$A$6:$BB$47,41,0)</f>
        <v>0</v>
      </c>
      <c r="J17" s="7">
        <f>TONTFEV24!F17+TONTFEV24!G17</f>
        <v>0</v>
      </c>
      <c r="K17" s="7">
        <f>VLOOKUP($A17,[10]HISTOMARS24!$A$6:$BB$47,18,0)</f>
        <v>0</v>
      </c>
      <c r="L17" s="7" t="str">
        <f>IF(K17&lt;&gt;0,VLOOKUP($A17,[10]HISTOMARS24!$A$6:$BB$47,42,0),"ECHEC")</f>
        <v>ECHEC</v>
      </c>
      <c r="M17" s="7" t="str">
        <f>IF(P17&lt;&gt;0,VLOOKUP($A17,[10]HISTOMARS24!$A$6:$BB$47,32,0),"ECHEC")</f>
        <v>ECHEC</v>
      </c>
      <c r="N17" s="7">
        <f>VLOOKUP($A17,[10]HISTOMARS24!$A$6:$BB$47,33,0)</f>
        <v>0</v>
      </c>
      <c r="O17" s="7">
        <f t="shared" si="0"/>
        <v>0</v>
      </c>
      <c r="P17" s="7">
        <f>VLOOKUP($A17,[10]HISTOMARS24!$A$6:$BB$47,31,0)</f>
        <v>0</v>
      </c>
    </row>
    <row r="18" spans="1:16" x14ac:dyDescent="0.35">
      <c r="A18" s="1" t="s">
        <v>46</v>
      </c>
      <c r="B18" s="7">
        <f>IF(D18=0,0,VLOOKUP($A18,[10]HISTOMARS24!$A$6:$BQ$47,14,0))</f>
        <v>1</v>
      </c>
      <c r="C18" s="1" t="str">
        <f>VLOOKUP(A18,[11]LISTADHERENT!A$5:H$60,3,0)</f>
        <v>SIMO PIERRE</v>
      </c>
      <c r="D18" s="7">
        <f>IF(E18="ECHEC",0,VLOOKUP($A18,[10]HISTOMARS24!$A$6:$BB$47,15,0))</f>
        <v>100000</v>
      </c>
      <c r="E18" s="7" t="str">
        <f>VLOOKUP($A18,[10]HISTOMARS24!$A$6:$BB$47,8,0)</f>
        <v>BANQUE</v>
      </c>
      <c r="F18" s="7">
        <f>VLOOKUP($A18,[10]HISTOMARS24!$A$6:$BB$47,37,0)</f>
        <v>0</v>
      </c>
      <c r="G18" s="7">
        <f>VLOOKUP($A18,[10]HISTOMARS24!$A$6:$BB$47,40,0)</f>
        <v>0</v>
      </c>
      <c r="H18" s="7" t="str">
        <f>IF(F18&lt;&gt;0,VLOOKUP($A18,[10]HISTOMARS24!$A$6:$BB$47,42,0),"ECHEC")</f>
        <v>ECHEC</v>
      </c>
      <c r="I18" s="7">
        <f>VLOOKUP($A18,[10]HISTOMARS24!$A$6:$BB$47,41,0)</f>
        <v>0</v>
      </c>
      <c r="J18" s="7">
        <f>TONTFEV24!F18+TONTFEV24!G18</f>
        <v>0</v>
      </c>
      <c r="K18" s="7">
        <f>VLOOKUP($A18,[10]HISTOMARS24!$A$6:$BB$47,18,0)</f>
        <v>0</v>
      </c>
      <c r="L18" s="7" t="str">
        <f>IF(K18&lt;&gt;0,VLOOKUP($A18,[10]HISTOMARS24!$A$6:$BB$47,42,0),"ECHEC")</f>
        <v>ECHEC</v>
      </c>
      <c r="M18" s="7" t="str">
        <f>IF(P18&lt;&gt;0,VLOOKUP($A18,[10]HISTOMARS24!$A$6:$BB$47,32,0),"ECHEC")</f>
        <v>ECHEC</v>
      </c>
      <c r="N18" s="7">
        <f>VLOOKUP($A18,[10]HISTOMARS24!$A$6:$BB$47,33,0)</f>
        <v>0</v>
      </c>
      <c r="O18" s="7">
        <f t="shared" si="0"/>
        <v>0</v>
      </c>
      <c r="P18" s="7">
        <f>VLOOKUP($A18,[10]HISTOMARS24!$A$6:$BB$47,31,0)</f>
        <v>0</v>
      </c>
    </row>
    <row r="19" spans="1:16" x14ac:dyDescent="0.35">
      <c r="A19" s="1" t="s">
        <v>53</v>
      </c>
      <c r="B19" s="7">
        <f>IF(D19=0,0,VLOOKUP($A19,[10]HISTOMARS24!$A$6:$BQ$47,14,0))</f>
        <v>1</v>
      </c>
      <c r="C19" s="1" t="str">
        <f>VLOOKUP(A19,[11]LISTADHERENT!A$5:H$60,3,0)</f>
        <v>YIALA ALAIN OSCAR</v>
      </c>
      <c r="D19" s="7">
        <f>IF(E19="ECHEC",0,VLOOKUP($A19,[10]HISTOMARS24!$A$6:$BB$47,15,0))</f>
        <v>100000</v>
      </c>
      <c r="E19" s="7" t="str">
        <f>VLOOKUP($A19,[10]HISTOMARS24!$A$6:$BB$47,8,0)</f>
        <v>ESPECES</v>
      </c>
      <c r="F19" s="7">
        <f>VLOOKUP($A19,[10]HISTOMARS24!$A$6:$BB$47,37,0)</f>
        <v>0</v>
      </c>
      <c r="G19" s="7">
        <f>VLOOKUP($A19,[10]HISTOMARS24!$A$6:$BB$47,40,0)</f>
        <v>0</v>
      </c>
      <c r="H19" s="7" t="str">
        <f>IF(F19&lt;&gt;0,VLOOKUP($A19,[10]HISTOMARS24!$A$6:$BB$47,42,0),"ECHEC")</f>
        <v>ECHEC</v>
      </c>
      <c r="I19" s="7">
        <f>VLOOKUP($A19,[10]HISTOMARS24!$A$6:$BB$47,41,0)</f>
        <v>0</v>
      </c>
      <c r="J19" s="7">
        <f>TONTFEV24!F19+TONTFEV24!G19</f>
        <v>0</v>
      </c>
      <c r="K19" s="7">
        <f>VLOOKUP($A19,[10]HISTOMARS24!$A$6:$BB$47,18,0)</f>
        <v>0</v>
      </c>
      <c r="L19" s="7" t="str">
        <f>IF(K19&lt;&gt;0,VLOOKUP($A19,[10]HISTOMARS24!$A$6:$BB$47,42,0),"ECHEC")</f>
        <v>ECHEC</v>
      </c>
      <c r="M19" s="7" t="str">
        <f>IF(P19&lt;&gt;0,VLOOKUP($A19,[10]HISTOMARS24!$A$6:$BB$47,32,0),"ECHEC")</f>
        <v>ECHEC</v>
      </c>
      <c r="N19" s="7">
        <f>VLOOKUP($A19,[10]HISTOMARS24!$A$6:$BB$47,33,0)</f>
        <v>0</v>
      </c>
      <c r="O19" s="7">
        <f t="shared" si="0"/>
        <v>0</v>
      </c>
      <c r="P19" s="7">
        <f>VLOOKUP($A19,[10]HISTOMARS24!$A$6:$BB$47,31,0)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1105500</v>
      </c>
      <c r="G22" s="8">
        <f t="shared" si="1"/>
        <v>11000</v>
      </c>
      <c r="H22" s="8">
        <f t="shared" si="1"/>
        <v>0</v>
      </c>
      <c r="I22" s="8">
        <f t="shared" si="1"/>
        <v>0</v>
      </c>
      <c r="J22" s="8">
        <f t="shared" si="1"/>
        <v>435500</v>
      </c>
      <c r="K22" s="8">
        <f t="shared" si="1"/>
        <v>435500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1130000</v>
      </c>
      <c r="P22" s="8">
        <f t="shared" si="1"/>
        <v>70000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D28+E28+P22+TONTFEV24!N29</f>
        <v>2305500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1200000</v>
      </c>
      <c r="M25" s="8">
        <f>D3</f>
        <v>1</v>
      </c>
      <c r="N25" s="8">
        <f>COUNTIF(O8:O19,"&gt;0")</f>
        <v>1</v>
      </c>
      <c r="O25" s="8"/>
    </row>
    <row r="26" spans="1:16" s="2" customFormat="1" ht="17.5" x14ac:dyDescent="0.35">
      <c r="C26" s="8" t="s">
        <v>7</v>
      </c>
      <c r="D26" s="8">
        <f>SUMIFS(D6:D20,E6:E20,"BANQUE")</f>
        <v>1700000</v>
      </c>
      <c r="E26" s="8">
        <f>SUMIFS(K6:K20,L6:L20,"BANQUE")</f>
        <v>435500</v>
      </c>
      <c r="F26" s="8">
        <f>SUMIFS(F6:F20,H6:H20,"BANQUE")</f>
        <v>400000</v>
      </c>
      <c r="G26" s="8">
        <f>SUMIFS(O6:O20,M6:M20,"BANQUE")</f>
        <v>1130000</v>
      </c>
      <c r="H26" s="8">
        <f>D26+E26-F26-G26</f>
        <v>605500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1105500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435500</v>
      </c>
      <c r="F28" s="8">
        <f>F25+F26</f>
        <v>400000</v>
      </c>
      <c r="G28" s="8">
        <f t="shared" ref="G28:H28" si="2">G25+G26</f>
        <v>1130000</v>
      </c>
      <c r="H28" s="8">
        <f t="shared" si="2"/>
        <v>705500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0</v>
      </c>
      <c r="M29"/>
      <c r="N29" s="8">
        <f>L29</f>
        <v>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3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4"/>
  <sheetViews>
    <sheetView workbookViewId="0">
      <pane xSplit="3" ySplit="5" topLeftCell="F12" activePane="bottomRight" state="frozen"/>
      <selection activeCell="G6" sqref="G6:G39"/>
      <selection pane="topRight" activeCell="G6" sqref="G6:G39"/>
      <selection pane="bottomLeft" activeCell="G6" sqref="G6:G39"/>
      <selection pane="bottomRight" activeCell="M9" sqref="M9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7.5" x14ac:dyDescent="0.35">
      <c r="B4" s="13"/>
      <c r="C4" s="37">
        <v>45395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IF(D6=0,0,VLOOKUP($A6,[10]HISTOAVRIL24!$A$6:$BQ$47,14,0))</f>
        <v>1</v>
      </c>
      <c r="C6" s="1" t="str">
        <f>VLOOKUP(A6,[11]LISTADHERENT!A$5:H$60,3,0)</f>
        <v>ASELBY</v>
      </c>
      <c r="D6" s="7">
        <f>IF(E6="ECHEC",0,VLOOKUP($A6,[10]HISTOAVRIL24!$A$6:$BB$47,15,0))</f>
        <v>100000</v>
      </c>
      <c r="E6" s="7" t="str">
        <f>VLOOKUP($A6,[10]HISTOAVRIL24!$A$6:$BB$47,8,0)</f>
        <v>BANQUE</v>
      </c>
      <c r="F6" s="7">
        <f>VLOOKUP($A6,[10]HISTOAVRIL24!$A$6:$BB$47,37,0)</f>
        <v>0</v>
      </c>
      <c r="G6" s="7">
        <f>VLOOKUP($A6,[10]HISTOAVRIL24!$A$6:$BB$47,40,0)</f>
        <v>0</v>
      </c>
      <c r="H6" s="7" t="str">
        <f>IF(F6&lt;&gt;0,VLOOKUP($A6,[10]HISTOAVRIL24!$A$6:$BB$47,42,0),"ECHEC")</f>
        <v>ECHEC</v>
      </c>
      <c r="I6" s="7">
        <f>VLOOKUP($A6,[10]HISTOAVRIL24!$A$6:$BB$47,41,0)</f>
        <v>0</v>
      </c>
      <c r="J6" s="7">
        <f>TONTMARS24!F6+TONTMARS24!G6</f>
        <v>0</v>
      </c>
      <c r="K6" s="7">
        <f>VLOOKUP($A6,[10]HISTOAVRIL24!$A$6:$BB$47,18,0)</f>
        <v>0</v>
      </c>
      <c r="L6" s="7" t="str">
        <f>IF(K6&lt;&gt;0,VLOOKUP($A6,[10]HISTOAVRIL24!$A$6:$BB$47,42,0),"ECHEC")</f>
        <v>ECHEC</v>
      </c>
      <c r="M6" s="7" t="str">
        <f>IF(P6&lt;&gt;0,VLOOKUP($A6,[10]HISTOAVRIL24!$A$6:$BB$47,32,0),"ECHEC")</f>
        <v>ECHEC</v>
      </c>
      <c r="N6" s="7">
        <f>VLOOKUP($A6,[10]HISTOAVRIL24!$A$6:$BB$47,33,0)</f>
        <v>0</v>
      </c>
      <c r="O6" s="7">
        <f t="shared" ref="O6:O19" si="0">IF(P6=0,0,($C$3-P6))</f>
        <v>0</v>
      </c>
      <c r="P6" s="7">
        <f>VLOOKUP($A6,[10]HISTOAVRIL24!$A$6:$BB$47,31,0)</f>
        <v>0</v>
      </c>
    </row>
    <row r="7" spans="1:16" x14ac:dyDescent="0.35">
      <c r="A7" s="1" t="s">
        <v>47</v>
      </c>
      <c r="B7" s="7">
        <f>IF(D7=0,0,VLOOKUP($A7,[10]HISTOAVRIL24!$A$6:$BQ$47,14,0))</f>
        <v>2</v>
      </c>
      <c r="C7" s="1" t="str">
        <f>VLOOKUP(A7,[11]LISTADHERENT!A$5:H$60,3,0)</f>
        <v xml:space="preserve">DJOMO JEAN PAUL </v>
      </c>
      <c r="D7" s="7">
        <f>IF(E7="ECHEC",0,VLOOKUP($A7,[10]HISTOAVRIL24!$A$6:$BB$47,15,0))</f>
        <v>200000</v>
      </c>
      <c r="E7" s="7" t="str">
        <f>VLOOKUP($A7,[10]HISTOAVRIL24!$A$6:$BB$47,8,0)</f>
        <v>BANQUE</v>
      </c>
      <c r="F7" s="7">
        <f>VLOOKUP($A7,[10]HISTOAVRIL24!$A$6:$BB$47,37,0)</f>
        <v>0</v>
      </c>
      <c r="G7" s="7">
        <f>VLOOKUP($A7,[10]HISTOAVRIL24!$A$6:$BB$47,40,0)</f>
        <v>0</v>
      </c>
      <c r="H7" s="7" t="str">
        <f>IF(F7&lt;&gt;0,VLOOKUP($A7,[10]HISTOAVRIL24!$A$6:$BB$47,42,0),"ECHEC")</f>
        <v>ECHEC</v>
      </c>
      <c r="I7" s="7">
        <f>VLOOKUP($A7,[10]HISTOAVRIL24!$A$6:$BB$47,41,0)</f>
        <v>0</v>
      </c>
      <c r="J7" s="7">
        <f>TONTMARS24!F7+TONTMARS24!G7</f>
        <v>207500</v>
      </c>
      <c r="K7" s="7">
        <f>VLOOKUP($A7,[10]HISTOAVRIL24!$A$6:$BB$47,18,0)</f>
        <v>207500</v>
      </c>
      <c r="L7" s="7" t="str">
        <f>IF(K7&lt;&gt;0,VLOOKUP($A7,[10]HISTOAVRIL24!$A$6:$BB$47,42,0),"ECHEC")</f>
        <v>BANQUE</v>
      </c>
      <c r="M7" s="7" t="str">
        <f>IF(P7&lt;&gt;0,VLOOKUP($A7,[10]HISTOAVRIL24!$A$6:$BB$47,32,0),"ECHEC")</f>
        <v>ECHEC</v>
      </c>
      <c r="N7" s="7">
        <f>VLOOKUP($A7,[10]HISTOAVRIL24!$A$6:$BB$47,33,0)</f>
        <v>0</v>
      </c>
      <c r="O7" s="7">
        <f t="shared" si="0"/>
        <v>0</v>
      </c>
      <c r="P7" s="7">
        <f>VLOOKUP($A7,[10]HISTOAVRIL24!$A$6:$BB$47,31,0)</f>
        <v>0</v>
      </c>
    </row>
    <row r="8" spans="1:16" x14ac:dyDescent="0.35">
      <c r="A8" s="1" t="s">
        <v>20</v>
      </c>
      <c r="B8" s="7">
        <f>IF(D8=0,0,VLOOKUP($A8,[10]HISTOAVRIL24!$A$6:$BQ$47,14,0))</f>
        <v>2</v>
      </c>
      <c r="C8" s="1" t="str">
        <f>VLOOKUP(A8,[11]LISTADHERENT!A$5:H$60,3,0)</f>
        <v>DJUOMBESSY ANTOINE</v>
      </c>
      <c r="D8" s="7">
        <f>IF(E8="ECHEC",0,VLOOKUP($A8,[10]HISTOAVRIL24!$A$6:$BB$47,15,0))</f>
        <v>200000</v>
      </c>
      <c r="E8" s="7" t="str">
        <f>VLOOKUP($A8,[10]HISTOAVRIL24!$A$6:$BB$47,8,0)</f>
        <v>BANQUE</v>
      </c>
      <c r="F8" s="7">
        <f>VLOOKUP($A8,[10]HISTOAVRIL24!$A$6:$BB$47,37,0)</f>
        <v>0</v>
      </c>
      <c r="G8" s="7">
        <f>VLOOKUP($A8,[10]HISTOAVRIL24!$A$6:$BB$47,40,0)</f>
        <v>0</v>
      </c>
      <c r="H8" s="7" t="str">
        <f>IF(F8&lt;&gt;0,VLOOKUP($A8,[10]HISTOAVRIL24!$A$6:$BB$47,42,0),"ECHEC")</f>
        <v>ECHEC</v>
      </c>
      <c r="I8" s="7">
        <f>VLOOKUP($A8,[10]HISTOAVRIL24!$A$6:$BB$47,41,0)</f>
        <v>0</v>
      </c>
      <c r="J8" s="7">
        <f>TONTMARS24!F8+TONTMARS24!G8</f>
        <v>0</v>
      </c>
      <c r="K8" s="7">
        <f>VLOOKUP($A8,[10]HISTOAVRIL24!$A$6:$BB$47,18,0)</f>
        <v>0</v>
      </c>
      <c r="L8" s="7" t="str">
        <f>IF(K8&lt;&gt;0,VLOOKUP($A8,[10]HISTOAVRIL24!$A$6:$BB$47,42,0),"ECHEC")</f>
        <v>ECHEC</v>
      </c>
      <c r="M8" s="7" t="str">
        <f>IF(P8&lt;&gt;0,VLOOKUP($A8,[10]HISTOAVRIL24!$A$6:$BB$47,32,0),"ECHEC")</f>
        <v>ECHEC</v>
      </c>
      <c r="N8" s="7">
        <f>VLOOKUP($A8,[10]HISTOAVRIL24!$A$6:$BB$47,33,0)</f>
        <v>0</v>
      </c>
      <c r="O8" s="7">
        <f t="shared" si="0"/>
        <v>0</v>
      </c>
      <c r="P8" s="7">
        <f>VLOOKUP($A8,[10]HISTOAVRIL24!$A$6:$BB$47,31,0)</f>
        <v>0</v>
      </c>
    </row>
    <row r="9" spans="1:16" x14ac:dyDescent="0.35">
      <c r="A9" s="1" t="s">
        <v>21</v>
      </c>
      <c r="B9" s="7">
        <f>IF(D9=0,0,VLOOKUP($A9,[10]HISTOAVRIL24!$A$6:$BQ$47,14,0))</f>
        <v>1</v>
      </c>
      <c r="C9" s="1" t="str">
        <f>VLOOKUP(A9,[11]LISTADHERENT!A$5:H$60,3,0)</f>
        <v>HOTCHO BENJAMIN</v>
      </c>
      <c r="D9" s="7">
        <f>IF(E9="ECHEC",0,VLOOKUP($A9,[10]HISTOAVRIL24!$A$6:$BB$47,15,0))</f>
        <v>100000</v>
      </c>
      <c r="E9" s="7" t="str">
        <f>VLOOKUP($A9,[10]HISTOAVRIL24!$A$6:$BB$47,8,0)</f>
        <v>BANQUE</v>
      </c>
      <c r="F9" s="7">
        <f>VLOOKUP($A9,[10]HISTOAVRIL24!$A$6:$BB$47,37,0)</f>
        <v>0</v>
      </c>
      <c r="G9" s="7">
        <f>VLOOKUP($A9,[10]HISTOAVRIL24!$A$6:$BB$47,40,0)</f>
        <v>0</v>
      </c>
      <c r="H9" s="7" t="str">
        <f>IF(F9&lt;&gt;0,VLOOKUP($A9,[10]HISTOAVRIL24!$A$6:$BB$47,42,0),"ECHEC")</f>
        <v>ECHEC</v>
      </c>
      <c r="I9" s="7">
        <f>VLOOKUP($A9,[10]HISTOAVRIL24!$A$6:$BB$47,41,0)</f>
        <v>0</v>
      </c>
      <c r="J9" s="7">
        <f>TONTMARS24!F9+TONTMARS24!G9</f>
        <v>0</v>
      </c>
      <c r="K9" s="7">
        <f>VLOOKUP($A9,[10]HISTOAVRIL24!$A$6:$BB$47,18,0)</f>
        <v>0</v>
      </c>
      <c r="L9" s="7" t="str">
        <f>IF(K9&lt;&gt;0,VLOOKUP($A9,[10]HISTOAVRIL24!$A$6:$BB$47,42,0),"ECHEC")</f>
        <v>ECHEC</v>
      </c>
      <c r="M9" s="7" t="str">
        <f>IF(P9&lt;&gt;0,VLOOKUP($A9,[10]HISTOAVRIL24!$A$6:$BB$47,32,0),"ECHEC")</f>
        <v>BANQUE</v>
      </c>
      <c r="N9" s="7">
        <f>VLOOKUP($A9,[10]HISTOAVRIL24!$A$6:$BB$47,33,0)</f>
        <v>0</v>
      </c>
      <c r="O9" s="7">
        <f t="shared" si="0"/>
        <v>1185000</v>
      </c>
      <c r="P9" s="7">
        <f>VLOOKUP($A9,[10]HISTOAVRIL24!$A$6:$BB$47,31,0)</f>
        <v>15000</v>
      </c>
    </row>
    <row r="10" spans="1:16" x14ac:dyDescent="0.35">
      <c r="A10" s="1" t="s">
        <v>26</v>
      </c>
      <c r="B10" s="7">
        <f>IF(D10=0,0,VLOOKUP($A10,[10]HISTOAVRIL24!$A$6:$BQ$47,14,0))</f>
        <v>1</v>
      </c>
      <c r="C10" s="1" t="str">
        <f>VLOOKUP(A10,[11]LISTADHERENT!A$5:H$60,3,0)</f>
        <v>KOUAMOU MOISE</v>
      </c>
      <c r="D10" s="7">
        <f>IF(E10="ECHEC",0,VLOOKUP($A10,[10]HISTOAVRIL24!$A$6:$BB$47,15,0))</f>
        <v>100000</v>
      </c>
      <c r="E10" s="7" t="str">
        <f>VLOOKUP($A10,[10]HISTOAVRIL24!$A$6:$BB$47,8,0)</f>
        <v>BANQUE</v>
      </c>
      <c r="F10" s="7">
        <f>VLOOKUP($A10,[10]HISTOAVRIL24!$A$6:$BB$47,37,0)</f>
        <v>0</v>
      </c>
      <c r="G10" s="7">
        <f>VLOOKUP($A10,[10]HISTOAVRIL24!$A$6:$BB$47,40,0)</f>
        <v>0</v>
      </c>
      <c r="H10" s="7" t="str">
        <f>IF(F10&lt;&gt;0,VLOOKUP($A10,[10]HISTOAVRIL24!$A$6:$BB$47,42,0),"ECHEC")</f>
        <v>ECHEC</v>
      </c>
      <c r="I10" s="7">
        <f>VLOOKUP($A10,[10]HISTOAVRIL24!$A$6:$BB$47,41,0)</f>
        <v>0</v>
      </c>
      <c r="J10" s="7">
        <f>TONTMARS24!F10+TONTMARS24!G10</f>
        <v>0</v>
      </c>
      <c r="K10" s="7">
        <f>VLOOKUP($A10,[10]HISTOAVRIL24!$A$6:$BB$47,18,0)</f>
        <v>0</v>
      </c>
      <c r="L10" s="7" t="str">
        <f>IF(K10&lt;&gt;0,VLOOKUP($A10,[10]HISTOAVRIL24!$A$6:$BB$47,42,0),"ECHEC")</f>
        <v>ECHEC</v>
      </c>
      <c r="M10" s="7" t="str">
        <f>IF(P10&lt;&gt;0,VLOOKUP($A10,[10]HISTOAVRIL24!$A$6:$BB$47,32,0),"ECHEC")</f>
        <v>ECHEC</v>
      </c>
      <c r="N10" s="7">
        <f>VLOOKUP($A10,[10]HISTOAVRIL24!$A$6:$BB$47,33,0)</f>
        <v>0</v>
      </c>
      <c r="O10" s="7">
        <f t="shared" si="0"/>
        <v>0</v>
      </c>
      <c r="P10" s="7">
        <f>VLOOKUP($A10,[10]HISTOAVRIL24!$A$6:$BB$47,31,0)</f>
        <v>0</v>
      </c>
    </row>
    <row r="11" spans="1:16" x14ac:dyDescent="0.35">
      <c r="A11" s="1" t="s">
        <v>8</v>
      </c>
      <c r="B11" s="7">
        <f>IF(D11=0,0,VLOOKUP($A11,[10]HISTOAVRIL24!$A$6:$BQ$47,14,0))</f>
        <v>1</v>
      </c>
      <c r="C11" s="1" t="str">
        <f>VLOOKUP(A11,[11]LISTADHERENT!A$5:H$60,3,0)</f>
        <v>KOUATCHO MESSACK</v>
      </c>
      <c r="D11" s="7">
        <f>IF(E11="ECHEC",0,VLOOKUP($A11,[10]HISTOAVRIL24!$A$6:$BB$47,15,0))</f>
        <v>100000</v>
      </c>
      <c r="E11" s="7" t="str">
        <f>VLOOKUP($A11,[10]HISTOAVRIL24!$A$6:$BB$47,8,0)</f>
        <v>BANQUE</v>
      </c>
      <c r="F11" s="7">
        <f>VLOOKUP($A11,[10]HISTOAVRIL24!$A$6:$BB$47,37,0)</f>
        <v>200000</v>
      </c>
      <c r="G11" s="7">
        <f>VLOOKUP($A11,[10]HISTOAVRIL24!$A$6:$BB$47,40,0)</f>
        <v>5000</v>
      </c>
      <c r="H11" s="7" t="str">
        <f>IF(F11&lt;&gt;0,VLOOKUP($A11,[10]HISTOAVRIL24!$A$6:$BB$47,42,0),"ECHEC")</f>
        <v>BANQUE</v>
      </c>
      <c r="I11" s="7">
        <f>VLOOKUP($A11,[10]HISTOAVRIL24!$A$6:$BB$47,41,0)</f>
        <v>0</v>
      </c>
      <c r="J11" s="7">
        <f>TONTMARS24!F11+TONTMARS24!G11</f>
        <v>202000</v>
      </c>
      <c r="K11" s="7">
        <f>VLOOKUP($A11,[10]HISTOAVRIL24!$A$6:$BB$47,18,0)</f>
        <v>202000</v>
      </c>
      <c r="L11" s="7" t="str">
        <f>IF(K11&lt;&gt;0,VLOOKUP($A11,[10]HISTOAVRIL24!$A$6:$BB$47,42,0),"ECHEC")</f>
        <v>BANQUE</v>
      </c>
      <c r="M11" s="7" t="str">
        <f>IF(P11&lt;&gt;0,VLOOKUP($A11,[10]HISTOAVRIL24!$A$6:$BB$47,32,0),"ECHEC")</f>
        <v>ECHEC</v>
      </c>
      <c r="N11" s="7">
        <f>VLOOKUP($A11,[10]HISTOAVRIL24!$A$6:$BB$47,33,0)</f>
        <v>0</v>
      </c>
      <c r="O11" s="7">
        <f t="shared" si="0"/>
        <v>0</v>
      </c>
      <c r="P11" s="7">
        <f>VLOOKUP($A11,[10]HISTOAVRIL24!$A$6:$BB$47,31,0)</f>
        <v>0</v>
      </c>
    </row>
    <row r="12" spans="1:16" x14ac:dyDescent="0.35">
      <c r="A12" s="1" t="s">
        <v>22</v>
      </c>
      <c r="B12" s="7">
        <f>IF(D12=0,0,VLOOKUP($A12,[10]HISTOAVRIL24!$A$6:$BQ$47,14,0))</f>
        <v>1</v>
      </c>
      <c r="C12" s="1" t="str">
        <f>VLOOKUP(A12,[11]LISTADHERENT!A$5:H$60,3,0)</f>
        <v>MBOGNING TUGMA GUY</v>
      </c>
      <c r="D12" s="7">
        <f>IF(E12="ECHEC",0,VLOOKUP($A12,[10]HISTOAVRIL24!$A$6:$BB$47,15,0))</f>
        <v>100000</v>
      </c>
      <c r="E12" s="7" t="str">
        <f>VLOOKUP($A12,[10]HISTOAVRIL24!$A$6:$BB$47,8,0)</f>
        <v>BANQUE</v>
      </c>
      <c r="F12" s="7">
        <f>VLOOKUP($A12,[10]HISTOAVRIL24!$A$6:$BB$47,37,0)</f>
        <v>70500</v>
      </c>
      <c r="G12" s="7">
        <f>VLOOKUP($A12,[10]HISTOAVRIL24!$A$6:$BB$47,40,0)</f>
        <v>1000</v>
      </c>
      <c r="H12" s="7" t="str">
        <f>IF(F12&lt;&gt;0,VLOOKUP($A12,[10]HISTOAVRIL24!$A$6:$BB$47,42,0),"ECHEC")</f>
        <v>BANQUE</v>
      </c>
      <c r="I12" s="7">
        <f>VLOOKUP($A12,[10]HISTOAVRIL24!$A$6:$BB$47,41,0)</f>
        <v>0</v>
      </c>
      <c r="J12" s="7">
        <f>TONTMARS24!F12+TONTMARS24!G12</f>
        <v>202000</v>
      </c>
      <c r="K12" s="7">
        <f>VLOOKUP($A12,[10]HISTOAVRIL24!$A$6:$BB$47,18,0)</f>
        <v>202000</v>
      </c>
      <c r="L12" s="7" t="str">
        <f>IF(K12&lt;&gt;0,VLOOKUP($A12,[10]HISTOAVRIL24!$A$6:$BB$47,42,0),"ECHEC")</f>
        <v>BANQUE</v>
      </c>
      <c r="M12" s="7" t="str">
        <f>IF(P12&lt;&gt;0,VLOOKUP($A12,[10]HISTOAVRIL24!$A$6:$BB$47,32,0),"ECHEC")</f>
        <v>ECHEC</v>
      </c>
      <c r="N12" s="7">
        <f>VLOOKUP($A12,[10]HISTOAVRIL24!$A$6:$BB$47,33,0)</f>
        <v>0</v>
      </c>
      <c r="O12" s="7">
        <f t="shared" si="0"/>
        <v>0</v>
      </c>
      <c r="P12" s="7">
        <f>VLOOKUP($A12,[10]HISTOAVRIL24!$A$6:$BB$47,31,0)</f>
        <v>0</v>
      </c>
    </row>
    <row r="13" spans="1:16" x14ac:dyDescent="0.35">
      <c r="A13" s="1" t="s">
        <v>9</v>
      </c>
      <c r="B13" s="7">
        <f>IF(D13=0,0,VLOOKUP($A13,[10]HISTOAVRIL24!$A$6:$BQ$47,14,0))</f>
        <v>2</v>
      </c>
      <c r="C13" s="1" t="str">
        <f>VLOOKUP(A13,[11]LISTADHERENT!A$5:H$60,3,0)</f>
        <v>NDJOMO ETIENNE</v>
      </c>
      <c r="D13" s="7">
        <f>IF(E13="ECHEC",0,VLOOKUP($A13,[10]HISTOAVRIL24!$A$6:$BB$47,15,0))</f>
        <v>200000</v>
      </c>
      <c r="E13" s="7" t="str">
        <f>VLOOKUP($A13,[10]HISTOAVRIL24!$A$6:$BB$47,8,0)</f>
        <v>BANQUE</v>
      </c>
      <c r="F13" s="7">
        <f>VLOOKUP($A13,[10]HISTOAVRIL24!$A$6:$BB$47,37,0)</f>
        <v>0</v>
      </c>
      <c r="G13" s="7">
        <f>VLOOKUP($A13,[10]HISTOAVRIL24!$A$6:$BB$47,40,0)</f>
        <v>0</v>
      </c>
      <c r="H13" s="7" t="str">
        <f>IF(F13&lt;&gt;0,VLOOKUP($A13,[10]HISTOAVRIL24!$A$6:$BB$47,42,0),"ECHEC")</f>
        <v>ECHEC</v>
      </c>
      <c r="I13" s="7">
        <f>VLOOKUP($A13,[10]HISTOAVRIL24!$A$6:$BB$47,41,0)</f>
        <v>0</v>
      </c>
      <c r="J13" s="7">
        <f>TONTMARS24!F13+TONTMARS24!G13</f>
        <v>202000</v>
      </c>
      <c r="K13" s="7">
        <f>VLOOKUP($A13,[10]HISTOAVRIL24!$A$6:$BB$47,18,0)</f>
        <v>202000</v>
      </c>
      <c r="L13" s="7" t="str">
        <f>IF(K13&lt;&gt;0,VLOOKUP($A13,[10]HISTOAVRIL24!$A$6:$BB$47,42,0),"ECHEC")</f>
        <v>BANQUE</v>
      </c>
      <c r="M13" s="7" t="str">
        <f>IF(P13&lt;&gt;0,VLOOKUP($A13,[10]HISTOAVRIL24!$A$6:$BB$47,32,0),"ECHEC")</f>
        <v>ECHEC</v>
      </c>
      <c r="N13" s="7">
        <f>VLOOKUP($A13,[10]HISTOAVRIL24!$A$6:$BB$47,33,0)</f>
        <v>0</v>
      </c>
      <c r="O13" s="7">
        <f t="shared" si="0"/>
        <v>0</v>
      </c>
      <c r="P13" s="7">
        <f>VLOOKUP($A13,[10]HISTOAVRIL24!$A$6:$BB$47,31,0)</f>
        <v>0</v>
      </c>
    </row>
    <row r="14" spans="1:16" x14ac:dyDescent="0.35">
      <c r="A14" s="1" t="s">
        <v>10</v>
      </c>
      <c r="B14" s="7">
        <f>IF(D14=0,0,VLOOKUP($A14,[10]HISTOAVRIL24!$A$6:$BQ$47,14,0))</f>
        <v>1</v>
      </c>
      <c r="C14" s="1" t="str">
        <f>VLOOKUP(A14,[11]LISTADHERENT!A$5:H$60,3,0)</f>
        <v>NGONDIEP CLAUDE</v>
      </c>
      <c r="D14" s="7">
        <f>IF(E14="ECHEC",0,VLOOKUP($A14,[10]HISTOAVRIL24!$A$6:$BB$47,15,0))</f>
        <v>100000</v>
      </c>
      <c r="E14" s="7" t="str">
        <f>VLOOKUP($A14,[10]HISTOAVRIL24!$A$6:$BB$47,8,0)</f>
        <v>ESPECES</v>
      </c>
      <c r="F14" s="7">
        <f>VLOOKUP($A14,[10]HISTOAVRIL24!$A$6:$BB$47,37,0)</f>
        <v>101500</v>
      </c>
      <c r="G14" s="7">
        <f>VLOOKUP($A14,[10]HISTOAVRIL24!$A$6:$BB$47,40,0)</f>
        <v>2000</v>
      </c>
      <c r="H14" s="7" t="str">
        <f>IF(F14&lt;&gt;0,VLOOKUP($A14,[10]HISTOAVRIL24!$A$6:$BB$47,42,0),"ECHEC")</f>
        <v>BANQUE</v>
      </c>
      <c r="I14" s="7">
        <f>VLOOKUP($A14,[10]HISTOAVRIL24!$A$6:$BB$47,41,0)</f>
        <v>0</v>
      </c>
      <c r="J14" s="7">
        <f>TONTMARS24!F14+TONTMARS24!G14</f>
        <v>101000</v>
      </c>
      <c r="K14" s="7">
        <f>VLOOKUP($A14,[10]HISTOAVRIL24!$A$6:$BB$47,18,0)</f>
        <v>101000</v>
      </c>
      <c r="L14" s="7" t="str">
        <f>IF(K14&lt;&gt;0,VLOOKUP($A14,[10]HISTOAVRIL24!$A$6:$BB$47,42,0),"ECHEC")</f>
        <v>BANQUE</v>
      </c>
      <c r="M14" s="7" t="str">
        <f>IF(P14&lt;&gt;0,VLOOKUP($A14,[10]HISTOAVRIL24!$A$6:$BB$47,32,0),"ECHEC")</f>
        <v>ECHEC</v>
      </c>
      <c r="N14" s="7">
        <f>VLOOKUP($A14,[10]HISTOAVRIL24!$A$6:$BB$47,33,0)</f>
        <v>0</v>
      </c>
      <c r="O14" s="7">
        <f t="shared" si="0"/>
        <v>0</v>
      </c>
      <c r="P14" s="7">
        <f>VLOOKUP($A14,[10]HISTOAVRIL24!$A$6:$BB$47,31,0)</f>
        <v>0</v>
      </c>
    </row>
    <row r="15" spans="1:16" x14ac:dyDescent="0.35">
      <c r="A15" s="1" t="s">
        <v>43</v>
      </c>
      <c r="B15" s="7">
        <f>IF(D15=0,0,VLOOKUP($A15,[10]HISTOAVRIL24!$A$6:$BQ$47,14,0))</f>
        <v>1</v>
      </c>
      <c r="C15" s="1" t="str">
        <f>VLOOKUP(A15,[11]LISTADHERENT!A$5:H$60,3,0)</f>
        <v>NGUIEMEGNI MATHIEU BLAISE</v>
      </c>
      <c r="D15" s="7">
        <f>IF(E15="ECHEC",0,VLOOKUP($A15,[10]HISTOAVRIL24!$A$6:$BB$47,15,0))</f>
        <v>100000</v>
      </c>
      <c r="E15" s="7" t="str">
        <f>VLOOKUP($A15,[10]HISTOAVRIL24!$A$6:$BB$47,8,0)</f>
        <v>BANQUE</v>
      </c>
      <c r="F15" s="7">
        <f>VLOOKUP($A15,[10]HISTOAVRIL24!$A$6:$BB$47,37,0)</f>
        <v>200000</v>
      </c>
      <c r="G15" s="7">
        <f>VLOOKUP($A15,[10]HISTOAVRIL24!$A$6:$BB$47,40,0)</f>
        <v>5500</v>
      </c>
      <c r="H15" s="7" t="str">
        <f>IF(F15&lt;&gt;0,VLOOKUP($A15,[10]HISTOAVRIL24!$A$6:$BB$47,42,0),"ECHEC")</f>
        <v>BANQUE</v>
      </c>
      <c r="I15" s="7">
        <f>VLOOKUP($A15,[10]HISTOAVRIL24!$A$6:$BB$47,41,0)</f>
        <v>0</v>
      </c>
      <c r="J15" s="7">
        <f>TONTMARS24!F15+TONTMARS24!G15</f>
        <v>202000</v>
      </c>
      <c r="K15" s="7">
        <f>VLOOKUP($A15,[10]HISTOAVRIL24!$A$6:$BB$47,18,0)</f>
        <v>202000</v>
      </c>
      <c r="L15" s="7" t="str">
        <f>IF(K15&lt;&gt;0,VLOOKUP($A15,[10]HISTOAVRIL24!$A$6:$BB$47,42,0),"ECHEC")</f>
        <v>BANQUE</v>
      </c>
      <c r="M15" s="7" t="str">
        <f>IF(P15&lt;&gt;0,VLOOKUP($A15,[10]HISTOAVRIL24!$A$6:$BB$47,32,0),"ECHEC")</f>
        <v>ECHEC</v>
      </c>
      <c r="N15" s="7">
        <f>VLOOKUP($A15,[10]HISTOAVRIL24!$A$6:$BB$47,33,0)</f>
        <v>0</v>
      </c>
      <c r="O15" s="7">
        <f t="shared" si="0"/>
        <v>0</v>
      </c>
      <c r="P15" s="7">
        <f>VLOOKUP($A15,[10]HISTOAVRIL24!$A$6:$BB$47,31,0)</f>
        <v>0</v>
      </c>
    </row>
    <row r="16" spans="1:16" x14ac:dyDescent="0.35">
      <c r="A16" s="1" t="s">
        <v>54</v>
      </c>
      <c r="B16" s="7">
        <f>IF(D16=0,0,VLOOKUP($A16,[10]HISTOAVRIL24!$A$6:$BQ$47,14,0))</f>
        <v>2</v>
      </c>
      <c r="C16" s="1" t="str">
        <f>VLOOKUP(A16,[11]LISTADHERENT!A$5:H$60,3,0)</f>
        <v>SIME BRICE</v>
      </c>
      <c r="D16" s="7">
        <f>IF(E16="ECHEC",0,VLOOKUP($A16,[10]HISTOAVRIL24!$A$6:$BB$47,15,0))</f>
        <v>200000</v>
      </c>
      <c r="E16" s="7" t="str">
        <f>VLOOKUP($A16,[10]HISTOAVRIL24!$A$6:$BB$47,8,0)</f>
        <v>BANQUE</v>
      </c>
      <c r="F16" s="7">
        <f>VLOOKUP($A16,[10]HISTOAVRIL24!$A$6:$BB$47,37,0)</f>
        <v>0</v>
      </c>
      <c r="G16" s="7">
        <f>VLOOKUP($A16,[10]HISTOAVRIL24!$A$6:$BB$47,40,0)</f>
        <v>0</v>
      </c>
      <c r="H16" s="7" t="str">
        <f>IF(F16&lt;&gt;0,VLOOKUP($A16,[10]HISTOAVRIL24!$A$6:$BB$47,42,0),"ECHEC")</f>
        <v>ECHEC</v>
      </c>
      <c r="I16" s="7">
        <f>VLOOKUP($A16,[10]HISTOAVRIL24!$A$6:$BB$47,41,0)</f>
        <v>0</v>
      </c>
      <c r="J16" s="7">
        <f>TONTMARS24!F16+TONTMARS24!G16</f>
        <v>0</v>
      </c>
      <c r="K16" s="7">
        <f>VLOOKUP($A16,[10]HISTOAVRIL24!$A$6:$BB$47,18,0)</f>
        <v>0</v>
      </c>
      <c r="L16" s="7" t="str">
        <f>IF(K16&lt;&gt;0,VLOOKUP($A16,[10]HISTOAVRIL24!$A$6:$BB$47,42,0),"ECHEC")</f>
        <v>ECHEC</v>
      </c>
      <c r="M16" s="7" t="str">
        <f>IF(P16&lt;&gt;0,VLOOKUP($A16,[10]HISTOAVRIL24!$A$6:$BB$47,32,0),"ECHEC")</f>
        <v>ECHEC</v>
      </c>
      <c r="N16" s="7">
        <f>VLOOKUP($A16,[10]HISTOAVRIL24!$A$6:$BB$47,33,0)</f>
        <v>0</v>
      </c>
      <c r="O16" s="7">
        <f t="shared" si="0"/>
        <v>0</v>
      </c>
      <c r="P16" s="7">
        <f>VLOOKUP($A16,[10]HISTOAVRIL24!$A$6:$BB$47,31,0)</f>
        <v>0</v>
      </c>
    </row>
    <row r="17" spans="1:16" x14ac:dyDescent="0.35">
      <c r="A17" s="1" t="s">
        <v>55</v>
      </c>
      <c r="B17" s="7">
        <f>IF(D17=0,0,VLOOKUP($A17,[10]HISTOAVRIL24!$A$6:$BQ$47,14,0))</f>
        <v>1</v>
      </c>
      <c r="C17" s="1" t="str">
        <f>VLOOKUP(A17,[11]LISTADHERENT!A$5:H$60,3,0)</f>
        <v>TCHOUATEU AUGUSTIN</v>
      </c>
      <c r="D17" s="7">
        <f>IF(E17="ECHEC",0,VLOOKUP($A17,[10]HISTOAVRIL24!$A$6:$BB$47,15,0))</f>
        <v>100000</v>
      </c>
      <c r="E17" s="7" t="str">
        <f>VLOOKUP($A17,[10]HISTOAVRIL24!$A$6:$BB$47,8,0)</f>
        <v>BANQUE</v>
      </c>
      <c r="F17" s="7">
        <f>VLOOKUP($A17,[10]HISTOAVRIL24!$A$6:$BB$47,37,0)</f>
        <v>0</v>
      </c>
      <c r="G17" s="7">
        <f>VLOOKUP($A17,[10]HISTOAVRIL24!$A$6:$BB$47,40,0)</f>
        <v>0</v>
      </c>
      <c r="H17" s="7" t="str">
        <f>IF(F17&lt;&gt;0,VLOOKUP($A17,[10]HISTOAVRIL24!$A$6:$BB$47,42,0),"ECHEC")</f>
        <v>ECHEC</v>
      </c>
      <c r="I17" s="7">
        <f>VLOOKUP($A17,[10]HISTOAVRIL24!$A$6:$BB$47,41,0)</f>
        <v>0</v>
      </c>
      <c r="J17" s="7">
        <f>TONTMARS24!F17+TONTMARS24!G17</f>
        <v>0</v>
      </c>
      <c r="K17" s="7">
        <f>VLOOKUP($A17,[10]HISTOAVRIL24!$A$6:$BB$47,18,0)</f>
        <v>0</v>
      </c>
      <c r="L17" s="7" t="str">
        <f>IF(K17&lt;&gt;0,VLOOKUP($A17,[10]HISTOAVRIL24!$A$6:$BB$47,42,0),"ECHEC")</f>
        <v>ECHEC</v>
      </c>
      <c r="M17" s="7" t="str">
        <f>IF(P17&lt;&gt;0,VLOOKUP($A17,[10]HISTOAVRIL24!$A$6:$BB$47,32,0),"ECHEC")</f>
        <v>ECHEC</v>
      </c>
      <c r="N17" s="7">
        <f>VLOOKUP($A17,[10]HISTOAVRIL24!$A$6:$BB$47,33,0)</f>
        <v>0</v>
      </c>
      <c r="O17" s="7">
        <f t="shared" si="0"/>
        <v>0</v>
      </c>
      <c r="P17" s="7">
        <f>VLOOKUP($A17,[10]HISTOAVRIL24!$A$6:$BB$47,31,0)</f>
        <v>0</v>
      </c>
    </row>
    <row r="18" spans="1:16" x14ac:dyDescent="0.35">
      <c r="A18" s="1" t="s">
        <v>46</v>
      </c>
      <c r="B18" s="7">
        <f>IF(D18=0,0,VLOOKUP($A18,[10]HISTOAVRIL24!$A$6:$BQ$47,14,0))</f>
        <v>1</v>
      </c>
      <c r="C18" s="1" t="str">
        <f>VLOOKUP(A18,[11]LISTADHERENT!A$5:H$60,3,0)</f>
        <v>SIMO PIERRE</v>
      </c>
      <c r="D18" s="7">
        <f>IF(E18="ECHEC",0,VLOOKUP($A18,[10]HISTOAVRIL24!$A$6:$BB$47,15,0))</f>
        <v>100000</v>
      </c>
      <c r="E18" s="7" t="str">
        <f>VLOOKUP($A18,[10]HISTOAVRIL24!$A$6:$BB$47,8,0)</f>
        <v>BANQUE</v>
      </c>
      <c r="F18" s="7">
        <f>VLOOKUP($A18,[10]HISTOAVRIL24!$A$6:$BB$47,37,0)</f>
        <v>0</v>
      </c>
      <c r="G18" s="7">
        <f>VLOOKUP($A18,[10]HISTOAVRIL24!$A$6:$BB$47,40,0)</f>
        <v>0</v>
      </c>
      <c r="H18" s="7" t="str">
        <f>IF(F18&lt;&gt;0,VLOOKUP($A18,[10]HISTOAVRIL24!$A$6:$BB$47,42,0),"ECHEC")</f>
        <v>ECHEC</v>
      </c>
      <c r="I18" s="7">
        <f>VLOOKUP($A18,[10]HISTOAVRIL24!$A$6:$BB$47,41,0)</f>
        <v>0</v>
      </c>
      <c r="J18" s="7">
        <f>TONTMARS24!F18+TONTMARS24!G18</f>
        <v>0</v>
      </c>
      <c r="K18" s="7">
        <f>VLOOKUP($A18,[10]HISTOAVRIL24!$A$6:$BB$47,18,0)</f>
        <v>0</v>
      </c>
      <c r="L18" s="7" t="str">
        <f>IF(K18&lt;&gt;0,VLOOKUP($A18,[10]HISTOAVRIL24!$A$6:$BB$47,42,0),"ECHEC")</f>
        <v>ECHEC</v>
      </c>
      <c r="M18" s="7" t="str">
        <f>IF(P18&lt;&gt;0,VLOOKUP($A18,[10]HISTOAVRIL24!$A$6:$BB$47,32,0),"ECHEC")</f>
        <v>BANQUE</v>
      </c>
      <c r="N18" s="7">
        <f>VLOOKUP($A18,[10]HISTOAVRIL24!$A$6:$BB$47,33,0)</f>
        <v>0</v>
      </c>
      <c r="O18" s="7">
        <f t="shared" si="0"/>
        <v>1160000</v>
      </c>
      <c r="P18" s="7">
        <f>VLOOKUP($A18,[10]HISTOAVRIL24!$A$6:$BB$47,31,0)</f>
        <v>40000</v>
      </c>
    </row>
    <row r="19" spans="1:16" x14ac:dyDescent="0.35">
      <c r="A19" s="1" t="s">
        <v>53</v>
      </c>
      <c r="B19" s="7">
        <f>IF(D19=0,0,VLOOKUP($A19,[10]HISTOAVRIL24!$A$6:$BQ$47,14,0))</f>
        <v>1</v>
      </c>
      <c r="C19" s="1" t="str">
        <f>VLOOKUP(A19,[11]LISTADHERENT!A$5:H$60,3,0)</f>
        <v>YIALA ALAIN OSCAR</v>
      </c>
      <c r="D19" s="7">
        <f>IF(E19="ECHEC",0,VLOOKUP($A19,[10]HISTOAVRIL24!$A$6:$BB$47,15,0))</f>
        <v>100000</v>
      </c>
      <c r="E19" s="7" t="str">
        <f>VLOOKUP($A19,[10]HISTOAVRIL24!$A$6:$BB$47,8,0)</f>
        <v>BANQUE</v>
      </c>
      <c r="F19" s="7">
        <f>VLOOKUP($A19,[10]HISTOAVRIL24!$A$6:$BB$47,37,0)</f>
        <v>0</v>
      </c>
      <c r="G19" s="7">
        <f>VLOOKUP($A19,[10]HISTOAVRIL24!$A$6:$BB$47,40,0)</f>
        <v>0</v>
      </c>
      <c r="H19" s="7" t="str">
        <f>IF(F19&lt;&gt;0,VLOOKUP($A19,[10]HISTOAVRIL24!$A$6:$BB$47,42,0),"ECHEC")</f>
        <v>ECHEC</v>
      </c>
      <c r="I19" s="7">
        <f>VLOOKUP($A19,[10]HISTOAVRIL24!$A$6:$BB$47,41,0)</f>
        <v>0</v>
      </c>
      <c r="J19" s="7">
        <f>TONTMARS24!F19+TONTMARS24!G19</f>
        <v>0</v>
      </c>
      <c r="K19" s="7">
        <f>VLOOKUP($A19,[10]HISTOAVRIL24!$A$6:$BB$47,18,0)</f>
        <v>0</v>
      </c>
      <c r="L19" s="7" t="str">
        <f>IF(K19&lt;&gt;0,VLOOKUP($A19,[10]HISTOAVRIL24!$A$6:$BB$47,42,0),"ECHEC")</f>
        <v>ECHEC</v>
      </c>
      <c r="M19" s="7" t="str">
        <f>IF(P19&lt;&gt;0,VLOOKUP($A19,[10]HISTOAVRIL24!$A$6:$BB$47,32,0),"ECHEC")</f>
        <v>ECHEC</v>
      </c>
      <c r="N19" s="7">
        <f>VLOOKUP($A19,[10]HISTOAVRIL24!$A$6:$BB$47,33,0)</f>
        <v>0</v>
      </c>
      <c r="O19" s="7">
        <f t="shared" si="0"/>
        <v>0</v>
      </c>
      <c r="P19" s="7">
        <f>VLOOKUP($A19,[10]HISTOAVRIL24!$A$6:$BB$47,31,0)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572000</v>
      </c>
      <c r="G22" s="8">
        <f t="shared" si="1"/>
        <v>13500</v>
      </c>
      <c r="H22" s="8">
        <f t="shared" si="1"/>
        <v>0</v>
      </c>
      <c r="I22" s="8">
        <f t="shared" si="1"/>
        <v>0</v>
      </c>
      <c r="J22" s="8">
        <f t="shared" si="1"/>
        <v>1116500</v>
      </c>
      <c r="K22" s="8">
        <f t="shared" si="1"/>
        <v>1116500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2345000</v>
      </c>
      <c r="P22" s="8">
        <f t="shared" si="1"/>
        <v>55000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D28+E28+P22+TONTMARS24!N29</f>
        <v>2971500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2400000</v>
      </c>
      <c r="M25" s="8">
        <f>D3</f>
        <v>2</v>
      </c>
      <c r="N25" s="8">
        <f>COUNTIF(O8:O19,"&gt;0")</f>
        <v>2</v>
      </c>
      <c r="O25" s="8"/>
    </row>
    <row r="26" spans="1:16" s="2" customFormat="1" ht="17.5" x14ac:dyDescent="0.35">
      <c r="C26" s="8" t="s">
        <v>7</v>
      </c>
      <c r="D26" s="8">
        <f>SUMIFS(D6:D20,E6:E20,"BANQUE")</f>
        <v>1700000</v>
      </c>
      <c r="E26" s="8">
        <f>SUMIFS(K6:K20,L6:L20,"BANQUE")</f>
        <v>1116500</v>
      </c>
      <c r="F26" s="8">
        <f>SUMIFS(F6:F20,H6:H20,"BANQUE")</f>
        <v>572000</v>
      </c>
      <c r="G26" s="8">
        <f>SUMIFS(O6:O20,M6:M20,"BANQUE")</f>
        <v>2345000</v>
      </c>
      <c r="H26" s="8">
        <f>D26+E26-F26-G26</f>
        <v>-100500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571500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1116500</v>
      </c>
      <c r="F28" s="8">
        <f>F25+F26</f>
        <v>572000</v>
      </c>
      <c r="G28" s="8">
        <f t="shared" ref="G28:H28" si="2">G25+G26</f>
        <v>2345000</v>
      </c>
      <c r="H28" s="8">
        <f t="shared" si="2"/>
        <v>-500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-500</v>
      </c>
      <c r="M29"/>
      <c r="N29" s="8">
        <f>L29</f>
        <v>-500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4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4"/>
  <sheetViews>
    <sheetView zoomScale="118" zoomScaleNormal="118" workbookViewId="0">
      <pane xSplit="3" ySplit="5" topLeftCell="F21" activePane="bottomRight" state="frozen"/>
      <selection activeCell="G6" sqref="G6:G39"/>
      <selection pane="topRight" activeCell="G6" sqref="G6:G39"/>
      <selection pane="bottomLeft" activeCell="G6" sqref="G6:G39"/>
      <selection pane="bottomRight" activeCell="L29" sqref="L29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1</v>
      </c>
      <c r="E3" s="1"/>
      <c r="L3" s="1"/>
      <c r="M3" s="1"/>
    </row>
    <row r="4" spans="1:16" s="12" customFormat="1" ht="17.5" x14ac:dyDescent="0.35">
      <c r="B4" s="13"/>
      <c r="C4" s="37">
        <v>45425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IF(D6=0,0,VLOOKUP($A6,[10]HISTOMAI24!$A$6:$BQ$47,14,0))</f>
        <v>1</v>
      </c>
      <c r="C6" s="1" t="str">
        <f>VLOOKUP(A6,[11]LISTADHERENT!A$5:H$60,3,0)</f>
        <v>ASELBY</v>
      </c>
      <c r="D6" s="7">
        <f>IF(E6="ECHEC",0,VLOOKUP($A6,[10]HISTOMAI24!$A$6:$BB$47,15,0))</f>
        <v>100000</v>
      </c>
      <c r="E6" s="7" t="str">
        <f>VLOOKUP($A6,[10]HISTOMAI24!$A$6:$BB$47,8,0)</f>
        <v>BANQUE</v>
      </c>
      <c r="F6" s="7">
        <f>VLOOKUP($A6,[10]HISTOMAI24!$A$6:$BB$47,37,0)</f>
        <v>0</v>
      </c>
      <c r="G6" s="7">
        <f>VLOOKUP($A6,[10]HISTOMAI24!$A$6:$BB$47,40,0)</f>
        <v>0</v>
      </c>
      <c r="H6" s="7" t="str">
        <f>IF(F6&lt;&gt;0,VLOOKUP($A6,[10]HISTOMAI24!$A$6:$BB$47,42,0),"ECHEC")</f>
        <v>ECHEC</v>
      </c>
      <c r="I6" s="7">
        <f>VLOOKUP($A6,[10]HISTOMAI24!$A$6:$BB$47,41,0)</f>
        <v>0</v>
      </c>
      <c r="J6" s="7">
        <f>TONTAVRIL24!F6+TONTAVRIL24!G6</f>
        <v>0</v>
      </c>
      <c r="K6" s="7">
        <f>VLOOKUP($A6,[10]HISTOMAI24!$A$6:$BB$47,18,0)</f>
        <v>0</v>
      </c>
      <c r="L6" s="7" t="str">
        <f>IF(K6&lt;&gt;0,VLOOKUP($A6,[10]HISTOMAI24!$A$6:$BB$47,42,0),"ECHEC")</f>
        <v>ECHEC</v>
      </c>
      <c r="M6" s="7" t="str">
        <f>IF(P6&lt;&gt;0,VLOOKUP($A6,[10]HISTOMAI24!$A$6:$BB$47,32,0),"ECHEC")</f>
        <v>ECHEC</v>
      </c>
      <c r="N6" s="7">
        <f>VLOOKUP($A6,[10]HISTOMAI24!$A$6:$BB$47,33,0)</f>
        <v>0</v>
      </c>
      <c r="O6" s="7">
        <f t="shared" ref="O6:O19" si="0">IF(P6=0,0,($C$3-P6))</f>
        <v>0</v>
      </c>
      <c r="P6" s="7">
        <f>VLOOKUP($A6,[10]HISTOMAI24!$A$6:$BB$47,31,0)</f>
        <v>0</v>
      </c>
    </row>
    <row r="7" spans="1:16" x14ac:dyDescent="0.35">
      <c r="A7" s="1" t="s">
        <v>47</v>
      </c>
      <c r="B7" s="7">
        <f>IF(D7=0,0,VLOOKUP($A7,[10]HISTOMAI24!$A$6:$BQ$47,14,0))</f>
        <v>2</v>
      </c>
      <c r="C7" s="1" t="str">
        <f>VLOOKUP(A7,[11]LISTADHERENT!A$5:H$60,3,0)</f>
        <v xml:space="preserve">DJOMO JEAN PAUL </v>
      </c>
      <c r="D7" s="7">
        <f>IF(E7="ECHEC",0,VLOOKUP($A7,[10]HISTOMAI24!$A$6:$BB$47,15,0))</f>
        <v>200000</v>
      </c>
      <c r="E7" s="7" t="str">
        <f>VLOOKUP($A7,[10]HISTOMAI24!$A$6:$BB$47,8,0)</f>
        <v>BANQUE</v>
      </c>
      <c r="F7" s="7">
        <f>VLOOKUP($A7,[10]HISTOMAI24!$A$6:$BB$47,37,0)</f>
        <v>0</v>
      </c>
      <c r="G7" s="7">
        <f>VLOOKUP($A7,[10]HISTOMAI24!$A$6:$BB$47,40,0)</f>
        <v>0</v>
      </c>
      <c r="H7" s="7" t="str">
        <f>IF(F7&lt;&gt;0,VLOOKUP($A7,[10]HISTOMAI24!$A$6:$BB$47,42,0),"ECHEC")</f>
        <v>ECHEC</v>
      </c>
      <c r="I7" s="7">
        <f>VLOOKUP($A7,[10]HISTOMAI24!$A$6:$BB$47,41,0)</f>
        <v>0</v>
      </c>
      <c r="J7" s="7">
        <f>TONTAVRIL24!F7+TONTAVRIL24!G7</f>
        <v>0</v>
      </c>
      <c r="K7" s="7">
        <f>VLOOKUP($A7,[10]HISTOMAI24!$A$6:$BB$47,18,0)</f>
        <v>0</v>
      </c>
      <c r="L7" s="7" t="str">
        <f>IF(K7&lt;&gt;0,VLOOKUP($A7,[10]HISTOMAI24!$A$6:$BB$47,42,0),"ECHEC")</f>
        <v>ECHEC</v>
      </c>
      <c r="M7" s="7" t="str">
        <f>IF(P7&lt;&gt;0,VLOOKUP($A7,[10]HISTOMAI24!$A$6:$BB$47,32,0),"ECHEC")</f>
        <v>ECHEC</v>
      </c>
      <c r="N7" s="7">
        <f>VLOOKUP($A7,[10]HISTOMAI24!$A$6:$BB$47,33,0)</f>
        <v>0</v>
      </c>
      <c r="O7" s="7">
        <f t="shared" si="0"/>
        <v>0</v>
      </c>
      <c r="P7" s="7">
        <f>VLOOKUP($A7,[10]HISTOMAI24!$A$6:$BB$47,31,0)</f>
        <v>0</v>
      </c>
    </row>
    <row r="8" spans="1:16" x14ac:dyDescent="0.35">
      <c r="A8" s="1" t="s">
        <v>20</v>
      </c>
      <c r="B8" s="7">
        <f>IF(D8=0,0,VLOOKUP($A8,[10]HISTOMAI24!$A$6:$BQ$47,14,0))</f>
        <v>2</v>
      </c>
      <c r="C8" s="1" t="str">
        <f>VLOOKUP(A8,[11]LISTADHERENT!A$5:H$60,3,0)</f>
        <v>DJUOMBESSY ANTOINE</v>
      </c>
      <c r="D8" s="7">
        <f>IF(E8="ECHEC",0,VLOOKUP($A8,[10]HISTOMAI24!$A$6:$BB$47,15,0))</f>
        <v>200000</v>
      </c>
      <c r="E8" s="7" t="str">
        <f>VLOOKUP($A8,[10]HISTOMAI24!$A$6:$BB$47,8,0)</f>
        <v>BANQUE</v>
      </c>
      <c r="F8" s="7">
        <f>VLOOKUP($A8,[10]HISTOMAI24!$A$6:$BB$47,37,0)</f>
        <v>0</v>
      </c>
      <c r="G8" s="7">
        <f>VLOOKUP($A8,[10]HISTOMAI24!$A$6:$BB$47,40,0)</f>
        <v>0</v>
      </c>
      <c r="H8" s="7" t="str">
        <f>IF(F8&lt;&gt;0,VLOOKUP($A8,[10]HISTOMAI24!$A$6:$BB$47,42,0),"ECHEC")</f>
        <v>ECHEC</v>
      </c>
      <c r="I8" s="7">
        <f>VLOOKUP($A8,[10]HISTOMAI24!$A$6:$BB$47,41,0)</f>
        <v>0</v>
      </c>
      <c r="J8" s="7">
        <f>TONTAVRIL24!F8+TONTAVRIL24!G8</f>
        <v>0</v>
      </c>
      <c r="K8" s="7">
        <f>VLOOKUP($A8,[10]HISTOMAI24!$A$6:$BB$47,18,0)</f>
        <v>0</v>
      </c>
      <c r="L8" s="7" t="str">
        <f>IF(K8&lt;&gt;0,VLOOKUP($A8,[10]HISTOMAI24!$A$6:$BB$47,42,0),"ECHEC")</f>
        <v>ECHEC</v>
      </c>
      <c r="M8" s="7" t="str">
        <f>IF(P8&lt;&gt;0,VLOOKUP($A8,[10]HISTOMAI24!$A$6:$BB$47,32,0),"ECHEC")</f>
        <v>BANQUE</v>
      </c>
      <c r="N8" s="7">
        <f>VLOOKUP($A8,[10]HISTOMAI24!$A$6:$BB$47,33,0)</f>
        <v>0</v>
      </c>
      <c r="O8" s="7">
        <f t="shared" si="0"/>
        <v>1190000</v>
      </c>
      <c r="P8" s="7">
        <f>VLOOKUP($A8,[10]HISTOMAI24!$A$6:$BB$47,31,0)</f>
        <v>10000</v>
      </c>
    </row>
    <row r="9" spans="1:16" x14ac:dyDescent="0.35">
      <c r="A9" s="1" t="s">
        <v>21</v>
      </c>
      <c r="B9" s="7">
        <f>IF(D9=0,0,VLOOKUP($A9,[10]HISTOMAI24!$A$6:$BQ$47,14,0))</f>
        <v>1</v>
      </c>
      <c r="C9" s="1" t="str">
        <f>VLOOKUP(A9,[11]LISTADHERENT!A$5:H$60,3,0)</f>
        <v>HOTCHO BENJAMIN</v>
      </c>
      <c r="D9" s="7">
        <f>IF(E9="ECHEC",0,VLOOKUP($A9,[10]HISTOMAI24!$A$6:$BB$47,15,0))</f>
        <v>100000</v>
      </c>
      <c r="E9" s="7" t="str">
        <f>VLOOKUP($A9,[10]HISTOMAI24!$A$6:$BB$47,8,0)</f>
        <v>BANQUE</v>
      </c>
      <c r="F9" s="7">
        <f>VLOOKUP($A9,[10]HISTOMAI24!$A$6:$BB$47,37,0)</f>
        <v>0</v>
      </c>
      <c r="G9" s="7">
        <f>VLOOKUP($A9,[10]HISTOMAI24!$A$6:$BB$47,40,0)</f>
        <v>0</v>
      </c>
      <c r="H9" s="7" t="str">
        <f>IF(F9&lt;&gt;0,VLOOKUP($A9,[10]HISTOMAI24!$A$6:$BB$47,42,0),"ECHEC")</f>
        <v>ECHEC</v>
      </c>
      <c r="I9" s="7">
        <f>VLOOKUP($A9,[10]HISTOMAI24!$A$6:$BB$47,41,0)</f>
        <v>0</v>
      </c>
      <c r="J9" s="7">
        <f>TONTAVRIL24!F9+TONTAVRIL24!G9</f>
        <v>0</v>
      </c>
      <c r="K9" s="7">
        <f>VLOOKUP($A9,[10]HISTOMAI24!$A$6:$BB$47,18,0)</f>
        <v>0</v>
      </c>
      <c r="L9" s="7" t="str">
        <f>IF(K9&lt;&gt;0,VLOOKUP($A9,[10]HISTOMAI24!$A$6:$BB$47,42,0),"ECHEC")</f>
        <v>ECHEC</v>
      </c>
      <c r="M9" s="7" t="str">
        <f>IF(P9&lt;&gt;0,VLOOKUP($A9,[10]HISTOMAI24!$A$6:$BB$47,32,0),"ECHEC")</f>
        <v>ECHEC</v>
      </c>
      <c r="N9" s="7">
        <f>VLOOKUP($A9,[10]HISTOMAI24!$A$6:$BB$47,33,0)</f>
        <v>0</v>
      </c>
      <c r="O9" s="7">
        <f t="shared" si="0"/>
        <v>0</v>
      </c>
      <c r="P9" s="7">
        <f>VLOOKUP($A9,[10]HISTOMAI24!$A$6:$BB$47,31,0)</f>
        <v>0</v>
      </c>
    </row>
    <row r="10" spans="1:16" x14ac:dyDescent="0.35">
      <c r="A10" s="1" t="s">
        <v>26</v>
      </c>
      <c r="B10" s="7">
        <f>IF(D10=0,0,VLOOKUP($A10,[10]HISTOMAI24!$A$6:$BQ$47,14,0))</f>
        <v>1</v>
      </c>
      <c r="C10" s="1" t="str">
        <f>VLOOKUP(A10,[11]LISTADHERENT!A$5:H$60,3,0)</f>
        <v>KOUAMOU MOISE</v>
      </c>
      <c r="D10" s="7">
        <f>IF(E10="ECHEC",0,VLOOKUP($A10,[10]HISTOMAI24!$A$6:$BB$47,15,0))</f>
        <v>100000</v>
      </c>
      <c r="E10" s="7" t="str">
        <f>VLOOKUP($A10,[10]HISTOMAI24!$A$6:$BB$47,8,0)</f>
        <v>BANQUE</v>
      </c>
      <c r="F10" s="7">
        <f>VLOOKUP($A10,[10]HISTOMAI24!$A$6:$BB$47,37,0)</f>
        <v>0</v>
      </c>
      <c r="G10" s="7">
        <f>VLOOKUP($A10,[10]HISTOMAI24!$A$6:$BB$47,40,0)</f>
        <v>0</v>
      </c>
      <c r="H10" s="7" t="str">
        <f>IF(F10&lt;&gt;0,VLOOKUP($A10,[10]HISTOMAI24!$A$6:$BB$47,42,0),"ECHEC")</f>
        <v>ECHEC</v>
      </c>
      <c r="I10" s="7">
        <f>VLOOKUP($A10,[10]HISTOMAI24!$A$6:$BB$47,41,0)</f>
        <v>0</v>
      </c>
      <c r="J10" s="7">
        <f>TONTAVRIL24!F10+TONTAVRIL24!G10</f>
        <v>0</v>
      </c>
      <c r="K10" s="7">
        <f>VLOOKUP($A10,[10]HISTOMAI24!$A$6:$BB$47,18,0)</f>
        <v>0</v>
      </c>
      <c r="L10" s="7" t="str">
        <f>IF(K10&lt;&gt;0,VLOOKUP($A10,[10]HISTOMAI24!$A$6:$BB$47,42,0),"ECHEC")</f>
        <v>ECHEC</v>
      </c>
      <c r="M10" s="7" t="str">
        <f>IF(P10&lt;&gt;0,VLOOKUP($A10,[10]HISTOMAI24!$A$6:$BB$47,32,0),"ECHEC")</f>
        <v>ECHEC</v>
      </c>
      <c r="N10" s="7">
        <f>VLOOKUP($A10,[10]HISTOMAI24!$A$6:$BB$47,33,0)</f>
        <v>0</v>
      </c>
      <c r="O10" s="7">
        <f t="shared" si="0"/>
        <v>0</v>
      </c>
      <c r="P10" s="7">
        <f>VLOOKUP($A10,[10]HISTOMAI24!$A$6:$BB$47,31,0)</f>
        <v>0</v>
      </c>
    </row>
    <row r="11" spans="1:16" x14ac:dyDescent="0.35">
      <c r="A11" s="1" t="s">
        <v>8</v>
      </c>
      <c r="B11" s="7">
        <f>IF(D11=0,0,VLOOKUP($A11,[10]HISTOMAI24!$A$6:$BQ$47,14,0))</f>
        <v>1</v>
      </c>
      <c r="C11" s="1" t="str">
        <f>VLOOKUP(A11,[11]LISTADHERENT!A$5:H$60,3,0)</f>
        <v>KOUATCHO MESSACK</v>
      </c>
      <c r="D11" s="7">
        <f>IF(E11="ECHEC",0,VLOOKUP($A11,[10]HISTOMAI24!$A$6:$BB$47,15,0))</f>
        <v>100000</v>
      </c>
      <c r="E11" s="7" t="str">
        <f>VLOOKUP($A11,[10]HISTOMAI24!$A$6:$BB$47,8,0)</f>
        <v>BANQUE</v>
      </c>
      <c r="F11" s="7">
        <f>VLOOKUP($A11,[10]HISTOMAI24!$A$6:$BB$47,37,0)</f>
        <v>0</v>
      </c>
      <c r="G11" s="7">
        <f>VLOOKUP($A11,[10]HISTOMAI24!$A$6:$BB$47,40,0)</f>
        <v>0</v>
      </c>
      <c r="H11" s="7" t="str">
        <f>IF(F11&lt;&gt;0,VLOOKUP($A11,[10]HISTOMAI24!$A$6:$BB$47,42,0),"ECHEC")</f>
        <v>ECHEC</v>
      </c>
      <c r="I11" s="7">
        <f>VLOOKUP($A11,[10]HISTOMAI24!$A$6:$BB$47,41,0)</f>
        <v>0</v>
      </c>
      <c r="J11" s="7">
        <f>TONTAVRIL24!F11+TONTAVRIL24!G11</f>
        <v>205000</v>
      </c>
      <c r="K11" s="7">
        <f>VLOOKUP($A11,[10]HISTOMAI24!$A$6:$BB$47,18,0)</f>
        <v>205000</v>
      </c>
      <c r="L11" s="7" t="str">
        <f>IF(K11&lt;&gt;0,VLOOKUP($A11,[10]HISTOMAI24!$A$6:$BB$47,42,0),"ECHEC")</f>
        <v>BANQUE</v>
      </c>
      <c r="M11" s="7" t="str">
        <f>IF(P11&lt;&gt;0,VLOOKUP($A11,[10]HISTOMAI24!$A$6:$BB$47,32,0),"ECHEC")</f>
        <v>ECHEC</v>
      </c>
      <c r="N11" s="7">
        <f>VLOOKUP($A11,[10]HISTOMAI24!$A$6:$BB$47,33,0)</f>
        <v>0</v>
      </c>
      <c r="O11" s="7">
        <f t="shared" si="0"/>
        <v>0</v>
      </c>
      <c r="P11" s="7">
        <f>VLOOKUP($A11,[10]HISTOMAI24!$A$6:$BB$47,31,0)</f>
        <v>0</v>
      </c>
    </row>
    <row r="12" spans="1:16" x14ac:dyDescent="0.35">
      <c r="A12" s="1" t="s">
        <v>22</v>
      </c>
      <c r="B12" s="7">
        <f>IF(D12=0,0,VLOOKUP($A12,[10]HISTOMAI24!$A$6:$BQ$47,14,0))</f>
        <v>1</v>
      </c>
      <c r="C12" s="1" t="str">
        <f>VLOOKUP(A12,[11]LISTADHERENT!A$5:H$60,3,0)</f>
        <v>MBOGNING TUGMA GUY</v>
      </c>
      <c r="D12" s="7">
        <f>IF(E12="ECHEC",0,VLOOKUP($A12,[10]HISTOMAI24!$A$6:$BB$47,15,0))</f>
        <v>100000</v>
      </c>
      <c r="E12" s="7" t="str">
        <f>VLOOKUP($A12,[10]HISTOMAI24!$A$6:$BB$47,8,0)</f>
        <v>BANQUE</v>
      </c>
      <c r="F12" s="7">
        <f>VLOOKUP($A12,[10]HISTOMAI24!$A$6:$BB$47,37,0)</f>
        <v>0</v>
      </c>
      <c r="G12" s="7">
        <f>VLOOKUP($A12,[10]HISTOMAI24!$A$6:$BB$47,40,0)</f>
        <v>0</v>
      </c>
      <c r="H12" s="7" t="str">
        <f>IF(F12&lt;&gt;0,VLOOKUP($A12,[10]HISTOMAI24!$A$6:$BB$47,42,0),"ECHEC")</f>
        <v>ECHEC</v>
      </c>
      <c r="I12" s="7">
        <f>VLOOKUP($A12,[10]HISTOMAI24!$A$6:$BB$47,41,0)</f>
        <v>0</v>
      </c>
      <c r="J12" s="7">
        <f>TONTAVRIL24!F12+TONTAVRIL24!G12</f>
        <v>71500</v>
      </c>
      <c r="K12" s="7">
        <f>VLOOKUP($A12,[10]HISTOMAI24!$A$6:$BB$47,18,0)</f>
        <v>71500</v>
      </c>
      <c r="L12" s="7" t="str">
        <f>IF(K12&lt;&gt;0,VLOOKUP($A12,[10]HISTOMAI24!$A$6:$BB$47,42,0),"ECHEC")</f>
        <v>BANQUE</v>
      </c>
      <c r="M12" s="7" t="str">
        <f>IF(P12&lt;&gt;0,VLOOKUP($A12,[10]HISTOMAI24!$A$6:$BB$47,32,0),"ECHEC")</f>
        <v>ECHEC</v>
      </c>
      <c r="N12" s="7">
        <f>VLOOKUP($A12,[10]HISTOMAI24!$A$6:$BB$47,33,0)</f>
        <v>0</v>
      </c>
      <c r="O12" s="7">
        <f t="shared" si="0"/>
        <v>0</v>
      </c>
      <c r="P12" s="7">
        <f>VLOOKUP($A12,[10]HISTOMAI24!$A$6:$BB$47,31,0)</f>
        <v>0</v>
      </c>
    </row>
    <row r="13" spans="1:16" ht="15.5" customHeight="1" x14ac:dyDescent="0.35">
      <c r="A13" s="1" t="s">
        <v>9</v>
      </c>
      <c r="B13" s="7">
        <f>IF(D13=0,0,VLOOKUP($A13,[10]HISTOMAI24!$A$6:$BQ$47,14,0))</f>
        <v>2</v>
      </c>
      <c r="C13" s="1" t="str">
        <f>VLOOKUP(A13,[11]LISTADHERENT!A$5:H$60,3,0)</f>
        <v>NDJOMO ETIENNE</v>
      </c>
      <c r="D13" s="7">
        <f>IF(E13="ECHEC",0,VLOOKUP($A13,[10]HISTOMAI24!$A$6:$BB$47,15,0))</f>
        <v>200000</v>
      </c>
      <c r="E13" s="7" t="str">
        <f>VLOOKUP($A13,[10]HISTOMAI24!$A$6:$BB$47,8,0)</f>
        <v>BANQUE</v>
      </c>
      <c r="F13" s="7">
        <f>VLOOKUP($A13,[10]HISTOMAI24!$A$6:$BB$47,37,0)</f>
        <v>0</v>
      </c>
      <c r="G13" s="7">
        <f>VLOOKUP($A13,[10]HISTOMAI24!$A$6:$BB$47,40,0)</f>
        <v>0</v>
      </c>
      <c r="H13" s="7" t="str">
        <f>IF(F13&lt;&gt;0,VLOOKUP($A13,[10]HISTOMAI24!$A$6:$BB$47,42,0),"ECHEC")</f>
        <v>ECHEC</v>
      </c>
      <c r="I13" s="7">
        <f>VLOOKUP($A13,[10]HISTOMAI24!$A$6:$BB$47,41,0)</f>
        <v>0</v>
      </c>
      <c r="J13" s="7">
        <f>TONTAVRIL24!F13+TONTAVRIL24!G13</f>
        <v>0</v>
      </c>
      <c r="K13" s="7">
        <f>VLOOKUP($A13,[10]HISTOMAI24!$A$6:$BB$47,18,0)</f>
        <v>0</v>
      </c>
      <c r="L13" s="7" t="str">
        <f>IF(K13&lt;&gt;0,VLOOKUP($A13,[10]HISTOMAI24!$A$6:$BB$47,42,0),"ECHEC")</f>
        <v>ECHEC</v>
      </c>
      <c r="M13" s="7" t="str">
        <f>IF(P13&lt;&gt;0,VLOOKUP($A13,[10]HISTOMAI24!$A$6:$BB$47,32,0),"ECHEC")</f>
        <v>ECHEC</v>
      </c>
      <c r="N13" s="7">
        <f>VLOOKUP($A13,[10]HISTOMAI24!$A$6:$BB$47,33,0)</f>
        <v>0</v>
      </c>
      <c r="O13" s="7">
        <f t="shared" si="0"/>
        <v>0</v>
      </c>
      <c r="P13" s="7">
        <f>VLOOKUP($A13,[10]HISTOMAI24!$A$6:$BB$47,31,0)</f>
        <v>0</v>
      </c>
    </row>
    <row r="14" spans="1:16" x14ac:dyDescent="0.35">
      <c r="A14" s="1" t="s">
        <v>10</v>
      </c>
      <c r="B14" s="7">
        <f>IF(D14=0,0,VLOOKUP($A14,[10]HISTOMAI24!$A$6:$BQ$47,14,0))</f>
        <v>1</v>
      </c>
      <c r="C14" s="1" t="str">
        <f>VLOOKUP(A14,[11]LISTADHERENT!A$5:H$60,3,0)</f>
        <v>NGONDIEP CLAUDE</v>
      </c>
      <c r="D14" s="7">
        <f>IF(E14="ECHEC",0,VLOOKUP($A14,[10]HISTOMAI24!$A$6:$BB$47,15,0))</f>
        <v>100000</v>
      </c>
      <c r="E14" s="7" t="str">
        <f>VLOOKUP($A14,[10]HISTOMAI24!$A$6:$BB$47,8,0)</f>
        <v>BANQUE</v>
      </c>
      <c r="F14" s="7">
        <f>VLOOKUP($A14,[10]HISTOMAI24!$A$6:$BB$47,37,0)</f>
        <v>103000</v>
      </c>
      <c r="G14" s="7">
        <f>VLOOKUP($A14,[10]HISTOMAI24!$A$6:$BB$47,40,0)</f>
        <v>0</v>
      </c>
      <c r="H14" s="7" t="str">
        <f>IF(F14&lt;&gt;0,VLOOKUP($A14,[10]HISTOMAI24!$A$6:$BB$47,42,0),"ECHEC")</f>
        <v>BANQUE</v>
      </c>
      <c r="I14" s="7">
        <f>VLOOKUP($A14,[10]HISTOMAI24!$A$6:$BB$47,41,0)</f>
        <v>0</v>
      </c>
      <c r="J14" s="7">
        <f>TONTAVRIL24!F14+TONTAVRIL24!G14</f>
        <v>103500</v>
      </c>
      <c r="K14" s="7">
        <f>VLOOKUP($A14,[10]HISTOMAI24!$A$6:$BB$47,18,0)</f>
        <v>500</v>
      </c>
      <c r="L14" s="7" t="str">
        <f>IF(K14&lt;&gt;0,VLOOKUP($A14,[10]HISTOMAI24!$A$6:$BB$47,42,0),"ECHEC")</f>
        <v>BANQUE</v>
      </c>
      <c r="M14" s="7" t="str">
        <f>IF(P14&lt;&gt;0,VLOOKUP($A14,[10]HISTOMAI24!$A$6:$BB$47,32,0),"ECHEC")</f>
        <v>ECHEC</v>
      </c>
      <c r="N14" s="7">
        <f>VLOOKUP($A14,[10]HISTOMAI24!$A$6:$BB$47,33,0)</f>
        <v>0</v>
      </c>
      <c r="O14" s="7">
        <f t="shared" si="0"/>
        <v>0</v>
      </c>
      <c r="P14" s="7">
        <f>VLOOKUP($A14,[10]HISTOMAI24!$A$6:$BB$47,31,0)</f>
        <v>0</v>
      </c>
    </row>
    <row r="15" spans="1:16" x14ac:dyDescent="0.35">
      <c r="A15" s="1" t="s">
        <v>43</v>
      </c>
      <c r="B15" s="7">
        <f>IF(D15=0,0,VLOOKUP($A15,[10]HISTOMAI24!$A$6:$BQ$47,14,0))</f>
        <v>1</v>
      </c>
      <c r="C15" s="1" t="str">
        <f>VLOOKUP(A15,[11]LISTADHERENT!A$5:H$60,3,0)</f>
        <v>NGUIEMEGNI MATHIEU BLAISE</v>
      </c>
      <c r="D15" s="7">
        <f>IF(E15="ECHEC",0,VLOOKUP($A15,[10]HISTOMAI24!$A$6:$BB$47,15,0))</f>
        <v>100000</v>
      </c>
      <c r="E15" s="7" t="str">
        <f>VLOOKUP($A15,[10]HISTOMAI24!$A$6:$BB$47,8,0)</f>
        <v>BANQUE</v>
      </c>
      <c r="F15" s="7">
        <f>VLOOKUP($A15,[10]HISTOMAI24!$A$6:$BB$47,37,0)</f>
        <v>0</v>
      </c>
      <c r="G15" s="7">
        <f>VLOOKUP($A15,[10]HISTOMAI24!$A$6:$BB$47,40,0)</f>
        <v>0</v>
      </c>
      <c r="H15" s="7" t="str">
        <f>IF(F15&lt;&gt;0,VLOOKUP($A15,[10]HISTOMAI24!$A$6:$BB$47,42,0),"ECHEC")</f>
        <v>ECHEC</v>
      </c>
      <c r="I15" s="7">
        <f>VLOOKUP($A15,[10]HISTOMAI24!$A$6:$BB$47,41,0)</f>
        <v>0</v>
      </c>
      <c r="J15" s="7">
        <f>TONTAVRIL24!F15+TONTAVRIL24!G15</f>
        <v>205500</v>
      </c>
      <c r="K15" s="7">
        <f>VLOOKUP($A15,[10]HISTOMAI24!$A$6:$BB$47,18,0)</f>
        <v>205500</v>
      </c>
      <c r="L15" s="7" t="str">
        <f>IF(K15&lt;&gt;0,VLOOKUP($A15,[10]HISTOMAI24!$A$6:$BB$47,42,0),"ECHEC")</f>
        <v>BANQUE</v>
      </c>
      <c r="M15" s="7" t="str">
        <f>IF(P15&lt;&gt;0,VLOOKUP($A15,[10]HISTOMAI24!$A$6:$BB$47,32,0),"ECHEC")</f>
        <v>ECHEC</v>
      </c>
      <c r="N15" s="7">
        <f>VLOOKUP($A15,[10]HISTOMAI24!$A$6:$BB$47,33,0)</f>
        <v>0</v>
      </c>
      <c r="O15" s="7">
        <f t="shared" si="0"/>
        <v>0</v>
      </c>
      <c r="P15" s="7">
        <f>VLOOKUP($A15,[10]HISTOMAI24!$A$6:$BB$47,31,0)</f>
        <v>0</v>
      </c>
    </row>
    <row r="16" spans="1:16" x14ac:dyDescent="0.35">
      <c r="A16" s="1" t="s">
        <v>54</v>
      </c>
      <c r="B16" s="7">
        <f>IF(D16=0,0,VLOOKUP($A16,[10]HISTOMAI24!$A$6:$BQ$47,14,0))</f>
        <v>2</v>
      </c>
      <c r="C16" s="1" t="str">
        <f>VLOOKUP(A16,[11]LISTADHERENT!A$5:H$60,3,0)</f>
        <v>SIME BRICE</v>
      </c>
      <c r="D16" s="7">
        <f>IF(E16="ECHEC",0,VLOOKUP($A16,[10]HISTOMAI24!$A$6:$BB$47,15,0))</f>
        <v>200000</v>
      </c>
      <c r="E16" s="7" t="str">
        <f>VLOOKUP($A16,[10]HISTOMAI24!$A$6:$BB$47,8,0)</f>
        <v>BANQUE</v>
      </c>
      <c r="F16" s="7">
        <f>VLOOKUP($A16,[10]HISTOMAI24!$A$6:$BB$47,37,0)</f>
        <v>0</v>
      </c>
      <c r="G16" s="7">
        <f>VLOOKUP($A16,[10]HISTOMAI24!$A$6:$BB$47,40,0)</f>
        <v>0</v>
      </c>
      <c r="H16" s="7" t="str">
        <f>IF(F16&lt;&gt;0,VLOOKUP($A16,[10]HISTOMAI24!$A$6:$BB$47,42,0),"ECHEC")</f>
        <v>ECHEC</v>
      </c>
      <c r="I16" s="7">
        <f>VLOOKUP($A16,[10]HISTOMAI24!$A$6:$BB$47,41,0)</f>
        <v>0</v>
      </c>
      <c r="J16" s="7">
        <f>TONTAVRIL24!F16+TONTAVRIL24!G16</f>
        <v>0</v>
      </c>
      <c r="K16" s="7">
        <f>VLOOKUP($A16,[10]HISTOMAI24!$A$6:$BB$47,18,0)</f>
        <v>0</v>
      </c>
      <c r="L16" s="7" t="str">
        <f>IF(K16&lt;&gt;0,VLOOKUP($A16,[10]HISTOMAI24!$A$6:$BB$47,42,0),"ECHEC")</f>
        <v>ECHEC</v>
      </c>
      <c r="M16" s="7" t="str">
        <f>IF(P16&lt;&gt;0,VLOOKUP($A16,[10]HISTOMAI24!$A$6:$BB$47,32,0),"ECHEC")</f>
        <v>ECHEC</v>
      </c>
      <c r="N16" s="7">
        <f>VLOOKUP($A16,[10]HISTOMAI24!$A$6:$BB$47,33,0)</f>
        <v>0</v>
      </c>
      <c r="O16" s="7">
        <f t="shared" si="0"/>
        <v>0</v>
      </c>
      <c r="P16" s="7">
        <f>VLOOKUP($A16,[10]HISTOMAI24!$A$6:$BB$47,31,0)</f>
        <v>0</v>
      </c>
    </row>
    <row r="17" spans="1:16" x14ac:dyDescent="0.35">
      <c r="A17" s="1" t="s">
        <v>55</v>
      </c>
      <c r="B17" s="7">
        <f>IF(D17=0,0,VLOOKUP($A17,[10]HISTOMAI24!$A$6:$BQ$47,14,0))</f>
        <v>1</v>
      </c>
      <c r="C17" s="1" t="str">
        <f>VLOOKUP(A17,[11]LISTADHERENT!A$5:H$60,3,0)</f>
        <v>TCHOUATEU AUGUSTIN</v>
      </c>
      <c r="D17" s="7">
        <f>IF(E17="ECHEC",0,VLOOKUP($A17,[10]HISTOMAI24!$A$6:$BB$47,15,0))</f>
        <v>100000</v>
      </c>
      <c r="E17" s="7" t="str">
        <f>VLOOKUP($A17,[10]HISTOMAI24!$A$6:$BB$47,8,0)</f>
        <v>BANQUE</v>
      </c>
      <c r="F17" s="7">
        <f>VLOOKUP($A17,[10]HISTOMAI24!$A$6:$BB$47,37,0)</f>
        <v>0</v>
      </c>
      <c r="G17" s="7">
        <f>VLOOKUP($A17,[10]HISTOMAI24!$A$6:$BB$47,40,0)</f>
        <v>0</v>
      </c>
      <c r="H17" s="7" t="str">
        <f>IF(F17&lt;&gt;0,VLOOKUP($A17,[10]HISTOMAI24!$A$6:$BB$47,42,0),"ECHEC")</f>
        <v>ECHEC</v>
      </c>
      <c r="I17" s="7">
        <f>VLOOKUP($A17,[10]HISTOMAI24!$A$6:$BB$47,41,0)</f>
        <v>0</v>
      </c>
      <c r="J17" s="7">
        <f>TONTAVRIL24!F17+TONTAVRIL24!G17</f>
        <v>0</v>
      </c>
      <c r="K17" s="7">
        <f>VLOOKUP($A17,[10]HISTOMAI24!$A$6:$BB$47,18,0)</f>
        <v>0</v>
      </c>
      <c r="L17" s="7" t="str">
        <f>IF(K17&lt;&gt;0,VLOOKUP($A17,[10]HISTOMAI24!$A$6:$BB$47,42,0),"ECHEC")</f>
        <v>ECHEC</v>
      </c>
      <c r="M17" s="7" t="str">
        <f>IF(P17&lt;&gt;0,VLOOKUP($A17,[10]HISTOMAI24!$A$6:$BB$47,32,0),"ECHEC")</f>
        <v>ECHEC</v>
      </c>
      <c r="N17" s="7">
        <f>VLOOKUP($A17,[10]HISTOMAI24!$A$6:$BB$47,33,0)</f>
        <v>0</v>
      </c>
      <c r="O17" s="7">
        <f t="shared" si="0"/>
        <v>0</v>
      </c>
      <c r="P17" s="7">
        <f>VLOOKUP($A17,[10]HISTOMAI24!$A$6:$BB$47,31,0)</f>
        <v>0</v>
      </c>
    </row>
    <row r="18" spans="1:16" x14ac:dyDescent="0.35">
      <c r="A18" s="1" t="s">
        <v>46</v>
      </c>
      <c r="B18" s="7">
        <f>IF(D18=0,0,VLOOKUP($A18,[10]HISTOMAI24!$A$6:$BQ$47,14,0))</f>
        <v>1</v>
      </c>
      <c r="C18" s="1" t="str">
        <f>VLOOKUP(A18,[11]LISTADHERENT!A$5:H$60,3,0)</f>
        <v>SIMO PIERRE</v>
      </c>
      <c r="D18" s="7">
        <f>IF(E18="ECHEC",0,VLOOKUP($A18,[10]HISTOMAI24!$A$6:$BB$47,15,0))</f>
        <v>100000</v>
      </c>
      <c r="E18" s="7" t="str">
        <f>VLOOKUP($A18,[10]HISTOMAI24!$A$6:$BB$47,8,0)</f>
        <v>BANQUE</v>
      </c>
      <c r="F18" s="7">
        <f>VLOOKUP($A18,[10]HISTOMAI24!$A$6:$BB$47,37,0)</f>
        <v>0</v>
      </c>
      <c r="G18" s="7">
        <f>VLOOKUP($A18,[10]HISTOMAI24!$A$6:$BB$47,40,0)</f>
        <v>0</v>
      </c>
      <c r="H18" s="7" t="str">
        <f>IF(F18&lt;&gt;0,VLOOKUP($A18,[10]HISTOMAI24!$A$6:$BB$47,42,0),"ECHEC")</f>
        <v>ECHEC</v>
      </c>
      <c r="I18" s="7">
        <f>VLOOKUP($A18,[10]HISTOMAI24!$A$6:$BB$47,41,0)</f>
        <v>0</v>
      </c>
      <c r="J18" s="7">
        <f>TONTAVRIL24!F18+TONTAVRIL24!G18</f>
        <v>0</v>
      </c>
      <c r="K18" s="7">
        <f>VLOOKUP($A18,[10]HISTOMAI24!$A$6:$BB$47,18,0)</f>
        <v>0</v>
      </c>
      <c r="L18" s="7" t="str">
        <f>IF(K18&lt;&gt;0,VLOOKUP($A18,[10]HISTOMAI24!$A$6:$BB$47,42,0),"ECHEC")</f>
        <v>ECHEC</v>
      </c>
      <c r="M18" s="7" t="str">
        <f>IF(P18&lt;&gt;0,VLOOKUP($A18,[10]HISTOMAI24!$A$6:$BB$47,32,0),"ECHEC")</f>
        <v>ECHEC</v>
      </c>
      <c r="N18" s="7">
        <f>VLOOKUP($A18,[10]HISTOMAI24!$A$6:$BB$47,33,0)</f>
        <v>0</v>
      </c>
      <c r="O18" s="7">
        <f t="shared" si="0"/>
        <v>0</v>
      </c>
      <c r="P18" s="7">
        <f>VLOOKUP($A18,[10]HISTOMAI24!$A$6:$BB$47,31,0)</f>
        <v>0</v>
      </c>
    </row>
    <row r="19" spans="1:16" x14ac:dyDescent="0.35">
      <c r="A19" s="1" t="s">
        <v>53</v>
      </c>
      <c r="B19" s="7">
        <f>IF(D19=0,0,VLOOKUP($A19,[10]HISTOMAI24!$A$6:$BQ$47,14,0))</f>
        <v>1</v>
      </c>
      <c r="C19" s="1" t="str">
        <f>VLOOKUP(A19,[11]LISTADHERENT!A$5:H$60,3,0)</f>
        <v>YIALA ALAIN OSCAR</v>
      </c>
      <c r="D19" s="7">
        <f>IF(E19="ECHEC",0,VLOOKUP($A19,[10]HISTOMAI24!$A$6:$BB$47,15,0))</f>
        <v>100000</v>
      </c>
      <c r="E19" s="7" t="str">
        <f>VLOOKUP($A19,[10]HISTOMAI24!$A$6:$BB$47,8,0)</f>
        <v>ESPECES</v>
      </c>
      <c r="F19" s="7">
        <f>VLOOKUP($A19,[10]HISTOMAI24!$A$6:$BB$47,37,0)</f>
        <v>0</v>
      </c>
      <c r="G19" s="7">
        <f>VLOOKUP($A19,[10]HISTOMAI24!$A$6:$BB$47,40,0)</f>
        <v>0</v>
      </c>
      <c r="H19" s="7" t="str">
        <f>IF(F19&lt;&gt;0,VLOOKUP($A19,[10]HISTOMAI24!$A$6:$BB$47,42,0),"ECHEC")</f>
        <v>ECHEC</v>
      </c>
      <c r="I19" s="7">
        <f>VLOOKUP($A19,[10]HISTOMAI24!$A$6:$BB$47,41,0)</f>
        <v>0</v>
      </c>
      <c r="J19" s="7">
        <f>TONTAVRIL24!F19+TONTAVRIL24!G19</f>
        <v>0</v>
      </c>
      <c r="K19" s="7">
        <f>VLOOKUP($A19,[10]HISTOMAI24!$A$6:$BB$47,18,0)</f>
        <v>0</v>
      </c>
      <c r="L19" s="7" t="str">
        <f>IF(K19&lt;&gt;0,VLOOKUP($A19,[10]HISTOMAI24!$A$6:$BB$47,42,0),"ECHEC")</f>
        <v>ECHEC</v>
      </c>
      <c r="M19" s="7" t="str">
        <f>IF(P19&lt;&gt;0,VLOOKUP($A19,[10]HISTOMAI24!$A$6:$BB$47,32,0),"ECHEC")</f>
        <v>ECHEC</v>
      </c>
      <c r="N19" s="7">
        <f>VLOOKUP($A19,[10]HISTOMAI24!$A$6:$BB$47,33,0)</f>
        <v>0</v>
      </c>
      <c r="O19" s="7">
        <f t="shared" si="0"/>
        <v>0</v>
      </c>
      <c r="P19" s="7">
        <f>VLOOKUP($A19,[10]HISTOMAI24!$A$6:$BB$47,31,0)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103000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585500</v>
      </c>
      <c r="K22" s="8">
        <f t="shared" si="1"/>
        <v>482500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1190000</v>
      </c>
      <c r="P22" s="8">
        <f t="shared" si="1"/>
        <v>10000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D28+E28+P22+TONTAVRIL24!N29</f>
        <v>2292000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1200000</v>
      </c>
      <c r="M25" s="8">
        <f>D3</f>
        <v>1</v>
      </c>
      <c r="N25" s="8">
        <f>COUNTIF(O8:O19,"&gt;0")</f>
        <v>1</v>
      </c>
      <c r="O25" s="8"/>
    </row>
    <row r="26" spans="1:16" s="2" customFormat="1" ht="17.5" x14ac:dyDescent="0.35">
      <c r="C26" s="8" t="s">
        <v>7</v>
      </c>
      <c r="D26" s="8">
        <f>SUMIFS(D6:D20,E6:E20,"BANQUE")</f>
        <v>1700000</v>
      </c>
      <c r="E26" s="8">
        <f>SUMIFS(K6:K20,L6:L20,"BANQUE")</f>
        <v>482500</v>
      </c>
      <c r="F26" s="8">
        <f>SUMIFS(F6:F20,H6:H20,"BANQUE")</f>
        <v>103000</v>
      </c>
      <c r="G26" s="8">
        <f>SUMIFS(O6:O20,M6:M20,"BANQUE")</f>
        <v>1190000</v>
      </c>
      <c r="H26" s="8">
        <f>D26+E26-F26-G26</f>
        <v>889500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1092000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482500</v>
      </c>
      <c r="F28" s="8">
        <f>F25+F26</f>
        <v>103000</v>
      </c>
      <c r="G28" s="8">
        <f t="shared" ref="G28:H28" si="2">G25+G26</f>
        <v>1190000</v>
      </c>
      <c r="H28" s="8">
        <f t="shared" si="2"/>
        <v>989500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L27-F22+103000</f>
        <v>1092000</v>
      </c>
      <c r="M29"/>
      <c r="N29" s="8">
        <f>L29</f>
        <v>1092000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103000</v>
      </c>
      <c r="N32" s="8">
        <f>L32</f>
        <v>103000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5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4"/>
  <sheetViews>
    <sheetView workbookViewId="0">
      <pane xSplit="3" ySplit="5" topLeftCell="F12" activePane="bottomRight" state="frozen"/>
      <selection activeCell="G6" sqref="G6:G39"/>
      <selection pane="topRight" activeCell="G6" sqref="G6:G39"/>
      <selection pane="bottomLeft" activeCell="G6" sqref="G6:G39"/>
      <selection pane="bottomRight" activeCell="L27" sqref="L27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7.5" x14ac:dyDescent="0.35">
      <c r="B4" s="13"/>
      <c r="C4" s="37">
        <v>45456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IF(D6=0,0,VLOOKUP($A6,[10]HISTOJUIN24!$A$6:$BQ$47,14,0))</f>
        <v>1</v>
      </c>
      <c r="C6" s="1" t="str">
        <f>VLOOKUP(A6,[11]LISTADHERENT!A$5:H$60,3,0)</f>
        <v>ASELBY</v>
      </c>
      <c r="D6" s="7">
        <f>IF(E6="ECHEC",0,VLOOKUP($A6,[10]HISTOJUIN24!$A$6:$BB$47,15,0))</f>
        <v>100000</v>
      </c>
      <c r="E6" s="7" t="str">
        <f>VLOOKUP($A6,[10]HISTOJUIN24!$A$6:$BB$47,8,0)</f>
        <v>BANQUE</v>
      </c>
      <c r="F6" s="7">
        <f>VLOOKUP($A6,[10]HISTOJUIN24!$A$6:$BB$47,37,0)</f>
        <v>0</v>
      </c>
      <c r="G6" s="7">
        <f>VLOOKUP($A6,[10]HISTOJUIN24!$A$6:$BB$47,40,0)</f>
        <v>0</v>
      </c>
      <c r="H6" s="7" t="str">
        <f>IF(F6&lt;&gt;0,VLOOKUP($A6,[10]HISTOJUIN24!$A$6:$BB$47,42,0),"ECHEC")</f>
        <v>ECHEC</v>
      </c>
      <c r="I6" s="7">
        <f>VLOOKUP($A6,[10]HISTOJUIN24!$A$6:$BB$47,41,0)</f>
        <v>0</v>
      </c>
      <c r="J6" s="7">
        <f>TONTMAI24!F6+TONTMAI24!G6</f>
        <v>0</v>
      </c>
      <c r="K6" s="7">
        <f>VLOOKUP($A6,[10]HISTOJUIN24!$A$6:$BB$47,18,0)</f>
        <v>0</v>
      </c>
      <c r="L6" s="7" t="str">
        <f>IF(K6&lt;&gt;0,VLOOKUP($A6,[10]HISTOJUIN24!$A$6:$BB$47,42,0),"ECHEC")</f>
        <v>ECHEC</v>
      </c>
      <c r="M6" s="7" t="str">
        <f>IF(P6&lt;&gt;0,VLOOKUP($A6,[10]HISTOJUIN24!$A$6:$BB$47,32,0),"ECHEC")</f>
        <v>ECHEC</v>
      </c>
      <c r="N6" s="7">
        <f>VLOOKUP($A6,[10]HISTOJUIN24!$A$6:$BB$47,33,0)</f>
        <v>0</v>
      </c>
      <c r="O6" s="7">
        <f t="shared" ref="O6:O19" si="0">IF(P6=0,0,($C$3-P6))</f>
        <v>0</v>
      </c>
      <c r="P6" s="7">
        <f>VLOOKUP($A6,[10]HISTOJUIN24!$A$6:$BB$47,31,0)</f>
        <v>0</v>
      </c>
    </row>
    <row r="7" spans="1:16" x14ac:dyDescent="0.35">
      <c r="A7" s="1" t="s">
        <v>47</v>
      </c>
      <c r="B7" s="7">
        <f>IF(D7=0,0,VLOOKUP($A7,[10]HISTOJUIN24!$A$6:$BQ$47,14,0))</f>
        <v>2</v>
      </c>
      <c r="C7" s="1" t="str">
        <f>VLOOKUP(A7,[11]LISTADHERENT!A$5:H$60,3,0)</f>
        <v xml:space="preserve">DJOMO JEAN PAUL </v>
      </c>
      <c r="D7" s="7">
        <f>IF(E7="ECHEC",0,VLOOKUP($A7,[10]HISTOJUIN24!$A$6:$BB$47,15,0))</f>
        <v>200000</v>
      </c>
      <c r="E7" s="7" t="str">
        <f>VLOOKUP($A7,[10]HISTOJUIN24!$A$6:$BB$47,8,0)</f>
        <v>BANQUE</v>
      </c>
      <c r="F7" s="7">
        <f>VLOOKUP($A7,[10]HISTOJUIN24!$A$6:$BB$47,37,0)</f>
        <v>0</v>
      </c>
      <c r="G7" s="7">
        <f>VLOOKUP($A7,[10]HISTOJUIN24!$A$6:$BB$47,40,0)</f>
        <v>0</v>
      </c>
      <c r="H7" s="7" t="str">
        <f>IF(F7&lt;&gt;0,VLOOKUP($A7,[10]HISTOJUIN24!$A$6:$BB$47,42,0),"ECHEC")</f>
        <v>ECHEC</v>
      </c>
      <c r="I7" s="7">
        <f>VLOOKUP($A7,[10]HISTOJUIN24!$A$6:$BB$47,41,0)</f>
        <v>0</v>
      </c>
      <c r="J7" s="7">
        <f>TONTMAI24!F7+TONTMAI24!G7</f>
        <v>0</v>
      </c>
      <c r="K7" s="7">
        <f>VLOOKUP($A7,[10]HISTOJUIN24!$A$6:$BB$47,18,0)</f>
        <v>0</v>
      </c>
      <c r="L7" s="7" t="str">
        <f>IF(K7&lt;&gt;0,VLOOKUP($A7,[10]HISTOJUIN24!$A$6:$BB$47,42,0),"ECHEC")</f>
        <v>ECHEC</v>
      </c>
      <c r="M7" s="7" t="str">
        <f>IF(P7&lt;&gt;0,VLOOKUP($A7,[10]HISTOJUIN24!$A$6:$BB$47,32,0),"ECHEC")</f>
        <v>ECHEC</v>
      </c>
      <c r="N7" s="7">
        <f>VLOOKUP($A7,[10]HISTOJUIN24!$A$6:$BB$47,33,0)</f>
        <v>0</v>
      </c>
      <c r="O7" s="7">
        <f t="shared" si="0"/>
        <v>0</v>
      </c>
      <c r="P7" s="7">
        <f>VLOOKUP($A7,[10]HISTOJUIN24!$A$6:$BB$47,31,0)</f>
        <v>0</v>
      </c>
    </row>
    <row r="8" spans="1:16" x14ac:dyDescent="0.35">
      <c r="A8" s="1" t="s">
        <v>20</v>
      </c>
      <c r="B8" s="7">
        <f>IF(D8=0,0,VLOOKUP($A8,[10]HISTOJUIN24!$A$6:$BQ$47,14,0))</f>
        <v>2</v>
      </c>
      <c r="C8" s="1" t="str">
        <f>VLOOKUP(A8,[11]LISTADHERENT!A$5:H$60,3,0)</f>
        <v>DJUOMBESSY ANTOINE</v>
      </c>
      <c r="D8" s="7">
        <f>IF(E8="ECHEC",0,VLOOKUP($A8,[10]HISTOJUIN24!$A$6:$BB$47,15,0))</f>
        <v>200000</v>
      </c>
      <c r="E8" s="7" t="str">
        <f>VLOOKUP($A8,[10]HISTOJUIN24!$A$6:$BB$47,8,0)</f>
        <v>BANQUE</v>
      </c>
      <c r="F8" s="7">
        <f>VLOOKUP($A8,[10]HISTOJUIN24!$A$6:$BB$47,37,0)</f>
        <v>0</v>
      </c>
      <c r="G8" s="7">
        <f>VLOOKUP($A8,[10]HISTOJUIN24!$A$6:$BB$47,40,0)</f>
        <v>0</v>
      </c>
      <c r="H8" s="7" t="str">
        <f>IF(F8&lt;&gt;0,VLOOKUP($A8,[10]HISTOJUIN24!$A$6:$BB$47,42,0),"ECHEC")</f>
        <v>ECHEC</v>
      </c>
      <c r="I8" s="7">
        <f>VLOOKUP($A8,[10]HISTOJUIN24!$A$6:$BB$47,41,0)</f>
        <v>0</v>
      </c>
      <c r="J8" s="7">
        <f>TONTMAI24!F8+TONTMAI24!G8</f>
        <v>0</v>
      </c>
      <c r="K8" s="7">
        <f>VLOOKUP($A8,[10]HISTOJUIN24!$A$6:$BB$47,18,0)</f>
        <v>0</v>
      </c>
      <c r="L8" s="7" t="str">
        <f>IF(K8&lt;&gt;0,VLOOKUP($A8,[10]HISTOJUIN24!$A$6:$BB$47,42,0),"ECHEC")</f>
        <v>ECHEC</v>
      </c>
      <c r="M8" s="7" t="str">
        <f>IF(P8&lt;&gt;0,VLOOKUP($A8,[10]HISTOJUIN24!$A$6:$BB$47,32,0),"ECHEC")</f>
        <v>ECHEC</v>
      </c>
      <c r="N8" s="7">
        <f>VLOOKUP($A8,[10]HISTOJUIN24!$A$6:$BB$47,33,0)</f>
        <v>0</v>
      </c>
      <c r="O8" s="7">
        <f t="shared" si="0"/>
        <v>0</v>
      </c>
      <c r="P8" s="7">
        <f>VLOOKUP($A8,[10]HISTOJUIN24!$A$6:$BB$47,31,0)</f>
        <v>0</v>
      </c>
    </row>
    <row r="9" spans="1:16" x14ac:dyDescent="0.35">
      <c r="A9" s="1" t="s">
        <v>21</v>
      </c>
      <c r="B9" s="7">
        <f>IF(D9=0,0,VLOOKUP($A9,[10]HISTOJUIN24!$A$6:$BQ$47,14,0))</f>
        <v>1</v>
      </c>
      <c r="C9" s="1" t="str">
        <f>VLOOKUP(A9,[11]LISTADHERENT!A$5:H$60,3,0)</f>
        <v>HOTCHO BENJAMIN</v>
      </c>
      <c r="D9" s="7">
        <f>IF(E9="ECHEC",0,VLOOKUP($A9,[10]HISTOJUIN24!$A$6:$BB$47,15,0))</f>
        <v>100000</v>
      </c>
      <c r="E9" s="7" t="str">
        <f>VLOOKUP($A9,[10]HISTOJUIN24!$A$6:$BB$47,8,0)</f>
        <v>BANQUE</v>
      </c>
      <c r="F9" s="7">
        <f>VLOOKUP($A9,[10]HISTOJUIN24!$A$6:$BB$47,37,0)</f>
        <v>0</v>
      </c>
      <c r="G9" s="7">
        <f>VLOOKUP($A9,[10]HISTOJUIN24!$A$6:$BB$47,40,0)</f>
        <v>0</v>
      </c>
      <c r="H9" s="7" t="str">
        <f>IF(F9&lt;&gt;0,VLOOKUP($A9,[10]HISTOJUIN24!$A$6:$BB$47,42,0),"ECHEC")</f>
        <v>ECHEC</v>
      </c>
      <c r="I9" s="7">
        <f>VLOOKUP($A9,[10]HISTOJUIN24!$A$6:$BB$47,41,0)</f>
        <v>0</v>
      </c>
      <c r="J9" s="7">
        <f>TONTMAI24!F9+TONTMAI24!G9</f>
        <v>0</v>
      </c>
      <c r="K9" s="7">
        <f>VLOOKUP($A9,[10]HISTOJUIN24!$A$6:$BB$47,18,0)</f>
        <v>0</v>
      </c>
      <c r="L9" s="7" t="str">
        <f>IF(K9&lt;&gt;0,VLOOKUP($A9,[10]HISTOJUIN24!$A$6:$BB$47,42,0),"ECHEC")</f>
        <v>ECHEC</v>
      </c>
      <c r="M9" s="7" t="str">
        <f>IF(P9&lt;&gt;0,VLOOKUP($A9,[10]HISTOJUIN24!$A$6:$BB$47,32,0),"ECHEC")</f>
        <v>ECHEC</v>
      </c>
      <c r="N9" s="7">
        <f>VLOOKUP($A9,[10]HISTOJUIN24!$A$6:$BB$47,33,0)</f>
        <v>0</v>
      </c>
      <c r="O9" s="7">
        <f t="shared" si="0"/>
        <v>0</v>
      </c>
      <c r="P9" s="7">
        <f>VLOOKUP($A9,[10]HISTOJUIN24!$A$6:$BB$47,31,0)</f>
        <v>0</v>
      </c>
    </row>
    <row r="10" spans="1:16" x14ac:dyDescent="0.35">
      <c r="A10" s="1" t="s">
        <v>26</v>
      </c>
      <c r="B10" s="7">
        <f>IF(D10=0,0,VLOOKUP($A10,[10]HISTOJUIN24!$A$6:$BQ$47,14,0))</f>
        <v>1</v>
      </c>
      <c r="C10" s="1" t="str">
        <f>VLOOKUP(A10,[11]LISTADHERENT!A$5:H$60,3,0)</f>
        <v>KOUAMOU MOISE</v>
      </c>
      <c r="D10" s="7">
        <f>IF(E10="ECHEC",0,VLOOKUP($A10,[10]HISTOJUIN24!$A$6:$BB$47,15,0))</f>
        <v>100000</v>
      </c>
      <c r="E10" s="7" t="str">
        <f>VLOOKUP($A10,[10]HISTOJUIN24!$A$6:$BB$47,8,0)</f>
        <v>BANQUE</v>
      </c>
      <c r="F10" s="7">
        <f>VLOOKUP($A10,[10]HISTOJUIN24!$A$6:$BB$47,37,0)</f>
        <v>100000</v>
      </c>
      <c r="G10" s="7">
        <f>VLOOKUP($A10,[10]HISTOJUIN24!$A$6:$BB$47,40,0)</f>
        <v>1000</v>
      </c>
      <c r="H10" s="7" t="str">
        <f>IF(F10&lt;&gt;0,VLOOKUP($A10,[10]HISTOJUIN24!$A$6:$BB$47,42,0),"ECHEC")</f>
        <v>BANQUE</v>
      </c>
      <c r="I10" s="7">
        <f>VLOOKUP($A10,[10]HISTOJUIN24!$A$6:$BB$47,41,0)</f>
        <v>0</v>
      </c>
      <c r="J10" s="7">
        <f>TONTMAI24!F10+TONTMAI24!G10</f>
        <v>0</v>
      </c>
      <c r="K10" s="7">
        <f>VLOOKUP($A10,[10]HISTOJUIN24!$A$6:$BB$47,18,0)</f>
        <v>0</v>
      </c>
      <c r="L10" s="7" t="str">
        <f>IF(K10&lt;&gt;0,VLOOKUP($A10,[10]HISTOJUIN24!$A$6:$BB$47,42,0),"ECHEC")</f>
        <v>ECHEC</v>
      </c>
      <c r="M10" s="7" t="str">
        <f>IF(P10&lt;&gt;0,VLOOKUP($A10,[10]HISTOJUIN24!$A$6:$BB$47,32,0),"ECHEC")</f>
        <v>ECHEC</v>
      </c>
      <c r="N10" s="7">
        <f>VLOOKUP($A10,[10]HISTOJUIN24!$A$6:$BB$47,33,0)</f>
        <v>0</v>
      </c>
      <c r="O10" s="7">
        <f t="shared" si="0"/>
        <v>0</v>
      </c>
      <c r="P10" s="7">
        <f>VLOOKUP($A10,[10]HISTOJUIN24!$A$6:$BB$47,31,0)</f>
        <v>0</v>
      </c>
    </row>
    <row r="11" spans="1:16" x14ac:dyDescent="0.35">
      <c r="A11" s="1" t="s">
        <v>8</v>
      </c>
      <c r="B11" s="7">
        <f>IF(D11=0,0,VLOOKUP($A11,[10]HISTOJUIN24!$A$6:$BQ$47,14,0))</f>
        <v>1</v>
      </c>
      <c r="C11" s="1" t="str">
        <f>VLOOKUP(A11,[11]LISTADHERENT!A$5:H$60,3,0)</f>
        <v>KOUATCHO MESSACK</v>
      </c>
      <c r="D11" s="7">
        <f>IF(E11="ECHEC",0,VLOOKUP($A11,[10]HISTOJUIN24!$A$6:$BB$47,15,0))</f>
        <v>100000</v>
      </c>
      <c r="E11" s="7" t="str">
        <f>VLOOKUP($A11,[10]HISTOJUIN24!$A$6:$BB$47,8,0)</f>
        <v>BANQUE</v>
      </c>
      <c r="F11" s="7">
        <f>VLOOKUP($A11,[10]HISTOJUIN24!$A$6:$BB$47,37,0)</f>
        <v>0</v>
      </c>
      <c r="G11" s="7">
        <f>VLOOKUP($A11,[10]HISTOJUIN24!$A$6:$BB$47,40,0)</f>
        <v>0</v>
      </c>
      <c r="H11" s="7" t="str">
        <f>IF(F11&lt;&gt;0,VLOOKUP($A11,[10]HISTOJUIN24!$A$6:$BB$47,42,0),"ECHEC")</f>
        <v>ECHEC</v>
      </c>
      <c r="I11" s="7">
        <f>VLOOKUP($A11,[10]HISTOJUIN24!$A$6:$BB$47,41,0)</f>
        <v>0</v>
      </c>
      <c r="J11" s="7">
        <f>TONTMAI24!F11+TONTMAI24!G11</f>
        <v>0</v>
      </c>
      <c r="K11" s="7">
        <f>VLOOKUP($A11,[10]HISTOJUIN24!$A$6:$BB$47,18,0)</f>
        <v>0</v>
      </c>
      <c r="L11" s="7" t="str">
        <f>IF(K11&lt;&gt;0,VLOOKUP($A11,[10]HISTOJUIN24!$A$6:$BB$47,42,0),"ECHEC")</f>
        <v>ECHEC</v>
      </c>
      <c r="M11" s="7" t="str">
        <f>IF(P11&lt;&gt;0,VLOOKUP($A11,[10]HISTOJUIN24!$A$6:$BB$47,32,0),"ECHEC")</f>
        <v>ECHEC</v>
      </c>
      <c r="N11" s="7">
        <f>VLOOKUP($A11,[10]HISTOJUIN24!$A$6:$BB$47,33,0)</f>
        <v>0</v>
      </c>
      <c r="O11" s="7">
        <f t="shared" si="0"/>
        <v>0</v>
      </c>
      <c r="P11" s="7">
        <f>VLOOKUP($A11,[10]HISTOJUIN24!$A$6:$BB$47,31,0)</f>
        <v>0</v>
      </c>
    </row>
    <row r="12" spans="1:16" x14ac:dyDescent="0.35">
      <c r="A12" s="1" t="s">
        <v>22</v>
      </c>
      <c r="B12" s="7">
        <f>IF(D12=0,0,VLOOKUP($A12,[10]HISTOJUIN24!$A$6:$BQ$47,14,0))</f>
        <v>1</v>
      </c>
      <c r="C12" s="1" t="str">
        <f>VLOOKUP(A12,[11]LISTADHERENT!A$5:H$60,3,0)</f>
        <v>MBOGNING TUGMA GUY</v>
      </c>
      <c r="D12" s="7">
        <f>IF(E12="ECHEC",0,VLOOKUP($A12,[10]HISTOJUIN24!$A$6:$BB$47,15,0))</f>
        <v>100000</v>
      </c>
      <c r="E12" s="7" t="str">
        <f>VLOOKUP($A12,[10]HISTOJUIN24!$A$6:$BB$47,8,0)</f>
        <v>BANQUE</v>
      </c>
      <c r="F12" s="7">
        <f>VLOOKUP($A12,[10]HISTOJUIN24!$A$6:$BB$47,37,0)</f>
        <v>100000</v>
      </c>
      <c r="G12" s="7">
        <f>VLOOKUP($A12,[10]HISTOJUIN24!$A$6:$BB$47,40,0)</f>
        <v>1000</v>
      </c>
      <c r="H12" s="7" t="str">
        <f>IF(F12&lt;&gt;0,VLOOKUP($A12,[10]HISTOJUIN24!$A$6:$BB$47,42,0),"ECHEC")</f>
        <v>BANQUE</v>
      </c>
      <c r="I12" s="7">
        <f>VLOOKUP($A12,[10]HISTOJUIN24!$A$6:$BB$47,41,0)</f>
        <v>0</v>
      </c>
      <c r="J12" s="7">
        <f>TONTMAI24!F12+TONTMAI24!G12</f>
        <v>0</v>
      </c>
      <c r="K12" s="7">
        <f>VLOOKUP($A12,[10]HISTOJUIN24!$A$6:$BB$47,18,0)</f>
        <v>0</v>
      </c>
      <c r="L12" s="7" t="str">
        <f>IF(K12&lt;&gt;0,VLOOKUP($A12,[10]HISTOJUIN24!$A$6:$BB$47,42,0),"ECHEC")</f>
        <v>ECHEC</v>
      </c>
      <c r="M12" s="7" t="str">
        <f>IF(P12&lt;&gt;0,VLOOKUP($A12,[10]HISTOJUIN24!$A$6:$BB$47,32,0),"ECHEC")</f>
        <v>ECHEC</v>
      </c>
      <c r="N12" s="7">
        <f>VLOOKUP($A12,[10]HISTOJUIN24!$A$6:$BB$47,33,0)</f>
        <v>0</v>
      </c>
      <c r="O12" s="7">
        <f t="shared" si="0"/>
        <v>0</v>
      </c>
      <c r="P12" s="7">
        <f>VLOOKUP($A12,[10]HISTOJUIN24!$A$6:$BB$47,31,0)</f>
        <v>0</v>
      </c>
    </row>
    <row r="13" spans="1:16" x14ac:dyDescent="0.35">
      <c r="A13" s="1" t="s">
        <v>9</v>
      </c>
      <c r="B13" s="7">
        <f>IF(D13=0,0,VLOOKUP($A13,[10]HISTOJUIN24!$A$6:$BQ$47,14,0))</f>
        <v>2</v>
      </c>
      <c r="C13" s="1" t="str">
        <f>VLOOKUP(A13,[11]LISTADHERENT!A$5:H$60,3,0)</f>
        <v>NDJOMO ETIENNE</v>
      </c>
      <c r="D13" s="7">
        <f>IF(E13="ECHEC",0,VLOOKUP($A13,[10]HISTOJUIN24!$A$6:$BB$47,15,0))</f>
        <v>200000</v>
      </c>
      <c r="E13" s="7" t="str">
        <f>VLOOKUP($A13,[10]HISTOJUIN24!$A$6:$BB$47,8,0)</f>
        <v>BANQUE</v>
      </c>
      <c r="F13" s="7">
        <f>VLOOKUP($A13,[10]HISTOJUIN24!$A$6:$BB$47,37,0)</f>
        <v>200000</v>
      </c>
      <c r="G13" s="7">
        <f>VLOOKUP($A13,[10]HISTOJUIN24!$A$6:$BB$47,40,0)</f>
        <v>2000</v>
      </c>
      <c r="H13" s="7" t="str">
        <f>IF(F13&lt;&gt;0,VLOOKUP($A13,[10]HISTOJUIN24!$A$6:$BB$47,42,0),"ECHEC")</f>
        <v>BANQUE</v>
      </c>
      <c r="I13" s="7">
        <f>VLOOKUP($A13,[10]HISTOJUIN24!$A$6:$BB$47,41,0)</f>
        <v>0</v>
      </c>
      <c r="J13" s="7">
        <f>TONTMAI24!F13+TONTMAI24!G13</f>
        <v>0</v>
      </c>
      <c r="K13" s="7">
        <f>VLOOKUP($A13,[10]HISTOJUIN24!$A$6:$BB$47,18,0)</f>
        <v>0</v>
      </c>
      <c r="L13" s="7" t="str">
        <f>IF(K13&lt;&gt;0,VLOOKUP($A13,[10]HISTOJUIN24!$A$6:$BB$47,42,0),"ECHEC")</f>
        <v>ECHEC</v>
      </c>
      <c r="M13" s="7" t="str">
        <f>IF(P13&lt;&gt;0,VLOOKUP($A13,[10]HISTOJUIN24!$A$6:$BB$47,32,0),"ECHEC")</f>
        <v>ECHEC</v>
      </c>
      <c r="N13" s="7">
        <f>VLOOKUP($A13,[10]HISTOJUIN24!$A$6:$BB$47,33,0)</f>
        <v>0</v>
      </c>
      <c r="O13" s="7">
        <f t="shared" si="0"/>
        <v>0</v>
      </c>
      <c r="P13" s="7">
        <f>VLOOKUP($A13,[10]HISTOJUIN24!$A$6:$BB$47,31,0)</f>
        <v>0</v>
      </c>
    </row>
    <row r="14" spans="1:16" x14ac:dyDescent="0.35">
      <c r="A14" s="1" t="s">
        <v>10</v>
      </c>
      <c r="B14" s="7">
        <f>IF(D14=0,0,VLOOKUP($A14,[10]HISTOJUIN24!$A$6:$BQ$47,14,0))</f>
        <v>1</v>
      </c>
      <c r="C14" s="1" t="str">
        <f>VLOOKUP(A14,[11]LISTADHERENT!A$5:H$60,3,0)</f>
        <v>NGONDIEP CLAUDE</v>
      </c>
      <c r="D14" s="7">
        <f>IF(E14="ECHEC",0,VLOOKUP($A14,[10]HISTOJUIN24!$A$6:$BB$47,15,0))</f>
        <v>100000</v>
      </c>
      <c r="E14" s="7" t="str">
        <f>VLOOKUP($A14,[10]HISTOJUIN24!$A$6:$BB$47,8,0)</f>
        <v>BANQUE</v>
      </c>
      <c r="F14" s="7">
        <f>VLOOKUP($A14,[10]HISTOJUIN24!$A$6:$BB$47,37,0)</f>
        <v>100000</v>
      </c>
      <c r="G14" s="7">
        <f>VLOOKUP($A14,[10]HISTOJUIN24!$A$6:$BB$47,40,0)</f>
        <v>2000</v>
      </c>
      <c r="H14" s="7" t="str">
        <f>IF(F14&lt;&gt;0,VLOOKUP($A14,[10]HISTOJUIN24!$A$6:$BB$47,42,0),"ECHEC")</f>
        <v>BANQUE</v>
      </c>
      <c r="I14" s="7">
        <f>VLOOKUP($A14,[10]HISTOJUIN24!$A$6:$BB$47,41,0)</f>
        <v>0</v>
      </c>
      <c r="J14" s="7">
        <f>TONTMAI24!F14+TONTMAI24!G14</f>
        <v>103000</v>
      </c>
      <c r="K14" s="7">
        <f>VLOOKUP($A14,[10]HISTOJUIN24!$A$6:$BB$47,18,0)</f>
        <v>103000</v>
      </c>
      <c r="L14" s="7" t="str">
        <f>IF(K14&lt;&gt;0,VLOOKUP($A14,[10]HISTOJUIN24!$A$6:$BB$47,42,0),"ECHEC")</f>
        <v>BANQUE</v>
      </c>
      <c r="M14" s="7" t="str">
        <f>IF(P14&lt;&gt;0,VLOOKUP($A14,[10]HISTOJUIN24!$A$6:$BB$47,32,0),"ECHEC")</f>
        <v>BANQUE</v>
      </c>
      <c r="N14" s="7">
        <f>VLOOKUP($A14,[10]HISTOJUIN24!$A$6:$BB$47,33,0)</f>
        <v>0</v>
      </c>
      <c r="O14" s="7">
        <f t="shared" si="0"/>
        <v>1185000</v>
      </c>
      <c r="P14" s="7">
        <f>VLOOKUP($A14,[10]HISTOJUIN24!$A$6:$BB$47,31,0)</f>
        <v>15000</v>
      </c>
    </row>
    <row r="15" spans="1:16" x14ac:dyDescent="0.35">
      <c r="A15" s="1" t="s">
        <v>43</v>
      </c>
      <c r="B15" s="7">
        <f>IF(D15=0,0,VLOOKUP($A15,[10]HISTOJUIN24!$A$6:$BQ$47,14,0))</f>
        <v>1</v>
      </c>
      <c r="C15" s="1" t="str">
        <f>VLOOKUP(A15,[11]LISTADHERENT!A$5:H$60,3,0)</f>
        <v>NGUIEMEGNI MATHIEU BLAISE</v>
      </c>
      <c r="D15" s="7">
        <f>IF(E15="ECHEC",0,VLOOKUP($A15,[10]HISTOJUIN24!$A$6:$BB$47,15,0))</f>
        <v>100000</v>
      </c>
      <c r="E15" s="7" t="str">
        <f>VLOOKUP($A15,[10]HISTOJUIN24!$A$6:$BB$47,8,0)</f>
        <v>BANQUE</v>
      </c>
      <c r="F15" s="7">
        <f>VLOOKUP($A15,[10]HISTOJUIN24!$A$6:$BB$47,37,0)</f>
        <v>0</v>
      </c>
      <c r="G15" s="7">
        <f>VLOOKUP($A15,[10]HISTOJUIN24!$A$6:$BB$47,40,0)</f>
        <v>0</v>
      </c>
      <c r="H15" s="7" t="str">
        <f>IF(F15&lt;&gt;0,VLOOKUP($A15,[10]HISTOJUIN24!$A$6:$BB$47,42,0),"ECHEC")</f>
        <v>ECHEC</v>
      </c>
      <c r="I15" s="7">
        <f>VLOOKUP($A15,[10]HISTOJUIN24!$A$6:$BB$47,41,0)</f>
        <v>0</v>
      </c>
      <c r="J15" s="7">
        <f>TONTMAI24!F15+TONTMAI24!G15</f>
        <v>0</v>
      </c>
      <c r="K15" s="7">
        <f>VLOOKUP($A15,[10]HISTOJUIN24!$A$6:$BB$47,18,0)</f>
        <v>0</v>
      </c>
      <c r="L15" s="7" t="str">
        <f>IF(K15&lt;&gt;0,VLOOKUP($A15,[10]HISTOJUIN24!$A$6:$BB$47,42,0),"ECHEC")</f>
        <v>ECHEC</v>
      </c>
      <c r="M15" s="7" t="str">
        <f>IF(P15&lt;&gt;0,VLOOKUP($A15,[10]HISTOJUIN24!$A$6:$BB$47,32,0),"ECHEC")</f>
        <v>ECHEC</v>
      </c>
      <c r="N15" s="7">
        <f>VLOOKUP($A15,[10]HISTOJUIN24!$A$6:$BB$47,33,0)</f>
        <v>0</v>
      </c>
      <c r="O15" s="7">
        <f t="shared" si="0"/>
        <v>0</v>
      </c>
      <c r="P15" s="7">
        <f>VLOOKUP($A15,[10]HISTOJUIN24!$A$6:$BB$47,31,0)</f>
        <v>0</v>
      </c>
    </row>
    <row r="16" spans="1:16" x14ac:dyDescent="0.35">
      <c r="A16" s="1" t="s">
        <v>54</v>
      </c>
      <c r="B16" s="7">
        <f>IF(D16=0,0,VLOOKUP($A16,[10]HISTOJUIN24!$A$6:$BQ$47,14,0))</f>
        <v>2</v>
      </c>
      <c r="C16" s="1" t="str">
        <f>VLOOKUP(A16,[11]LISTADHERENT!A$5:H$60,3,0)</f>
        <v>SIME BRICE</v>
      </c>
      <c r="D16" s="7">
        <f>IF(E16="ECHEC",0,VLOOKUP($A16,[10]HISTOJUIN24!$A$6:$BB$47,15,0))</f>
        <v>200000</v>
      </c>
      <c r="E16" s="7" t="str">
        <f>VLOOKUP($A16,[10]HISTOJUIN24!$A$6:$BB$47,8,0)</f>
        <v>BANQUE</v>
      </c>
      <c r="F16" s="7">
        <f>VLOOKUP($A16,[10]HISTOJUIN24!$A$6:$BB$47,37,0)</f>
        <v>125000</v>
      </c>
      <c r="G16" s="7">
        <f>VLOOKUP($A16,[10]HISTOJUIN24!$A$6:$BB$47,40,0)</f>
        <v>1000</v>
      </c>
      <c r="H16" s="7" t="str">
        <f>IF(F16&lt;&gt;0,VLOOKUP($A16,[10]HISTOJUIN24!$A$6:$BB$47,42,0),"ECHEC")</f>
        <v>BANQUE</v>
      </c>
      <c r="I16" s="7">
        <f>VLOOKUP($A16,[10]HISTOJUIN24!$A$6:$BB$47,41,0)</f>
        <v>0</v>
      </c>
      <c r="J16" s="7">
        <f>TONTMAI24!F16+TONTMAI24!G16</f>
        <v>0</v>
      </c>
      <c r="K16" s="7">
        <f>VLOOKUP($A16,[10]HISTOJUIN24!$A$6:$BB$47,18,0)</f>
        <v>0</v>
      </c>
      <c r="L16" s="7" t="str">
        <f>IF(K16&lt;&gt;0,VLOOKUP($A16,[10]HISTOJUIN24!$A$6:$BB$47,42,0),"ECHEC")</f>
        <v>ECHEC</v>
      </c>
      <c r="M16" s="7" t="str">
        <f>IF(P16&lt;&gt;0,VLOOKUP($A16,[10]HISTOJUIN24!$A$6:$BB$47,32,0),"ECHEC")</f>
        <v>BANQUE</v>
      </c>
      <c r="N16" s="7">
        <f>VLOOKUP($A16,[10]HISTOJUIN24!$A$6:$BB$47,33,0)</f>
        <v>0</v>
      </c>
      <c r="O16" s="7">
        <f t="shared" si="0"/>
        <v>1185000</v>
      </c>
      <c r="P16" s="7">
        <f>VLOOKUP($A16,[10]HISTOJUIN24!$A$6:$BB$47,31,0)</f>
        <v>15000</v>
      </c>
    </row>
    <row r="17" spans="1:16" x14ac:dyDescent="0.35">
      <c r="A17" s="1" t="s">
        <v>55</v>
      </c>
      <c r="B17" s="7">
        <f>IF(D17=0,0,VLOOKUP($A17,[10]HISTOJUIN24!$A$6:$BQ$47,14,0))</f>
        <v>1</v>
      </c>
      <c r="C17" s="1" t="str">
        <f>VLOOKUP(A17,[11]LISTADHERENT!A$5:H$60,3,0)</f>
        <v>TCHOUATEU AUGUSTIN</v>
      </c>
      <c r="D17" s="7">
        <f>IF(E17="ECHEC",0,VLOOKUP($A17,[10]HISTOJUIN24!$A$6:$BB$47,15,0))</f>
        <v>100000</v>
      </c>
      <c r="E17" s="7" t="str">
        <f>VLOOKUP($A17,[10]HISTOJUIN24!$A$6:$BB$47,8,0)</f>
        <v>BANQUE</v>
      </c>
      <c r="F17" s="7">
        <f>VLOOKUP($A17,[10]HISTOJUIN24!$A$6:$BB$47,37,0)</f>
        <v>0</v>
      </c>
      <c r="G17" s="7">
        <f>VLOOKUP($A17,[10]HISTOJUIN24!$A$6:$BB$47,40,0)</f>
        <v>0</v>
      </c>
      <c r="H17" s="7" t="str">
        <f>IF(F17&lt;&gt;0,VLOOKUP($A17,[10]HISTOJUIN24!$A$6:$BB$47,42,0),"ECHEC")</f>
        <v>ECHEC</v>
      </c>
      <c r="I17" s="7">
        <f>VLOOKUP($A17,[10]HISTOJUIN24!$A$6:$BB$47,41,0)</f>
        <v>0</v>
      </c>
      <c r="J17" s="7">
        <f>TONTMAI24!F17+TONTMAI24!G17</f>
        <v>0</v>
      </c>
      <c r="K17" s="7">
        <f>VLOOKUP($A17,[10]HISTOJUIN24!$A$6:$BB$47,18,0)</f>
        <v>0</v>
      </c>
      <c r="L17" s="7" t="str">
        <f>IF(K17&lt;&gt;0,VLOOKUP($A17,[10]HISTOJUIN24!$A$6:$BB$47,42,0),"ECHEC")</f>
        <v>ECHEC</v>
      </c>
      <c r="M17" s="7" t="str">
        <f>IF(P17&lt;&gt;0,VLOOKUP($A17,[10]HISTOJUIN24!$A$6:$BB$47,32,0),"ECHEC")</f>
        <v>ECHEC</v>
      </c>
      <c r="N17" s="7">
        <f>VLOOKUP($A17,[10]HISTOJUIN24!$A$6:$BB$47,33,0)</f>
        <v>0</v>
      </c>
      <c r="O17" s="7">
        <f t="shared" si="0"/>
        <v>0</v>
      </c>
      <c r="P17" s="7">
        <f>VLOOKUP($A17,[10]HISTOJUIN24!$A$6:$BB$47,31,0)</f>
        <v>0</v>
      </c>
    </row>
    <row r="18" spans="1:16" x14ac:dyDescent="0.35">
      <c r="A18" s="1" t="s">
        <v>46</v>
      </c>
      <c r="B18" s="7">
        <f>IF(D18=0,0,VLOOKUP($A18,[10]HISTOJUIN24!$A$6:$BQ$47,14,0))</f>
        <v>1</v>
      </c>
      <c r="C18" s="1" t="str">
        <f>VLOOKUP(A18,[11]LISTADHERENT!A$5:H$60,3,0)</f>
        <v>SIMO PIERRE</v>
      </c>
      <c r="D18" s="7">
        <f>IF(E18="ECHEC",0,VLOOKUP($A18,[10]HISTOJUIN24!$A$6:$BB$47,15,0))</f>
        <v>100000</v>
      </c>
      <c r="E18" s="7" t="str">
        <f>VLOOKUP($A18,[10]HISTOJUIN24!$A$6:$BB$47,8,0)</f>
        <v>BANQUE</v>
      </c>
      <c r="F18" s="7">
        <f>VLOOKUP($A18,[10]HISTOJUIN24!$A$6:$BB$47,37,0)</f>
        <v>0</v>
      </c>
      <c r="G18" s="7">
        <f>VLOOKUP($A18,[10]HISTOJUIN24!$A$6:$BB$47,40,0)</f>
        <v>0</v>
      </c>
      <c r="H18" s="7" t="str">
        <f>IF(F18&lt;&gt;0,VLOOKUP($A18,[10]HISTOJUIN24!$A$6:$BB$47,42,0),"ECHEC")</f>
        <v>ECHEC</v>
      </c>
      <c r="I18" s="7">
        <f>VLOOKUP($A18,[10]HISTOJUIN24!$A$6:$BB$47,41,0)</f>
        <v>0</v>
      </c>
      <c r="J18" s="7">
        <f>TONTMAI24!F18+TONTMAI24!G18</f>
        <v>0</v>
      </c>
      <c r="K18" s="7">
        <f>VLOOKUP($A18,[10]HISTOJUIN24!$A$6:$BB$47,18,0)</f>
        <v>0</v>
      </c>
      <c r="L18" s="7" t="str">
        <f>IF(K18&lt;&gt;0,VLOOKUP($A18,[10]HISTOJUIN24!$A$6:$BB$47,42,0),"ECHEC")</f>
        <v>ECHEC</v>
      </c>
      <c r="M18" s="7" t="str">
        <f>IF(P18&lt;&gt;0,VLOOKUP($A18,[10]HISTOJUIN24!$A$6:$BB$47,32,0),"ECHEC")</f>
        <v>ECHEC</v>
      </c>
      <c r="N18" s="7">
        <f>VLOOKUP($A18,[10]HISTOJUIN24!$A$6:$BB$47,33,0)</f>
        <v>0</v>
      </c>
      <c r="O18" s="7">
        <f t="shared" si="0"/>
        <v>0</v>
      </c>
      <c r="P18" s="7">
        <f>VLOOKUP($A18,[10]HISTOJUIN24!$A$6:$BB$47,31,0)</f>
        <v>0</v>
      </c>
    </row>
    <row r="19" spans="1:16" x14ac:dyDescent="0.35">
      <c r="A19" s="1" t="s">
        <v>53</v>
      </c>
      <c r="B19" s="7">
        <f>IF(D19=0,0,VLOOKUP($A19,[10]HISTOJUIN24!$A$6:$BQ$47,14,0))</f>
        <v>1</v>
      </c>
      <c r="C19" s="1" t="str">
        <f>VLOOKUP(A19,[11]LISTADHERENT!A$5:H$60,3,0)</f>
        <v>YIALA ALAIN OSCAR</v>
      </c>
      <c r="D19" s="7">
        <f>IF(E19="ECHEC",0,VLOOKUP($A19,[10]HISTOJUIN24!$A$6:$BB$47,15,0))</f>
        <v>100000</v>
      </c>
      <c r="E19" s="7" t="str">
        <f>VLOOKUP($A19,[10]HISTOJUIN24!$A$6:$BB$47,8,0)</f>
        <v>BANQUE</v>
      </c>
      <c r="F19" s="7">
        <f>VLOOKUP($A19,[10]HISTOJUIN24!$A$6:$BB$47,37,0)</f>
        <v>0</v>
      </c>
      <c r="G19" s="7">
        <f>VLOOKUP($A19,[10]HISTOJUIN24!$A$6:$BB$47,40,0)</f>
        <v>0</v>
      </c>
      <c r="H19" s="7" t="str">
        <f>IF(F19&lt;&gt;0,VLOOKUP($A19,[10]HISTOJUIN24!$A$6:$BB$47,42,0),"ECHEC")</f>
        <v>ECHEC</v>
      </c>
      <c r="I19" s="7">
        <f>VLOOKUP($A19,[10]HISTOJUIN24!$A$6:$BB$47,41,0)</f>
        <v>0</v>
      </c>
      <c r="J19" s="7">
        <f>TONTMAI24!F19+TONTMAI24!G19</f>
        <v>0</v>
      </c>
      <c r="K19" s="7">
        <f>VLOOKUP($A19,[10]HISTOJUIN24!$A$6:$BB$47,18,0)</f>
        <v>0</v>
      </c>
      <c r="L19" s="7" t="str">
        <f>IF(K19&lt;&gt;0,VLOOKUP($A19,[10]HISTOJUIN24!$A$6:$BB$47,42,0),"ECHEC")</f>
        <v>ECHEC</v>
      </c>
      <c r="M19" s="7" t="str">
        <f>IF(P19&lt;&gt;0,VLOOKUP($A19,[10]HISTOJUIN24!$A$6:$BB$47,32,0),"ECHEC")</f>
        <v>ECHEC</v>
      </c>
      <c r="N19" s="7">
        <f>VLOOKUP($A19,[10]HISTOJUIN24!$A$6:$BB$47,33,0)</f>
        <v>0</v>
      </c>
      <c r="O19" s="7">
        <f t="shared" si="0"/>
        <v>0</v>
      </c>
      <c r="P19" s="7">
        <f>VLOOKUP($A19,[10]HISTOJUIN24!$A$6:$BB$47,31,0)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625000</v>
      </c>
      <c r="G22" s="8">
        <f t="shared" si="1"/>
        <v>7000</v>
      </c>
      <c r="H22" s="8">
        <f t="shared" si="1"/>
        <v>0</v>
      </c>
      <c r="I22" s="8">
        <f t="shared" si="1"/>
        <v>0</v>
      </c>
      <c r="J22" s="8">
        <f t="shared" si="1"/>
        <v>103000</v>
      </c>
      <c r="K22" s="8">
        <f t="shared" si="1"/>
        <v>103000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2370000</v>
      </c>
      <c r="P22" s="8">
        <f t="shared" si="1"/>
        <v>30000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D28+E28+P22+TONTMAI24!N29</f>
        <v>3025000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0</v>
      </c>
      <c r="I25" s="8"/>
      <c r="K25" s="8" t="s">
        <v>34</v>
      </c>
      <c r="L25" s="8">
        <f>C3*COUNTIF(O6:O20,"&gt;0")</f>
        <v>2400000</v>
      </c>
      <c r="M25" s="8">
        <f>D3</f>
        <v>2</v>
      </c>
      <c r="N25" s="8">
        <f>COUNTIF(O8:O19,"&gt;0")</f>
        <v>2</v>
      </c>
      <c r="O25" s="8"/>
    </row>
    <row r="26" spans="1:16" s="2" customFormat="1" ht="17.5" x14ac:dyDescent="0.35">
      <c r="C26" s="8" t="s">
        <v>7</v>
      </c>
      <c r="D26" s="8">
        <f>SUMIFS(D6:D20,E6:E20,"BANQUE")</f>
        <v>1800000</v>
      </c>
      <c r="E26" s="8">
        <f>SUMIFS(K6:K20,L6:L20,"BANQUE")</f>
        <v>103000</v>
      </c>
      <c r="F26" s="8">
        <f>SUMIFS(F6:F20,H6:H20,"BANQUE")</f>
        <v>625000</v>
      </c>
      <c r="G26" s="8">
        <f>SUMIFS(O6:O20,M6:M20,"BANQUE")</f>
        <v>2370000</v>
      </c>
      <c r="H26" s="8">
        <f>D26+E26-F26-G26</f>
        <v>-1092000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625000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103000</v>
      </c>
      <c r="F28" s="8">
        <f>F25+F26</f>
        <v>625000</v>
      </c>
      <c r="G28" s="8">
        <f t="shared" ref="G28:H28" si="2">G25+G26</f>
        <v>2370000</v>
      </c>
      <c r="H28" s="8">
        <f t="shared" si="2"/>
        <v>-1092000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0</v>
      </c>
      <c r="M29"/>
      <c r="N29" s="8">
        <f>L29</f>
        <v>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6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4"/>
  <sheetViews>
    <sheetView workbookViewId="0">
      <pane xSplit="3" ySplit="5" topLeftCell="F15" activePane="bottomRight" state="frozen"/>
      <selection activeCell="G6" sqref="G6:G39"/>
      <selection pane="topRight" activeCell="G6" sqref="G6:G39"/>
      <selection pane="bottomLeft" activeCell="G6" sqref="G6:G39"/>
      <selection pane="bottomRight" activeCell="D28" sqref="D28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3</v>
      </c>
      <c r="E3" s="1"/>
      <c r="L3" s="1"/>
      <c r="M3" s="1"/>
    </row>
    <row r="4" spans="1:16" s="12" customFormat="1" ht="17.5" x14ac:dyDescent="0.35">
      <c r="B4" s="13"/>
      <c r="C4" s="37">
        <v>45486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IF(D6=0,0,VLOOKUP($A6,[10]HISTOJUIL24!$A$6:$BQ$47,14,0))</f>
        <v>1</v>
      </c>
      <c r="C6" s="1" t="str">
        <f>VLOOKUP(A6,[11]LISTADHERENT!A$5:H$60,3,0)</f>
        <v>ASELBY</v>
      </c>
      <c r="D6" s="7">
        <f>IF(E6="ECHEC",0,VLOOKUP($A6,[10]HISTOJUIL24!$A$6:$BB$47,15,0))</f>
        <v>100000</v>
      </c>
      <c r="E6" s="7" t="str">
        <f>VLOOKUP($A6,[10]HISTOJUIL24!$A$6:$BB$47,8,0)</f>
        <v>BANQUE</v>
      </c>
      <c r="F6" s="7">
        <f>VLOOKUP($A6,[10]HISTOJUIL24!$A$6:$BB$47,37,0)</f>
        <v>0</v>
      </c>
      <c r="G6" s="7">
        <f>VLOOKUP($A6,[10]HISTOJUIL24!$A$6:$BB$47,40,0)</f>
        <v>0</v>
      </c>
      <c r="H6" s="7" t="str">
        <f>IF(F6&lt;&gt;0,VLOOKUP($A6,[10]HISTOJUIL24!$A$6:$BB$47,42,0),"ECHEC")</f>
        <v>ECHEC</v>
      </c>
      <c r="I6" s="7">
        <f>VLOOKUP($A6,[10]HISTOJUIL24!$A$6:$BB$47,41,0)</f>
        <v>0</v>
      </c>
      <c r="J6" s="7">
        <f>TONTJUIN24!F6+TONTJUIN24!G6</f>
        <v>0</v>
      </c>
      <c r="K6" s="7">
        <f>VLOOKUP($A6,[10]HISTOJUIL24!$A$6:$BB$47,18,0)</f>
        <v>0</v>
      </c>
      <c r="L6" s="7" t="str">
        <f>IF(K6&lt;&gt;0,VLOOKUP($A6,[10]HISTOJUIL24!$A$6:$BB$47,42,0),"ECHEC")</f>
        <v>ECHEC</v>
      </c>
      <c r="M6" s="7" t="str">
        <f>IF(P6&lt;&gt;0,VLOOKUP($A6,[10]HISTOJUIL24!$A$6:$BB$47,32,0),"ECHEC")</f>
        <v>ECHEC</v>
      </c>
      <c r="N6" s="7">
        <f>VLOOKUP($A6,[10]HISTOJUIL24!$A$6:$BB$47,33,0)</f>
        <v>0</v>
      </c>
      <c r="O6" s="7">
        <f t="shared" ref="O6:O19" si="0">IF(P6=0,0,($C$3-P6))</f>
        <v>0</v>
      </c>
      <c r="P6" s="7">
        <f>VLOOKUP($A6,[10]HISTOJUIL24!$A$6:$BB$47,31,0)</f>
        <v>0</v>
      </c>
    </row>
    <row r="7" spans="1:16" x14ac:dyDescent="0.35">
      <c r="A7" s="1" t="s">
        <v>47</v>
      </c>
      <c r="B7" s="7">
        <f>IF(D7=0,0,VLOOKUP($A7,[10]HISTOJUIL24!$A$6:$BQ$47,14,0))</f>
        <v>2</v>
      </c>
      <c r="C7" s="1" t="str">
        <f>VLOOKUP(A7,[11]LISTADHERENT!A$5:H$60,3,0)</f>
        <v xml:space="preserve">DJOMO JEAN PAUL </v>
      </c>
      <c r="D7" s="7">
        <f>IF(E7="ECHEC",0,VLOOKUP($A7,[10]HISTOJUIL24!$A$6:$BB$47,15,0))</f>
        <v>200000</v>
      </c>
      <c r="E7" s="7" t="str">
        <f>VLOOKUP($A7,[10]HISTOJUIL24!$A$6:$BB$47,8,0)</f>
        <v>BANQUE</v>
      </c>
      <c r="F7" s="7">
        <f>VLOOKUP($A7,[10]HISTOJUIL24!$A$6:$BB$47,37,0)</f>
        <v>0</v>
      </c>
      <c r="G7" s="7">
        <f>VLOOKUP($A7,[10]HISTOJUIL24!$A$6:$BB$47,40,0)</f>
        <v>0</v>
      </c>
      <c r="H7" s="7" t="str">
        <f>IF(F7&lt;&gt;0,VLOOKUP($A7,[10]HISTOJUIL24!$A$6:$BB$47,42,0),"ECHEC")</f>
        <v>ECHEC</v>
      </c>
      <c r="I7" s="7">
        <f>VLOOKUP($A7,[10]HISTOJUIL24!$A$6:$BB$47,41,0)</f>
        <v>0</v>
      </c>
      <c r="J7" s="7">
        <f>TONTJUIN24!F7+TONTJUIN24!G7</f>
        <v>0</v>
      </c>
      <c r="K7" s="7">
        <f>VLOOKUP($A7,[10]HISTOJUIL24!$A$6:$BB$47,18,0)</f>
        <v>0</v>
      </c>
      <c r="L7" s="7" t="str">
        <f>IF(K7&lt;&gt;0,VLOOKUP($A7,[10]HISTOJUIL24!$A$6:$BB$47,42,0),"ECHEC")</f>
        <v>ECHEC</v>
      </c>
      <c r="M7" s="7" t="str">
        <f>IF(P7&lt;&gt;0,VLOOKUP($A7,[10]HISTOJUIL24!$A$6:$BB$47,32,0),"ECHEC")</f>
        <v>ECHEC</v>
      </c>
      <c r="N7" s="7">
        <f>VLOOKUP($A7,[10]HISTOJUIL24!$A$6:$BB$47,33,0)</f>
        <v>0</v>
      </c>
      <c r="O7" s="7">
        <f t="shared" si="0"/>
        <v>0</v>
      </c>
      <c r="P7" s="7">
        <f>VLOOKUP($A7,[10]HISTOJUIL24!$A$6:$BB$47,31,0)</f>
        <v>0</v>
      </c>
    </row>
    <row r="8" spans="1:16" x14ac:dyDescent="0.35">
      <c r="A8" s="1" t="s">
        <v>20</v>
      </c>
      <c r="B8" s="7">
        <f>IF(D8=0,0,VLOOKUP($A8,[10]HISTOJUIL24!$A$6:$BQ$47,14,0))</f>
        <v>2</v>
      </c>
      <c r="C8" s="1" t="str">
        <f>VLOOKUP(A8,[11]LISTADHERENT!A$5:H$60,3,0)</f>
        <v>DJUOMBESSY ANTOINE</v>
      </c>
      <c r="D8" s="7">
        <f>IF(E8="ECHEC",0,VLOOKUP($A8,[10]HISTOJUIL24!$A$6:$BB$47,15,0))</f>
        <v>200000</v>
      </c>
      <c r="E8" s="7" t="str">
        <f>VLOOKUP($A8,[10]HISTOJUIL24!$A$6:$BB$47,8,0)</f>
        <v>BANQUE</v>
      </c>
      <c r="F8" s="7">
        <f>VLOOKUP($A8,[10]HISTOJUIL24!$A$6:$BB$47,37,0)</f>
        <v>100000</v>
      </c>
      <c r="G8" s="7">
        <f>VLOOKUP($A8,[10]HISTOJUIL24!$A$6:$BB$47,40,0)</f>
        <v>1000</v>
      </c>
      <c r="H8" s="7" t="str">
        <f>IF(F8&lt;&gt;0,VLOOKUP($A8,[10]HISTOJUIL24!$A$6:$BB$47,42,0),"ECHEC")</f>
        <v>BANQUE</v>
      </c>
      <c r="I8" s="7">
        <f>VLOOKUP($A8,[10]HISTOJUIL24!$A$6:$BB$47,41,0)</f>
        <v>0</v>
      </c>
      <c r="J8" s="7">
        <f>TONTJUIN24!F8+TONTJUIN24!G8</f>
        <v>0</v>
      </c>
      <c r="K8" s="7">
        <f>VLOOKUP($A8,[10]HISTOJUIL24!$A$6:$BB$47,18,0)</f>
        <v>0</v>
      </c>
      <c r="L8" s="7" t="str">
        <f>IF(K8&lt;&gt;0,VLOOKUP($A8,[10]HISTOJUIL24!$A$6:$BB$47,42,0),"ECHEC")</f>
        <v>ECHEC</v>
      </c>
      <c r="M8" s="7" t="str">
        <f>IF(P8&lt;&gt;0,VLOOKUP($A8,[10]HISTOJUIL24!$A$6:$BB$47,32,0),"ECHEC")</f>
        <v>BANQUE</v>
      </c>
      <c r="N8" s="7">
        <f>VLOOKUP($A8,[10]HISTOJUIL24!$A$6:$BB$47,33,0)</f>
        <v>0</v>
      </c>
      <c r="O8" s="7">
        <f t="shared" si="0"/>
        <v>1190000</v>
      </c>
      <c r="P8" s="7">
        <f>VLOOKUP($A8,[10]HISTOJUIL24!$A$6:$BB$47,31,0)</f>
        <v>10000</v>
      </c>
    </row>
    <row r="9" spans="1:16" x14ac:dyDescent="0.35">
      <c r="A9" s="1" t="s">
        <v>21</v>
      </c>
      <c r="B9" s="7">
        <f>IF(D9=0,0,VLOOKUP($A9,[10]HISTOJUIL24!$A$6:$BQ$47,14,0))</f>
        <v>1</v>
      </c>
      <c r="C9" s="1" t="str">
        <f>VLOOKUP(A9,[11]LISTADHERENT!A$5:H$60,3,0)</f>
        <v>HOTCHO BENJAMIN</v>
      </c>
      <c r="D9" s="7">
        <f>IF(E9="ECHEC",0,VLOOKUP($A9,[10]HISTOJUIL24!$A$6:$BB$47,15,0))</f>
        <v>100000</v>
      </c>
      <c r="E9" s="7" t="str">
        <f>VLOOKUP($A9,[10]HISTOJUIL24!$A$6:$BB$47,8,0)</f>
        <v>BANQUE</v>
      </c>
      <c r="F9" s="7">
        <f>VLOOKUP($A9,[10]HISTOJUIL24!$A$6:$BB$47,37,0)</f>
        <v>100000</v>
      </c>
      <c r="G9" s="7">
        <f>VLOOKUP($A9,[10]HISTOJUIL24!$A$6:$BB$47,40,0)</f>
        <v>1000</v>
      </c>
      <c r="H9" s="7" t="str">
        <f>IF(F9&lt;&gt;0,VLOOKUP($A9,[10]HISTOJUIL24!$A$6:$BB$47,42,0),"ECHEC")</f>
        <v>BANQUE</v>
      </c>
      <c r="I9" s="7">
        <f>VLOOKUP($A9,[10]HISTOJUIL24!$A$6:$BB$47,41,0)</f>
        <v>0</v>
      </c>
      <c r="J9" s="7">
        <f>TONTJUIN24!F9+TONTJUIN24!G9</f>
        <v>0</v>
      </c>
      <c r="K9" s="7">
        <f>VLOOKUP($A9,[10]HISTOJUIL24!$A$6:$BB$47,18,0)</f>
        <v>0</v>
      </c>
      <c r="L9" s="7" t="str">
        <f>IF(K9&lt;&gt;0,VLOOKUP($A9,[10]HISTOJUIL24!$A$6:$BB$47,42,0),"ECHEC")</f>
        <v>ECHEC</v>
      </c>
      <c r="M9" s="7" t="str">
        <f>IF(P9&lt;&gt;0,VLOOKUP($A9,[10]HISTOJUIL24!$A$6:$BB$47,32,0),"ECHEC")</f>
        <v>ECHEC</v>
      </c>
      <c r="N9" s="7">
        <f>VLOOKUP($A9,[10]HISTOJUIL24!$A$6:$BB$47,33,0)</f>
        <v>0</v>
      </c>
      <c r="O9" s="7">
        <f t="shared" si="0"/>
        <v>0</v>
      </c>
      <c r="P9" s="7">
        <f>VLOOKUP($A9,[10]HISTOJUIL24!$A$6:$BB$47,31,0)</f>
        <v>0</v>
      </c>
    </row>
    <row r="10" spans="1:16" x14ac:dyDescent="0.35">
      <c r="A10" s="1" t="s">
        <v>26</v>
      </c>
      <c r="B10" s="7">
        <f>IF(D10=0,0,VLOOKUP($A10,[10]HISTOJUIL24!$A$6:$BQ$47,14,0))</f>
        <v>1</v>
      </c>
      <c r="C10" s="1" t="str">
        <f>VLOOKUP(A10,[11]LISTADHERENT!A$5:H$60,3,0)</f>
        <v>KOUAMOU MOISE</v>
      </c>
      <c r="D10" s="7">
        <f>IF(E10="ECHEC",0,VLOOKUP($A10,[10]HISTOJUIL24!$A$6:$BB$47,15,0))</f>
        <v>100000</v>
      </c>
      <c r="E10" s="7" t="str">
        <f>VLOOKUP($A10,[10]HISTOJUIL24!$A$6:$BB$47,8,0)</f>
        <v>BANQUE</v>
      </c>
      <c r="F10" s="7">
        <f>VLOOKUP($A10,[10]HISTOJUIL24!$A$6:$BB$47,37,0)</f>
        <v>54000</v>
      </c>
      <c r="G10" s="7">
        <f>VLOOKUP($A10,[10]HISTOJUIL24!$A$6:$BB$47,40,0)</f>
        <v>1000</v>
      </c>
      <c r="H10" s="7" t="str">
        <f>IF(F10&lt;&gt;0,VLOOKUP($A10,[10]HISTOJUIL24!$A$6:$BB$47,42,0),"ECHEC")</f>
        <v>BANQUE</v>
      </c>
      <c r="I10" s="7">
        <f>VLOOKUP($A10,[10]HISTOJUIL24!$A$6:$BB$47,41,0)</f>
        <v>0</v>
      </c>
      <c r="J10" s="7">
        <f>TONTJUIN24!F10+TONTJUIN24!G10</f>
        <v>101000</v>
      </c>
      <c r="K10" s="7">
        <f>VLOOKUP($A10,[10]HISTOJUIL24!$A$6:$BB$47,18,0)</f>
        <v>101000</v>
      </c>
      <c r="L10" s="7" t="str">
        <f>IF(K10&lt;&gt;0,VLOOKUP($A10,[10]HISTOJUIL24!$A$6:$BB$47,42,0),"ECHEC")</f>
        <v>BANQUE</v>
      </c>
      <c r="M10" s="7" t="str">
        <f>IF(P10&lt;&gt;0,VLOOKUP($A10,[10]HISTOJUIL24!$A$6:$BB$47,32,0),"ECHEC")</f>
        <v>ECHEC</v>
      </c>
      <c r="N10" s="7">
        <f>VLOOKUP($A10,[10]HISTOJUIL24!$A$6:$BB$47,33,0)</f>
        <v>0</v>
      </c>
      <c r="O10" s="7">
        <f t="shared" si="0"/>
        <v>0</v>
      </c>
      <c r="P10" s="7">
        <f>VLOOKUP($A10,[10]HISTOJUIL24!$A$6:$BB$47,31,0)</f>
        <v>0</v>
      </c>
    </row>
    <row r="11" spans="1:16" x14ac:dyDescent="0.35">
      <c r="A11" s="1" t="s">
        <v>8</v>
      </c>
      <c r="B11" s="7">
        <f>IF(D11=0,0,VLOOKUP($A11,[10]HISTOJUIL24!$A$6:$BQ$47,14,0))</f>
        <v>1</v>
      </c>
      <c r="C11" s="1" t="str">
        <f>VLOOKUP(A11,[11]LISTADHERENT!A$5:H$60,3,0)</f>
        <v>KOUATCHO MESSACK</v>
      </c>
      <c r="D11" s="7">
        <f>IF(E11="ECHEC",0,VLOOKUP($A11,[10]HISTOJUIL24!$A$6:$BB$47,15,0))</f>
        <v>100000</v>
      </c>
      <c r="E11" s="7" t="str">
        <f>VLOOKUP($A11,[10]HISTOJUIL24!$A$6:$BB$47,8,0)</f>
        <v>BANQUE</v>
      </c>
      <c r="F11" s="7">
        <f>VLOOKUP($A11,[10]HISTOJUIL24!$A$6:$BB$47,37,0)</f>
        <v>200000</v>
      </c>
      <c r="G11" s="7">
        <f>VLOOKUP($A11,[10]HISTOJUIL24!$A$6:$BB$47,40,0)</f>
        <v>2000</v>
      </c>
      <c r="H11" s="7" t="str">
        <f>IF(F11&lt;&gt;0,VLOOKUP($A11,[10]HISTOJUIL24!$A$6:$BB$47,42,0),"ECHEC")</f>
        <v>BANQUE</v>
      </c>
      <c r="I11" s="7">
        <f>VLOOKUP($A11,[10]HISTOJUIL24!$A$6:$BB$47,41,0)</f>
        <v>0</v>
      </c>
      <c r="J11" s="7">
        <f>TONTJUIN24!F11+TONTJUIN24!G11</f>
        <v>0</v>
      </c>
      <c r="K11" s="7">
        <f>VLOOKUP($A11,[10]HISTOJUIL24!$A$6:$BB$47,18,0)</f>
        <v>0</v>
      </c>
      <c r="L11" s="7" t="str">
        <f>IF(K11&lt;&gt;0,VLOOKUP($A11,[10]HISTOJUIL24!$A$6:$BB$47,42,0),"ECHEC")</f>
        <v>ECHEC</v>
      </c>
      <c r="M11" s="7" t="str">
        <f>IF(P11&lt;&gt;0,VLOOKUP($A11,[10]HISTOJUIL24!$A$6:$BB$47,32,0),"ECHEC")</f>
        <v>ECHEC</v>
      </c>
      <c r="N11" s="7">
        <f>VLOOKUP($A11,[10]HISTOJUIL24!$A$6:$BB$47,33,0)</f>
        <v>0</v>
      </c>
      <c r="O11" s="7">
        <f t="shared" si="0"/>
        <v>0</v>
      </c>
      <c r="P11" s="7">
        <f>VLOOKUP($A11,[10]HISTOJUIL24!$A$6:$BB$47,31,0)</f>
        <v>0</v>
      </c>
    </row>
    <row r="12" spans="1:16" x14ac:dyDescent="0.35">
      <c r="A12" s="1" t="s">
        <v>22</v>
      </c>
      <c r="B12" s="7">
        <f>IF(D12=0,0,VLOOKUP($A12,[10]HISTOJUIL24!$A$6:$BQ$47,14,0))</f>
        <v>1</v>
      </c>
      <c r="C12" s="1" t="str">
        <f>VLOOKUP(A12,[11]LISTADHERENT!A$5:H$60,3,0)</f>
        <v>MBOGNING TUGMA GUY</v>
      </c>
      <c r="D12" s="7">
        <f>IF(E12="ECHEC",0,VLOOKUP($A12,[10]HISTOJUIL24!$A$6:$BB$47,15,0))</f>
        <v>100000</v>
      </c>
      <c r="E12" s="7" t="str">
        <f>VLOOKUP($A12,[10]HISTOJUIL24!$A$6:$BB$47,8,0)</f>
        <v>BANQUE</v>
      </c>
      <c r="F12" s="7">
        <f>VLOOKUP($A12,[10]HISTOJUIL24!$A$6:$BB$47,37,0)</f>
        <v>200000</v>
      </c>
      <c r="G12" s="7">
        <f>VLOOKUP($A12,[10]HISTOJUIL24!$A$6:$BB$47,40,0)</f>
        <v>2000</v>
      </c>
      <c r="H12" s="7" t="str">
        <f>IF(F12&lt;&gt;0,VLOOKUP($A12,[10]HISTOJUIL24!$A$6:$BB$47,42,0),"ECHEC")</f>
        <v>BANQUE</v>
      </c>
      <c r="I12" s="7">
        <f>VLOOKUP($A12,[10]HISTOJUIL24!$A$6:$BB$47,41,0)</f>
        <v>0</v>
      </c>
      <c r="J12" s="7">
        <f>TONTJUIN24!F12+TONTJUIN24!G12</f>
        <v>101000</v>
      </c>
      <c r="K12" s="7">
        <f>VLOOKUP($A12,[10]HISTOJUIL24!$A$6:$BB$47,18,0)</f>
        <v>101000</v>
      </c>
      <c r="L12" s="7" t="str">
        <f>IF(K12&lt;&gt;0,VLOOKUP($A12,[10]HISTOJUIL24!$A$6:$BB$47,42,0),"ECHEC")</f>
        <v>BANQUE</v>
      </c>
      <c r="M12" s="7" t="str">
        <f>IF(P12&lt;&gt;0,VLOOKUP($A12,[10]HISTOJUIL24!$A$6:$BB$47,32,0),"ECHEC")</f>
        <v>ECHEC</v>
      </c>
      <c r="N12" s="7">
        <f>VLOOKUP($A12,[10]HISTOJUIL24!$A$6:$BB$47,33,0)</f>
        <v>0</v>
      </c>
      <c r="O12" s="7">
        <f t="shared" si="0"/>
        <v>0</v>
      </c>
      <c r="P12" s="7">
        <f>VLOOKUP($A12,[10]HISTOJUIL24!$A$6:$BB$47,31,0)</f>
        <v>0</v>
      </c>
    </row>
    <row r="13" spans="1:16" x14ac:dyDescent="0.35">
      <c r="A13" s="1" t="s">
        <v>9</v>
      </c>
      <c r="B13" s="7">
        <f>IF(D13=0,0,VLOOKUP($A13,[10]HISTOJUIL24!$A$6:$BQ$47,14,0))</f>
        <v>2</v>
      </c>
      <c r="C13" s="1" t="str">
        <f>VLOOKUP(A13,[11]LISTADHERENT!A$5:H$60,3,0)</f>
        <v>NDJOMO ETIENNE</v>
      </c>
      <c r="D13" s="7">
        <f>IF(E13="ECHEC",0,VLOOKUP($A13,[10]HISTOJUIL24!$A$6:$BB$47,15,0))</f>
        <v>200000</v>
      </c>
      <c r="E13" s="7" t="str">
        <f>VLOOKUP($A13,[10]HISTOJUIL24!$A$6:$BB$47,8,0)</f>
        <v>BANQUE</v>
      </c>
      <c r="F13" s="7">
        <f>VLOOKUP($A13,[10]HISTOJUIL24!$A$6:$BB$47,37,0)</f>
        <v>200000</v>
      </c>
      <c r="G13" s="7">
        <f>VLOOKUP($A13,[10]HISTOJUIL24!$A$6:$BB$47,40,0)</f>
        <v>2000</v>
      </c>
      <c r="H13" s="7" t="str">
        <f>IF(F13&lt;&gt;0,VLOOKUP($A13,[10]HISTOJUIL24!$A$6:$BB$47,42,0),"ECHEC")</f>
        <v>BANQUE</v>
      </c>
      <c r="I13" s="7">
        <f>VLOOKUP($A13,[10]HISTOJUIL24!$A$6:$BB$47,41,0)</f>
        <v>0</v>
      </c>
      <c r="J13" s="7">
        <f>TONTJUIN24!F13+TONTJUIN24!G13</f>
        <v>202000</v>
      </c>
      <c r="K13" s="7">
        <f>VLOOKUP($A13,[10]HISTOJUIL24!$A$6:$BB$47,18,0)</f>
        <v>202000</v>
      </c>
      <c r="L13" s="7" t="str">
        <f>IF(K13&lt;&gt;0,VLOOKUP($A13,[10]HISTOJUIL24!$A$6:$BB$47,42,0),"ECHEC")</f>
        <v>BANQUE</v>
      </c>
      <c r="M13" s="7" t="str">
        <f>IF(P13&lt;&gt;0,VLOOKUP($A13,[10]HISTOJUIL24!$A$6:$BB$47,32,0),"ECHEC")</f>
        <v>BANQUE</v>
      </c>
      <c r="N13" s="7">
        <f>VLOOKUP($A13,[10]HISTOJUIL24!$A$6:$BB$47,33,0)</f>
        <v>0</v>
      </c>
      <c r="O13" s="7">
        <f t="shared" si="0"/>
        <v>1190000</v>
      </c>
      <c r="P13" s="7">
        <f>VLOOKUP($A13,[10]HISTOJUIL24!$A$6:$BB$47,31,0)</f>
        <v>10000</v>
      </c>
    </row>
    <row r="14" spans="1:16" x14ac:dyDescent="0.35">
      <c r="A14" s="1" t="s">
        <v>10</v>
      </c>
      <c r="B14" s="7">
        <f>IF(D14=0,0,VLOOKUP($A14,[10]HISTOJUIL24!$A$6:$BQ$47,14,0))</f>
        <v>1</v>
      </c>
      <c r="C14" s="1" t="str">
        <f>VLOOKUP(A14,[11]LISTADHERENT!A$5:H$60,3,0)</f>
        <v>NGONDIEP CLAUDE</v>
      </c>
      <c r="D14" s="7">
        <f>IF(E14="ECHEC",0,VLOOKUP($A14,[10]HISTOJUIL24!$A$6:$BB$47,15,0))</f>
        <v>100000</v>
      </c>
      <c r="E14" s="7" t="str">
        <f>VLOOKUP($A14,[10]HISTOJUIL24!$A$6:$BB$47,8,0)</f>
        <v>BANQUE</v>
      </c>
      <c r="F14" s="7">
        <f>VLOOKUP($A14,[10]HISTOJUIL24!$A$6:$BB$47,37,0)</f>
        <v>200000</v>
      </c>
      <c r="G14" s="7">
        <f>VLOOKUP($A14,[10]HISTOJUIL24!$A$6:$BB$47,40,0)</f>
        <v>2000</v>
      </c>
      <c r="H14" s="7" t="str">
        <f>IF(F14&lt;&gt;0,VLOOKUP($A14,[10]HISTOJUIL24!$A$6:$BB$47,42,0),"ECHEC")</f>
        <v>BANQUE</v>
      </c>
      <c r="I14" s="7">
        <f>VLOOKUP($A14,[10]HISTOJUIL24!$A$6:$BB$47,41,0)</f>
        <v>0</v>
      </c>
      <c r="J14" s="7">
        <f>TONTJUIN24!F14+TONTJUIN24!G14</f>
        <v>102000</v>
      </c>
      <c r="K14" s="7">
        <f>VLOOKUP($A14,[10]HISTOJUIL24!$A$6:$BB$47,18,0)</f>
        <v>102000</v>
      </c>
      <c r="L14" s="7" t="str">
        <f>IF(K14&lt;&gt;0,VLOOKUP($A14,[10]HISTOJUIL24!$A$6:$BB$47,42,0),"ECHEC")</f>
        <v>BANQUE</v>
      </c>
      <c r="M14" s="7" t="str">
        <f>IF(P14&lt;&gt;0,VLOOKUP($A14,[10]HISTOJUIL24!$A$6:$BB$47,32,0),"ECHEC")</f>
        <v>ECHEC</v>
      </c>
      <c r="N14" s="7">
        <f>VLOOKUP($A14,[10]HISTOJUIL24!$A$6:$BB$47,33,0)</f>
        <v>0</v>
      </c>
      <c r="O14" s="7">
        <f t="shared" si="0"/>
        <v>0</v>
      </c>
      <c r="P14" s="7">
        <f>VLOOKUP($A14,[10]HISTOJUIL24!$A$6:$BB$47,31,0)</f>
        <v>0</v>
      </c>
    </row>
    <row r="15" spans="1:16" x14ac:dyDescent="0.35">
      <c r="A15" s="1" t="s">
        <v>43</v>
      </c>
      <c r="B15" s="7">
        <f>IF(D15=0,0,VLOOKUP($A15,[10]HISTOJUIL24!$A$6:$BQ$47,14,0))</f>
        <v>1</v>
      </c>
      <c r="C15" s="1" t="str">
        <f>VLOOKUP(A15,[11]LISTADHERENT!A$5:H$60,3,0)</f>
        <v>NGUIEMEGNI MATHIEU BLAISE</v>
      </c>
      <c r="D15" s="7">
        <f>IF(E15="ECHEC",0,VLOOKUP($A15,[10]HISTOJUIL24!$A$6:$BB$47,15,0))</f>
        <v>100000</v>
      </c>
      <c r="E15" s="7" t="str">
        <f>VLOOKUP($A15,[10]HISTOJUIL24!$A$6:$BB$47,8,0)</f>
        <v>BANQUE</v>
      </c>
      <c r="F15" s="7">
        <f>VLOOKUP($A15,[10]HISTOJUIL24!$A$6:$BB$47,37,0)</f>
        <v>100000</v>
      </c>
      <c r="G15" s="7">
        <f>VLOOKUP($A15,[10]HISTOJUIL24!$A$6:$BB$47,40,0)</f>
        <v>1000</v>
      </c>
      <c r="H15" s="7" t="str">
        <f>IF(F15&lt;&gt;0,VLOOKUP($A15,[10]HISTOJUIL24!$A$6:$BB$47,42,0),"ECHEC")</f>
        <v>BANQUE</v>
      </c>
      <c r="I15" s="7">
        <f>VLOOKUP($A15,[10]HISTOJUIL24!$A$6:$BB$47,41,0)</f>
        <v>0</v>
      </c>
      <c r="J15" s="7">
        <f>TONTJUIN24!F15+TONTJUIN24!G15</f>
        <v>0</v>
      </c>
      <c r="K15" s="7">
        <f>VLOOKUP($A15,[10]HISTOJUIL24!$A$6:$BB$47,18,0)</f>
        <v>0</v>
      </c>
      <c r="L15" s="7" t="str">
        <f>IF(K15&lt;&gt;0,VLOOKUP($A15,[10]HISTOJUIL24!$A$6:$BB$47,42,0),"ECHEC")</f>
        <v>ECHEC</v>
      </c>
      <c r="M15" s="7" t="str">
        <f>IF(P15&lt;&gt;0,VLOOKUP($A15,[10]HISTOJUIL24!$A$6:$BB$47,32,0),"ECHEC")</f>
        <v>ECHEC</v>
      </c>
      <c r="N15" s="7">
        <f>VLOOKUP($A15,[10]HISTOJUIL24!$A$6:$BB$47,33,0)</f>
        <v>0</v>
      </c>
      <c r="O15" s="7">
        <f t="shared" si="0"/>
        <v>0</v>
      </c>
      <c r="P15" s="7">
        <f>VLOOKUP($A15,[10]HISTOJUIL24!$A$6:$BB$47,31,0)</f>
        <v>0</v>
      </c>
    </row>
    <row r="16" spans="1:16" x14ac:dyDescent="0.35">
      <c r="A16" s="1" t="s">
        <v>54</v>
      </c>
      <c r="B16" s="7">
        <f>IF(D16=0,0,VLOOKUP($A16,[10]HISTOJUIL24!$A$6:$BQ$47,14,0))</f>
        <v>2</v>
      </c>
      <c r="C16" s="1" t="str">
        <f>VLOOKUP(A16,[11]LISTADHERENT!A$5:H$60,3,0)</f>
        <v>SIME BRICE</v>
      </c>
      <c r="D16" s="7">
        <f>IF(E16="ECHEC",0,VLOOKUP($A16,[10]HISTOJUIL24!$A$6:$BB$47,15,0))</f>
        <v>200000</v>
      </c>
      <c r="E16" s="7" t="str">
        <f>VLOOKUP($A16,[10]HISTOJUIL24!$A$6:$BB$47,8,0)</f>
        <v>BANQUE</v>
      </c>
      <c r="F16" s="7">
        <f>VLOOKUP($A16,[10]HISTOJUIL24!$A$6:$BB$47,37,0)</f>
        <v>0</v>
      </c>
      <c r="G16" s="7">
        <f>VLOOKUP($A16,[10]HISTOJUIL24!$A$6:$BB$47,40,0)</f>
        <v>0</v>
      </c>
      <c r="H16" s="7" t="str">
        <f>IF(F16&lt;&gt;0,VLOOKUP($A16,[10]HISTOJUIL24!$A$6:$BB$47,42,0),"ECHEC")</f>
        <v>ECHEC</v>
      </c>
      <c r="I16" s="7">
        <f>VLOOKUP($A16,[10]HISTOJUIL24!$A$6:$BB$47,41,0)</f>
        <v>0</v>
      </c>
      <c r="J16" s="7">
        <f>TONTJUIN24!F16+TONTJUIN24!G16</f>
        <v>126000</v>
      </c>
      <c r="K16" s="7">
        <f>VLOOKUP($A16,[10]HISTOJUIL24!$A$6:$BB$47,18,0)</f>
        <v>126000</v>
      </c>
      <c r="L16" s="7" t="str">
        <f>IF(K16&lt;&gt;0,VLOOKUP($A16,[10]HISTOJUIL24!$A$6:$BB$47,42,0),"ECHEC")</f>
        <v>BANQUE</v>
      </c>
      <c r="M16" s="7" t="str">
        <f>IF(P16&lt;&gt;0,VLOOKUP($A16,[10]HISTOJUIL24!$A$6:$BB$47,32,0),"ECHEC")</f>
        <v>ECHEC</v>
      </c>
      <c r="N16" s="7">
        <f>VLOOKUP($A16,[10]HISTOJUIL24!$A$6:$BB$47,33,0)</f>
        <v>0</v>
      </c>
      <c r="O16" s="7">
        <f t="shared" si="0"/>
        <v>0</v>
      </c>
      <c r="P16" s="7">
        <f>VLOOKUP($A16,[10]HISTOJUIL24!$A$6:$BB$47,31,0)</f>
        <v>0</v>
      </c>
    </row>
    <row r="17" spans="1:16" x14ac:dyDescent="0.35">
      <c r="A17" s="1" t="s">
        <v>55</v>
      </c>
      <c r="B17" s="7">
        <f>IF(D17=0,0,VLOOKUP($A17,[10]HISTOJUIL24!$A$6:$BQ$47,14,0))</f>
        <v>1</v>
      </c>
      <c r="C17" s="1" t="str">
        <f>VLOOKUP(A17,[11]LISTADHERENT!A$5:H$60,3,0)</f>
        <v>TCHOUATEU AUGUSTIN</v>
      </c>
      <c r="D17" s="7">
        <f>IF(E17="ECHEC",0,VLOOKUP($A17,[10]HISTOJUIL24!$A$6:$BB$47,15,0))</f>
        <v>100000</v>
      </c>
      <c r="E17" s="7" t="str">
        <f>VLOOKUP($A17,[10]HISTOJUIL24!$A$6:$BB$47,8,0)</f>
        <v>BANQUE</v>
      </c>
      <c r="F17" s="7">
        <f>VLOOKUP($A17,[10]HISTOJUIL24!$A$6:$BB$47,37,0)</f>
        <v>0</v>
      </c>
      <c r="G17" s="7">
        <f>VLOOKUP($A17,[10]HISTOJUIL24!$A$6:$BB$47,40,0)</f>
        <v>0</v>
      </c>
      <c r="H17" s="7" t="str">
        <f>IF(F17&lt;&gt;0,VLOOKUP($A17,[10]HISTOJUIL24!$A$6:$BB$47,42,0),"ECHEC")</f>
        <v>ECHEC</v>
      </c>
      <c r="I17" s="7">
        <f>VLOOKUP($A17,[10]HISTOJUIL24!$A$6:$BB$47,41,0)</f>
        <v>0</v>
      </c>
      <c r="J17" s="7">
        <f>TONTJUIN24!F17+TONTJUIN24!G17</f>
        <v>0</v>
      </c>
      <c r="K17" s="7">
        <f>VLOOKUP($A17,[10]HISTOJUIL24!$A$6:$BB$47,18,0)</f>
        <v>0</v>
      </c>
      <c r="L17" s="7" t="str">
        <f>IF(K17&lt;&gt;0,VLOOKUP($A17,[10]HISTOJUIL24!$A$6:$BB$47,42,0),"ECHEC")</f>
        <v>ECHEC</v>
      </c>
      <c r="M17" s="7" t="str">
        <f>IF(P17&lt;&gt;0,VLOOKUP($A17,[10]HISTOJUIL24!$A$6:$BB$47,32,0),"ECHEC")</f>
        <v>ECHEC</v>
      </c>
      <c r="N17" s="7">
        <f>VLOOKUP($A17,[10]HISTOJUIL24!$A$6:$BB$47,33,0)</f>
        <v>0</v>
      </c>
      <c r="O17" s="7">
        <f t="shared" si="0"/>
        <v>0</v>
      </c>
      <c r="P17" s="7">
        <f>VLOOKUP($A17,[10]HISTOJUIL24!$A$6:$BB$47,31,0)</f>
        <v>0</v>
      </c>
    </row>
    <row r="18" spans="1:16" x14ac:dyDescent="0.35">
      <c r="A18" s="1" t="s">
        <v>46</v>
      </c>
      <c r="B18" s="7">
        <f>IF(D18=0,0,VLOOKUP($A18,[10]HISTOJUIL24!$A$6:$BQ$47,14,0))</f>
        <v>1</v>
      </c>
      <c r="C18" s="1" t="str">
        <f>VLOOKUP(A18,[11]LISTADHERENT!A$5:H$60,3,0)</f>
        <v>SIMO PIERRE</v>
      </c>
      <c r="D18" s="7">
        <f>IF(E18="ECHEC",0,VLOOKUP($A18,[10]HISTOJUIL24!$A$6:$BB$47,15,0))</f>
        <v>100000</v>
      </c>
      <c r="E18" s="7" t="str">
        <f>VLOOKUP($A18,[10]HISTOJUIL24!$A$6:$BB$47,8,0)</f>
        <v>BANQUE</v>
      </c>
      <c r="F18" s="7">
        <f>VLOOKUP($A18,[10]HISTOJUIL24!$A$6:$BB$47,37,0)</f>
        <v>0</v>
      </c>
      <c r="G18" s="7">
        <f>VLOOKUP($A18,[10]HISTOJUIL24!$A$6:$BB$47,40,0)</f>
        <v>0</v>
      </c>
      <c r="H18" s="7" t="str">
        <f>IF(F18&lt;&gt;0,VLOOKUP($A18,[10]HISTOJUIL24!$A$6:$BB$47,42,0),"ECHEC")</f>
        <v>ECHEC</v>
      </c>
      <c r="I18" s="7">
        <f>VLOOKUP($A18,[10]HISTOJUIL24!$A$6:$BB$47,41,0)</f>
        <v>0</v>
      </c>
      <c r="J18" s="7">
        <f>TONTJUIN24!F18+TONTJUIN24!G18</f>
        <v>0</v>
      </c>
      <c r="K18" s="7">
        <f>VLOOKUP($A18,[10]HISTOJUIL24!$A$6:$BB$47,18,0)</f>
        <v>0</v>
      </c>
      <c r="L18" s="7" t="str">
        <f>IF(K18&lt;&gt;0,VLOOKUP($A18,[10]HISTOJUIL24!$A$6:$BB$47,42,0),"ECHEC")</f>
        <v>ECHEC</v>
      </c>
      <c r="M18" s="7" t="str">
        <f>IF(P18&lt;&gt;0,VLOOKUP($A18,[10]HISTOJUIL24!$A$6:$BB$47,32,0),"ECHEC")</f>
        <v>ECHEC</v>
      </c>
      <c r="N18" s="7">
        <f>VLOOKUP($A18,[10]HISTOJUIL24!$A$6:$BB$47,33,0)</f>
        <v>0</v>
      </c>
      <c r="O18" s="7">
        <f t="shared" si="0"/>
        <v>0</v>
      </c>
      <c r="P18" s="7">
        <f>VLOOKUP($A18,[10]HISTOJUIL24!$A$6:$BB$47,31,0)</f>
        <v>0</v>
      </c>
    </row>
    <row r="19" spans="1:16" x14ac:dyDescent="0.35">
      <c r="A19" s="1" t="s">
        <v>53</v>
      </c>
      <c r="B19" s="7">
        <f>IF(D19=0,0,VLOOKUP($A19,[10]HISTOJUIL24!$A$6:$BQ$47,14,0))</f>
        <v>1</v>
      </c>
      <c r="C19" s="1" t="str">
        <f>VLOOKUP(A19,[11]LISTADHERENT!A$5:H$60,3,0)</f>
        <v>YIALA ALAIN OSCAR</v>
      </c>
      <c r="D19" s="7">
        <f>IF(E19="ECHEC",0,VLOOKUP($A19,[10]HISTOJUIL24!$A$6:$BB$47,15,0))</f>
        <v>100000</v>
      </c>
      <c r="E19" s="7" t="str">
        <f>VLOOKUP($A19,[10]HISTOJUIL24!$A$6:$BB$47,8,0)</f>
        <v>BANQUE</v>
      </c>
      <c r="F19" s="7">
        <f>VLOOKUP($A19,[10]HISTOJUIL24!$A$6:$BB$47,37,0)</f>
        <v>0</v>
      </c>
      <c r="G19" s="7">
        <f>VLOOKUP($A19,[10]HISTOJUIL24!$A$6:$BB$47,40,0)</f>
        <v>0</v>
      </c>
      <c r="H19" s="7" t="str">
        <f>IF(F19&lt;&gt;0,VLOOKUP($A19,[10]HISTOJUIL24!$A$6:$BB$47,42,0),"ECHEC")</f>
        <v>ECHEC</v>
      </c>
      <c r="I19" s="7">
        <f>VLOOKUP($A19,[10]HISTOJUIL24!$A$6:$BB$47,41,0)</f>
        <v>0</v>
      </c>
      <c r="J19" s="7">
        <f>TONTJUIN24!F19+TONTJUIN24!G19</f>
        <v>0</v>
      </c>
      <c r="K19" s="7">
        <f>VLOOKUP($A19,[10]HISTOJUIL24!$A$6:$BB$47,18,0)</f>
        <v>0</v>
      </c>
      <c r="L19" s="7" t="str">
        <f>IF(K19&lt;&gt;0,VLOOKUP($A19,[10]HISTOJUIL24!$A$6:$BB$47,42,0),"ECHEC")</f>
        <v>ECHEC</v>
      </c>
      <c r="M19" s="7" t="str">
        <f>IF(P19&lt;&gt;0,VLOOKUP($A19,[10]HISTOJUIL24!$A$6:$BB$47,32,0),"ECHEC")</f>
        <v>ECHEC</v>
      </c>
      <c r="N19" s="7">
        <f>VLOOKUP($A19,[10]HISTOJUIL24!$A$6:$BB$47,33,0)</f>
        <v>0</v>
      </c>
      <c r="O19" s="7">
        <f t="shared" si="0"/>
        <v>0</v>
      </c>
      <c r="P19" s="7">
        <f>VLOOKUP($A19,[10]HISTOJUIL24!$A$6:$BB$47,31,0)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1154000</v>
      </c>
      <c r="G22" s="8">
        <f t="shared" si="1"/>
        <v>12000</v>
      </c>
      <c r="H22" s="8">
        <f t="shared" si="1"/>
        <v>0</v>
      </c>
      <c r="I22" s="8">
        <f t="shared" si="1"/>
        <v>0</v>
      </c>
      <c r="J22" s="8">
        <f t="shared" si="1"/>
        <v>632000</v>
      </c>
      <c r="K22" s="8">
        <f t="shared" si="1"/>
        <v>632000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2380000</v>
      </c>
      <c r="P22" s="8">
        <f t="shared" si="1"/>
        <v>20000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D28+E28+P22+TONTJUIN24!N29</f>
        <v>3652000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0</v>
      </c>
      <c r="I25" s="8"/>
      <c r="K25" s="8" t="s">
        <v>34</v>
      </c>
      <c r="L25" s="8">
        <f>C3*COUNTIF(O6:O20,"&gt;0")</f>
        <v>2400000</v>
      </c>
      <c r="M25" s="8">
        <f>D3</f>
        <v>3</v>
      </c>
      <c r="N25" s="8">
        <f>COUNTIF(O8:O19,"&gt;0")</f>
        <v>2</v>
      </c>
      <c r="O25" s="8"/>
    </row>
    <row r="26" spans="1:16" s="2" customFormat="1" ht="17.5" x14ac:dyDescent="0.35">
      <c r="C26" s="8" t="s">
        <v>7</v>
      </c>
      <c r="D26" s="8">
        <f>SUMIFS(D6:D20,E6:E20,"BANQUE")</f>
        <v>1800000</v>
      </c>
      <c r="E26" s="8">
        <f>SUMIFS(K6:K20,L6:L20,"BANQUE")</f>
        <v>632000</v>
      </c>
      <c r="F26" s="8">
        <f>SUMIFS(F6:F20,H6:H20,"BANQUE")</f>
        <v>1154000</v>
      </c>
      <c r="G26" s="8">
        <f>SUMIFS(O6:O20,M6:M20,"BANQUE")</f>
        <v>2380000</v>
      </c>
      <c r="H26" s="8">
        <f>D26+E26-F26-G26</f>
        <v>-1102000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1252000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D25+D26+1200000</f>
        <v>3000000</v>
      </c>
      <c r="E28" s="8">
        <f>E25+E26</f>
        <v>632000</v>
      </c>
      <c r="F28" s="8">
        <f>F25+F26</f>
        <v>1154000</v>
      </c>
      <c r="G28" s="8">
        <f t="shared" ref="G28:H28" si="2">G25+G26</f>
        <v>2380000</v>
      </c>
      <c r="H28" s="8">
        <f t="shared" si="2"/>
        <v>-1102000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98000</v>
      </c>
      <c r="M29"/>
      <c r="N29" s="8">
        <f>L29</f>
        <v>98000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7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4"/>
  <sheetViews>
    <sheetView workbookViewId="0">
      <pane xSplit="3" ySplit="5" topLeftCell="F18" activePane="bottomRight" state="frozen"/>
      <selection activeCell="G6" sqref="G6:G39"/>
      <selection pane="topRight" activeCell="G6" sqref="G6:G39"/>
      <selection pane="bottomLeft" activeCell="G6" sqref="G6:G39"/>
      <selection pane="bottomRight" activeCell="J6" sqref="J6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7.5" x14ac:dyDescent="0.35">
      <c r="B4" s="13"/>
      <c r="C4" s="37">
        <v>45517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IF(D6=0,0,VLOOKUP($A6,[10]HISTOAOUT24!$A$6:$BQ$47,14,0))</f>
        <v>1</v>
      </c>
      <c r="C6" s="1" t="str">
        <f>VLOOKUP(A6,[11]LISTADHERENT!A$5:H$60,3,0)</f>
        <v>ASELBY</v>
      </c>
      <c r="D6" s="7">
        <f>IF(E6="ECHEC",0,VLOOKUP($A6,[10]HISTOAOUT24!$A$6:$BB$47,15,0))</f>
        <v>100000</v>
      </c>
      <c r="E6" s="7" t="str">
        <f>VLOOKUP($A6,[10]HISTOAOUT24!$A$6:$BB$47,8,0)</f>
        <v>BANQUE</v>
      </c>
      <c r="F6" s="7">
        <f>VLOOKUP($A6,[10]HISTOAOUT24!$A$6:$BB$47,37,0)</f>
        <v>0</v>
      </c>
      <c r="G6" s="7">
        <f>VLOOKUP($A6,[10]HISTOAOUT24!$A$6:$BB$47,40,0)</f>
        <v>0</v>
      </c>
      <c r="H6" s="7" t="str">
        <f>IF(F6&lt;&gt;0,VLOOKUP($A6,[10]HISTOAOUT24!$A$6:$BB$47,42,0),"ECHEC")</f>
        <v>ECHEC</v>
      </c>
      <c r="I6" s="7">
        <f>VLOOKUP($A6,[10]HISTOAOUT24!$A$6:$BB$47,41,0)</f>
        <v>0</v>
      </c>
      <c r="J6" s="7">
        <f>TONTJUIL24!F6+TONTJUIL24!G6</f>
        <v>0</v>
      </c>
      <c r="K6" s="7">
        <f>VLOOKUP($A6,[10]HISTOAOUT24!$A$6:$BB$47,18,0)</f>
        <v>0</v>
      </c>
      <c r="L6" s="7" t="str">
        <f>IF(K6&lt;&gt;0,VLOOKUP($A6,[10]HISTOAOUT24!$A$6:$BB$47,42,0),"ECHEC")</f>
        <v>ECHEC</v>
      </c>
      <c r="M6" s="7" t="str">
        <f>IF(P6&lt;&gt;0,VLOOKUP($A6,[10]HISTOAOUT24!$A$6:$BB$47,32,0),"ECHEC")</f>
        <v>ECHEC</v>
      </c>
      <c r="N6" s="7">
        <f>VLOOKUP($A6,[10]HISTOAOUT24!$A$6:$BB$47,33,0)</f>
        <v>0</v>
      </c>
      <c r="O6" s="7">
        <f t="shared" ref="O6:O19" si="0">IF(P6=0,0,($C$3-P6))</f>
        <v>0</v>
      </c>
      <c r="P6" s="7">
        <f>VLOOKUP($A6,[10]HISTOAOUT24!$A$6:$BB$47,31,0)</f>
        <v>0</v>
      </c>
    </row>
    <row r="7" spans="1:16" x14ac:dyDescent="0.35">
      <c r="A7" s="1" t="s">
        <v>47</v>
      </c>
      <c r="B7" s="7">
        <f>IF(D7=0,0,VLOOKUP($A7,[10]HISTOAOUT24!$A$6:$BQ$47,14,0))</f>
        <v>2</v>
      </c>
      <c r="C7" s="1" t="str">
        <f>VLOOKUP(A7,[11]LISTADHERENT!A$5:H$60,3,0)</f>
        <v xml:space="preserve">DJOMO JEAN PAUL </v>
      </c>
      <c r="D7" s="7">
        <f>IF(E7="ECHEC",0,VLOOKUP($A7,[10]HISTOAOUT24!$A$6:$BB$47,15,0))</f>
        <v>200000</v>
      </c>
      <c r="E7" s="7" t="str">
        <f>VLOOKUP($A7,[10]HISTOAOUT24!$A$6:$BB$47,8,0)</f>
        <v>BANQUE</v>
      </c>
      <c r="F7" s="7">
        <f>VLOOKUP($A7,[10]HISTOAOUT24!$A$6:$BB$47,37,0)</f>
        <v>100000</v>
      </c>
      <c r="G7" s="7">
        <f>VLOOKUP($A7,[10]HISTOAOUT24!$A$6:$BB$47,40,0)</f>
        <v>1000</v>
      </c>
      <c r="H7" s="7">
        <f>IF(F7&lt;&gt;0,VLOOKUP($A7,[10]HISTOAOUT24!$A$6:$BB$47,42,0),"ECHEC")</f>
        <v>0</v>
      </c>
      <c r="I7" s="7">
        <f>VLOOKUP($A7,[10]HISTOAOUT24!$A$6:$BB$47,41,0)</f>
        <v>0</v>
      </c>
      <c r="J7" s="7">
        <f>TONTJUIL24!F7+TONTJUIL24!G7</f>
        <v>0</v>
      </c>
      <c r="K7" s="7">
        <f>VLOOKUP($A7,[10]HISTOAOUT24!$A$6:$BB$47,18,0)</f>
        <v>0</v>
      </c>
      <c r="L7" s="7" t="str">
        <f>IF(K7&lt;&gt;0,VLOOKUP($A7,[10]HISTOAOUT24!$A$6:$BB$47,42,0),"ECHEC")</f>
        <v>ECHEC</v>
      </c>
      <c r="M7" s="7" t="str">
        <f>IF(P7&lt;&gt;0,VLOOKUP($A7,[10]HISTOAOUT24!$A$6:$BB$47,32,0),"ECHEC")</f>
        <v>ECHEC</v>
      </c>
      <c r="N7" s="7">
        <f>VLOOKUP($A7,[10]HISTOAOUT24!$A$6:$BB$47,33,0)</f>
        <v>0</v>
      </c>
      <c r="O7" s="7">
        <f t="shared" si="0"/>
        <v>0</v>
      </c>
      <c r="P7" s="7">
        <f>VLOOKUP($A7,[10]HISTOAOUT24!$A$6:$BB$47,31,0)</f>
        <v>0</v>
      </c>
    </row>
    <row r="8" spans="1:16" x14ac:dyDescent="0.35">
      <c r="A8" s="1" t="s">
        <v>20</v>
      </c>
      <c r="B8" s="7">
        <f>IF(D8=0,0,VLOOKUP($A8,[10]HISTOAOUT24!$A$6:$BQ$47,14,0))</f>
        <v>2</v>
      </c>
      <c r="C8" s="1" t="str">
        <f>VLOOKUP(A8,[11]LISTADHERENT!A$5:H$60,3,0)</f>
        <v>DJUOMBESSY ANTOINE</v>
      </c>
      <c r="D8" s="7">
        <f>IF(E8="ECHEC",0,VLOOKUP($A8,[10]HISTOAOUT24!$A$6:$BB$47,15,0))</f>
        <v>200000</v>
      </c>
      <c r="E8" s="7" t="str">
        <f>VLOOKUP($A8,[10]HISTOAOUT24!$A$6:$BB$47,8,0)</f>
        <v>BANQUE</v>
      </c>
      <c r="F8" s="7">
        <f>VLOOKUP($A8,[10]HISTOAOUT24!$A$6:$BB$47,37,0)</f>
        <v>200000</v>
      </c>
      <c r="G8" s="7">
        <f>VLOOKUP($A8,[10]HISTOAOUT24!$A$6:$BB$47,40,0)</f>
        <v>2000</v>
      </c>
      <c r="H8" s="7" t="str">
        <f>IF(F8&lt;&gt;0,VLOOKUP($A8,[10]HISTOAOUT24!$A$6:$BB$47,42,0),"ECHEC")</f>
        <v>BANQUE</v>
      </c>
      <c r="I8" s="7">
        <f>VLOOKUP($A8,[10]HISTOAOUT24!$A$6:$BB$47,41,0)</f>
        <v>0</v>
      </c>
      <c r="J8" s="7">
        <f>TONTJUIL24!F8+TONTJUIL24!G8</f>
        <v>101000</v>
      </c>
      <c r="K8" s="7">
        <f>VLOOKUP($A8,[10]HISTOAOUT24!$A$6:$BB$47,18,0)</f>
        <v>101000</v>
      </c>
      <c r="L8" s="7" t="str">
        <f>IF(K8&lt;&gt;0,VLOOKUP($A8,[10]HISTOAOUT24!$A$6:$BB$47,42,0),"ECHEC")</f>
        <v>BANQUE</v>
      </c>
      <c r="M8" s="7" t="str">
        <f>IF(P8&lt;&gt;0,VLOOKUP($A8,[10]HISTOAOUT24!$A$6:$BB$47,32,0),"ECHEC")</f>
        <v>ECHEC</v>
      </c>
      <c r="N8" s="7">
        <f>VLOOKUP($A8,[10]HISTOAOUT24!$A$6:$BB$47,33,0)</f>
        <v>0</v>
      </c>
      <c r="O8" s="7">
        <f t="shared" si="0"/>
        <v>0</v>
      </c>
      <c r="P8" s="7">
        <f>VLOOKUP($A8,[10]HISTOAOUT24!$A$6:$BB$47,31,0)</f>
        <v>0</v>
      </c>
    </row>
    <row r="9" spans="1:16" x14ac:dyDescent="0.35">
      <c r="A9" s="1" t="s">
        <v>21</v>
      </c>
      <c r="B9" s="7">
        <f>IF(D9=0,0,VLOOKUP($A9,[10]HISTOAOUT24!$A$6:$BQ$47,14,0))</f>
        <v>1</v>
      </c>
      <c r="C9" s="1" t="str">
        <f>VLOOKUP(A9,[11]LISTADHERENT!A$5:H$60,3,0)</f>
        <v>HOTCHO BENJAMIN</v>
      </c>
      <c r="D9" s="7">
        <f>IF(E9="ECHEC",0,VLOOKUP($A9,[10]HISTOAOUT24!$A$6:$BB$47,15,0))</f>
        <v>100000</v>
      </c>
      <c r="E9" s="7" t="str">
        <f>VLOOKUP($A9,[10]HISTOAOUT24!$A$6:$BB$47,8,0)</f>
        <v>BANQUE</v>
      </c>
      <c r="F9" s="7">
        <f>VLOOKUP($A9,[10]HISTOAOUT24!$A$6:$BB$47,37,0)</f>
        <v>0</v>
      </c>
      <c r="G9" s="7">
        <f>VLOOKUP($A9,[10]HISTOAOUT24!$A$6:$BB$47,40,0)</f>
        <v>0</v>
      </c>
      <c r="H9" s="7" t="str">
        <f>IF(F9&lt;&gt;0,VLOOKUP($A9,[10]HISTOAOUT24!$A$6:$BB$47,42,0),"ECHEC")</f>
        <v>ECHEC</v>
      </c>
      <c r="I9" s="7">
        <f>VLOOKUP($A9,[10]HISTOAOUT24!$A$6:$BB$47,41,0)</f>
        <v>0</v>
      </c>
      <c r="J9" s="7">
        <f>TONTJUIL24!F9+TONTJUIL24!G9</f>
        <v>101000</v>
      </c>
      <c r="K9" s="7">
        <f>VLOOKUP($A9,[10]HISTOAOUT24!$A$6:$BB$47,18,0)</f>
        <v>101000</v>
      </c>
      <c r="L9" s="7" t="str">
        <f>IF(K9&lt;&gt;0,VLOOKUP($A9,[10]HISTOAOUT24!$A$6:$BB$47,42,0),"ECHEC")</f>
        <v>BANQUE</v>
      </c>
      <c r="M9" s="7" t="str">
        <f>IF(P9&lt;&gt;0,VLOOKUP($A9,[10]HISTOAOUT24!$A$6:$BB$47,32,0),"ECHEC")</f>
        <v>ECHEC</v>
      </c>
      <c r="N9" s="7">
        <f>VLOOKUP($A9,[10]HISTOAOUT24!$A$6:$BB$47,33,0)</f>
        <v>0</v>
      </c>
      <c r="O9" s="7">
        <f t="shared" si="0"/>
        <v>0</v>
      </c>
      <c r="P9" s="7">
        <f>VLOOKUP($A9,[10]HISTOAOUT24!$A$6:$BB$47,31,0)</f>
        <v>0</v>
      </c>
    </row>
    <row r="10" spans="1:16" x14ac:dyDescent="0.35">
      <c r="A10" s="1" t="s">
        <v>26</v>
      </c>
      <c r="B10" s="7">
        <f>IF(D10=0,0,VLOOKUP($A10,[10]HISTOAOUT24!$A$6:$BQ$47,14,0))</f>
        <v>1</v>
      </c>
      <c r="C10" s="1" t="str">
        <f>VLOOKUP(A10,[11]LISTADHERENT!A$5:H$60,3,0)</f>
        <v>KOUAMOU MOISE</v>
      </c>
      <c r="D10" s="7">
        <f>IF(E10="ECHEC",0,VLOOKUP($A10,[10]HISTOAOUT24!$A$6:$BB$47,15,0))</f>
        <v>100000</v>
      </c>
      <c r="E10" s="7" t="str">
        <f>VLOOKUP($A10,[10]HISTOAOUT24!$A$6:$BB$47,8,0)</f>
        <v>BANQUE</v>
      </c>
      <c r="F10" s="7">
        <f>VLOOKUP($A10,[10]HISTOAOUT24!$A$6:$BB$47,37,0)</f>
        <v>200000</v>
      </c>
      <c r="G10" s="7">
        <f>VLOOKUP($A10,[10]HISTOAOUT24!$A$6:$BB$47,40,0)</f>
        <v>2000</v>
      </c>
      <c r="H10" s="7" t="str">
        <f>IF(F10&lt;&gt;0,VLOOKUP($A10,[10]HISTOAOUT24!$A$6:$BB$47,42,0),"ECHEC")</f>
        <v>BANQUE</v>
      </c>
      <c r="I10" s="7">
        <f>VLOOKUP($A10,[10]HISTOAOUT24!$A$6:$BB$47,41,0)</f>
        <v>0</v>
      </c>
      <c r="J10" s="7">
        <f>TONTJUIL24!F10+TONTJUIL24!G10</f>
        <v>55000</v>
      </c>
      <c r="K10" s="7">
        <f>VLOOKUP($A10,[10]HISTOAOUT24!$A$6:$BB$47,18,0)</f>
        <v>55000</v>
      </c>
      <c r="L10" s="7" t="str">
        <f>IF(K10&lt;&gt;0,VLOOKUP($A10,[10]HISTOAOUT24!$A$6:$BB$47,42,0),"ECHEC")</f>
        <v>BANQUE</v>
      </c>
      <c r="M10" s="7" t="str">
        <f>IF(P10&lt;&gt;0,VLOOKUP($A10,[10]HISTOAOUT24!$A$6:$BB$47,32,0),"ECHEC")</f>
        <v>ECHEC</v>
      </c>
      <c r="N10" s="7">
        <f>VLOOKUP($A10,[10]HISTOAOUT24!$A$6:$BB$47,33,0)</f>
        <v>0</v>
      </c>
      <c r="O10" s="7">
        <f t="shared" si="0"/>
        <v>0</v>
      </c>
      <c r="P10" s="7">
        <f>VLOOKUP($A10,[10]HISTOAOUT24!$A$6:$BB$47,31,0)</f>
        <v>0</v>
      </c>
    </row>
    <row r="11" spans="1:16" x14ac:dyDescent="0.35">
      <c r="A11" s="1" t="s">
        <v>8</v>
      </c>
      <c r="B11" s="7">
        <f>IF(D11=0,0,VLOOKUP($A11,[10]HISTOAOUT24!$A$6:$BQ$47,14,0))</f>
        <v>1</v>
      </c>
      <c r="C11" s="1" t="str">
        <f>VLOOKUP(A11,[11]LISTADHERENT!A$5:H$60,3,0)</f>
        <v>KOUATCHO MESSACK</v>
      </c>
      <c r="D11" s="7">
        <f>IF(E11="ECHEC",0,VLOOKUP($A11,[10]HISTOAOUT24!$A$6:$BB$47,15,0))</f>
        <v>100000</v>
      </c>
      <c r="E11" s="7" t="str">
        <f>VLOOKUP($A11,[10]HISTOAOUT24!$A$6:$BB$47,8,0)</f>
        <v>BANQUE</v>
      </c>
      <c r="F11" s="7">
        <f>VLOOKUP($A11,[10]HISTOAOUT24!$A$6:$BB$47,37,0)</f>
        <v>200000</v>
      </c>
      <c r="G11" s="7">
        <f>VLOOKUP($A11,[10]HISTOAOUT24!$A$6:$BB$47,40,0)</f>
        <v>2000</v>
      </c>
      <c r="H11" s="7" t="str">
        <f>IF(F11&lt;&gt;0,VLOOKUP($A11,[10]HISTOAOUT24!$A$6:$BB$47,42,0),"ECHEC")</f>
        <v>BANQUE</v>
      </c>
      <c r="I11" s="7">
        <f>VLOOKUP($A11,[10]HISTOAOUT24!$A$6:$BB$47,41,0)</f>
        <v>0</v>
      </c>
      <c r="J11" s="7">
        <f>TONTJUIL24!F11+TONTJUIL24!G11</f>
        <v>202000</v>
      </c>
      <c r="K11" s="7">
        <f>VLOOKUP($A11,[10]HISTOAOUT24!$A$6:$BB$47,18,0)</f>
        <v>202000</v>
      </c>
      <c r="L11" s="7" t="str">
        <f>IF(K11&lt;&gt;0,VLOOKUP($A11,[10]HISTOAOUT24!$A$6:$BB$47,42,0),"ECHEC")</f>
        <v>BANQUE</v>
      </c>
      <c r="M11" s="7" t="str">
        <f>IF(P11&lt;&gt;0,VLOOKUP($A11,[10]HISTOAOUT24!$A$6:$BB$47,32,0),"ECHEC")</f>
        <v>ECHEC</v>
      </c>
      <c r="N11" s="7">
        <f>VLOOKUP($A11,[10]HISTOAOUT24!$A$6:$BB$47,33,0)</f>
        <v>0</v>
      </c>
      <c r="O11" s="7">
        <f t="shared" si="0"/>
        <v>0</v>
      </c>
      <c r="P11" s="7">
        <f>VLOOKUP($A11,[10]HISTOAOUT24!$A$6:$BB$47,31,0)</f>
        <v>0</v>
      </c>
    </row>
    <row r="12" spans="1:16" x14ac:dyDescent="0.35">
      <c r="A12" s="1" t="s">
        <v>22</v>
      </c>
      <c r="B12" s="7">
        <f>IF(D12=0,0,VLOOKUP($A12,[10]HISTOAOUT24!$A$6:$BQ$47,14,0))</f>
        <v>1</v>
      </c>
      <c r="C12" s="1" t="str">
        <f>VLOOKUP(A12,[11]LISTADHERENT!A$5:H$60,3,0)</f>
        <v>MBOGNING TUGMA GUY</v>
      </c>
      <c r="D12" s="7">
        <f>IF(E12="ECHEC",0,VLOOKUP($A12,[10]HISTOAOUT24!$A$6:$BB$47,15,0))</f>
        <v>100000</v>
      </c>
      <c r="E12" s="7" t="str">
        <f>VLOOKUP($A12,[10]HISTOAOUT24!$A$6:$BB$47,8,0)</f>
        <v>BANQUE</v>
      </c>
      <c r="F12" s="7">
        <f>VLOOKUP($A12,[10]HISTOAOUT24!$A$6:$BB$47,37,0)</f>
        <v>200000</v>
      </c>
      <c r="G12" s="7">
        <f>VLOOKUP($A12,[10]HISTOAOUT24!$A$6:$BB$47,40,0)</f>
        <v>2000</v>
      </c>
      <c r="H12" s="7" t="str">
        <f>IF(F12&lt;&gt;0,VLOOKUP($A12,[10]HISTOAOUT24!$A$6:$BB$47,42,0),"ECHEC")</f>
        <v>BANQUE</v>
      </c>
      <c r="I12" s="7">
        <f>VLOOKUP($A12,[10]HISTOAOUT24!$A$6:$BB$47,41,0)</f>
        <v>0</v>
      </c>
      <c r="J12" s="7">
        <f>TONTJUIL24!F12+TONTJUIL24!G12</f>
        <v>202000</v>
      </c>
      <c r="K12" s="7">
        <f>VLOOKUP($A12,[10]HISTOAOUT24!$A$6:$BB$47,18,0)</f>
        <v>202000</v>
      </c>
      <c r="L12" s="7" t="str">
        <f>IF(K12&lt;&gt;0,VLOOKUP($A12,[10]HISTOAOUT24!$A$6:$BB$47,42,0),"ECHEC")</f>
        <v>BANQUE</v>
      </c>
      <c r="M12" s="7" t="str">
        <f>IF(P12&lt;&gt;0,VLOOKUP($A12,[10]HISTOAOUT24!$A$6:$BB$47,32,0),"ECHEC")</f>
        <v>ECHEC</v>
      </c>
      <c r="N12" s="7">
        <f>VLOOKUP($A12,[10]HISTOAOUT24!$A$6:$BB$47,33,0)</f>
        <v>0</v>
      </c>
      <c r="O12" s="7">
        <f t="shared" si="0"/>
        <v>0</v>
      </c>
      <c r="P12" s="7">
        <f>VLOOKUP($A12,[10]HISTOAOUT24!$A$6:$BB$47,31,0)</f>
        <v>0</v>
      </c>
    </row>
    <row r="13" spans="1:16" x14ac:dyDescent="0.35">
      <c r="A13" s="1" t="s">
        <v>9</v>
      </c>
      <c r="B13" s="7">
        <f>IF(D13=0,0,VLOOKUP($A13,[10]HISTOAOUT24!$A$6:$BQ$47,14,0))</f>
        <v>2</v>
      </c>
      <c r="C13" s="1" t="str">
        <f>VLOOKUP(A13,[11]LISTADHERENT!A$5:H$60,3,0)</f>
        <v>NDJOMO ETIENNE</v>
      </c>
      <c r="D13" s="7">
        <f>IF(E13="ECHEC",0,VLOOKUP($A13,[10]HISTOAOUT24!$A$6:$BB$47,15,0))</f>
        <v>200000</v>
      </c>
      <c r="E13" s="7" t="str">
        <f>VLOOKUP($A13,[10]HISTOAOUT24!$A$6:$BB$47,8,0)</f>
        <v>BANQUE</v>
      </c>
      <c r="F13" s="7">
        <f>VLOOKUP($A13,[10]HISTOAOUT24!$A$6:$BB$47,37,0)</f>
        <v>200000</v>
      </c>
      <c r="G13" s="7">
        <f>VLOOKUP($A13,[10]HISTOAOUT24!$A$6:$BB$47,40,0)</f>
        <v>2000</v>
      </c>
      <c r="H13" s="7" t="str">
        <f>IF(F13&lt;&gt;0,VLOOKUP($A13,[10]HISTOAOUT24!$A$6:$BB$47,42,0),"ECHEC")</f>
        <v>BANQUE</v>
      </c>
      <c r="I13" s="7">
        <f>VLOOKUP($A13,[10]HISTOAOUT24!$A$6:$BB$47,41,0)</f>
        <v>0</v>
      </c>
      <c r="J13" s="7">
        <f>TONTJUIL24!F13+TONTJUIL24!G13</f>
        <v>202000</v>
      </c>
      <c r="K13" s="7">
        <f>VLOOKUP($A13,[10]HISTOAOUT24!$A$6:$BB$47,18,0)</f>
        <v>202000</v>
      </c>
      <c r="L13" s="7" t="str">
        <f>IF(K13&lt;&gt;0,VLOOKUP($A13,[10]HISTOAOUT24!$A$6:$BB$47,42,0),"ECHEC")</f>
        <v>BANQUE</v>
      </c>
      <c r="M13" s="7" t="str">
        <f>IF(P13&lt;&gt;0,VLOOKUP($A13,[10]HISTOAOUT24!$A$6:$BB$47,32,0),"ECHEC")</f>
        <v>ECHEC</v>
      </c>
      <c r="N13" s="7">
        <f>VLOOKUP($A13,[10]HISTOAOUT24!$A$6:$BB$47,33,0)</f>
        <v>0</v>
      </c>
      <c r="O13" s="7">
        <f t="shared" si="0"/>
        <v>0</v>
      </c>
      <c r="P13" s="7">
        <f>VLOOKUP($A13,[10]HISTOAOUT24!$A$6:$BB$47,31,0)</f>
        <v>0</v>
      </c>
    </row>
    <row r="14" spans="1:16" x14ac:dyDescent="0.35">
      <c r="A14" s="1" t="s">
        <v>10</v>
      </c>
      <c r="B14" s="7">
        <f>IF(D14=0,0,VLOOKUP($A14,[10]HISTOAOUT24!$A$6:$BQ$47,14,0))</f>
        <v>1</v>
      </c>
      <c r="C14" s="1" t="str">
        <f>VLOOKUP(A14,[11]LISTADHERENT!A$5:H$60,3,0)</f>
        <v>NGONDIEP CLAUDE</v>
      </c>
      <c r="D14" s="7">
        <f>IF(E14="ECHEC",0,VLOOKUP($A14,[10]HISTOAOUT24!$A$6:$BB$47,15,0))</f>
        <v>100000</v>
      </c>
      <c r="E14" s="7" t="str">
        <f>VLOOKUP($A14,[10]HISTOAOUT24!$A$6:$BB$47,8,0)</f>
        <v>BANQUE</v>
      </c>
      <c r="F14" s="7">
        <f>VLOOKUP($A14,[10]HISTOAOUT24!$A$6:$BB$47,37,0)</f>
        <v>202000</v>
      </c>
      <c r="G14" s="7">
        <f>VLOOKUP($A14,[10]HISTOAOUT24!$A$6:$BB$47,40,0)</f>
        <v>4000</v>
      </c>
      <c r="H14" s="7" t="str">
        <f>IF(F14&lt;&gt;0,VLOOKUP($A14,[10]HISTOAOUT24!$A$6:$BB$47,42,0),"ECHEC")</f>
        <v>BANQUE</v>
      </c>
      <c r="I14" s="7">
        <f>VLOOKUP($A14,[10]HISTOAOUT24!$A$6:$BB$47,41,0)</f>
        <v>0</v>
      </c>
      <c r="J14" s="7">
        <f>TONTJUIL24!F14+TONTJUIL24!G14</f>
        <v>202000</v>
      </c>
      <c r="K14" s="7">
        <f>VLOOKUP($A14,[10]HISTOAOUT24!$A$6:$BB$47,18,0)</f>
        <v>202000</v>
      </c>
      <c r="L14" s="7" t="str">
        <f>IF(K14&lt;&gt;0,VLOOKUP($A14,[10]HISTOAOUT24!$A$6:$BB$47,42,0),"ECHEC")</f>
        <v>BANQUE</v>
      </c>
      <c r="M14" s="7" t="str">
        <f>IF(P14&lt;&gt;0,VLOOKUP($A14,[10]HISTOAOUT24!$A$6:$BB$47,32,0),"ECHEC")</f>
        <v>ECHEC</v>
      </c>
      <c r="N14" s="7">
        <f>VLOOKUP($A14,[10]HISTOAOUT24!$A$6:$BB$47,33,0)</f>
        <v>0</v>
      </c>
      <c r="O14" s="7">
        <f t="shared" si="0"/>
        <v>0</v>
      </c>
      <c r="P14" s="7">
        <f>VLOOKUP($A14,[10]HISTOAOUT24!$A$6:$BB$47,31,0)</f>
        <v>0</v>
      </c>
    </row>
    <row r="15" spans="1:16" x14ac:dyDescent="0.35">
      <c r="A15" s="1" t="s">
        <v>43</v>
      </c>
      <c r="B15" s="7">
        <f>IF(D15=0,0,VLOOKUP($A15,[10]HISTOAOUT24!$A$6:$BQ$47,14,0))</f>
        <v>1</v>
      </c>
      <c r="C15" s="1" t="str">
        <f>VLOOKUP(A15,[11]LISTADHERENT!A$5:H$60,3,0)</f>
        <v>NGUIEMEGNI MATHIEU BLAISE</v>
      </c>
      <c r="D15" s="7">
        <f>IF(E15="ECHEC",0,VLOOKUP($A15,[10]HISTOAOUT24!$A$6:$BB$47,15,0))</f>
        <v>100000</v>
      </c>
      <c r="E15" s="7" t="str">
        <f>VLOOKUP($A15,[10]HISTOAOUT24!$A$6:$BB$47,8,0)</f>
        <v>BANQUE</v>
      </c>
      <c r="F15" s="7">
        <f>VLOOKUP($A15,[10]HISTOAOUT24!$A$6:$BB$47,37,0)</f>
        <v>0</v>
      </c>
      <c r="G15" s="7">
        <f>VLOOKUP($A15,[10]HISTOAOUT24!$A$6:$BB$47,40,0)</f>
        <v>0</v>
      </c>
      <c r="H15" s="7" t="str">
        <f>IF(F15&lt;&gt;0,VLOOKUP($A15,[10]HISTOAOUT24!$A$6:$BB$47,42,0),"ECHEC")</f>
        <v>ECHEC</v>
      </c>
      <c r="I15" s="7">
        <f>VLOOKUP($A15,[10]HISTOAOUT24!$A$6:$BB$47,41,0)</f>
        <v>0</v>
      </c>
      <c r="J15" s="7">
        <f>TONTJUIL24!F15+TONTJUIL24!G15</f>
        <v>101000</v>
      </c>
      <c r="K15" s="7">
        <f>VLOOKUP($A15,[10]HISTOAOUT24!$A$6:$BB$47,18,0)</f>
        <v>101000</v>
      </c>
      <c r="L15" s="7" t="str">
        <f>IF(K15&lt;&gt;0,VLOOKUP($A15,[10]HISTOAOUT24!$A$6:$BB$47,42,0),"ECHEC")</f>
        <v>BANQUE</v>
      </c>
      <c r="M15" s="7" t="str">
        <f>IF(P15&lt;&gt;0,VLOOKUP($A15,[10]HISTOAOUT24!$A$6:$BB$47,32,0),"ECHEC")</f>
        <v>ECHEC</v>
      </c>
      <c r="N15" s="7">
        <f>VLOOKUP($A15,[10]HISTOAOUT24!$A$6:$BB$47,33,0)</f>
        <v>0</v>
      </c>
      <c r="O15" s="7">
        <f t="shared" si="0"/>
        <v>0</v>
      </c>
      <c r="P15" s="7">
        <f>VLOOKUP($A15,[10]HISTOAOUT24!$A$6:$BB$47,31,0)</f>
        <v>0</v>
      </c>
    </row>
    <row r="16" spans="1:16" x14ac:dyDescent="0.35">
      <c r="A16" s="1" t="s">
        <v>54</v>
      </c>
      <c r="B16" s="7">
        <f>IF(D16=0,0,VLOOKUP($A16,[10]HISTOAOUT24!$A$6:$BQ$47,14,0))</f>
        <v>2</v>
      </c>
      <c r="C16" s="1" t="str">
        <f>VLOOKUP(A16,[11]LISTADHERENT!A$5:H$60,3,0)</f>
        <v>SIME BRICE</v>
      </c>
      <c r="D16" s="7">
        <f>IF(E16="ECHEC",0,VLOOKUP($A16,[10]HISTOAOUT24!$A$6:$BB$47,15,0))</f>
        <v>200000</v>
      </c>
      <c r="E16" s="7" t="str">
        <f>VLOOKUP($A16,[10]HISTOAOUT24!$A$6:$BB$47,8,0)</f>
        <v>BANQUE</v>
      </c>
      <c r="F16" s="7">
        <f>VLOOKUP($A16,[10]HISTOAOUT24!$A$6:$BB$47,37,0)</f>
        <v>0</v>
      </c>
      <c r="G16" s="7">
        <f>VLOOKUP($A16,[10]HISTOAOUT24!$A$6:$BB$47,40,0)</f>
        <v>0</v>
      </c>
      <c r="H16" s="7" t="str">
        <f>IF(F16&lt;&gt;0,VLOOKUP($A16,[10]HISTOAOUT24!$A$6:$BB$47,42,0),"ECHEC")</f>
        <v>ECHEC</v>
      </c>
      <c r="I16" s="7">
        <f>VLOOKUP($A16,[10]HISTOAOUT24!$A$6:$BB$47,41,0)</f>
        <v>0</v>
      </c>
      <c r="J16" s="7">
        <f>TONTJUIL24!F16+TONTJUIL24!G16</f>
        <v>0</v>
      </c>
      <c r="K16" s="7">
        <f>VLOOKUP($A16,[10]HISTOAOUT24!$A$6:$BB$47,18,0)</f>
        <v>0</v>
      </c>
      <c r="L16" s="7" t="str">
        <f>IF(K16&lt;&gt;0,VLOOKUP($A16,[10]HISTOAOUT24!$A$6:$BB$47,42,0),"ECHEC")</f>
        <v>ECHEC</v>
      </c>
      <c r="M16" s="7" t="str">
        <f>IF(P16&lt;&gt;0,VLOOKUP($A16,[10]HISTOAOUT24!$A$6:$BB$47,32,0),"ECHEC")</f>
        <v>ECHEC</v>
      </c>
      <c r="N16" s="7">
        <f>VLOOKUP($A16,[10]HISTOAOUT24!$A$6:$BB$47,33,0)</f>
        <v>0</v>
      </c>
      <c r="O16" s="7">
        <f t="shared" si="0"/>
        <v>0</v>
      </c>
      <c r="P16" s="7">
        <f>VLOOKUP($A16,[10]HISTOAOUT24!$A$6:$BB$47,31,0)</f>
        <v>0</v>
      </c>
    </row>
    <row r="17" spans="1:16" x14ac:dyDescent="0.35">
      <c r="A17" s="1" t="s">
        <v>55</v>
      </c>
      <c r="B17" s="7">
        <f>IF(D17=0,0,VLOOKUP($A17,[10]HISTOAOUT24!$A$6:$BQ$47,14,0))</f>
        <v>1</v>
      </c>
      <c r="C17" s="1" t="str">
        <f>VLOOKUP(A17,[11]LISTADHERENT!A$5:H$60,3,0)</f>
        <v>TCHOUATEU AUGUSTIN</v>
      </c>
      <c r="D17" s="7">
        <f>IF(E17="ECHEC",0,VLOOKUP($A17,[10]HISTOAOUT24!$A$6:$BB$47,15,0))</f>
        <v>100000</v>
      </c>
      <c r="E17" s="7" t="str">
        <f>VLOOKUP($A17,[10]HISTOAOUT24!$A$6:$BB$47,8,0)</f>
        <v>BANQUE</v>
      </c>
      <c r="F17" s="7">
        <f>VLOOKUP($A17,[10]HISTOAOUT24!$A$6:$BB$47,37,0)</f>
        <v>0</v>
      </c>
      <c r="G17" s="7">
        <f>VLOOKUP($A17,[10]HISTOAOUT24!$A$6:$BB$47,40,0)</f>
        <v>0</v>
      </c>
      <c r="H17" s="7" t="str">
        <f>IF(F17&lt;&gt;0,VLOOKUP($A17,[10]HISTOAOUT24!$A$6:$BB$47,42,0),"ECHEC")</f>
        <v>ECHEC</v>
      </c>
      <c r="I17" s="7">
        <f>VLOOKUP($A17,[10]HISTOAOUT24!$A$6:$BB$47,41,0)</f>
        <v>0</v>
      </c>
      <c r="J17" s="7">
        <f>TONTJUIL24!F17+TONTJUIL24!G17</f>
        <v>0</v>
      </c>
      <c r="K17" s="7">
        <f>VLOOKUP($A17,[10]HISTOAOUT24!$A$6:$BB$47,18,0)</f>
        <v>0</v>
      </c>
      <c r="L17" s="7" t="str">
        <f>IF(K17&lt;&gt;0,VLOOKUP($A17,[10]HISTOAOUT24!$A$6:$BB$47,42,0),"ECHEC")</f>
        <v>ECHEC</v>
      </c>
      <c r="M17" s="7" t="str">
        <f>IF(P17&lt;&gt;0,VLOOKUP($A17,[10]HISTOAOUT24!$A$6:$BB$47,32,0),"ECHEC")</f>
        <v>ECHEC</v>
      </c>
      <c r="N17" s="7">
        <f>VLOOKUP($A17,[10]HISTOAOUT24!$A$6:$BB$47,33,0)</f>
        <v>0</v>
      </c>
      <c r="O17" s="7">
        <f t="shared" si="0"/>
        <v>0</v>
      </c>
      <c r="P17" s="7">
        <f>VLOOKUP($A17,[10]HISTOAOUT24!$A$6:$BB$47,31,0)</f>
        <v>0</v>
      </c>
    </row>
    <row r="18" spans="1:16" x14ac:dyDescent="0.35">
      <c r="A18" s="1" t="s">
        <v>46</v>
      </c>
      <c r="B18" s="7">
        <f>IF(D18=0,0,VLOOKUP($A18,[10]HISTOAOUT24!$A$6:$BQ$47,14,0))</f>
        <v>1</v>
      </c>
      <c r="C18" s="1" t="str">
        <f>VLOOKUP(A18,[11]LISTADHERENT!A$5:H$60,3,0)</f>
        <v>SIMO PIERRE</v>
      </c>
      <c r="D18" s="7">
        <f>IF(E18="ECHEC",0,VLOOKUP($A18,[10]HISTOAOUT24!$A$6:$BB$47,15,0))</f>
        <v>100000</v>
      </c>
      <c r="E18" s="7" t="str">
        <f>VLOOKUP($A18,[10]HISTOAOUT24!$A$6:$BB$47,8,0)</f>
        <v>BANQUE</v>
      </c>
      <c r="F18" s="7">
        <f>VLOOKUP($A18,[10]HISTOAOUT24!$A$6:$BB$47,37,0)</f>
        <v>0</v>
      </c>
      <c r="G18" s="7">
        <f>VLOOKUP($A18,[10]HISTOAOUT24!$A$6:$BB$47,40,0)</f>
        <v>0</v>
      </c>
      <c r="H18" s="7" t="str">
        <f>IF(F18&lt;&gt;0,VLOOKUP($A18,[10]HISTOAOUT24!$A$6:$BB$47,42,0),"ECHEC")</f>
        <v>ECHEC</v>
      </c>
      <c r="I18" s="7">
        <f>VLOOKUP($A18,[10]HISTOAOUT24!$A$6:$BB$47,41,0)</f>
        <v>0</v>
      </c>
      <c r="J18" s="7">
        <f>TONTJUIL24!F18+TONTJUIL24!G18</f>
        <v>0</v>
      </c>
      <c r="K18" s="7">
        <f>VLOOKUP($A18,[10]HISTOAOUT24!$A$6:$BB$47,18,0)</f>
        <v>0</v>
      </c>
      <c r="L18" s="7" t="str">
        <f>IF(K18&lt;&gt;0,VLOOKUP($A18,[10]HISTOAOUT24!$A$6:$BB$47,42,0),"ECHEC")</f>
        <v>ECHEC</v>
      </c>
      <c r="M18" s="7" t="str">
        <f>IF(P18&lt;&gt;0,VLOOKUP($A18,[10]HISTOAOUT24!$A$6:$BB$47,32,0),"ECHEC")</f>
        <v>ECHEC</v>
      </c>
      <c r="N18" s="7">
        <f>VLOOKUP($A18,[10]HISTOAOUT24!$A$6:$BB$47,33,0)</f>
        <v>0</v>
      </c>
      <c r="O18" s="7">
        <f t="shared" si="0"/>
        <v>0</v>
      </c>
      <c r="P18" s="7">
        <f>VLOOKUP($A18,[10]HISTOAOUT24!$A$6:$BB$47,31,0)</f>
        <v>0</v>
      </c>
    </row>
    <row r="19" spans="1:16" x14ac:dyDescent="0.35">
      <c r="A19" s="1" t="s">
        <v>53</v>
      </c>
      <c r="B19" s="7">
        <f>IF(D19=0,0,VLOOKUP($A19,[10]HISTOAOUT24!$A$6:$BQ$47,14,0))</f>
        <v>1</v>
      </c>
      <c r="C19" s="1" t="str">
        <f>VLOOKUP(A19,[11]LISTADHERENT!A$5:H$60,3,0)</f>
        <v>YIALA ALAIN OSCAR</v>
      </c>
      <c r="D19" s="7">
        <f>IF(E19="ECHEC",0,VLOOKUP($A19,[10]HISTOAOUT24!$A$6:$BB$47,15,0))</f>
        <v>100000</v>
      </c>
      <c r="E19" s="7" t="str">
        <f>VLOOKUP($A19,[10]HISTOAOUT24!$A$6:$BB$47,8,0)</f>
        <v>BANQUE</v>
      </c>
      <c r="F19" s="7">
        <f>VLOOKUP($A19,[10]HISTOAOUT24!$A$6:$BB$47,37,0)</f>
        <v>0</v>
      </c>
      <c r="G19" s="7">
        <f>VLOOKUP($A19,[10]HISTOAOUT24!$A$6:$BB$47,40,0)</f>
        <v>0</v>
      </c>
      <c r="H19" s="7" t="str">
        <f>IF(F19&lt;&gt;0,VLOOKUP($A19,[10]HISTOAOUT24!$A$6:$BB$47,42,0),"ECHEC")</f>
        <v>ECHEC</v>
      </c>
      <c r="I19" s="7">
        <f>VLOOKUP($A19,[10]HISTOAOUT24!$A$6:$BB$47,41,0)</f>
        <v>0</v>
      </c>
      <c r="J19" s="7">
        <f>TONTJUIL24!F19+TONTJUIL24!G19</f>
        <v>0</v>
      </c>
      <c r="K19" s="7">
        <f>VLOOKUP($A19,[10]HISTOAOUT24!$A$6:$BB$47,18,0)</f>
        <v>0</v>
      </c>
      <c r="L19" s="7" t="str">
        <f>IF(K19&lt;&gt;0,VLOOKUP($A19,[10]HISTOAOUT24!$A$6:$BB$47,42,0),"ECHEC")</f>
        <v>ECHEC</v>
      </c>
      <c r="M19" s="7" t="str">
        <f>IF(P19&lt;&gt;0,VLOOKUP($A19,[10]HISTOAOUT24!$A$6:$BB$47,32,0),"ECHEC")</f>
        <v>ECHEC</v>
      </c>
      <c r="N19" s="7">
        <f>VLOOKUP($A19,[10]HISTOAOUT24!$A$6:$BB$47,33,0)</f>
        <v>0</v>
      </c>
      <c r="O19" s="7">
        <f t="shared" si="0"/>
        <v>0</v>
      </c>
      <c r="P19" s="7">
        <f>VLOOKUP($A19,[10]HISTOAOUT24!$A$6:$BB$47,31,0)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1302000</v>
      </c>
      <c r="G22" s="8">
        <f t="shared" si="1"/>
        <v>15000</v>
      </c>
      <c r="H22" s="8">
        <f t="shared" si="1"/>
        <v>0</v>
      </c>
      <c r="I22" s="8">
        <f t="shared" si="1"/>
        <v>0</v>
      </c>
      <c r="J22" s="8">
        <f t="shared" si="1"/>
        <v>1166000</v>
      </c>
      <c r="K22" s="8">
        <f t="shared" si="1"/>
        <v>1166000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D28+E28+P22+TONTJUIL24!N29</f>
        <v>3064000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0</v>
      </c>
      <c r="I25" s="8"/>
      <c r="K25" s="8" t="s">
        <v>34</v>
      </c>
      <c r="L25" s="8">
        <f>C3*COUNTIF(O6:O20,"&gt;0")</f>
        <v>0</v>
      </c>
      <c r="M25" s="8">
        <f>D3</f>
        <v>2</v>
      </c>
      <c r="N25" s="8">
        <f>COUNTIF(O8:O19,"&gt;0")</f>
        <v>0</v>
      </c>
      <c r="O25" s="8"/>
    </row>
    <row r="26" spans="1:16" s="2" customFormat="1" ht="17.5" x14ac:dyDescent="0.35">
      <c r="C26" s="8" t="s">
        <v>7</v>
      </c>
      <c r="D26" s="8">
        <f>SUMIFS(D6:D20,E6:E20,"BANQUE")</f>
        <v>1800000</v>
      </c>
      <c r="E26" s="8">
        <f>SUMIFS(K6:K20,L6:L20,"BANQUE")</f>
        <v>1166000</v>
      </c>
      <c r="F26" s="8">
        <f>SUMIFS(F6:F20,H6:H20,"BANQUE")</f>
        <v>1202000</v>
      </c>
      <c r="G26" s="8">
        <f>SUMIFS(O6:O20,M6:M20,"BANQUE")</f>
        <v>0</v>
      </c>
      <c r="H26" s="8">
        <f>D26+E26-F26-G26</f>
        <v>1764000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3064000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1166000</v>
      </c>
      <c r="F28" s="8">
        <f>F25+F26</f>
        <v>1202000</v>
      </c>
      <c r="G28" s="8">
        <f t="shared" ref="G28:H28" si="2">G25+G26</f>
        <v>0</v>
      </c>
      <c r="H28" s="8">
        <f t="shared" si="2"/>
        <v>1764000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1762000</v>
      </c>
      <c r="M29"/>
      <c r="N29" s="8">
        <f>L29</f>
        <v>1762000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8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4"/>
  <sheetViews>
    <sheetView workbookViewId="0">
      <pane xSplit="3" ySplit="5" topLeftCell="F6" activePane="bottomRight" state="frozen"/>
      <selection activeCell="G6" sqref="G6:G39"/>
      <selection pane="topRight" activeCell="G6" sqref="G6:G39"/>
      <selection pane="bottomLeft" activeCell="G6" sqref="G6:G39"/>
      <selection pane="bottomRight" activeCell="A11" sqref="A11:XFD11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4</v>
      </c>
      <c r="E3" s="1"/>
      <c r="L3" s="1"/>
      <c r="M3" s="1"/>
    </row>
    <row r="4" spans="1:16" s="12" customFormat="1" ht="17.5" x14ac:dyDescent="0.35">
      <c r="B4" s="13"/>
      <c r="C4" s="37">
        <v>45548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IF(D6=0,0,VLOOKUP($A6,[10]HISTOSEPT24!$A$6:$BQ$47,14,0))</f>
        <v>1</v>
      </c>
      <c r="C6" s="1" t="str">
        <f>VLOOKUP(A6,[11]LISTADHERENT!A$5:H$60,3,0)</f>
        <v>ASELBY</v>
      </c>
      <c r="D6" s="7">
        <f>IF(E6="ECHEC",0,VLOOKUP($A6,[10]HISTOSEPT24!$A$6:$BB$47,15,0))</f>
        <v>100000</v>
      </c>
      <c r="E6" s="7" t="str">
        <f>VLOOKUP($A6,[10]HISTOSEPT24!$A$6:$BB$47,8,0)</f>
        <v>BANQUE</v>
      </c>
      <c r="F6" s="7">
        <f>VLOOKUP($A6,[10]HISTOSEPT24!$A$6:$BB$47,37,0)</f>
        <v>0</v>
      </c>
      <c r="G6" s="7">
        <f>VLOOKUP($A6,[10]HISTOSEPT24!$A$6:$BB$47,40,0)</f>
        <v>0</v>
      </c>
      <c r="H6" s="7" t="str">
        <f>IF(F6&lt;&gt;0,VLOOKUP($A6,[10]HISTOSEPT24!$A$6:$BB$47,42,0),"ECHEC")</f>
        <v>ECHEC</v>
      </c>
      <c r="I6" s="7">
        <f>VLOOKUP($A6,[10]HISTOSEPT24!$A$6:$BB$47,41,0)</f>
        <v>0</v>
      </c>
      <c r="J6" s="7">
        <f>TONTAOUT24!F6+TONTAOUT24!G6</f>
        <v>0</v>
      </c>
      <c r="K6" s="7">
        <f>VLOOKUP($A6,[10]HISTOSEPT24!$A$6:$BB$47,18,0)</f>
        <v>0</v>
      </c>
      <c r="L6" s="7" t="str">
        <f>IF(K6&lt;&gt;0,VLOOKUP($A6,[10]HISTOSEPT24!$A$6:$BB$47,42,0),"ECHEC")</f>
        <v>ECHEC</v>
      </c>
      <c r="M6" s="7" t="str">
        <f>IF(P6&lt;&gt;0,VLOOKUP($A6,[10]HISTOSEPT24!$A$6:$BB$47,32,0),"ECHEC")</f>
        <v>ECHEC</v>
      </c>
      <c r="N6" s="7">
        <f>VLOOKUP($A6,[10]HISTOSEPT24!$A$6:$BB$47,33,0)</f>
        <v>0</v>
      </c>
      <c r="O6" s="7">
        <f t="shared" ref="O6:O19" si="0">IF(P6=0,0,($C$3-P6))</f>
        <v>0</v>
      </c>
      <c r="P6" s="7">
        <f>VLOOKUP($A6,[10]HISTOSEPT24!$A$6:$BB$47,31,0)</f>
        <v>0</v>
      </c>
    </row>
    <row r="7" spans="1:16" x14ac:dyDescent="0.35">
      <c r="A7" s="1" t="s">
        <v>47</v>
      </c>
      <c r="B7" s="7">
        <f>IF(D7=0,0,VLOOKUP($A7,[10]HISTOSEPT24!$A$6:$BQ$47,14,0))</f>
        <v>2</v>
      </c>
      <c r="C7" s="1" t="str">
        <f>VLOOKUP(A7,[11]LISTADHERENT!A$5:H$60,3,0)</f>
        <v xml:space="preserve">DJOMO JEAN PAUL </v>
      </c>
      <c r="D7" s="7">
        <f>IF(E7="ECHEC",0,VLOOKUP($A7,[10]HISTOSEPT24!$A$6:$BB$47,15,0))</f>
        <v>200000</v>
      </c>
      <c r="E7" s="7" t="str">
        <f>VLOOKUP($A7,[10]HISTOSEPT24!$A$6:$BB$47,8,0)</f>
        <v>BANQUE</v>
      </c>
      <c r="F7" s="7">
        <f>VLOOKUP($A7,[10]HISTOSEPT24!$A$6:$BB$47,37,0)</f>
        <v>200000</v>
      </c>
      <c r="G7" s="7">
        <f>VLOOKUP($A7,[10]HISTOSEPT24!$A$6:$BB$47,40,0)</f>
        <v>3000</v>
      </c>
      <c r="H7" s="7" t="str">
        <f>IF(F7&lt;&gt;0,VLOOKUP($A7,[10]HISTOSEPT24!$A$6:$BB$47,42,0),"ECHEC")</f>
        <v>BANQUE</v>
      </c>
      <c r="I7" s="7">
        <f>VLOOKUP($A7,[10]HISTOSEPT24!$A$6:$BB$47,41,0)</f>
        <v>0</v>
      </c>
      <c r="J7" s="7">
        <f>TONTAOUT24!F7+TONTAOUT24!G7</f>
        <v>101000</v>
      </c>
      <c r="K7" s="7">
        <f>VLOOKUP($A7,[10]HISTOSEPT24!$A$6:$BB$47,18,0)</f>
        <v>101000</v>
      </c>
      <c r="L7" s="7" t="str">
        <f>IF(K7&lt;&gt;0,VLOOKUP($A7,[10]HISTOSEPT24!$A$6:$BB$47,42,0),"ECHEC")</f>
        <v>BANQUE</v>
      </c>
      <c r="M7" s="7" t="str">
        <f>IF(P7&lt;&gt;0,VLOOKUP($A7,[10]HISTOSEPT24!$A$6:$BB$47,32,0),"ECHEC")</f>
        <v>ECHEC</v>
      </c>
      <c r="N7" s="7">
        <f>VLOOKUP($A7,[10]HISTOSEPT24!$A$6:$BB$47,33,0)</f>
        <v>0</v>
      </c>
      <c r="O7" s="7">
        <f t="shared" si="0"/>
        <v>0</v>
      </c>
      <c r="P7" s="7">
        <f>VLOOKUP($A7,[10]HISTOSEPT24!$A$6:$BB$47,31,0)</f>
        <v>0</v>
      </c>
    </row>
    <row r="8" spans="1:16" x14ac:dyDescent="0.35">
      <c r="A8" s="1" t="s">
        <v>20</v>
      </c>
      <c r="B8" s="7">
        <f>IF(D8=0,0,VLOOKUP($A8,[10]HISTOSEPT24!$A$6:$BQ$47,14,0))</f>
        <v>2</v>
      </c>
      <c r="C8" s="1" t="str">
        <f>VLOOKUP(A8,[11]LISTADHERENT!A$5:H$60,3,0)</f>
        <v>DJUOMBESSY ANTOINE</v>
      </c>
      <c r="D8" s="7">
        <f>IF(E8="ECHEC",0,VLOOKUP($A8,[10]HISTOSEPT24!$A$6:$BB$47,15,0))</f>
        <v>200000</v>
      </c>
      <c r="E8" s="7" t="str">
        <f>VLOOKUP($A8,[10]HISTOSEPT24!$A$6:$BB$47,8,0)</f>
        <v>BANQUE</v>
      </c>
      <c r="F8" s="7">
        <f>VLOOKUP($A8,[10]HISTOSEPT24!$A$6:$BB$47,37,0)</f>
        <v>200000</v>
      </c>
      <c r="G8" s="7">
        <f>VLOOKUP($A8,[10]HISTOSEPT24!$A$6:$BB$47,40,0)</f>
        <v>3000</v>
      </c>
      <c r="H8" s="7" t="str">
        <f>IF(F8&lt;&gt;0,VLOOKUP($A8,[10]HISTOSEPT24!$A$6:$BB$47,42,0),"ECHEC")</f>
        <v>BANQUE</v>
      </c>
      <c r="I8" s="7">
        <f>VLOOKUP($A8,[10]HISTOSEPT24!$A$6:$BB$47,41,0)</f>
        <v>0</v>
      </c>
      <c r="J8" s="7">
        <f>TONTAOUT24!F8+TONTAOUT24!G8</f>
        <v>202000</v>
      </c>
      <c r="K8" s="7">
        <f>VLOOKUP($A8,[10]HISTOSEPT24!$A$6:$BB$47,18,0)</f>
        <v>202000</v>
      </c>
      <c r="L8" s="7" t="str">
        <f>IF(K8&lt;&gt;0,VLOOKUP($A8,[10]HISTOSEPT24!$A$6:$BB$47,42,0),"ECHEC")</f>
        <v>BANQUE</v>
      </c>
      <c r="M8" s="7" t="str">
        <f>IF(P8&lt;&gt;0,VLOOKUP($A8,[10]HISTOSEPT24!$A$6:$BB$47,32,0),"ECHEC")</f>
        <v>ECHEC</v>
      </c>
      <c r="N8" s="7">
        <f>VLOOKUP($A8,[10]HISTOSEPT24!$A$6:$BB$47,33,0)</f>
        <v>0</v>
      </c>
      <c r="O8" s="7">
        <f t="shared" si="0"/>
        <v>0</v>
      </c>
      <c r="P8" s="7">
        <f>VLOOKUP($A8,[10]HISTOSEPT24!$A$6:$BB$47,31,0)</f>
        <v>0</v>
      </c>
    </row>
    <row r="9" spans="1:16" x14ac:dyDescent="0.35">
      <c r="A9" s="1" t="s">
        <v>21</v>
      </c>
      <c r="B9" s="7">
        <f>IF(D9=0,0,VLOOKUP($A9,[10]HISTOSEPT24!$A$6:$BQ$47,14,0))</f>
        <v>1</v>
      </c>
      <c r="C9" s="1" t="str">
        <f>VLOOKUP(A9,[11]LISTADHERENT!A$5:H$60,3,0)</f>
        <v>HOTCHO BENJAMIN</v>
      </c>
      <c r="D9" s="7">
        <f>IF(E9="ECHEC",0,VLOOKUP($A9,[10]HISTOSEPT24!$A$6:$BB$47,15,0))</f>
        <v>100000</v>
      </c>
      <c r="E9" s="7" t="str">
        <f>VLOOKUP($A9,[10]HISTOSEPT24!$A$6:$BB$47,8,0)</f>
        <v>BANQUE</v>
      </c>
      <c r="F9" s="7">
        <f>VLOOKUP($A9,[10]HISTOSEPT24!$A$6:$BB$47,37,0)</f>
        <v>200000</v>
      </c>
      <c r="G9" s="7">
        <f>VLOOKUP($A9,[10]HISTOSEPT24!$A$6:$BB$47,40,0)</f>
        <v>3500</v>
      </c>
      <c r="H9" s="7" t="str">
        <f>IF(F9&lt;&gt;0,VLOOKUP($A9,[10]HISTOSEPT24!$A$6:$BB$47,42,0),"ECHEC")</f>
        <v>BANQUE</v>
      </c>
      <c r="I9" s="7">
        <f>VLOOKUP($A9,[10]HISTOSEPT24!$A$6:$BB$47,41,0)</f>
        <v>0</v>
      </c>
      <c r="J9" s="7">
        <f>TONTAOUT24!F9+TONTAOUT24!G9</f>
        <v>0</v>
      </c>
      <c r="K9" s="7">
        <f>VLOOKUP($A9,[10]HISTOSEPT24!$A$6:$BB$47,18,0)</f>
        <v>0</v>
      </c>
      <c r="L9" s="7" t="str">
        <f>IF(K9&lt;&gt;0,VLOOKUP($A9,[10]HISTOSEPT24!$A$6:$BB$47,42,0),"ECHEC")</f>
        <v>ECHEC</v>
      </c>
      <c r="M9" s="7" t="str">
        <f>IF(P9&lt;&gt;0,VLOOKUP($A9,[10]HISTOSEPT24!$A$6:$BB$47,32,0),"ECHEC")</f>
        <v>ECHEC</v>
      </c>
      <c r="N9" s="7">
        <f>VLOOKUP($A9,[10]HISTOSEPT24!$A$6:$BB$47,33,0)</f>
        <v>0</v>
      </c>
      <c r="O9" s="7">
        <f t="shared" si="0"/>
        <v>0</v>
      </c>
      <c r="P9" s="7">
        <f>VLOOKUP($A9,[10]HISTOSEPT24!$A$6:$BB$47,31,0)</f>
        <v>0</v>
      </c>
    </row>
    <row r="10" spans="1:16" x14ac:dyDescent="0.35">
      <c r="A10" s="1" t="s">
        <v>26</v>
      </c>
      <c r="B10" s="7">
        <f>IF(D10=0,0,VLOOKUP($A10,[10]HISTOSEPT24!$A$6:$BQ$47,14,0))</f>
        <v>1</v>
      </c>
      <c r="C10" s="1" t="str">
        <f>VLOOKUP(A10,[11]LISTADHERENT!A$5:H$60,3,0)</f>
        <v>KOUAMOU MOISE</v>
      </c>
      <c r="D10" s="7">
        <f>IF(E10="ECHEC",0,VLOOKUP($A10,[10]HISTOSEPT24!$A$6:$BB$47,15,0))</f>
        <v>100000</v>
      </c>
      <c r="E10" s="7" t="str">
        <f>VLOOKUP($A10,[10]HISTOSEPT24!$A$6:$BB$47,8,0)</f>
        <v>BANQUE</v>
      </c>
      <c r="F10" s="7">
        <f>VLOOKUP($A10,[10]HISTOSEPT24!$A$6:$BB$47,37,0)</f>
        <v>200000</v>
      </c>
      <c r="G10" s="7">
        <f>VLOOKUP($A10,[10]HISTOSEPT24!$A$6:$BB$47,40,0)</f>
        <v>2500</v>
      </c>
      <c r="H10" s="7" t="str">
        <f>IF(F10&lt;&gt;0,VLOOKUP($A10,[10]HISTOSEPT24!$A$6:$BB$47,42,0),"ECHEC")</f>
        <v>BANQUE</v>
      </c>
      <c r="I10" s="7">
        <f>VLOOKUP($A10,[10]HISTOSEPT24!$A$6:$BB$47,41,0)</f>
        <v>0</v>
      </c>
      <c r="J10" s="7">
        <f>TONTAOUT24!F10+TONTAOUT24!G10</f>
        <v>202000</v>
      </c>
      <c r="K10" s="7">
        <f>VLOOKUP($A10,[10]HISTOSEPT24!$A$6:$BB$47,18,0)</f>
        <v>202000</v>
      </c>
      <c r="L10" s="7" t="str">
        <f>IF(K10&lt;&gt;0,VLOOKUP($A10,[10]HISTOSEPT24!$A$6:$BB$47,42,0),"ECHEC")</f>
        <v>BANQUE</v>
      </c>
      <c r="M10" s="7" t="str">
        <f>IF(P10&lt;&gt;0,VLOOKUP($A10,[10]HISTOSEPT24!$A$6:$BB$47,32,0),"ECHEC")</f>
        <v>ECHEC</v>
      </c>
      <c r="N10" s="7">
        <f>VLOOKUP($A10,[10]HISTOSEPT24!$A$6:$BB$47,33,0)</f>
        <v>0</v>
      </c>
      <c r="O10" s="7">
        <f t="shared" si="0"/>
        <v>0</v>
      </c>
      <c r="P10" s="7">
        <f>VLOOKUP($A10,[10]HISTOSEPT24!$A$6:$BB$47,31,0)</f>
        <v>0</v>
      </c>
    </row>
    <row r="11" spans="1:16" x14ac:dyDescent="0.35">
      <c r="A11" s="1" t="s">
        <v>8</v>
      </c>
      <c r="B11" s="7">
        <f>IF(D11=0,0,VLOOKUP($A11,[10]HISTOSEPT24!$A$6:$BQ$47,14,0))</f>
        <v>1</v>
      </c>
      <c r="C11" s="1" t="str">
        <f>VLOOKUP(A11,[11]LISTADHERENT!A$5:H$60,3,0)</f>
        <v>KOUATCHO MESSACK</v>
      </c>
      <c r="D11" s="7">
        <f>IF(E11="ECHEC",0,VLOOKUP($A11,[10]HISTOSEPT24!$A$6:$BB$47,15,0))</f>
        <v>100000</v>
      </c>
      <c r="E11" s="7" t="str">
        <f>VLOOKUP($A11,[10]HISTOSEPT24!$A$6:$BB$47,8,0)</f>
        <v>BANQUE</v>
      </c>
      <c r="F11" s="7">
        <f>VLOOKUP($A11,[10]HISTOSEPT24!$A$6:$BB$47,37,0)</f>
        <v>100000</v>
      </c>
      <c r="G11" s="7">
        <f>VLOOKUP($A11,[10]HISTOSEPT24!$A$6:$BB$47,40,0)</f>
        <v>1000</v>
      </c>
      <c r="H11" s="7" t="str">
        <f>IF(F11&lt;&gt;0,VLOOKUP($A11,[10]HISTOSEPT24!$A$6:$BB$47,42,0),"ECHEC")</f>
        <v>BANQUE</v>
      </c>
      <c r="I11" s="7">
        <f>VLOOKUP($A11,[10]HISTOSEPT24!$A$6:$BB$47,41,0)</f>
        <v>0</v>
      </c>
      <c r="J11" s="7">
        <f>TONTAOUT24!F11+TONTAOUT24!G11</f>
        <v>202000</v>
      </c>
      <c r="K11" s="7">
        <f>VLOOKUP($A11,[10]HISTOSEPT24!$A$6:$BB$47,18,0)</f>
        <v>202000</v>
      </c>
      <c r="L11" s="7" t="str">
        <f>IF(K11&lt;&gt;0,VLOOKUP($A11,[10]HISTOSEPT24!$A$6:$BB$47,42,0),"ECHEC")</f>
        <v>BANQUE</v>
      </c>
      <c r="M11" s="7" t="str">
        <f>IF(P11&lt;&gt;0,VLOOKUP($A11,[10]HISTOSEPT24!$A$6:$BB$47,32,0),"ECHEC")</f>
        <v>ECHEC</v>
      </c>
      <c r="N11" s="7">
        <f>VLOOKUP($A11,[10]HISTOSEPT24!$A$6:$BB$47,33,0)</f>
        <v>0</v>
      </c>
      <c r="O11" s="7">
        <f t="shared" si="0"/>
        <v>0</v>
      </c>
      <c r="P11" s="7">
        <f>VLOOKUP($A11,[10]HISTOSEPT24!$A$6:$BB$47,31,0)</f>
        <v>0</v>
      </c>
    </row>
    <row r="12" spans="1:16" x14ac:dyDescent="0.35">
      <c r="A12" s="1" t="s">
        <v>22</v>
      </c>
      <c r="B12" s="7">
        <f>IF(D12=0,0,VLOOKUP($A12,[10]HISTOSEPT24!$A$6:$BQ$47,14,0))</f>
        <v>1</v>
      </c>
      <c r="C12" s="1" t="str">
        <f>VLOOKUP(A12,[11]LISTADHERENT!A$5:H$60,3,0)</f>
        <v>MBOGNING TUGMA GUY</v>
      </c>
      <c r="D12" s="7">
        <f>IF(E12="ECHEC",0,VLOOKUP($A12,[10]HISTOSEPT24!$A$6:$BB$47,15,0))</f>
        <v>100000</v>
      </c>
      <c r="E12" s="7" t="str">
        <f>VLOOKUP($A12,[10]HISTOSEPT24!$A$6:$BB$47,8,0)</f>
        <v>BANQUE</v>
      </c>
      <c r="F12" s="7">
        <f>VLOOKUP($A12,[10]HISTOSEPT24!$A$6:$BB$47,37,0)</f>
        <v>200000</v>
      </c>
      <c r="G12" s="7">
        <f>VLOOKUP($A12,[10]HISTOSEPT24!$A$6:$BB$47,40,0)</f>
        <v>2500</v>
      </c>
      <c r="H12" s="7" t="str">
        <f>IF(F12&lt;&gt;0,VLOOKUP($A12,[10]HISTOSEPT24!$A$6:$BB$47,42,0),"ECHEC")</f>
        <v>BANQUE</v>
      </c>
      <c r="I12" s="7">
        <f>VLOOKUP($A12,[10]HISTOSEPT24!$A$6:$BB$47,41,0)</f>
        <v>0</v>
      </c>
      <c r="J12" s="7">
        <f>TONTAOUT24!F12+TONTAOUT24!G12</f>
        <v>202000</v>
      </c>
      <c r="K12" s="7">
        <f>VLOOKUP($A12,[10]HISTOSEPT24!$A$6:$BB$47,18,0)</f>
        <v>202000</v>
      </c>
      <c r="L12" s="7" t="str">
        <f>IF(K12&lt;&gt;0,VLOOKUP($A12,[10]HISTOSEPT24!$A$6:$BB$47,42,0),"ECHEC")</f>
        <v>BANQUE</v>
      </c>
      <c r="M12" s="7" t="str">
        <f>IF(P12&lt;&gt;0,VLOOKUP($A12,[10]HISTOSEPT24!$A$6:$BB$47,32,0),"ECHEC")</f>
        <v>ECHEC</v>
      </c>
      <c r="N12" s="7">
        <f>VLOOKUP($A12,[10]HISTOSEPT24!$A$6:$BB$47,33,0)</f>
        <v>0</v>
      </c>
      <c r="O12" s="7">
        <f t="shared" si="0"/>
        <v>0</v>
      </c>
      <c r="P12" s="7">
        <f>VLOOKUP($A12,[10]HISTOSEPT24!$A$6:$BB$47,31,0)</f>
        <v>0</v>
      </c>
    </row>
    <row r="13" spans="1:16" x14ac:dyDescent="0.35">
      <c r="A13" s="1" t="s">
        <v>9</v>
      </c>
      <c r="B13" s="7">
        <f>IF(D13=0,0,VLOOKUP($A13,[10]HISTOSEPT24!$A$6:$BQ$47,14,0))</f>
        <v>2</v>
      </c>
      <c r="C13" s="1" t="str">
        <f>VLOOKUP(A13,[11]LISTADHERENT!A$5:H$60,3,0)</f>
        <v>NDJOMO ETIENNE</v>
      </c>
      <c r="D13" s="7">
        <f>IF(E13="ECHEC",0,VLOOKUP($A13,[10]HISTOSEPT24!$A$6:$BB$47,15,0))</f>
        <v>200000</v>
      </c>
      <c r="E13" s="7" t="str">
        <f>VLOOKUP($A13,[10]HISTOSEPT24!$A$6:$BB$47,8,0)</f>
        <v>BANQUE</v>
      </c>
      <c r="F13" s="7">
        <f>VLOOKUP($A13,[10]HISTOSEPT24!$A$6:$BB$47,37,0)</f>
        <v>200000</v>
      </c>
      <c r="G13" s="7">
        <f>VLOOKUP($A13,[10]HISTOSEPT24!$A$6:$BB$47,40,0)</f>
        <v>2500</v>
      </c>
      <c r="H13" s="7" t="str">
        <f>IF(F13&lt;&gt;0,VLOOKUP($A13,[10]HISTOSEPT24!$A$6:$BB$47,42,0),"ECHEC")</f>
        <v>BANQUE</v>
      </c>
      <c r="I13" s="7">
        <f>VLOOKUP($A13,[10]HISTOSEPT24!$A$6:$BB$47,41,0)</f>
        <v>0</v>
      </c>
      <c r="J13" s="7">
        <f>TONTAOUT24!F13+TONTAOUT24!G13</f>
        <v>202000</v>
      </c>
      <c r="K13" s="7">
        <f>VLOOKUP($A13,[10]HISTOSEPT24!$A$6:$BB$47,18,0)</f>
        <v>202000</v>
      </c>
      <c r="L13" s="7" t="str">
        <f>IF(K13&lt;&gt;0,VLOOKUP($A13,[10]HISTOSEPT24!$A$6:$BB$47,42,0),"ECHEC")</f>
        <v>BANQUE</v>
      </c>
      <c r="M13" s="7" t="str">
        <f>IF(P13&lt;&gt;0,VLOOKUP($A13,[10]HISTOSEPT24!$A$6:$BB$47,32,0),"ECHEC")</f>
        <v>BANQUE</v>
      </c>
      <c r="N13" s="7">
        <f>VLOOKUP($A13,[10]HISTOSEPT24!$A$6:$BB$47,33,0)</f>
        <v>0</v>
      </c>
      <c r="O13" s="7">
        <f t="shared" si="0"/>
        <v>1190000</v>
      </c>
      <c r="P13" s="7">
        <f>VLOOKUP($A13,[10]HISTOSEPT24!$A$6:$BB$47,31,0)</f>
        <v>10000</v>
      </c>
    </row>
    <row r="14" spans="1:16" x14ac:dyDescent="0.35">
      <c r="A14" s="1" t="s">
        <v>10</v>
      </c>
      <c r="B14" s="7">
        <f>IF(D14=0,0,VLOOKUP($A14,[10]HISTOSEPT24!$A$6:$BQ$47,14,0))</f>
        <v>1</v>
      </c>
      <c r="C14" s="1" t="str">
        <f>VLOOKUP(A14,[11]LISTADHERENT!A$5:H$60,3,0)</f>
        <v>NGONDIEP CLAUDE</v>
      </c>
      <c r="D14" s="7">
        <f>IF(E14="ECHEC",0,VLOOKUP($A14,[10]HISTOSEPT24!$A$6:$BB$47,15,0))</f>
        <v>100000</v>
      </c>
      <c r="E14" s="7" t="str">
        <f>VLOOKUP($A14,[10]HISTOSEPT24!$A$6:$BB$47,8,0)</f>
        <v>BANQUE</v>
      </c>
      <c r="F14" s="7">
        <f>VLOOKUP($A14,[10]HISTOSEPT24!$A$6:$BB$47,37,0)</f>
        <v>200000</v>
      </c>
      <c r="G14" s="7">
        <f>VLOOKUP($A14,[10]HISTOSEPT24!$A$6:$BB$47,40,0)</f>
        <v>2000</v>
      </c>
      <c r="H14" s="7" t="str">
        <f>IF(F14&lt;&gt;0,VLOOKUP($A14,[10]HISTOSEPT24!$A$6:$BB$47,42,0),"ECHEC")</f>
        <v>BANQUE</v>
      </c>
      <c r="I14" s="7">
        <f>VLOOKUP($A14,[10]HISTOSEPT24!$A$6:$BB$47,41,0)</f>
        <v>0</v>
      </c>
      <c r="J14" s="7">
        <f>TONTAOUT24!F14+TONTAOUT24!G14</f>
        <v>206000</v>
      </c>
      <c r="K14" s="7">
        <f>VLOOKUP($A14,[10]HISTOSEPT24!$A$6:$BB$47,18,0)</f>
        <v>206000</v>
      </c>
      <c r="L14" s="7" t="str">
        <f>IF(K14&lt;&gt;0,VLOOKUP($A14,[10]HISTOSEPT24!$A$6:$BB$47,42,0),"ECHEC")</f>
        <v>BANQUE</v>
      </c>
      <c r="M14" s="7" t="str">
        <f>IF(P14&lt;&gt;0,VLOOKUP($A14,[10]HISTOSEPT24!$A$6:$BB$47,32,0),"ECHEC")</f>
        <v>ECHEC</v>
      </c>
      <c r="N14" s="7">
        <f>VLOOKUP($A14,[10]HISTOSEPT24!$A$6:$BB$47,33,0)</f>
        <v>0</v>
      </c>
      <c r="O14" s="7">
        <f t="shared" si="0"/>
        <v>0</v>
      </c>
      <c r="P14" s="7">
        <f>VLOOKUP($A14,[10]HISTOSEPT24!$A$6:$BB$47,31,0)</f>
        <v>0</v>
      </c>
    </row>
    <row r="15" spans="1:16" x14ac:dyDescent="0.35">
      <c r="A15" s="1" t="s">
        <v>43</v>
      </c>
      <c r="B15" s="7">
        <f>IF(D15=0,0,VLOOKUP($A15,[10]HISTOSEPT24!$A$6:$BQ$47,14,0))</f>
        <v>1</v>
      </c>
      <c r="C15" s="1" t="str">
        <f>VLOOKUP(A15,[11]LISTADHERENT!A$5:H$60,3,0)</f>
        <v>NGUIEMEGNI MATHIEU BLAISE</v>
      </c>
      <c r="D15" s="7">
        <f>IF(E15="ECHEC",0,VLOOKUP($A15,[10]HISTOSEPT24!$A$6:$BB$47,15,0))</f>
        <v>100000</v>
      </c>
      <c r="E15" s="7" t="str">
        <f>VLOOKUP($A15,[10]HISTOSEPT24!$A$6:$BB$47,8,0)</f>
        <v>BANQUE</v>
      </c>
      <c r="F15" s="7">
        <f>VLOOKUP($A15,[10]HISTOSEPT24!$A$6:$BB$47,37,0)</f>
        <v>200000</v>
      </c>
      <c r="G15" s="7">
        <f>VLOOKUP($A15,[10]HISTOSEPT24!$A$6:$BB$47,40,0)</f>
        <v>3000</v>
      </c>
      <c r="H15" s="7" t="str">
        <f>IF(F15&lt;&gt;0,VLOOKUP($A15,[10]HISTOSEPT24!$A$6:$BB$47,42,0),"ECHEC")</f>
        <v>BANQUE</v>
      </c>
      <c r="I15" s="7">
        <f>VLOOKUP($A15,[10]HISTOSEPT24!$A$6:$BB$47,41,0)</f>
        <v>0</v>
      </c>
      <c r="J15" s="7">
        <f>TONTAOUT24!F15+TONTAOUT24!G15</f>
        <v>0</v>
      </c>
      <c r="K15" s="7">
        <f>VLOOKUP($A15,[10]HISTOSEPT24!$A$6:$BB$47,18,0)</f>
        <v>0</v>
      </c>
      <c r="L15" s="7" t="str">
        <f>IF(K15&lt;&gt;0,VLOOKUP($A15,[10]HISTOSEPT24!$A$6:$BB$47,42,0),"ECHEC")</f>
        <v>ECHEC</v>
      </c>
      <c r="M15" s="7" t="str">
        <f>IF(P15&lt;&gt;0,VLOOKUP($A15,[10]HISTOSEPT24!$A$6:$BB$47,32,0),"ECHEC")</f>
        <v>ECHEC</v>
      </c>
      <c r="N15" s="7">
        <f>VLOOKUP($A15,[10]HISTOSEPT24!$A$6:$BB$47,33,0)</f>
        <v>0</v>
      </c>
      <c r="O15" s="7">
        <f t="shared" si="0"/>
        <v>0</v>
      </c>
      <c r="P15" s="7">
        <f>VLOOKUP($A15,[10]HISTOSEPT24!$A$6:$BB$47,31,0)</f>
        <v>0</v>
      </c>
    </row>
    <row r="16" spans="1:16" x14ac:dyDescent="0.35">
      <c r="A16" s="1" t="s">
        <v>54</v>
      </c>
      <c r="B16" s="7">
        <f>IF(D16=0,0,VLOOKUP($A16,[10]HISTOSEPT24!$A$6:$BQ$47,14,0))</f>
        <v>2</v>
      </c>
      <c r="C16" s="1" t="str">
        <f>VLOOKUP(A16,[11]LISTADHERENT!A$5:H$60,3,0)</f>
        <v>SIME BRICE</v>
      </c>
      <c r="D16" s="7">
        <f>IF(E16="ECHEC",0,VLOOKUP($A16,[10]HISTOSEPT24!$A$6:$BB$47,15,0))</f>
        <v>200000</v>
      </c>
      <c r="E16" s="7" t="str">
        <f>VLOOKUP($A16,[10]HISTOSEPT24!$A$6:$BB$47,8,0)</f>
        <v>BANQUE</v>
      </c>
      <c r="F16" s="7">
        <f>VLOOKUP($A16,[10]HISTOSEPT24!$A$6:$BB$47,37,0)</f>
        <v>200000</v>
      </c>
      <c r="G16" s="7">
        <f>VLOOKUP($A16,[10]HISTOSEPT24!$A$6:$BB$47,40,0)</f>
        <v>2000</v>
      </c>
      <c r="H16" s="7">
        <f>IF(F16&lt;&gt;0,VLOOKUP($A16,[10]HISTOSEPT24!$A$6:$BB$47,42,0),"ECHEC")</f>
        <v>0</v>
      </c>
      <c r="I16" s="7">
        <f>VLOOKUP($A16,[10]HISTOSEPT24!$A$6:$BB$47,41,0)</f>
        <v>0</v>
      </c>
      <c r="J16" s="7">
        <f>TONTAOUT24!F16+TONTAOUT24!G16</f>
        <v>0</v>
      </c>
      <c r="K16" s="7">
        <f>VLOOKUP($A16,[10]HISTOSEPT24!$A$6:$BB$47,18,0)</f>
        <v>0</v>
      </c>
      <c r="L16" s="7" t="str">
        <f>IF(K16&lt;&gt;0,VLOOKUP($A16,[10]HISTOSEPT24!$A$6:$BB$47,42,0),"ECHEC")</f>
        <v>ECHEC</v>
      </c>
      <c r="M16" s="7" t="str">
        <f>IF(P16&lt;&gt;0,VLOOKUP($A16,[10]HISTOSEPT24!$A$6:$BB$47,32,0),"ECHEC")</f>
        <v>ECHEC</v>
      </c>
      <c r="N16" s="7">
        <f>VLOOKUP($A16,[10]HISTOSEPT24!$A$6:$BB$47,33,0)</f>
        <v>0</v>
      </c>
      <c r="O16" s="7">
        <f t="shared" si="0"/>
        <v>0</v>
      </c>
      <c r="P16" s="7">
        <f>VLOOKUP($A16,[10]HISTOSEPT24!$A$6:$BB$47,31,0)</f>
        <v>0</v>
      </c>
    </row>
    <row r="17" spans="1:16" x14ac:dyDescent="0.35">
      <c r="A17" s="1" t="s">
        <v>55</v>
      </c>
      <c r="B17" s="7">
        <f>IF(D17=0,0,VLOOKUP($A17,[10]HISTOSEPT24!$A$6:$BQ$47,14,0))</f>
        <v>1</v>
      </c>
      <c r="C17" s="1" t="str">
        <f>VLOOKUP(A17,[11]LISTADHERENT!A$5:H$60,3,0)</f>
        <v>TCHOUATEU AUGUSTIN</v>
      </c>
      <c r="D17" s="7">
        <f>IF(E17="ECHEC",0,VLOOKUP($A17,[10]HISTOSEPT24!$A$6:$BB$47,15,0))</f>
        <v>100000</v>
      </c>
      <c r="E17" s="7" t="str">
        <f>VLOOKUP($A17,[10]HISTOSEPT24!$A$6:$BB$47,8,0)</f>
        <v>BANQUE</v>
      </c>
      <c r="F17" s="7">
        <f>VLOOKUP($A17,[10]HISTOSEPT24!$A$6:$BB$47,37,0)</f>
        <v>0</v>
      </c>
      <c r="G17" s="7">
        <f>VLOOKUP($A17,[10]HISTOSEPT24!$A$6:$BB$47,40,0)</f>
        <v>0</v>
      </c>
      <c r="H17" s="7" t="str">
        <f>IF(F17&lt;&gt;0,VLOOKUP($A17,[10]HISTOSEPT24!$A$6:$BB$47,42,0),"ECHEC")</f>
        <v>ECHEC</v>
      </c>
      <c r="I17" s="7">
        <f>VLOOKUP($A17,[10]HISTOSEPT24!$A$6:$BB$47,41,0)</f>
        <v>0</v>
      </c>
      <c r="J17" s="7">
        <f>TONTAOUT24!F17+TONTAOUT24!G17</f>
        <v>0</v>
      </c>
      <c r="K17" s="7">
        <f>VLOOKUP($A17,[10]HISTOSEPT24!$A$6:$BB$47,18,0)</f>
        <v>0</v>
      </c>
      <c r="L17" s="7" t="str">
        <f>IF(K17&lt;&gt;0,VLOOKUP($A17,[10]HISTOSEPT24!$A$6:$BB$47,42,0),"ECHEC")</f>
        <v>ECHEC</v>
      </c>
      <c r="M17" s="7" t="str">
        <f>IF(P17&lt;&gt;0,VLOOKUP($A17,[10]HISTOSEPT24!$A$6:$BB$47,32,0),"ECHEC")</f>
        <v>BANQUE</v>
      </c>
      <c r="N17" s="7">
        <f>VLOOKUP($A17,[10]HISTOSEPT24!$A$6:$BB$47,33,0)</f>
        <v>0</v>
      </c>
      <c r="O17" s="7">
        <f t="shared" si="0"/>
        <v>1190000</v>
      </c>
      <c r="P17" s="7">
        <f>VLOOKUP($A17,[10]HISTOSEPT24!$A$6:$BB$47,31,0)</f>
        <v>10000</v>
      </c>
    </row>
    <row r="18" spans="1:16" x14ac:dyDescent="0.35">
      <c r="A18" s="1" t="s">
        <v>46</v>
      </c>
      <c r="B18" s="7">
        <f>IF(D18=0,0,VLOOKUP($A18,[10]HISTOSEPT24!$A$6:$BQ$47,14,0))</f>
        <v>1</v>
      </c>
      <c r="C18" s="1" t="str">
        <f>VLOOKUP(A18,[11]LISTADHERENT!A$5:H$60,3,0)</f>
        <v>SIMO PIERRE</v>
      </c>
      <c r="D18" s="7">
        <f>IF(E18="ECHEC",0,VLOOKUP($A18,[10]HISTOSEPT24!$A$6:$BB$47,15,0))</f>
        <v>100000</v>
      </c>
      <c r="E18" s="7" t="str">
        <f>VLOOKUP($A18,[10]HISTOSEPT24!$A$6:$BB$47,8,0)</f>
        <v>BANQUE</v>
      </c>
      <c r="F18" s="7">
        <f>VLOOKUP($A18,[10]HISTOSEPT24!$A$6:$BB$47,37,0)</f>
        <v>0</v>
      </c>
      <c r="G18" s="7">
        <f>VLOOKUP($A18,[10]HISTOSEPT24!$A$6:$BB$47,40,0)</f>
        <v>0</v>
      </c>
      <c r="H18" s="7" t="str">
        <f>IF(F18&lt;&gt;0,VLOOKUP($A18,[10]HISTOSEPT24!$A$6:$BB$47,42,0),"ECHEC")</f>
        <v>ECHEC</v>
      </c>
      <c r="I18" s="7">
        <f>VLOOKUP($A18,[10]HISTOSEPT24!$A$6:$BB$47,41,0)</f>
        <v>0</v>
      </c>
      <c r="J18" s="7">
        <f>TONTAOUT24!F18+TONTAOUT24!G18</f>
        <v>0</v>
      </c>
      <c r="K18" s="7">
        <f>VLOOKUP($A18,[10]HISTOSEPT24!$A$6:$BB$47,18,0)</f>
        <v>0</v>
      </c>
      <c r="L18" s="7" t="str">
        <f>IF(K18&lt;&gt;0,VLOOKUP($A18,[10]HISTOSEPT24!$A$6:$BB$47,42,0),"ECHEC")</f>
        <v>ECHEC</v>
      </c>
      <c r="M18" s="7" t="str">
        <f>IF(P18&lt;&gt;0,VLOOKUP($A18,[10]HISTOSEPT24!$A$6:$BB$47,32,0),"ECHEC")</f>
        <v>ECHEC</v>
      </c>
      <c r="N18" s="7">
        <f>VLOOKUP($A18,[10]HISTOSEPT24!$A$6:$BB$47,33,0)</f>
        <v>0</v>
      </c>
      <c r="O18" s="7">
        <f t="shared" si="0"/>
        <v>0</v>
      </c>
      <c r="P18" s="7">
        <f>VLOOKUP($A18,[10]HISTOSEPT24!$A$6:$BB$47,31,0)</f>
        <v>0</v>
      </c>
    </row>
    <row r="19" spans="1:16" x14ac:dyDescent="0.35">
      <c r="A19" s="1" t="s">
        <v>53</v>
      </c>
      <c r="B19" s="7">
        <f>IF(D19=0,0,VLOOKUP($A19,[10]HISTOSEPT24!$A$6:$BQ$47,14,0))</f>
        <v>1</v>
      </c>
      <c r="C19" s="1" t="str">
        <f>VLOOKUP(A19,[11]LISTADHERENT!A$5:H$60,3,0)</f>
        <v>YIALA ALAIN OSCAR</v>
      </c>
      <c r="D19" s="7">
        <f>IF(E19="ECHEC",0,VLOOKUP($A19,[10]HISTOSEPT24!$A$6:$BB$47,15,0))</f>
        <v>100000</v>
      </c>
      <c r="E19" s="7" t="str">
        <f>VLOOKUP($A19,[10]HISTOSEPT24!$A$6:$BB$47,8,0)</f>
        <v>ESPECES</v>
      </c>
      <c r="F19" s="7">
        <f>VLOOKUP($A19,[10]HISTOSEPT24!$A$6:$BB$47,37,0)</f>
        <v>0</v>
      </c>
      <c r="G19" s="7">
        <f>VLOOKUP($A19,[10]HISTOSEPT24!$A$6:$BB$47,40,0)</f>
        <v>0</v>
      </c>
      <c r="H19" s="7" t="str">
        <f>IF(F19&lt;&gt;0,VLOOKUP($A19,[10]HISTOSEPT24!$A$6:$BB$47,42,0),"ECHEC")</f>
        <v>ECHEC</v>
      </c>
      <c r="I19" s="7">
        <f>VLOOKUP($A19,[10]HISTOSEPT24!$A$6:$BB$47,41,0)</f>
        <v>0</v>
      </c>
      <c r="J19" s="7">
        <f>TONTAOUT24!F19+TONTAOUT24!G19</f>
        <v>0</v>
      </c>
      <c r="K19" s="7">
        <f>VLOOKUP($A19,[10]HISTOSEPT24!$A$6:$BB$47,18,0)</f>
        <v>0</v>
      </c>
      <c r="L19" s="7" t="str">
        <f>IF(K19&lt;&gt;0,VLOOKUP($A19,[10]HISTOSEPT24!$A$6:$BB$47,42,0),"ECHEC")</f>
        <v>ECHEC</v>
      </c>
      <c r="M19" s="7" t="str">
        <f>IF(P19&lt;&gt;0,VLOOKUP($A19,[10]HISTOSEPT24!$A$6:$BB$47,32,0),"ECHEC")</f>
        <v>BANQUE</v>
      </c>
      <c r="N19" s="7">
        <f>VLOOKUP($A19,[10]HISTOSEPT24!$A$6:$BB$47,33,0)</f>
        <v>0</v>
      </c>
      <c r="O19" s="7">
        <f t="shared" si="0"/>
        <v>1190000</v>
      </c>
      <c r="P19" s="7">
        <f>VLOOKUP($A19,[10]HISTOSEPT24!$A$6:$BB$47,31,0)</f>
        <v>10000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1900000</v>
      </c>
      <c r="G22" s="8">
        <f t="shared" si="1"/>
        <v>25000</v>
      </c>
      <c r="H22" s="8">
        <f t="shared" si="1"/>
        <v>0</v>
      </c>
      <c r="I22" s="8">
        <f t="shared" si="1"/>
        <v>0</v>
      </c>
      <c r="J22" s="8">
        <f t="shared" si="1"/>
        <v>1317000</v>
      </c>
      <c r="K22" s="8">
        <f t="shared" si="1"/>
        <v>1317000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3570000</v>
      </c>
      <c r="P22" s="8">
        <f t="shared" si="1"/>
        <v>30000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D28+E28+P22+TONTAOUT24!N29</f>
        <v>4909000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3600000</v>
      </c>
      <c r="M25" s="8">
        <f>D3</f>
        <v>4</v>
      </c>
      <c r="N25" s="8">
        <f>COUNTIF(O6:O19,"&gt;0")</f>
        <v>3</v>
      </c>
      <c r="O25" s="8"/>
    </row>
    <row r="26" spans="1:16" s="2" customFormat="1" ht="17.5" x14ac:dyDescent="0.35">
      <c r="C26" s="8" t="s">
        <v>7</v>
      </c>
      <c r="D26" s="8">
        <f>SUMIFS(D6:D20,E6:E20,"BANQUE")</f>
        <v>1700000</v>
      </c>
      <c r="E26" s="8">
        <f>SUMIFS(K6:K20,L6:L20,"BANQUE")</f>
        <v>1317000</v>
      </c>
      <c r="F26" s="8">
        <f>SUMIFS(F6:F20,H6:H20,"BANQUE")</f>
        <v>1700000</v>
      </c>
      <c r="G26" s="8">
        <f>SUMIFS(O6:O20,M6:M20,"BANQUE")</f>
        <v>3570000</v>
      </c>
      <c r="H26" s="8">
        <f>D26+E26-F26-G26</f>
        <v>-2253000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1309000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1317000</v>
      </c>
      <c r="F28" s="8">
        <f>F25+F26</f>
        <v>1700000</v>
      </c>
      <c r="G28" s="8">
        <f t="shared" ref="G28:H28" si="2">G25+G26</f>
        <v>3570000</v>
      </c>
      <c r="H28" s="8">
        <f t="shared" si="2"/>
        <v>-2153000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-591000</v>
      </c>
      <c r="M29"/>
      <c r="N29" s="8">
        <f>L29</f>
        <v>-591000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9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4"/>
  <sheetViews>
    <sheetView workbookViewId="0">
      <pane xSplit="3" ySplit="5" topLeftCell="I18" activePane="bottomRight" state="frozen"/>
      <selection activeCell="G6" sqref="G6:G39"/>
      <selection pane="topRight" activeCell="G6" sqref="G6:G39"/>
      <selection pane="bottomLeft" activeCell="G6" sqref="G6:G39"/>
      <selection pane="bottomRight" activeCell="F22" sqref="F22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7.5" x14ac:dyDescent="0.35">
      <c r="B4" s="13"/>
      <c r="C4" s="37">
        <v>45578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IF(D6=0,0,VLOOKUP($A6,[10]HISTOOCT24!$A$6:$BQ$47,14,0))</f>
        <v>1</v>
      </c>
      <c r="C6" s="1" t="str">
        <f>VLOOKUP(A6,[11]LISTADHERENT!A$5:H$60,3,0)</f>
        <v>ASELBY</v>
      </c>
      <c r="D6" s="7">
        <f>IF(E6="ECHEC",0,VLOOKUP($A6,[10]HISTOOCT24!$A$6:$BB$47,15,0))</f>
        <v>100000</v>
      </c>
      <c r="E6" s="7" t="str">
        <f>VLOOKUP($A6,[10]HISTOOCT24!$A$6:$BB$47,8,0)</f>
        <v>BANQUE</v>
      </c>
      <c r="F6" s="7">
        <f>VLOOKUP($A6,[10]HISTOOCT24!$A$6:$BB$47,37,0)</f>
        <v>0</v>
      </c>
      <c r="G6" s="7">
        <f>VLOOKUP($A6,[10]HISTOOCT24!$A$6:$BB$47,40,0)</f>
        <v>0</v>
      </c>
      <c r="H6" s="7" t="str">
        <f>IF(F6&lt;&gt;0,VLOOKUP($A6,[10]HISTOOCT24!$A$6:$BB$47,42,0),"ECHEC")</f>
        <v>ECHEC</v>
      </c>
      <c r="I6" s="7">
        <f>VLOOKUP($A6,[10]HISTOOCT24!$A$6:$BB$47,41,0)</f>
        <v>0</v>
      </c>
      <c r="J6" s="7">
        <f>TONTSEPT24!F6+TONTSEPT24!G6</f>
        <v>0</v>
      </c>
      <c r="K6" s="7">
        <f>VLOOKUP($A6,[10]HISTOOCT24!$A$6:$BB$47,18,0)</f>
        <v>0</v>
      </c>
      <c r="L6" s="7" t="str">
        <f>IF(K6&lt;&gt;0,VLOOKUP($A6,[10]HISTOOCT24!$A$6:$BB$47,42,0),"ECHEC")</f>
        <v>ECHEC</v>
      </c>
      <c r="M6" s="7" t="str">
        <f>IF(P6&lt;&gt;0,VLOOKUP($A6,[10]HISTOOCT24!$A$6:$BB$47,32,0),"ECHEC")</f>
        <v>ECHEC</v>
      </c>
      <c r="N6" s="7">
        <f>VLOOKUP($A6,[10]HISTOOCT24!$A$6:$BB$47,33,0)</f>
        <v>0</v>
      </c>
      <c r="O6" s="7">
        <f t="shared" ref="O6:O19" si="0">IF(P6=0,0,($C$3-P6))</f>
        <v>0</v>
      </c>
      <c r="P6" s="7">
        <f>VLOOKUP($A6,[10]HISTOOCT24!$A$6:$BB$47,31,0)</f>
        <v>0</v>
      </c>
    </row>
    <row r="7" spans="1:16" x14ac:dyDescent="0.35">
      <c r="A7" s="1" t="s">
        <v>47</v>
      </c>
      <c r="B7" s="7">
        <f>IF(D7=0,0,VLOOKUP($A7,[10]HISTOOCT24!$A$6:$BQ$47,14,0))</f>
        <v>2</v>
      </c>
      <c r="C7" s="1" t="str">
        <f>VLOOKUP(A7,[11]LISTADHERENT!A$5:H$60,3,0)</f>
        <v xml:space="preserve">DJOMO JEAN PAUL </v>
      </c>
      <c r="D7" s="7">
        <f>IF(E7="ECHEC",0,VLOOKUP($A7,[10]HISTOOCT24!$A$6:$BB$47,15,0))</f>
        <v>200000</v>
      </c>
      <c r="E7" s="7" t="str">
        <f>VLOOKUP($A7,[10]HISTOOCT24!$A$6:$BB$47,8,0)</f>
        <v>BANQUE</v>
      </c>
      <c r="F7" s="7">
        <f>VLOOKUP($A7,[10]HISTOOCT24!$A$6:$BB$47,37,0)</f>
        <v>150000</v>
      </c>
      <c r="G7" s="7">
        <f>VLOOKUP($A7,[10]HISTOOCT24!$A$6:$BB$47,40,0)</f>
        <v>1500</v>
      </c>
      <c r="H7" s="7" t="str">
        <f>IF(F7&lt;&gt;0,VLOOKUP($A7,[10]HISTOOCT24!$A$6:$BB$47,42,0),"ECHEC")</f>
        <v>BANQUE</v>
      </c>
      <c r="I7" s="7">
        <f>VLOOKUP($A7,[10]HISTOOCT24!$A$6:$BB$47,41,0)</f>
        <v>0</v>
      </c>
      <c r="J7" s="7">
        <f>TONTSEPT24!F7+TONTSEPT24!G7</f>
        <v>203000</v>
      </c>
      <c r="K7" s="7">
        <f>VLOOKUP($A7,[10]HISTOOCT24!$A$6:$BB$47,18,0)</f>
        <v>203000</v>
      </c>
      <c r="L7" s="7" t="str">
        <f>IF(K7&lt;&gt;0,VLOOKUP($A7,[10]HISTOOCT24!$A$6:$BB$47,42,0),"ECHEC")</f>
        <v>BANQUE</v>
      </c>
      <c r="M7" s="7" t="str">
        <f>IF(P7&lt;&gt;0,VLOOKUP($A7,[10]HISTOOCT24!$A$6:$BB$47,32,0),"ECHEC")</f>
        <v>BANQUE</v>
      </c>
      <c r="N7" s="7">
        <f>VLOOKUP($A7,[10]HISTOOCT24!$A$6:$BB$47,33,0)</f>
        <v>0</v>
      </c>
      <c r="O7" s="7">
        <f t="shared" si="0"/>
        <v>1190000</v>
      </c>
      <c r="P7" s="7">
        <f>VLOOKUP($A7,[10]HISTOOCT24!$A$6:$BB$47,31,0)</f>
        <v>10000</v>
      </c>
    </row>
    <row r="8" spans="1:16" x14ac:dyDescent="0.35">
      <c r="A8" s="1" t="s">
        <v>20</v>
      </c>
      <c r="B8" s="7">
        <f>IF(D8=0,0,VLOOKUP($A8,[10]HISTOOCT24!$A$6:$BQ$47,14,0))</f>
        <v>2</v>
      </c>
      <c r="C8" s="1" t="str">
        <f>VLOOKUP(A8,[11]LISTADHERENT!A$5:H$60,3,0)</f>
        <v>DJUOMBESSY ANTOINE</v>
      </c>
      <c r="D8" s="7">
        <f>IF(E8="ECHEC",0,VLOOKUP($A8,[10]HISTOOCT24!$A$6:$BB$47,15,0))</f>
        <v>200000</v>
      </c>
      <c r="E8" s="7" t="str">
        <f>VLOOKUP($A8,[10]HISTOOCT24!$A$6:$BB$47,8,0)</f>
        <v>BANQUE</v>
      </c>
      <c r="F8" s="7">
        <f>VLOOKUP($A8,[10]HISTOOCT24!$A$6:$BB$47,37,0)</f>
        <v>400000</v>
      </c>
      <c r="G8" s="7">
        <f>VLOOKUP($A8,[10]HISTOOCT24!$A$6:$BB$47,40,0)</f>
        <v>4000</v>
      </c>
      <c r="H8" s="7" t="str">
        <f>IF(F8&lt;&gt;0,VLOOKUP($A8,[10]HISTOOCT24!$A$6:$BB$47,42,0),"ECHEC")</f>
        <v>BANQUE</v>
      </c>
      <c r="I8" s="7">
        <f>VLOOKUP($A8,[10]HISTOOCT24!$A$6:$BB$47,41,0)</f>
        <v>0</v>
      </c>
      <c r="J8" s="7">
        <f>TONTSEPT24!F8+TONTSEPT24!G8</f>
        <v>203000</v>
      </c>
      <c r="K8" s="7">
        <f>VLOOKUP($A8,[10]HISTOOCT24!$A$6:$BB$47,18,0)</f>
        <v>203000</v>
      </c>
      <c r="L8" s="7" t="str">
        <f>IF(K8&lt;&gt;0,VLOOKUP($A8,[10]HISTOOCT24!$A$6:$BB$47,42,0),"ECHEC")</f>
        <v>BANQUE</v>
      </c>
      <c r="M8" s="7" t="str">
        <f>IF(P8&lt;&gt;0,VLOOKUP($A8,[10]HISTOOCT24!$A$6:$BB$47,32,0),"ECHEC")</f>
        <v>ECHEC</v>
      </c>
      <c r="N8" s="7">
        <f>VLOOKUP($A8,[10]HISTOOCT24!$A$6:$BB$47,33,0)</f>
        <v>0</v>
      </c>
      <c r="O8" s="7">
        <f t="shared" si="0"/>
        <v>0</v>
      </c>
      <c r="P8" s="7">
        <f>VLOOKUP($A8,[10]HISTOOCT24!$A$6:$BB$47,31,0)</f>
        <v>0</v>
      </c>
    </row>
    <row r="9" spans="1:16" x14ac:dyDescent="0.35">
      <c r="A9" s="1" t="s">
        <v>21</v>
      </c>
      <c r="B9" s="7">
        <f>IF(D9=0,0,VLOOKUP($A9,[10]HISTOOCT24!$A$6:$BQ$47,14,0))</f>
        <v>1</v>
      </c>
      <c r="C9" s="1" t="str">
        <f>VLOOKUP(A9,[11]LISTADHERENT!A$5:H$60,3,0)</f>
        <v>HOTCHO BENJAMIN</v>
      </c>
      <c r="D9" s="7">
        <f>IF(E9="ECHEC",0,VLOOKUP($A9,[10]HISTOOCT24!$A$6:$BB$47,15,0))</f>
        <v>100000</v>
      </c>
      <c r="E9" s="7" t="str">
        <f>VLOOKUP($A9,[10]HISTOOCT24!$A$6:$BB$47,8,0)</f>
        <v>BANQUE</v>
      </c>
      <c r="F9" s="7">
        <f>VLOOKUP($A9,[10]HISTOOCT24!$A$6:$BB$47,37,0)</f>
        <v>300000</v>
      </c>
      <c r="G9" s="7">
        <f>VLOOKUP($A9,[10]HISTOOCT24!$A$6:$BB$47,40,0)</f>
        <v>3000</v>
      </c>
      <c r="H9" s="7" t="str">
        <f>IF(F9&lt;&gt;0,VLOOKUP($A9,[10]HISTOOCT24!$A$6:$BB$47,42,0),"ECHEC")</f>
        <v>BANQUE</v>
      </c>
      <c r="I9" s="7">
        <f>VLOOKUP($A9,[10]HISTOOCT24!$A$6:$BB$47,41,0)</f>
        <v>0</v>
      </c>
      <c r="J9" s="7">
        <f>TONTSEPT24!F9+TONTSEPT24!G9</f>
        <v>203500</v>
      </c>
      <c r="K9" s="7">
        <f>VLOOKUP($A9,[10]HISTOOCT24!$A$6:$BB$47,18,0)</f>
        <v>203500</v>
      </c>
      <c r="L9" s="7" t="str">
        <f>IF(K9&lt;&gt;0,VLOOKUP($A9,[10]HISTOOCT24!$A$6:$BB$47,42,0),"ECHEC")</f>
        <v>BANQUE</v>
      </c>
      <c r="M9" s="7" t="str">
        <f>IF(P9&lt;&gt;0,VLOOKUP($A9,[10]HISTOOCT24!$A$6:$BB$47,32,0),"ECHEC")</f>
        <v>ECHEC</v>
      </c>
      <c r="N9" s="7">
        <f>VLOOKUP($A9,[10]HISTOOCT24!$A$6:$BB$47,33,0)</f>
        <v>0</v>
      </c>
      <c r="O9" s="7">
        <f t="shared" si="0"/>
        <v>0</v>
      </c>
      <c r="P9" s="7">
        <f>VLOOKUP($A9,[10]HISTOOCT24!$A$6:$BB$47,31,0)</f>
        <v>0</v>
      </c>
    </row>
    <row r="10" spans="1:16" x14ac:dyDescent="0.35">
      <c r="A10" s="1" t="s">
        <v>26</v>
      </c>
      <c r="B10" s="7">
        <f>IF(D10=0,0,VLOOKUP($A10,[10]HISTOOCT24!$A$6:$BQ$47,14,0))</f>
        <v>1</v>
      </c>
      <c r="C10" s="1" t="str">
        <f>VLOOKUP(A10,[11]LISTADHERENT!A$5:H$60,3,0)</f>
        <v>KOUAMOU MOISE</v>
      </c>
      <c r="D10" s="7">
        <f>IF(E10="ECHEC",0,VLOOKUP($A10,[10]HISTOOCT24!$A$6:$BB$47,15,0))</f>
        <v>100000</v>
      </c>
      <c r="E10" s="7" t="str">
        <f>VLOOKUP($A10,[10]HISTOOCT24!$A$6:$BB$47,8,0)</f>
        <v>BANQUE</v>
      </c>
      <c r="F10" s="7">
        <f>VLOOKUP($A10,[10]HISTOOCT24!$A$6:$BB$47,37,0)</f>
        <v>150000</v>
      </c>
      <c r="G10" s="7">
        <f>VLOOKUP($A10,[10]HISTOOCT24!$A$6:$BB$47,40,0)</f>
        <v>1500</v>
      </c>
      <c r="H10" s="7" t="str">
        <f>IF(F10&lt;&gt;0,VLOOKUP($A10,[10]HISTOOCT24!$A$6:$BB$47,42,0),"ECHEC")</f>
        <v>BANQUE</v>
      </c>
      <c r="I10" s="7">
        <f>VLOOKUP($A10,[10]HISTOOCT24!$A$6:$BB$47,41,0)</f>
        <v>0</v>
      </c>
      <c r="J10" s="7">
        <f>TONTSEPT24!F10+TONTSEPT24!G10</f>
        <v>202500</v>
      </c>
      <c r="K10" s="7">
        <f>VLOOKUP($A10,[10]HISTOOCT24!$A$6:$BB$47,18,0)</f>
        <v>202500</v>
      </c>
      <c r="L10" s="7" t="str">
        <f>IF(K10&lt;&gt;0,VLOOKUP($A10,[10]HISTOOCT24!$A$6:$BB$47,42,0),"ECHEC")</f>
        <v>BANQUE</v>
      </c>
      <c r="M10" s="7" t="str">
        <f>IF(P10&lt;&gt;0,VLOOKUP($A10,[10]HISTOOCT24!$A$6:$BB$47,32,0),"ECHEC")</f>
        <v>ECHEC</v>
      </c>
      <c r="N10" s="7">
        <f>VLOOKUP($A10,[10]HISTOOCT24!$A$6:$BB$47,33,0)</f>
        <v>0</v>
      </c>
      <c r="O10" s="7">
        <f t="shared" si="0"/>
        <v>0</v>
      </c>
      <c r="P10" s="7">
        <f>VLOOKUP($A10,[10]HISTOOCT24!$A$6:$BB$47,31,0)</f>
        <v>0</v>
      </c>
    </row>
    <row r="11" spans="1:16" x14ac:dyDescent="0.35">
      <c r="A11" s="1" t="s">
        <v>8</v>
      </c>
      <c r="B11" s="7">
        <f>IF(D11=0,0,VLOOKUP($A11,[10]HISTOOCT24!$A$6:$BQ$47,14,0))</f>
        <v>1</v>
      </c>
      <c r="C11" s="1" t="str">
        <f>VLOOKUP(A11,[11]LISTADHERENT!A$5:H$60,3,0)</f>
        <v>KOUATCHO MESSACK</v>
      </c>
      <c r="D11" s="7">
        <f>IF(E11="ECHEC",0,VLOOKUP($A11,[10]HISTOOCT24!$A$6:$BB$47,15,0))</f>
        <v>100000</v>
      </c>
      <c r="E11" s="7" t="str">
        <f>VLOOKUP($A11,[10]HISTOOCT24!$A$6:$BB$47,8,0)</f>
        <v>BANQUE</v>
      </c>
      <c r="F11" s="7">
        <f>VLOOKUP($A11,[10]HISTOOCT24!$A$6:$BB$47,37,0)</f>
        <v>0</v>
      </c>
      <c r="G11" s="7">
        <f>VLOOKUP($A11,[10]HISTOOCT24!$A$6:$BB$47,40,0)</f>
        <v>0</v>
      </c>
      <c r="H11" s="7" t="str">
        <f>IF(F11&lt;&gt;0,VLOOKUP($A11,[10]HISTOOCT24!$A$6:$BB$47,42,0),"ECHEC")</f>
        <v>ECHEC</v>
      </c>
      <c r="I11" s="7">
        <f>VLOOKUP($A11,[10]HISTOOCT24!$A$6:$BB$47,41,0)</f>
        <v>0</v>
      </c>
      <c r="J11" s="7">
        <f>TONTSEPT24!F11+TONTSEPT24!G11</f>
        <v>101000</v>
      </c>
      <c r="K11" s="7">
        <f>VLOOKUP($A11,[10]HISTOOCT24!$A$6:$BB$47,18,0)</f>
        <v>101000</v>
      </c>
      <c r="L11" s="7" t="str">
        <f>IF(K11&lt;&gt;0,VLOOKUP($A11,[10]HISTOOCT24!$A$6:$BB$47,42,0),"ECHEC")</f>
        <v>BANQUE</v>
      </c>
      <c r="M11" s="7" t="str">
        <f>IF(P11&lt;&gt;0,VLOOKUP($A11,[10]HISTOOCT24!$A$6:$BB$47,32,0),"ECHEC")</f>
        <v>ECHEC</v>
      </c>
      <c r="N11" s="7">
        <f>VLOOKUP($A11,[10]HISTOOCT24!$A$6:$BB$47,33,0)</f>
        <v>0</v>
      </c>
      <c r="O11" s="7">
        <f t="shared" si="0"/>
        <v>0</v>
      </c>
      <c r="P11" s="7">
        <f>VLOOKUP($A11,[10]HISTOOCT24!$A$6:$BB$47,31,0)</f>
        <v>0</v>
      </c>
    </row>
    <row r="12" spans="1:16" x14ac:dyDescent="0.35">
      <c r="A12" s="1" t="s">
        <v>22</v>
      </c>
      <c r="B12" s="7">
        <f>IF(D12=0,0,VLOOKUP($A12,[10]HISTOOCT24!$A$6:$BQ$47,14,0))</f>
        <v>1</v>
      </c>
      <c r="C12" s="1" t="str">
        <f>VLOOKUP(A12,[11]LISTADHERENT!A$5:H$60,3,0)</f>
        <v>MBOGNING TUGMA GUY</v>
      </c>
      <c r="D12" s="7">
        <f>IF(E12="ECHEC",0,VLOOKUP($A12,[10]HISTOOCT24!$A$6:$BB$47,15,0))</f>
        <v>100000</v>
      </c>
      <c r="E12" s="7" t="str">
        <f>VLOOKUP($A12,[10]HISTOOCT24!$A$6:$BB$47,8,0)</f>
        <v>BANQUE</v>
      </c>
      <c r="F12" s="7">
        <f>VLOOKUP($A12,[10]HISTOOCT24!$A$6:$BB$47,37,0)</f>
        <v>400000</v>
      </c>
      <c r="G12" s="7">
        <f>VLOOKUP($A12,[10]HISTOOCT24!$A$6:$BB$47,40,0)</f>
        <v>4000</v>
      </c>
      <c r="H12" s="7" t="str">
        <f>IF(F12&lt;&gt;0,VLOOKUP($A12,[10]HISTOOCT24!$A$6:$BB$47,42,0),"ECHEC")</f>
        <v>BANQUE</v>
      </c>
      <c r="I12" s="7">
        <f>VLOOKUP($A12,[10]HISTOOCT24!$A$6:$BB$47,41,0)</f>
        <v>0</v>
      </c>
      <c r="J12" s="7">
        <f>TONTSEPT24!F12+TONTSEPT24!G12</f>
        <v>202500</v>
      </c>
      <c r="K12" s="7">
        <f>VLOOKUP($A12,[10]HISTOOCT24!$A$6:$BB$47,18,0)</f>
        <v>202500</v>
      </c>
      <c r="L12" s="7" t="str">
        <f>IF(K12&lt;&gt;0,VLOOKUP($A12,[10]HISTOOCT24!$A$6:$BB$47,42,0),"ECHEC")</f>
        <v>BANQUE</v>
      </c>
      <c r="M12" s="7" t="str">
        <f>IF(P12&lt;&gt;0,VLOOKUP($A12,[10]HISTOOCT24!$A$6:$BB$47,32,0),"ECHEC")</f>
        <v>ECHEC</v>
      </c>
      <c r="N12" s="7">
        <f>VLOOKUP($A12,[10]HISTOOCT24!$A$6:$BB$47,33,0)</f>
        <v>0</v>
      </c>
      <c r="O12" s="7">
        <f t="shared" si="0"/>
        <v>0</v>
      </c>
      <c r="P12" s="7">
        <f>VLOOKUP($A12,[10]HISTOOCT24!$A$6:$BB$47,31,0)</f>
        <v>0</v>
      </c>
    </row>
    <row r="13" spans="1:16" x14ac:dyDescent="0.35">
      <c r="A13" s="1" t="s">
        <v>9</v>
      </c>
      <c r="B13" s="7">
        <f>IF(D13=0,0,VLOOKUP($A13,[10]HISTOOCT24!$A$6:$BQ$47,14,0))</f>
        <v>2</v>
      </c>
      <c r="C13" s="1" t="str">
        <f>VLOOKUP(A13,[11]LISTADHERENT!A$5:H$60,3,0)</f>
        <v>NDJOMO ETIENNE</v>
      </c>
      <c r="D13" s="7">
        <f>IF(E13="ECHEC",0,VLOOKUP($A13,[10]HISTOOCT24!$A$6:$BB$47,15,0))</f>
        <v>200000</v>
      </c>
      <c r="E13" s="7" t="str">
        <f>VLOOKUP($A13,[10]HISTOOCT24!$A$6:$BB$47,8,0)</f>
        <v>BANQUE</v>
      </c>
      <c r="F13" s="7">
        <f>VLOOKUP($A13,[10]HISTOOCT24!$A$6:$BB$47,37,0)</f>
        <v>200000</v>
      </c>
      <c r="G13" s="7">
        <f>VLOOKUP($A13,[10]HISTOOCT24!$A$6:$BB$47,40,0)</f>
        <v>2000</v>
      </c>
      <c r="H13" s="7" t="str">
        <f>IF(F13&lt;&gt;0,VLOOKUP($A13,[10]HISTOOCT24!$A$6:$BB$47,42,0),"ECHEC")</f>
        <v>BANQUE</v>
      </c>
      <c r="I13" s="7">
        <f>VLOOKUP($A13,[10]HISTOOCT24!$A$6:$BB$47,41,0)</f>
        <v>0</v>
      </c>
      <c r="J13" s="7">
        <f>TONTSEPT24!F13+TONTSEPT24!G13</f>
        <v>202500</v>
      </c>
      <c r="K13" s="7">
        <f>VLOOKUP($A13,[10]HISTOOCT24!$A$6:$BB$47,18,0)</f>
        <v>202500</v>
      </c>
      <c r="L13" s="7" t="str">
        <f>IF(K13&lt;&gt;0,VLOOKUP($A13,[10]HISTOOCT24!$A$6:$BB$47,42,0),"ECHEC")</f>
        <v>BANQUE</v>
      </c>
      <c r="M13" s="7" t="str">
        <f>IF(P13&lt;&gt;0,VLOOKUP($A13,[10]HISTOOCT24!$A$6:$BB$47,32,0),"ECHEC")</f>
        <v>ECHEC</v>
      </c>
      <c r="N13" s="7">
        <f>VLOOKUP($A13,[10]HISTOOCT24!$A$6:$BB$47,33,0)</f>
        <v>0</v>
      </c>
      <c r="O13" s="7">
        <f t="shared" si="0"/>
        <v>0</v>
      </c>
      <c r="P13" s="7">
        <f>VLOOKUP($A13,[10]HISTOOCT24!$A$6:$BB$47,31,0)</f>
        <v>0</v>
      </c>
    </row>
    <row r="14" spans="1:16" x14ac:dyDescent="0.35">
      <c r="A14" s="1" t="s">
        <v>10</v>
      </c>
      <c r="B14" s="7">
        <f>IF(D14=0,0,VLOOKUP($A14,[10]HISTOOCT24!$A$6:$BQ$47,14,0))</f>
        <v>1</v>
      </c>
      <c r="C14" s="1" t="str">
        <f>VLOOKUP(A14,[11]LISTADHERENT!A$5:H$60,3,0)</f>
        <v>NGONDIEP CLAUDE</v>
      </c>
      <c r="D14" s="7">
        <f>IF(E14="ECHEC",0,VLOOKUP($A14,[10]HISTOOCT24!$A$6:$BB$47,15,0))</f>
        <v>100000</v>
      </c>
      <c r="E14" s="7" t="str">
        <f>VLOOKUP($A14,[10]HISTOOCT24!$A$6:$BB$47,8,0)</f>
        <v>ESPECES</v>
      </c>
      <c r="F14" s="7">
        <f>VLOOKUP($A14,[10]HISTOOCT24!$A$6:$BB$47,37,0)</f>
        <v>200000</v>
      </c>
      <c r="G14" s="7">
        <f>VLOOKUP($A14,[10]HISTOOCT24!$A$6:$BB$47,40,0)</f>
        <v>2000</v>
      </c>
      <c r="H14" s="7" t="str">
        <f>IF(F14&lt;&gt;0,VLOOKUP($A14,[10]HISTOOCT24!$A$6:$BB$47,42,0),"ECHEC")</f>
        <v>BANQUE</v>
      </c>
      <c r="I14" s="7">
        <f>VLOOKUP($A14,[10]HISTOOCT24!$A$6:$BB$47,41,0)</f>
        <v>0</v>
      </c>
      <c r="J14" s="7">
        <f>TONTSEPT24!F14+TONTSEPT24!G14</f>
        <v>202000</v>
      </c>
      <c r="K14" s="7">
        <f>VLOOKUP($A14,[10]HISTOOCT24!$A$6:$BB$47,18,0)</f>
        <v>202000</v>
      </c>
      <c r="L14" s="7" t="str">
        <f>IF(K14&lt;&gt;0,VLOOKUP($A14,[10]HISTOOCT24!$A$6:$BB$47,42,0),"ECHEC")</f>
        <v>BANQUE</v>
      </c>
      <c r="M14" s="7" t="str">
        <f>IF(P14&lt;&gt;0,VLOOKUP($A14,[10]HISTOOCT24!$A$6:$BB$47,32,0),"ECHEC")</f>
        <v>ECHEC</v>
      </c>
      <c r="N14" s="7">
        <f>VLOOKUP($A14,[10]HISTOOCT24!$A$6:$BB$47,33,0)</f>
        <v>0</v>
      </c>
      <c r="O14" s="7">
        <f t="shared" si="0"/>
        <v>0</v>
      </c>
      <c r="P14" s="7">
        <f>VLOOKUP($A14,[10]HISTOOCT24!$A$6:$BB$47,31,0)</f>
        <v>0</v>
      </c>
    </row>
    <row r="15" spans="1:16" x14ac:dyDescent="0.35">
      <c r="A15" s="1" t="s">
        <v>43</v>
      </c>
      <c r="B15" s="7">
        <f>IF(D15=0,0,VLOOKUP($A15,[10]HISTOOCT24!$A$6:$BQ$47,14,0))</f>
        <v>1</v>
      </c>
      <c r="C15" s="1" t="str">
        <f>VLOOKUP(A15,[11]LISTADHERENT!A$5:H$60,3,0)</f>
        <v>NGUIEMEGNI MATHIEU BLAISE</v>
      </c>
      <c r="D15" s="7">
        <f>IF(E15="ECHEC",0,VLOOKUP($A15,[10]HISTOOCT24!$A$6:$BB$47,15,0))</f>
        <v>100000</v>
      </c>
      <c r="E15" s="7" t="str">
        <f>VLOOKUP($A15,[10]HISTOOCT24!$A$6:$BB$47,8,0)</f>
        <v>BANQUE</v>
      </c>
      <c r="F15" s="7">
        <f>VLOOKUP($A15,[10]HISTOOCT24!$A$6:$BB$47,37,0)</f>
        <v>100000</v>
      </c>
      <c r="G15" s="7">
        <f>VLOOKUP($A15,[10]HISTOOCT24!$A$6:$BB$47,40,0)</f>
        <v>1000</v>
      </c>
      <c r="H15" s="7" t="str">
        <f>IF(F15&lt;&gt;0,VLOOKUP($A15,[10]HISTOOCT24!$A$6:$BB$47,42,0),"ECHEC")</f>
        <v>BANQUE</v>
      </c>
      <c r="I15" s="7">
        <f>VLOOKUP($A15,[10]HISTOOCT24!$A$6:$BB$47,41,0)</f>
        <v>0</v>
      </c>
      <c r="J15" s="7">
        <f>TONTSEPT24!F15+TONTSEPT24!G15</f>
        <v>203000</v>
      </c>
      <c r="K15" s="7">
        <f>VLOOKUP($A15,[10]HISTOOCT24!$A$6:$BB$47,18,0)</f>
        <v>203000</v>
      </c>
      <c r="L15" s="7" t="str">
        <f>IF(K15&lt;&gt;0,VLOOKUP($A15,[10]HISTOOCT24!$A$6:$BB$47,42,0),"ECHEC")</f>
        <v>BANQUE</v>
      </c>
      <c r="M15" s="7" t="str">
        <f>IF(P15&lt;&gt;0,VLOOKUP($A15,[10]HISTOOCT24!$A$6:$BB$47,32,0),"ECHEC")</f>
        <v>ECHEC</v>
      </c>
      <c r="N15" s="7">
        <f>VLOOKUP($A15,[10]HISTOOCT24!$A$6:$BB$47,33,0)</f>
        <v>0</v>
      </c>
      <c r="O15" s="7">
        <f t="shared" si="0"/>
        <v>0</v>
      </c>
      <c r="P15" s="7">
        <f>VLOOKUP($A15,[10]HISTOOCT24!$A$6:$BB$47,31,0)</f>
        <v>0</v>
      </c>
    </row>
    <row r="16" spans="1:16" x14ac:dyDescent="0.35">
      <c r="A16" s="1" t="s">
        <v>54</v>
      </c>
      <c r="B16" s="7">
        <f>IF(D16=0,0,VLOOKUP($A16,[10]HISTOOCT24!$A$6:$BQ$47,14,0))</f>
        <v>2</v>
      </c>
      <c r="C16" s="1" t="str">
        <f>VLOOKUP(A16,[11]LISTADHERENT!A$5:H$60,3,0)</f>
        <v>SIME BRICE</v>
      </c>
      <c r="D16" s="7">
        <f>IF(E16="ECHEC",0,VLOOKUP($A16,[10]HISTOOCT24!$A$6:$BB$47,15,0))</f>
        <v>200000</v>
      </c>
      <c r="E16" s="7" t="str">
        <f>VLOOKUP($A16,[10]HISTOOCT24!$A$6:$BB$47,8,0)</f>
        <v>BANQUE</v>
      </c>
      <c r="F16" s="7">
        <f>VLOOKUP($A16,[10]HISTOOCT24!$A$6:$BB$47,37,0)</f>
        <v>0</v>
      </c>
      <c r="G16" s="7">
        <f>VLOOKUP($A16,[10]HISTOOCT24!$A$6:$BB$47,40,0)</f>
        <v>0</v>
      </c>
      <c r="H16" s="7" t="str">
        <f>IF(F16&lt;&gt;0,VLOOKUP($A16,[10]HISTOOCT24!$A$6:$BB$47,42,0),"ECHEC")</f>
        <v>ECHEC</v>
      </c>
      <c r="I16" s="7">
        <f>VLOOKUP($A16,[10]HISTOOCT24!$A$6:$BB$47,41,0)</f>
        <v>0</v>
      </c>
      <c r="J16" s="7">
        <f>TONTSEPT24!F16+TONTSEPT24!G16</f>
        <v>202000</v>
      </c>
      <c r="K16" s="7">
        <f>VLOOKUP($A16,[10]HISTOOCT24!$A$6:$BB$47,18,0)</f>
        <v>202000</v>
      </c>
      <c r="L16" s="7" t="str">
        <f>IF(K16&lt;&gt;0,VLOOKUP($A16,[10]HISTOOCT24!$A$6:$BB$47,42,0),"ECHEC")</f>
        <v>BANQUE</v>
      </c>
      <c r="M16" s="7" t="str">
        <f>IF(P16&lt;&gt;0,VLOOKUP($A16,[10]HISTOOCT24!$A$6:$BB$47,32,0),"ECHEC")</f>
        <v>ECHEC</v>
      </c>
      <c r="N16" s="7">
        <f>VLOOKUP($A16,[10]HISTOOCT24!$A$6:$BB$47,33,0)</f>
        <v>0</v>
      </c>
      <c r="O16" s="7">
        <f t="shared" si="0"/>
        <v>0</v>
      </c>
      <c r="P16" s="7">
        <f>VLOOKUP($A16,[10]HISTOOCT24!$A$6:$BB$47,31,0)</f>
        <v>0</v>
      </c>
    </row>
    <row r="17" spans="1:16" x14ac:dyDescent="0.35">
      <c r="A17" s="1" t="s">
        <v>55</v>
      </c>
      <c r="B17" s="7">
        <f>IF(D17=0,0,VLOOKUP($A17,[10]HISTOOCT24!$A$6:$BQ$47,14,0))</f>
        <v>1</v>
      </c>
      <c r="C17" s="1" t="str">
        <f>VLOOKUP(A17,[11]LISTADHERENT!A$5:H$60,3,0)</f>
        <v>TCHOUATEU AUGUSTIN</v>
      </c>
      <c r="D17" s="7">
        <f>IF(E17="ECHEC",0,VLOOKUP($A17,[10]HISTOOCT24!$A$6:$BB$47,15,0))</f>
        <v>100000</v>
      </c>
      <c r="E17" s="7" t="str">
        <f>VLOOKUP($A17,[10]HISTOOCT24!$A$6:$BB$47,8,0)</f>
        <v>BANQUE</v>
      </c>
      <c r="F17" s="7">
        <f>VLOOKUP($A17,[10]HISTOOCT24!$A$6:$BB$47,37,0)</f>
        <v>0</v>
      </c>
      <c r="G17" s="7">
        <f>VLOOKUP($A17,[10]HISTOOCT24!$A$6:$BB$47,40,0)</f>
        <v>0</v>
      </c>
      <c r="H17" s="7" t="str">
        <f>IF(F17&lt;&gt;0,VLOOKUP($A17,[10]HISTOOCT24!$A$6:$BB$47,42,0),"ECHEC")</f>
        <v>ECHEC</v>
      </c>
      <c r="I17" s="7">
        <f>VLOOKUP($A17,[10]HISTOOCT24!$A$6:$BB$47,41,0)</f>
        <v>0</v>
      </c>
      <c r="J17" s="7">
        <f>TONTSEPT24!F17+TONTSEPT24!G17</f>
        <v>0</v>
      </c>
      <c r="K17" s="7">
        <f>VLOOKUP($A17,[10]HISTOOCT24!$A$6:$BB$47,18,0)</f>
        <v>0</v>
      </c>
      <c r="L17" s="7" t="str">
        <f>IF(K17&lt;&gt;0,VLOOKUP($A17,[10]HISTOOCT24!$A$6:$BB$47,42,0),"ECHEC")</f>
        <v>ECHEC</v>
      </c>
      <c r="M17" s="7" t="str">
        <f>IF(P17&lt;&gt;0,VLOOKUP($A17,[10]HISTOOCT24!$A$6:$BB$47,32,0),"ECHEC")</f>
        <v>ECHEC</v>
      </c>
      <c r="N17" s="7">
        <f>VLOOKUP($A17,[10]HISTOOCT24!$A$6:$BB$47,33,0)</f>
        <v>0</v>
      </c>
      <c r="O17" s="7">
        <f t="shared" si="0"/>
        <v>0</v>
      </c>
      <c r="P17" s="7">
        <f>VLOOKUP($A17,[10]HISTOOCT24!$A$6:$BB$47,31,0)</f>
        <v>0</v>
      </c>
    </row>
    <row r="18" spans="1:16" x14ac:dyDescent="0.35">
      <c r="A18" s="1" t="s">
        <v>46</v>
      </c>
      <c r="B18" s="7">
        <f>IF(D18=0,0,VLOOKUP($A18,[10]HISTOOCT24!$A$6:$BQ$47,14,0))</f>
        <v>1</v>
      </c>
      <c r="C18" s="1" t="str">
        <f>VLOOKUP(A18,[11]LISTADHERENT!A$5:H$60,3,0)</f>
        <v>SIMO PIERRE</v>
      </c>
      <c r="D18" s="7">
        <f>IF(E18="ECHEC",0,VLOOKUP($A18,[10]HISTOOCT24!$A$6:$BB$47,15,0))</f>
        <v>100000</v>
      </c>
      <c r="E18" s="7" t="str">
        <f>VLOOKUP($A18,[10]HISTOOCT24!$A$6:$BB$47,8,0)</f>
        <v>BANQUE</v>
      </c>
      <c r="F18" s="7">
        <f>VLOOKUP($A18,[10]HISTOOCT24!$A$6:$BB$47,37,0)</f>
        <v>0</v>
      </c>
      <c r="G18" s="7">
        <f>VLOOKUP($A18,[10]HISTOOCT24!$A$6:$BB$47,40,0)</f>
        <v>0</v>
      </c>
      <c r="H18" s="7" t="str">
        <f>IF(F18&lt;&gt;0,VLOOKUP($A18,[10]HISTOOCT24!$A$6:$BB$47,42,0),"ECHEC")</f>
        <v>ECHEC</v>
      </c>
      <c r="I18" s="7">
        <f>VLOOKUP($A18,[10]HISTOOCT24!$A$6:$BB$47,41,0)</f>
        <v>0</v>
      </c>
      <c r="J18" s="7">
        <f>TONTSEPT24!F18+TONTSEPT24!G18</f>
        <v>0</v>
      </c>
      <c r="K18" s="7">
        <f>VLOOKUP($A18,[10]HISTOOCT24!$A$6:$BB$47,18,0)</f>
        <v>0</v>
      </c>
      <c r="L18" s="7" t="str">
        <f>IF(K18&lt;&gt;0,VLOOKUP($A18,[10]HISTOOCT24!$A$6:$BB$47,42,0),"ECHEC")</f>
        <v>ECHEC</v>
      </c>
      <c r="M18" s="7" t="str">
        <f>IF(P18&lt;&gt;0,VLOOKUP($A18,[10]HISTOOCT24!$A$6:$BB$47,32,0),"ECHEC")</f>
        <v>ECHEC</v>
      </c>
      <c r="N18" s="7">
        <f>VLOOKUP($A18,[10]HISTOOCT24!$A$6:$BB$47,33,0)</f>
        <v>0</v>
      </c>
      <c r="O18" s="7">
        <f t="shared" si="0"/>
        <v>0</v>
      </c>
      <c r="P18" s="7">
        <f>VLOOKUP($A18,[10]HISTOOCT24!$A$6:$BB$47,31,0)</f>
        <v>0</v>
      </c>
    </row>
    <row r="19" spans="1:16" x14ac:dyDescent="0.35">
      <c r="A19" s="1" t="s">
        <v>53</v>
      </c>
      <c r="B19" s="7">
        <f>IF(D19=0,0,VLOOKUP($A19,[10]HISTOOCT24!$A$6:$BQ$47,14,0))</f>
        <v>1</v>
      </c>
      <c r="C19" s="1" t="str">
        <f>VLOOKUP(A19,[11]LISTADHERENT!A$5:H$60,3,0)</f>
        <v>YIALA ALAIN OSCAR</v>
      </c>
      <c r="D19" s="7">
        <f>IF(E19="ECHEC",0,VLOOKUP($A19,[10]HISTOOCT24!$A$6:$BB$47,15,0))</f>
        <v>100000</v>
      </c>
      <c r="E19" s="7" t="str">
        <f>VLOOKUP($A19,[10]HISTOOCT24!$A$6:$BB$47,8,0)</f>
        <v>ESPECES</v>
      </c>
      <c r="F19" s="7">
        <f>VLOOKUP($A19,[10]HISTOOCT24!$A$6:$BB$47,37,0)</f>
        <v>0</v>
      </c>
      <c r="G19" s="7">
        <f>VLOOKUP($A19,[10]HISTOOCT24!$A$6:$BB$47,40,0)</f>
        <v>0</v>
      </c>
      <c r="H19" s="7" t="str">
        <f>IF(F19&lt;&gt;0,VLOOKUP($A19,[10]HISTOOCT24!$A$6:$BB$47,42,0),"ECHEC")</f>
        <v>ECHEC</v>
      </c>
      <c r="I19" s="7">
        <f>VLOOKUP($A19,[10]HISTOOCT24!$A$6:$BB$47,41,0)</f>
        <v>0</v>
      </c>
      <c r="J19" s="7">
        <f>TONTSEPT24!F19+TONTSEPT24!G19</f>
        <v>0</v>
      </c>
      <c r="K19" s="7">
        <f>VLOOKUP($A19,[10]HISTOOCT24!$A$6:$BB$47,18,0)</f>
        <v>0</v>
      </c>
      <c r="L19" s="7" t="str">
        <f>IF(K19&lt;&gt;0,VLOOKUP($A19,[10]HISTOOCT24!$A$6:$BB$47,42,0),"ECHEC")</f>
        <v>ECHEC</v>
      </c>
      <c r="M19" s="7" t="str">
        <f>IF(P19&lt;&gt;0,VLOOKUP($A19,[10]HISTOOCT24!$A$6:$BB$47,32,0),"ECHEC")</f>
        <v>ECHEC</v>
      </c>
      <c r="N19" s="7">
        <f>VLOOKUP($A19,[10]HISTOOCT24!$A$6:$BB$47,33,0)</f>
        <v>0</v>
      </c>
      <c r="O19" s="7">
        <f t="shared" si="0"/>
        <v>0</v>
      </c>
      <c r="P19" s="7">
        <f>VLOOKUP($A19,[10]HISTOOCT24!$A$6:$BB$47,31,0)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1900000</v>
      </c>
      <c r="G22" s="8">
        <f t="shared" si="1"/>
        <v>19000</v>
      </c>
      <c r="H22" s="8">
        <f t="shared" si="1"/>
        <v>0</v>
      </c>
      <c r="I22" s="8">
        <f t="shared" si="1"/>
        <v>0</v>
      </c>
      <c r="J22" s="8">
        <f t="shared" si="1"/>
        <v>1925000</v>
      </c>
      <c r="K22" s="8">
        <f t="shared" si="1"/>
        <v>1925000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1190000</v>
      </c>
      <c r="P22" s="8">
        <f t="shared" si="1"/>
        <v>10000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D28+E28+P22+TONTSEPT24!N29</f>
        <v>3144000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200000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200000</v>
      </c>
      <c r="I25" s="8"/>
      <c r="K25" s="8" t="s">
        <v>34</v>
      </c>
      <c r="L25" s="8">
        <f>C3*COUNTIF(O6:O20,"&gt;0")</f>
        <v>1200000</v>
      </c>
      <c r="M25" s="8">
        <f>D3</f>
        <v>2</v>
      </c>
      <c r="N25" s="8">
        <f>COUNTIF(O6:O19,"&gt;0")</f>
        <v>1</v>
      </c>
      <c r="O25" s="8"/>
    </row>
    <row r="26" spans="1:16" s="2" customFormat="1" ht="17.5" x14ac:dyDescent="0.35">
      <c r="C26" s="8" t="s">
        <v>7</v>
      </c>
      <c r="D26" s="8">
        <f>SUMIFS(D6:D20,E6:E20,"BANQUE")</f>
        <v>1600000</v>
      </c>
      <c r="E26" s="8">
        <f>SUMIFS(K6:K20,L6:L20,"BANQUE")</f>
        <v>1925000</v>
      </c>
      <c r="F26" s="8">
        <f>SUMIFS(F6:F20,H6:H20,"BANQUE")</f>
        <v>1900000</v>
      </c>
      <c r="G26" s="8">
        <f>SUMIFS(O6:O20,M6:M20,"BANQUE")</f>
        <v>1190000</v>
      </c>
      <c r="H26" s="8">
        <f>D26+E26-F26-G26</f>
        <v>435000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1944000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1925000</v>
      </c>
      <c r="F28" s="8">
        <f>F25+F26</f>
        <v>1900000</v>
      </c>
      <c r="G28" s="8">
        <f t="shared" ref="G28:H28" si="2">G25+G26</f>
        <v>1190000</v>
      </c>
      <c r="H28" s="8">
        <f t="shared" si="2"/>
        <v>635000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44000</v>
      </c>
      <c r="M29"/>
      <c r="N29" s="8">
        <f>L29</f>
        <v>44000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A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4"/>
  <sheetViews>
    <sheetView workbookViewId="0">
      <pane xSplit="3" ySplit="5" topLeftCell="F15" activePane="bottomRight" state="frozen"/>
      <selection activeCell="G6" sqref="G6:G39"/>
      <selection pane="topRight" activeCell="G6" sqref="G6:G39"/>
      <selection pane="bottomLeft" activeCell="G6" sqref="G6:G39"/>
      <selection pane="bottomRight" activeCell="L29" sqref="L29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3</v>
      </c>
      <c r="E3" s="1"/>
      <c r="L3" s="1"/>
      <c r="M3" s="1"/>
    </row>
    <row r="4" spans="1:16" s="12" customFormat="1" ht="17.5" x14ac:dyDescent="0.35">
      <c r="B4" s="13"/>
      <c r="C4" s="37">
        <v>45609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IF(D6=0,0,VLOOKUP($A6,[10]HISTONOV24!$A$6:$BQ$47,14,0))</f>
        <v>1</v>
      </c>
      <c r="C6" s="1" t="str">
        <f>VLOOKUP(A6,[11]LISTADHERENT!A$5:H$60,3,0)</f>
        <v>ASELBY</v>
      </c>
      <c r="D6" s="7">
        <f>IF(E6="ECHEC",0,VLOOKUP($A6,[10]HISTONOV24!$A$6:$BB$47,15,0))</f>
        <v>100000</v>
      </c>
      <c r="E6" s="7" t="str">
        <f>VLOOKUP($A6,[10]HISTONOV24!$A$6:$BB$47,8,0)</f>
        <v>BANQUE</v>
      </c>
      <c r="F6" s="7">
        <f>VLOOKUP($A6,[10]HISTONOV24!$A$6:$BB$47,37,0)</f>
        <v>0</v>
      </c>
      <c r="G6" s="7">
        <f>VLOOKUP($A6,[10]HISTONOV24!$A$6:$BB$47,40,0)</f>
        <v>0</v>
      </c>
      <c r="H6" s="7" t="str">
        <f>IF(F6&lt;&gt;0,VLOOKUP($A6,[10]HISTONOV24!$A$6:$BB$47,42,0),"ECHEC")</f>
        <v>ECHEC</v>
      </c>
      <c r="I6" s="7">
        <f>VLOOKUP($A6,[10]HISTONOV24!$A$6:$BB$47,41,0)</f>
        <v>0</v>
      </c>
      <c r="J6" s="7">
        <f>TONTOCT24!F6+TONTOCT24!G6</f>
        <v>0</v>
      </c>
      <c r="K6" s="7">
        <f>VLOOKUP($A6,[10]HISTONOV24!$A$6:$BB$47,18,0)</f>
        <v>0</v>
      </c>
      <c r="L6" s="7" t="str">
        <f>IF(K6&lt;&gt;0,VLOOKUP($A6,[10]HISTONOV24!$A$6:$BB$47,42,0),"ECHEC")</f>
        <v>ECHEC</v>
      </c>
      <c r="M6" s="7" t="str">
        <f>IF(P6&lt;&gt;0,VLOOKUP($A6,[10]HISTONOV24!$A$6:$BB$47,32,0),"ECHEC")</f>
        <v>ECHEC</v>
      </c>
      <c r="N6" s="7">
        <f>VLOOKUP($A6,[10]HISTONOV24!$A$6:$BB$47,33,0)</f>
        <v>0</v>
      </c>
      <c r="O6" s="7">
        <f t="shared" ref="O6:O19" si="0">IF(P6=0,0,($C$3-P6))</f>
        <v>0</v>
      </c>
      <c r="P6" s="7">
        <f>VLOOKUP($A6,[10]HISTONOV24!$A$6:$BB$47,31,0)</f>
        <v>0</v>
      </c>
    </row>
    <row r="7" spans="1:16" x14ac:dyDescent="0.35">
      <c r="A7" s="1" t="s">
        <v>47</v>
      </c>
      <c r="B7" s="7">
        <f>IF(D7=0,0,VLOOKUP($A7,[10]HISTONOV24!$A$6:$BQ$47,14,0))</f>
        <v>2</v>
      </c>
      <c r="C7" s="1" t="str">
        <f>VLOOKUP(A7,[11]LISTADHERENT!A$5:H$60,3,0)</f>
        <v xml:space="preserve">DJOMO JEAN PAUL </v>
      </c>
      <c r="D7" s="7">
        <f>IF(E7="ECHEC",0,VLOOKUP($A7,[10]HISTONOV24!$A$6:$BB$47,15,0))</f>
        <v>200000</v>
      </c>
      <c r="E7" s="7" t="str">
        <f>VLOOKUP($A7,[10]HISTONOV24!$A$6:$BB$47,8,0)</f>
        <v>BANQUE</v>
      </c>
      <c r="F7" s="7">
        <f>VLOOKUP($A7,[10]HISTONOV24!$A$6:$BB$47,37,0)</f>
        <v>100000</v>
      </c>
      <c r="G7" s="7">
        <f>VLOOKUP($A7,[10]HISTONOV24!$A$6:$BB$47,40,0)</f>
        <v>1000</v>
      </c>
      <c r="H7" s="7" t="str">
        <f>IF(F7&lt;&gt;0,VLOOKUP($A7,[10]HISTONOV24!$A$6:$BB$47,42,0),"ECHEC")</f>
        <v>BANQUE</v>
      </c>
      <c r="I7" s="7">
        <f>VLOOKUP($A7,[10]HISTONOV24!$A$6:$BB$47,41,0)</f>
        <v>0</v>
      </c>
      <c r="J7" s="7">
        <f>TONTOCT24!F7+TONTOCT24!G7</f>
        <v>151500</v>
      </c>
      <c r="K7" s="7">
        <f>VLOOKUP($A7,[10]HISTONOV24!$A$6:$BB$47,18,0)</f>
        <v>151500</v>
      </c>
      <c r="L7" s="7" t="str">
        <f>IF(K7&lt;&gt;0,VLOOKUP($A7,[10]HISTONOV24!$A$6:$BB$47,42,0),"ECHEC")</f>
        <v>BANQUE</v>
      </c>
      <c r="M7" s="7" t="str">
        <f>IF(P7&lt;&gt;0,VLOOKUP($A7,[10]HISTONOV24!$A$6:$BB$47,32,0),"ECHEC")</f>
        <v>ECHEC</v>
      </c>
      <c r="N7" s="7">
        <f>VLOOKUP($A7,[10]HISTONOV24!$A$6:$BB$47,33,0)</f>
        <v>0</v>
      </c>
      <c r="O7" s="7">
        <f t="shared" si="0"/>
        <v>0</v>
      </c>
      <c r="P7" s="7">
        <f>VLOOKUP($A7,[10]HISTONOV24!$A$6:$BB$47,31,0)</f>
        <v>0</v>
      </c>
    </row>
    <row r="8" spans="1:16" x14ac:dyDescent="0.35">
      <c r="A8" s="1" t="s">
        <v>20</v>
      </c>
      <c r="B8" s="7">
        <f>IF(D8=0,0,VLOOKUP($A8,[10]HISTONOV24!$A$6:$BQ$47,14,0))</f>
        <v>2</v>
      </c>
      <c r="C8" s="1" t="str">
        <f>VLOOKUP(A8,[11]LISTADHERENT!A$5:H$60,3,0)</f>
        <v>DJUOMBESSY ANTOINE</v>
      </c>
      <c r="D8" s="7">
        <f>IF(E8="ECHEC",0,VLOOKUP($A8,[10]HISTONOV24!$A$6:$BB$47,15,0))</f>
        <v>200000</v>
      </c>
      <c r="E8" s="7" t="str">
        <f>VLOOKUP($A8,[10]HISTONOV24!$A$6:$BB$47,8,0)</f>
        <v>BANQUE</v>
      </c>
      <c r="F8" s="7">
        <f>VLOOKUP($A8,[10]HISTONOV24!$A$6:$BB$47,37,0)</f>
        <v>500000</v>
      </c>
      <c r="G8" s="7">
        <f>VLOOKUP($A8,[10]HISTONOV24!$A$6:$BB$47,40,0)</f>
        <v>5000</v>
      </c>
      <c r="H8" s="7" t="str">
        <f>IF(F8&lt;&gt;0,VLOOKUP($A8,[10]HISTONOV24!$A$6:$BB$47,42,0),"ECHEC")</f>
        <v>BANQUE</v>
      </c>
      <c r="I8" s="7">
        <f>VLOOKUP($A8,[10]HISTONOV24!$A$6:$BB$47,41,0)</f>
        <v>0</v>
      </c>
      <c r="J8" s="7">
        <f>TONTOCT24!F8+TONTOCT24!G8</f>
        <v>404000</v>
      </c>
      <c r="K8" s="7">
        <f>VLOOKUP($A8,[10]HISTONOV24!$A$6:$BB$47,18,0)</f>
        <v>404000</v>
      </c>
      <c r="L8" s="7" t="str">
        <f>IF(K8&lt;&gt;0,VLOOKUP($A8,[10]HISTONOV24!$A$6:$BB$47,42,0),"ECHEC")</f>
        <v>BANQUE</v>
      </c>
      <c r="M8" s="7" t="str">
        <f>IF(P8&lt;&gt;0,VLOOKUP($A8,[10]HISTONOV24!$A$6:$BB$47,32,0),"ECHEC")</f>
        <v>ECHEC</v>
      </c>
      <c r="N8" s="7">
        <f>VLOOKUP($A8,[10]HISTONOV24!$A$6:$BB$47,33,0)</f>
        <v>0</v>
      </c>
      <c r="O8" s="7">
        <f t="shared" si="0"/>
        <v>0</v>
      </c>
      <c r="P8" s="7">
        <f>VLOOKUP($A8,[10]HISTONOV24!$A$6:$BB$47,31,0)</f>
        <v>0</v>
      </c>
    </row>
    <row r="9" spans="1:16" x14ac:dyDescent="0.35">
      <c r="A9" s="1" t="s">
        <v>21</v>
      </c>
      <c r="B9" s="7">
        <f>IF(D9=0,0,VLOOKUP($A9,[10]HISTONOV24!$A$6:$BQ$47,14,0))</f>
        <v>1</v>
      </c>
      <c r="C9" s="1" t="str">
        <f>VLOOKUP(A9,[11]LISTADHERENT!A$5:H$60,3,0)</f>
        <v>HOTCHO BENJAMIN</v>
      </c>
      <c r="D9" s="7">
        <f>IF(E9="ECHEC",0,VLOOKUP($A9,[10]HISTONOV24!$A$6:$BB$47,15,0))</f>
        <v>100000</v>
      </c>
      <c r="E9" s="7" t="str">
        <f>VLOOKUP($A9,[10]HISTONOV24!$A$6:$BB$47,8,0)</f>
        <v>BANQUE</v>
      </c>
      <c r="F9" s="7">
        <f>VLOOKUP($A9,[10]HISTONOV24!$A$6:$BB$47,37,0)</f>
        <v>200000</v>
      </c>
      <c r="G9" s="7">
        <f>VLOOKUP($A9,[10]HISTONOV24!$A$6:$BB$47,40,0)</f>
        <v>2000</v>
      </c>
      <c r="H9" s="7" t="str">
        <f>IF(F9&lt;&gt;0,VLOOKUP($A9,[10]HISTONOV24!$A$6:$BB$47,42,0),"ECHEC")</f>
        <v>BANQUE</v>
      </c>
      <c r="I9" s="7">
        <f>VLOOKUP($A9,[10]HISTONOV24!$A$6:$BB$47,41,0)</f>
        <v>0</v>
      </c>
      <c r="J9" s="7">
        <f>TONTOCT24!F9+TONTOCT24!G9</f>
        <v>303000</v>
      </c>
      <c r="K9" s="7">
        <f>VLOOKUP($A9,[10]HISTONOV24!$A$6:$BB$47,18,0)</f>
        <v>303000</v>
      </c>
      <c r="L9" s="7" t="str">
        <f>IF(K9&lt;&gt;0,VLOOKUP($A9,[10]HISTONOV24!$A$6:$BB$47,42,0),"ECHEC")</f>
        <v>BANQUE</v>
      </c>
      <c r="M9" s="7" t="str">
        <f>IF(P9&lt;&gt;0,VLOOKUP($A9,[10]HISTONOV24!$A$6:$BB$47,32,0),"ECHEC")</f>
        <v>ECHEC</v>
      </c>
      <c r="N9" s="7">
        <f>VLOOKUP($A9,[10]HISTONOV24!$A$6:$BB$47,33,0)</f>
        <v>0</v>
      </c>
      <c r="O9" s="7">
        <f t="shared" si="0"/>
        <v>0</v>
      </c>
      <c r="P9" s="7">
        <f>VLOOKUP($A9,[10]HISTONOV24!$A$6:$BB$47,31,0)</f>
        <v>0</v>
      </c>
    </row>
    <row r="10" spans="1:16" x14ac:dyDescent="0.35">
      <c r="A10" s="1" t="s">
        <v>26</v>
      </c>
      <c r="B10" s="7">
        <f>IF(D10=0,0,VLOOKUP($A10,[10]HISTONOV24!$A$6:$BQ$47,14,0))</f>
        <v>1</v>
      </c>
      <c r="C10" s="1" t="str">
        <f>VLOOKUP(A10,[11]LISTADHERENT!A$5:H$60,3,0)</f>
        <v>KOUAMOU MOISE</v>
      </c>
      <c r="D10" s="7">
        <f>IF(E10="ECHEC",0,VLOOKUP($A10,[10]HISTONOV24!$A$6:$BB$47,15,0))</f>
        <v>100000</v>
      </c>
      <c r="E10" s="7" t="str">
        <f>VLOOKUP($A10,[10]HISTONOV24!$A$6:$BB$47,8,0)</f>
        <v>BANQUE</v>
      </c>
      <c r="F10" s="7">
        <f>VLOOKUP($A10,[10]HISTONOV24!$A$6:$BB$47,37,0)</f>
        <v>101500</v>
      </c>
      <c r="G10" s="7">
        <f>VLOOKUP($A10,[10]HISTONOV24!$A$6:$BB$47,40,0)</f>
        <v>3000</v>
      </c>
      <c r="H10" s="7" t="str">
        <f>IF(F10&lt;&gt;0,VLOOKUP($A10,[10]HISTONOV24!$A$6:$BB$47,42,0),"ECHEC")</f>
        <v>BANQUE</v>
      </c>
      <c r="I10" s="7">
        <f>VLOOKUP($A10,[10]HISTONOV24!$A$6:$BB$47,41,0)</f>
        <v>0</v>
      </c>
      <c r="J10" s="7">
        <f>TONTOCT24!F10+TONTOCT24!G10</f>
        <v>151500</v>
      </c>
      <c r="K10" s="7">
        <f>VLOOKUP($A10,[10]HISTONOV24!$A$6:$BB$47,18,0)</f>
        <v>151500</v>
      </c>
      <c r="L10" s="7" t="str">
        <f>IF(K10&lt;&gt;0,VLOOKUP($A10,[10]HISTONOV24!$A$6:$BB$47,42,0),"ECHEC")</f>
        <v>BANQUE</v>
      </c>
      <c r="M10" s="7" t="str">
        <f>IF(P10&lt;&gt;0,VLOOKUP($A10,[10]HISTONOV24!$A$6:$BB$47,32,0),"ECHEC")</f>
        <v>ECHEC</v>
      </c>
      <c r="N10" s="7">
        <f>VLOOKUP($A10,[10]HISTONOV24!$A$6:$BB$47,33,0)</f>
        <v>0</v>
      </c>
      <c r="O10" s="7">
        <f t="shared" si="0"/>
        <v>0</v>
      </c>
      <c r="P10" s="7">
        <f>VLOOKUP($A10,[10]HISTONOV24!$A$6:$BB$47,31,0)</f>
        <v>0</v>
      </c>
    </row>
    <row r="11" spans="1:16" x14ac:dyDescent="0.35">
      <c r="A11" s="1" t="s">
        <v>8</v>
      </c>
      <c r="B11" s="7">
        <f>IF(D11=0,0,VLOOKUP($A11,[10]HISTONOV24!$A$6:$BQ$47,14,0))</f>
        <v>1</v>
      </c>
      <c r="C11" s="1" t="str">
        <f>VLOOKUP(A11,[11]LISTADHERENT!A$5:H$60,3,0)</f>
        <v>KOUATCHO MESSACK</v>
      </c>
      <c r="D11" s="7">
        <f>IF(E11="ECHEC",0,VLOOKUP($A11,[10]HISTONOV24!$A$6:$BB$47,15,0))</f>
        <v>100000</v>
      </c>
      <c r="E11" s="7" t="str">
        <f>VLOOKUP($A11,[10]HISTONOV24!$A$6:$BB$47,8,0)</f>
        <v>ESPECES</v>
      </c>
      <c r="F11" s="7">
        <f>VLOOKUP($A11,[10]HISTONOV24!$A$6:$BB$47,37,0)</f>
        <v>100000</v>
      </c>
      <c r="G11" s="7">
        <f>VLOOKUP($A11,[10]HISTONOV24!$A$6:$BB$47,40,0)</f>
        <v>1000</v>
      </c>
      <c r="H11" s="7">
        <f>IF(F11&lt;&gt;0,VLOOKUP($A11,[10]HISTONOV24!$A$6:$BB$47,42,0),"ECHEC")</f>
        <v>0</v>
      </c>
      <c r="I11" s="7">
        <f>VLOOKUP($A11,[10]HISTONOV24!$A$6:$BB$47,41,0)</f>
        <v>0</v>
      </c>
      <c r="J11" s="7">
        <f>TONTOCT24!F11+TONTOCT24!G11</f>
        <v>0</v>
      </c>
      <c r="K11" s="7">
        <f>VLOOKUP($A11,[10]HISTONOV24!$A$6:$BB$47,18,0)</f>
        <v>0</v>
      </c>
      <c r="L11" s="7" t="str">
        <f>IF(K11&lt;&gt;0,VLOOKUP($A11,[10]HISTONOV24!$A$6:$BB$47,42,0),"ECHEC")</f>
        <v>ECHEC</v>
      </c>
      <c r="M11" s="7" t="str">
        <f>IF(P11&lt;&gt;0,VLOOKUP($A11,[10]HISTONOV24!$A$6:$BB$47,32,0),"ECHEC")</f>
        <v>ECHEC</v>
      </c>
      <c r="N11" s="7">
        <f>VLOOKUP($A11,[10]HISTONOV24!$A$6:$BB$47,33,0)</f>
        <v>0</v>
      </c>
      <c r="O11" s="7">
        <f t="shared" si="0"/>
        <v>0</v>
      </c>
      <c r="P11" s="7">
        <f>VLOOKUP($A11,[10]HISTONOV24!$A$6:$BB$47,31,0)</f>
        <v>0</v>
      </c>
    </row>
    <row r="12" spans="1:16" x14ac:dyDescent="0.35">
      <c r="A12" s="1" t="s">
        <v>22</v>
      </c>
      <c r="B12" s="7">
        <f>IF(D12=0,0,VLOOKUP($A12,[10]HISTONOV24!$A$6:$BQ$47,14,0))</f>
        <v>1</v>
      </c>
      <c r="C12" s="1" t="str">
        <f>VLOOKUP(A12,[11]LISTADHERENT!A$5:H$60,3,0)</f>
        <v>MBOGNING TUGMA GUY</v>
      </c>
      <c r="D12" s="7">
        <f>IF(E12="ECHEC",0,VLOOKUP($A12,[10]HISTONOV24!$A$6:$BB$47,15,0))</f>
        <v>100000</v>
      </c>
      <c r="E12" s="7" t="str">
        <f>VLOOKUP($A12,[10]HISTONOV24!$A$6:$BB$47,8,0)</f>
        <v>BANQUE</v>
      </c>
      <c r="F12" s="7">
        <f>VLOOKUP($A12,[10]HISTONOV24!$A$6:$BB$47,37,0)</f>
        <v>200000</v>
      </c>
      <c r="G12" s="7">
        <f>VLOOKUP($A12,[10]HISTONOV24!$A$6:$BB$47,40,0)</f>
        <v>2000</v>
      </c>
      <c r="H12" s="7" t="str">
        <f>IF(F12&lt;&gt;0,VLOOKUP($A12,[10]HISTONOV24!$A$6:$BB$47,42,0),"ECHEC")</f>
        <v>BANQUE</v>
      </c>
      <c r="I12" s="7">
        <f>VLOOKUP($A12,[10]HISTONOV24!$A$6:$BB$47,41,0)</f>
        <v>0</v>
      </c>
      <c r="J12" s="7">
        <f>TONTOCT24!F12+TONTOCT24!G12</f>
        <v>404000</v>
      </c>
      <c r="K12" s="7">
        <f>VLOOKUP($A12,[10]HISTONOV24!$A$6:$BB$47,18,0)</f>
        <v>404000</v>
      </c>
      <c r="L12" s="7" t="str">
        <f>IF(K12&lt;&gt;0,VLOOKUP($A12,[10]HISTONOV24!$A$6:$BB$47,42,0),"ECHEC")</f>
        <v>BANQUE</v>
      </c>
      <c r="M12" s="7" t="str">
        <f>IF(P12&lt;&gt;0,VLOOKUP($A12,[10]HISTONOV24!$A$6:$BB$47,32,0),"ECHEC")</f>
        <v>ECHEC</v>
      </c>
      <c r="N12" s="7">
        <f>VLOOKUP($A12,[10]HISTONOV24!$A$6:$BB$47,33,0)</f>
        <v>0</v>
      </c>
      <c r="O12" s="7">
        <f t="shared" si="0"/>
        <v>0</v>
      </c>
      <c r="P12" s="7">
        <f>VLOOKUP($A12,[10]HISTONOV24!$A$6:$BB$47,31,0)</f>
        <v>0</v>
      </c>
    </row>
    <row r="13" spans="1:16" x14ac:dyDescent="0.35">
      <c r="A13" s="1" t="s">
        <v>9</v>
      </c>
      <c r="B13" s="7">
        <f>IF(D13=0,0,VLOOKUP($A13,[10]HISTONOV24!$A$6:$BQ$47,14,0))</f>
        <v>2</v>
      </c>
      <c r="C13" s="1" t="str">
        <f>VLOOKUP(A13,[11]LISTADHERENT!A$5:H$60,3,0)</f>
        <v>NDJOMO ETIENNE</v>
      </c>
      <c r="D13" s="7">
        <f>IF(E13="ECHEC",0,VLOOKUP($A13,[10]HISTONOV24!$A$6:$BB$47,15,0))</f>
        <v>200000</v>
      </c>
      <c r="E13" s="7" t="str">
        <f>VLOOKUP($A13,[10]HISTONOV24!$A$6:$BB$47,8,0)</f>
        <v>BANQUE</v>
      </c>
      <c r="F13" s="7">
        <f>VLOOKUP($A13,[10]HISTONOV24!$A$6:$BB$47,37,0)</f>
        <v>400000</v>
      </c>
      <c r="G13" s="7">
        <f>VLOOKUP($A13,[10]HISTONOV24!$A$6:$BB$47,40,0)</f>
        <v>4000</v>
      </c>
      <c r="H13" s="7" t="str">
        <f>IF(F13&lt;&gt;0,VLOOKUP($A13,[10]HISTONOV24!$A$6:$BB$47,42,0),"ECHEC")</f>
        <v>BANQUE</v>
      </c>
      <c r="I13" s="7">
        <f>VLOOKUP($A13,[10]HISTONOV24!$A$6:$BB$47,41,0)</f>
        <v>0</v>
      </c>
      <c r="J13" s="7">
        <f>TONTOCT24!F13+TONTOCT24!G13</f>
        <v>202000</v>
      </c>
      <c r="K13" s="7">
        <f>VLOOKUP($A13,[10]HISTONOV24!$A$6:$BB$47,18,0)</f>
        <v>202000</v>
      </c>
      <c r="L13" s="7" t="str">
        <f>IF(K13&lt;&gt;0,VLOOKUP($A13,[10]HISTONOV24!$A$6:$BB$47,42,0),"ECHEC")</f>
        <v>BANQUE</v>
      </c>
      <c r="M13" s="7" t="str">
        <f>IF(P13&lt;&gt;0,VLOOKUP($A13,[10]HISTONOV24!$A$6:$BB$47,32,0),"ECHEC")</f>
        <v>ECHEC</v>
      </c>
      <c r="N13" s="7">
        <f>VLOOKUP($A13,[10]HISTONOV24!$A$6:$BB$47,33,0)</f>
        <v>0</v>
      </c>
      <c r="O13" s="7">
        <f t="shared" si="0"/>
        <v>0</v>
      </c>
      <c r="P13" s="7">
        <f>VLOOKUP($A13,[10]HISTONOV24!$A$6:$BB$47,31,0)</f>
        <v>0</v>
      </c>
    </row>
    <row r="14" spans="1:16" x14ac:dyDescent="0.35">
      <c r="A14" s="1" t="s">
        <v>10</v>
      </c>
      <c r="B14" s="7">
        <f>IF(D14=0,0,VLOOKUP($A14,[10]HISTONOV24!$A$6:$BQ$47,14,0))</f>
        <v>1</v>
      </c>
      <c r="C14" s="1" t="str">
        <f>VLOOKUP(A14,[11]LISTADHERENT!A$5:H$60,3,0)</f>
        <v>NGONDIEP CLAUDE</v>
      </c>
      <c r="D14" s="7">
        <f>IF(E14="ECHEC",0,VLOOKUP($A14,[10]HISTONOV24!$A$6:$BB$47,15,0))</f>
        <v>100000</v>
      </c>
      <c r="E14" s="7" t="str">
        <f>VLOOKUP($A14,[10]HISTONOV24!$A$6:$BB$47,8,0)</f>
        <v>BANQUE</v>
      </c>
      <c r="F14" s="7">
        <f>VLOOKUP($A14,[10]HISTONOV24!$A$6:$BB$47,37,0)</f>
        <v>202000</v>
      </c>
      <c r="G14" s="7">
        <f>VLOOKUP($A14,[10]HISTONOV24!$A$6:$BB$47,40,0)</f>
        <v>2000</v>
      </c>
      <c r="H14" s="7" t="str">
        <f>IF(F14&lt;&gt;0,VLOOKUP($A14,[10]HISTONOV24!$A$6:$BB$47,42,0),"ECHEC")</f>
        <v>BANQUE</v>
      </c>
      <c r="I14" s="7">
        <f>VLOOKUP($A14,[10]HISTONOV24!$A$6:$BB$47,41,0)</f>
        <v>0</v>
      </c>
      <c r="J14" s="7">
        <f>TONTOCT24!F14+TONTOCT24!G14</f>
        <v>202000</v>
      </c>
      <c r="K14" s="7">
        <f>VLOOKUP($A14,[10]HISTONOV24!$A$6:$BB$47,18,0)</f>
        <v>202000</v>
      </c>
      <c r="L14" s="7" t="str">
        <f>IF(K14&lt;&gt;0,VLOOKUP($A14,[10]HISTONOV24!$A$6:$BB$47,42,0),"ECHEC")</f>
        <v>BANQUE</v>
      </c>
      <c r="M14" s="7" t="str">
        <f>IF(P14&lt;&gt;0,VLOOKUP($A14,[10]HISTONOV24!$A$6:$BB$47,32,0),"ECHEC")</f>
        <v>ECHEC</v>
      </c>
      <c r="N14" s="7">
        <f>VLOOKUP($A14,[10]HISTONOV24!$A$6:$BB$47,33,0)</f>
        <v>0</v>
      </c>
      <c r="O14" s="7">
        <f t="shared" si="0"/>
        <v>0</v>
      </c>
      <c r="P14" s="7">
        <f>VLOOKUP($A14,[10]HISTONOV24!$A$6:$BB$47,31,0)</f>
        <v>0</v>
      </c>
    </row>
    <row r="15" spans="1:16" x14ac:dyDescent="0.35">
      <c r="A15" s="1" t="s">
        <v>43</v>
      </c>
      <c r="B15" s="7">
        <f>IF(D15=0,0,VLOOKUP($A15,[10]HISTONOV24!$A$6:$BQ$47,14,0))</f>
        <v>1</v>
      </c>
      <c r="C15" s="1" t="str">
        <f>VLOOKUP(A15,[11]LISTADHERENT!A$5:H$60,3,0)</f>
        <v>NGUIEMEGNI MATHIEU BLAISE</v>
      </c>
      <c r="D15" s="7">
        <f>IF(E15="ECHEC",0,VLOOKUP($A15,[10]HISTONOV24!$A$6:$BB$47,15,0))</f>
        <v>100000</v>
      </c>
      <c r="E15" s="7" t="str">
        <f>VLOOKUP($A15,[10]HISTONOV24!$A$6:$BB$47,8,0)</f>
        <v>BANQUE</v>
      </c>
      <c r="F15" s="7">
        <f>VLOOKUP($A15,[10]HISTONOV24!$A$6:$BB$47,37,0)</f>
        <v>0</v>
      </c>
      <c r="G15" s="7">
        <f>VLOOKUP($A15,[10]HISTONOV24!$A$6:$BB$47,40,0)</f>
        <v>0</v>
      </c>
      <c r="H15" s="7" t="str">
        <f>IF(F15&lt;&gt;0,VLOOKUP($A15,[10]HISTONOV24!$A$6:$BB$47,42,0),"ECHEC")</f>
        <v>ECHEC</v>
      </c>
      <c r="I15" s="7">
        <f>VLOOKUP($A15,[10]HISTONOV24!$A$6:$BB$47,41,0)</f>
        <v>0</v>
      </c>
      <c r="J15" s="7">
        <f>TONTOCT24!F15+TONTOCT24!G15</f>
        <v>101000</v>
      </c>
      <c r="K15" s="7">
        <f>VLOOKUP($A15,[10]HISTONOV24!$A$6:$BB$47,18,0)</f>
        <v>101000</v>
      </c>
      <c r="L15" s="7" t="str">
        <f>IF(K15&lt;&gt;0,VLOOKUP($A15,[10]HISTONOV24!$A$6:$BB$47,42,0),"ECHEC")</f>
        <v>BANQUE</v>
      </c>
      <c r="M15" s="7" t="str">
        <f>IF(P15&lt;&gt;0,VLOOKUP($A15,[10]HISTONOV24!$A$6:$BB$47,32,0),"ECHEC")</f>
        <v>ECHEC</v>
      </c>
      <c r="N15" s="7">
        <f>VLOOKUP($A15,[10]HISTONOV24!$A$6:$BB$47,33,0)</f>
        <v>0</v>
      </c>
      <c r="O15" s="7">
        <f t="shared" si="0"/>
        <v>0</v>
      </c>
      <c r="P15" s="7">
        <f>VLOOKUP($A15,[10]HISTONOV24!$A$6:$BB$47,31,0)</f>
        <v>0</v>
      </c>
    </row>
    <row r="16" spans="1:16" x14ac:dyDescent="0.35">
      <c r="A16" s="1" t="s">
        <v>54</v>
      </c>
      <c r="B16" s="7">
        <f>IF(D16=0,0,VLOOKUP($A16,[10]HISTONOV24!$A$6:$BQ$47,14,0))</f>
        <v>2</v>
      </c>
      <c r="C16" s="1" t="str">
        <f>VLOOKUP(A16,[11]LISTADHERENT!A$5:H$60,3,0)</f>
        <v>SIME BRICE</v>
      </c>
      <c r="D16" s="7">
        <f>IF(E16="ECHEC",0,VLOOKUP($A16,[10]HISTONOV24!$A$6:$BB$47,15,0))</f>
        <v>200000</v>
      </c>
      <c r="E16" s="7" t="str">
        <f>VLOOKUP($A16,[10]HISTONOV24!$A$6:$BB$47,8,0)</f>
        <v>BANQUE</v>
      </c>
      <c r="F16" s="7">
        <f>VLOOKUP($A16,[10]HISTONOV24!$A$6:$BB$47,37,0)</f>
        <v>200000</v>
      </c>
      <c r="G16" s="7">
        <f>VLOOKUP($A16,[10]HISTONOV24!$A$6:$BB$47,40,0)</f>
        <v>2000</v>
      </c>
      <c r="H16" s="7">
        <f>IF(F16&lt;&gt;0,VLOOKUP($A16,[10]HISTONOV24!$A$6:$BB$47,42,0),"ECHEC")</f>
        <v>0</v>
      </c>
      <c r="I16" s="7">
        <f>VLOOKUP($A16,[10]HISTONOV24!$A$6:$BB$47,41,0)</f>
        <v>0</v>
      </c>
      <c r="J16" s="7">
        <f>TONTOCT24!F16+TONTOCT24!G16</f>
        <v>0</v>
      </c>
      <c r="K16" s="7">
        <f>VLOOKUP($A16,[10]HISTONOV24!$A$6:$BB$47,18,0)</f>
        <v>0</v>
      </c>
      <c r="L16" s="7" t="str">
        <f>IF(K16&lt;&gt;0,VLOOKUP($A16,[10]HISTONOV24!$A$6:$BB$47,42,0),"ECHEC")</f>
        <v>ECHEC</v>
      </c>
      <c r="M16" s="7" t="str">
        <f>IF(P16&lt;&gt;0,VLOOKUP($A16,[10]HISTONOV24!$A$6:$BB$47,32,0),"ECHEC")</f>
        <v>ECHEC</v>
      </c>
      <c r="N16" s="7">
        <f>VLOOKUP($A16,[10]HISTONOV24!$A$6:$BB$47,33,0)</f>
        <v>0</v>
      </c>
      <c r="O16" s="7">
        <f t="shared" si="0"/>
        <v>0</v>
      </c>
      <c r="P16" s="7">
        <f>VLOOKUP($A16,[10]HISTONOV24!$A$6:$BB$47,31,0)</f>
        <v>0</v>
      </c>
    </row>
    <row r="17" spans="1:16" x14ac:dyDescent="0.35">
      <c r="A17" s="1" t="s">
        <v>55</v>
      </c>
      <c r="B17" s="7">
        <f>IF(D17=0,0,VLOOKUP($A17,[10]HISTONOV24!$A$6:$BQ$47,14,0))</f>
        <v>1</v>
      </c>
      <c r="C17" s="1" t="str">
        <f>VLOOKUP(A17,[11]LISTADHERENT!A$5:H$60,3,0)</f>
        <v>TCHOUATEU AUGUSTIN</v>
      </c>
      <c r="D17" s="7">
        <f>IF(E17="ECHEC",0,VLOOKUP($A17,[10]HISTONOV24!$A$6:$BB$47,15,0))</f>
        <v>100000</v>
      </c>
      <c r="E17" s="7" t="str">
        <f>VLOOKUP($A17,[10]HISTONOV24!$A$6:$BB$47,8,0)</f>
        <v>BANQUE</v>
      </c>
      <c r="F17" s="7">
        <f>VLOOKUP($A17,[10]HISTONOV24!$A$6:$BB$47,37,0)</f>
        <v>0</v>
      </c>
      <c r="G17" s="7">
        <f>VLOOKUP($A17,[10]HISTONOV24!$A$6:$BB$47,40,0)</f>
        <v>0</v>
      </c>
      <c r="H17" s="7" t="str">
        <f>IF(F17&lt;&gt;0,VLOOKUP($A17,[10]HISTONOV24!$A$6:$BB$47,42,0),"ECHEC")</f>
        <v>ECHEC</v>
      </c>
      <c r="I17" s="7">
        <f>VLOOKUP($A17,[10]HISTONOV24!$A$6:$BB$47,41,0)</f>
        <v>0</v>
      </c>
      <c r="J17" s="7">
        <f>TONTOCT24!F17+TONTOCT24!G17</f>
        <v>0</v>
      </c>
      <c r="K17" s="7">
        <f>VLOOKUP($A17,[10]HISTONOV24!$A$6:$BB$47,18,0)</f>
        <v>0</v>
      </c>
      <c r="L17" s="7" t="str">
        <f>IF(K17&lt;&gt;0,VLOOKUP($A17,[10]HISTONOV24!$A$6:$BB$47,42,0),"ECHEC")</f>
        <v>ECHEC</v>
      </c>
      <c r="M17" s="7" t="str">
        <f>IF(P17&lt;&gt;0,VLOOKUP($A17,[10]HISTONOV24!$A$6:$BB$47,32,0),"ECHEC")</f>
        <v>ECHEC</v>
      </c>
      <c r="N17" s="7">
        <f>VLOOKUP($A17,[10]HISTONOV24!$A$6:$BB$47,33,0)</f>
        <v>0</v>
      </c>
      <c r="O17" s="7">
        <f t="shared" si="0"/>
        <v>0</v>
      </c>
      <c r="P17" s="7">
        <f>VLOOKUP($A17,[10]HISTONOV24!$A$6:$BB$47,31,0)</f>
        <v>0</v>
      </c>
    </row>
    <row r="18" spans="1:16" x14ac:dyDescent="0.35">
      <c r="A18" s="1" t="s">
        <v>46</v>
      </c>
      <c r="B18" s="7">
        <f>IF(D18=0,0,VLOOKUP($A18,[10]HISTONOV24!$A$6:$BQ$47,14,0))</f>
        <v>1</v>
      </c>
      <c r="C18" s="1" t="str">
        <f>VLOOKUP(A18,[11]LISTADHERENT!A$5:H$60,3,0)</f>
        <v>SIMO PIERRE</v>
      </c>
      <c r="D18" s="7">
        <f>IF(E18="ECHEC",0,VLOOKUP($A18,[10]HISTONOV24!$A$6:$BB$47,15,0))</f>
        <v>100000</v>
      </c>
      <c r="E18" s="7" t="str">
        <f>VLOOKUP($A18,[10]HISTONOV24!$A$6:$BB$47,8,0)</f>
        <v>BANQUE</v>
      </c>
      <c r="F18" s="7">
        <f>VLOOKUP($A18,[10]HISTONOV24!$A$6:$BB$47,37,0)</f>
        <v>0</v>
      </c>
      <c r="G18" s="7">
        <f>VLOOKUP($A18,[10]HISTONOV24!$A$6:$BB$47,40,0)</f>
        <v>0</v>
      </c>
      <c r="H18" s="7" t="str">
        <f>IF(F18&lt;&gt;0,VLOOKUP($A18,[10]HISTONOV24!$A$6:$BB$47,42,0),"ECHEC")</f>
        <v>ECHEC</v>
      </c>
      <c r="I18" s="7">
        <f>VLOOKUP($A18,[10]HISTONOV24!$A$6:$BB$47,41,0)</f>
        <v>0</v>
      </c>
      <c r="J18" s="7">
        <f>TONTOCT24!F18+TONTOCT24!G18</f>
        <v>0</v>
      </c>
      <c r="K18" s="7">
        <f>VLOOKUP($A18,[10]HISTONOV24!$A$6:$BB$47,18,0)</f>
        <v>0</v>
      </c>
      <c r="L18" s="7" t="str">
        <f>IF(K18&lt;&gt;0,VLOOKUP($A18,[10]HISTONOV24!$A$6:$BB$47,42,0),"ECHEC")</f>
        <v>ECHEC</v>
      </c>
      <c r="M18" s="7" t="str">
        <f>IF(P18&lt;&gt;0,VLOOKUP($A18,[10]HISTONOV24!$A$6:$BB$47,32,0),"ECHEC")</f>
        <v>ECHEC</v>
      </c>
      <c r="N18" s="7">
        <f>VLOOKUP($A18,[10]HISTONOV24!$A$6:$BB$47,33,0)</f>
        <v>0</v>
      </c>
      <c r="O18" s="7">
        <f t="shared" si="0"/>
        <v>0</v>
      </c>
      <c r="P18" s="7">
        <f>VLOOKUP($A18,[10]HISTONOV24!$A$6:$BB$47,31,0)</f>
        <v>0</v>
      </c>
    </row>
    <row r="19" spans="1:16" x14ac:dyDescent="0.35">
      <c r="A19" s="1" t="s">
        <v>53</v>
      </c>
      <c r="B19" s="7">
        <f>IF(D19=0,0,VLOOKUP($A19,[10]HISTONOV24!$A$6:$BQ$47,14,0))</f>
        <v>1</v>
      </c>
      <c r="C19" s="1" t="str">
        <f>VLOOKUP(A19,[11]LISTADHERENT!A$5:H$60,3,0)</f>
        <v>YIALA ALAIN OSCAR</v>
      </c>
      <c r="D19" s="7">
        <f>IF(E19="ECHEC",0,VLOOKUP($A19,[10]HISTONOV24!$A$6:$BB$47,15,0))</f>
        <v>100000</v>
      </c>
      <c r="E19" s="7" t="str">
        <f>VLOOKUP($A19,[10]HISTONOV24!$A$6:$BB$47,8,0)</f>
        <v>ESPECES</v>
      </c>
      <c r="F19" s="7">
        <f>VLOOKUP($A19,[10]HISTONOV24!$A$6:$BB$47,37,0)</f>
        <v>0</v>
      </c>
      <c r="G19" s="7">
        <f>VLOOKUP($A19,[10]HISTONOV24!$A$6:$BB$47,40,0)</f>
        <v>0</v>
      </c>
      <c r="H19" s="7" t="str">
        <f>IF(F19&lt;&gt;0,VLOOKUP($A19,[10]HISTONOV24!$A$6:$BB$47,42,0),"ECHEC")</f>
        <v>ECHEC</v>
      </c>
      <c r="I19" s="7">
        <f>VLOOKUP($A19,[10]HISTONOV24!$A$6:$BB$47,41,0)</f>
        <v>0</v>
      </c>
      <c r="J19" s="7">
        <f>TONTOCT24!F19+TONTOCT24!G19</f>
        <v>0</v>
      </c>
      <c r="K19" s="7">
        <f>VLOOKUP($A19,[10]HISTONOV24!$A$6:$BB$47,18,0)</f>
        <v>0</v>
      </c>
      <c r="L19" s="7" t="str">
        <f>IF(K19&lt;&gt;0,VLOOKUP($A19,[10]HISTONOV24!$A$6:$BB$47,42,0),"ECHEC")</f>
        <v>ECHEC</v>
      </c>
      <c r="M19" s="7" t="str">
        <f>IF(P19&lt;&gt;0,VLOOKUP($A19,[10]HISTONOV24!$A$6:$BB$47,32,0),"ECHEC")</f>
        <v>ECHEC</v>
      </c>
      <c r="N19" s="7">
        <f>VLOOKUP($A19,[10]HISTONOV24!$A$6:$BB$47,33,0)</f>
        <v>0</v>
      </c>
      <c r="O19" s="7">
        <f t="shared" si="0"/>
        <v>0</v>
      </c>
      <c r="P19" s="7">
        <f>VLOOKUP($A19,[10]HISTONOV24!$A$6:$BB$47,31,0)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2003500</v>
      </c>
      <c r="G22" s="8">
        <f t="shared" si="1"/>
        <v>22000</v>
      </c>
      <c r="H22" s="8">
        <f t="shared" si="1"/>
        <v>0</v>
      </c>
      <c r="I22" s="8">
        <f t="shared" si="1"/>
        <v>0</v>
      </c>
      <c r="J22" s="8">
        <f t="shared" si="1"/>
        <v>1919000</v>
      </c>
      <c r="K22" s="8">
        <f t="shared" si="1"/>
        <v>1919000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D28+E28+P22+TONTOCT24!N29</f>
        <v>3763000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200000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200000</v>
      </c>
      <c r="I25" s="8"/>
      <c r="K25" s="8" t="s">
        <v>34</v>
      </c>
      <c r="L25" s="8">
        <f>C3*COUNTIF(O6:O20,"&gt;0")</f>
        <v>0</v>
      </c>
      <c r="M25" s="8">
        <f>D3</f>
        <v>3</v>
      </c>
      <c r="N25" s="8">
        <f>COUNTIF(O6:O19,"&gt;0")</f>
        <v>0</v>
      </c>
      <c r="O25" s="8"/>
    </row>
    <row r="26" spans="1:16" s="2" customFormat="1" ht="17.5" x14ac:dyDescent="0.35">
      <c r="C26" s="8" t="s">
        <v>7</v>
      </c>
      <c r="D26" s="8">
        <f>SUMIFS(D6:D20,E6:E20,"BANQUE")</f>
        <v>1600000</v>
      </c>
      <c r="E26" s="8">
        <f>SUMIFS(K6:K20,L6:L20,"BANQUE")</f>
        <v>1919000</v>
      </c>
      <c r="F26" s="8">
        <f>SUMIFS(F6:F20,H6:H20,"BANQUE")</f>
        <v>1703500</v>
      </c>
      <c r="G26" s="8">
        <f>SUMIFS(O6:O20,M6:M20,"BANQUE")</f>
        <v>0</v>
      </c>
      <c r="H26" s="8">
        <f>D26+E26-F26-G26</f>
        <v>1815500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3763000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1919000</v>
      </c>
      <c r="F28" s="8">
        <f>F25+F26</f>
        <v>1703500</v>
      </c>
      <c r="G28" s="8">
        <f t="shared" ref="G28:H28" si="2">G25+G26</f>
        <v>0</v>
      </c>
      <c r="H28" s="8">
        <f t="shared" si="2"/>
        <v>2015500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1759500</v>
      </c>
      <c r="M29"/>
      <c r="N29" s="8">
        <f>L29</f>
        <v>1759500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B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4"/>
  <sheetViews>
    <sheetView workbookViewId="0">
      <pane xSplit="3" ySplit="5" topLeftCell="K18" activePane="bottomRight" state="frozen"/>
      <selection activeCell="G6" sqref="G6:G39"/>
      <selection pane="topRight" activeCell="G6" sqref="G6:G39"/>
      <selection pane="bottomLeft" activeCell="G6" sqref="G6:G39"/>
      <selection pane="bottomRight" activeCell="P2" sqref="P2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6" width="18.1796875" style="2" customWidth="1"/>
  </cols>
  <sheetData>
    <row r="1" spans="1:16" x14ac:dyDescent="0.35">
      <c r="A1" s="1" t="s">
        <v>0</v>
      </c>
      <c r="B1" s="1" t="s">
        <v>1</v>
      </c>
      <c r="D1" s="1"/>
      <c r="E1" s="1"/>
      <c r="L1" s="1"/>
      <c r="M1" s="1"/>
    </row>
    <row r="2" spans="1:16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7.5" x14ac:dyDescent="0.35">
      <c r="B4" s="13"/>
      <c r="C4" s="37">
        <v>45639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16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35">
      <c r="A6" s="1" t="s">
        <v>44</v>
      </c>
      <c r="B6" s="7">
        <f>IF(D6=0,0,VLOOKUP($A6,[10]HISTODEC24!$A$6:$BQ$47,14,0))</f>
        <v>1</v>
      </c>
      <c r="C6" s="1" t="str">
        <f>VLOOKUP(A6,[11]LISTADHERENT!A$5:H$60,3,0)</f>
        <v>ASELBY</v>
      </c>
      <c r="D6" s="7">
        <f>IF(E6="ECHEC",0,VLOOKUP($A6,[10]HISTODEC24!$A$6:$BB$47,15,0))</f>
        <v>100000</v>
      </c>
      <c r="E6" s="7" t="str">
        <f>VLOOKUP($A6,[10]HISTODEC24!$A$6:$BB$47,8,0)</f>
        <v>BANQUE</v>
      </c>
      <c r="F6" s="7">
        <f>VLOOKUP($A6,[10]HISTODEC24!$A$6:$BB$47,37,0)</f>
        <v>0</v>
      </c>
      <c r="G6" s="7">
        <f>VLOOKUP($A6,[10]HISTODEC24!$A$6:$BB$47,40,0)</f>
        <v>0</v>
      </c>
      <c r="H6" s="7" t="str">
        <f>IF(F6&lt;&gt;0,VLOOKUP($A6,[10]HISTODEC24!$A$6:$BB$47,42,0),"ECHEC")</f>
        <v>ECHEC</v>
      </c>
      <c r="I6" s="7">
        <f>VLOOKUP($A6,[10]HISTODEC24!$A$6:$BB$47,41,0)</f>
        <v>0</v>
      </c>
      <c r="J6" s="7">
        <f>TONTNOV24!F6+TONTNOV24!G6</f>
        <v>0</v>
      </c>
      <c r="K6" s="7">
        <f>VLOOKUP($A6,[10]HISTODEC24!$A$6:$BB$47,18,0)</f>
        <v>0</v>
      </c>
      <c r="L6" s="7" t="str">
        <f>IF(K6&lt;&gt;0,VLOOKUP($A6,[10]HISTODEC24!$A$6:$BB$47,42,0),"ECHEC")</f>
        <v>ECHEC</v>
      </c>
      <c r="M6" s="7">
        <f>IF(P6&lt;&gt;0,VLOOKUP($A6,[10]HISTODEC24!$A$6:$BB$47,32,0),"ECHEC")</f>
        <v>0</v>
      </c>
      <c r="N6" s="7">
        <f>VLOOKUP($A6,[10]HISTODEC24!$A$6:$BB$47,33,0)</f>
        <v>0</v>
      </c>
      <c r="O6" s="7">
        <f t="shared" ref="O6:O19" si="0">IF(P6=0,0,($C$3-P6))</f>
        <v>1190000</v>
      </c>
      <c r="P6" s="7">
        <f>VLOOKUP($A6,[10]HISTODEC24!$A$6:$BB$47,31,0)</f>
        <v>10000</v>
      </c>
    </row>
    <row r="7" spans="1:16" x14ac:dyDescent="0.35">
      <c r="A7" s="1" t="s">
        <v>47</v>
      </c>
      <c r="B7" s="7">
        <f>IF(D7=0,0,VLOOKUP($A7,[10]HISTODEC24!$A$6:$BQ$47,14,0))</f>
        <v>2</v>
      </c>
      <c r="C7" s="1" t="str">
        <f>VLOOKUP(A7,[11]LISTADHERENT!A$5:H$60,3,0)</f>
        <v xml:space="preserve">DJOMO JEAN PAUL </v>
      </c>
      <c r="D7" s="7">
        <f>IF(E7="ECHEC",0,VLOOKUP($A7,[10]HISTODEC24!$A$6:$BB$47,15,0))</f>
        <v>200000</v>
      </c>
      <c r="E7" s="7" t="str">
        <f>VLOOKUP($A7,[10]HISTODEC24!$A$6:$BB$47,8,0)</f>
        <v>BANQUE</v>
      </c>
      <c r="F7" s="7">
        <f>VLOOKUP($A7,[10]HISTODEC24!$A$6:$BB$47,37,0)</f>
        <v>0</v>
      </c>
      <c r="G7" s="7">
        <f>VLOOKUP($A7,[10]HISTODEC24!$A$6:$BB$47,40,0)</f>
        <v>0</v>
      </c>
      <c r="H7" s="7" t="str">
        <f>IF(F7&lt;&gt;0,VLOOKUP($A7,[10]HISTODEC24!$A$6:$BB$47,42,0),"ECHEC")</f>
        <v>ECHEC</v>
      </c>
      <c r="I7" s="7">
        <f>VLOOKUP($A7,[10]HISTODEC24!$A$6:$BB$47,41,0)</f>
        <v>0</v>
      </c>
      <c r="J7" s="7">
        <f>TONTNOV24!F7+TONTNOV24!G7</f>
        <v>101000</v>
      </c>
      <c r="K7" s="7">
        <f>VLOOKUP($A7,[10]HISTODEC24!$A$6:$BB$47,18,0)</f>
        <v>101000</v>
      </c>
      <c r="L7" s="7">
        <f>IF(K7&lt;&gt;0,VLOOKUP($A7,[10]HISTODEC24!$A$6:$BB$47,42,0),"ECHEC")</f>
        <v>0</v>
      </c>
      <c r="M7" s="7" t="str">
        <f>IF(P7&lt;&gt;0,VLOOKUP($A7,[10]HISTODEC24!$A$6:$BB$47,32,0),"ECHEC")</f>
        <v>ECHEC</v>
      </c>
      <c r="N7" s="7">
        <f>VLOOKUP($A7,[10]HISTODEC24!$A$6:$BB$47,33,0)</f>
        <v>0</v>
      </c>
      <c r="O7" s="7">
        <f t="shared" si="0"/>
        <v>0</v>
      </c>
      <c r="P7" s="7">
        <f>VLOOKUP($A7,[10]HISTODEC24!$A$6:$BB$47,31,0)</f>
        <v>0</v>
      </c>
    </row>
    <row r="8" spans="1:16" x14ac:dyDescent="0.35">
      <c r="A8" s="1" t="s">
        <v>20</v>
      </c>
      <c r="B8" s="7">
        <f>IF(D8=0,0,VLOOKUP($A8,[10]HISTODEC24!$A$6:$BQ$47,14,0))</f>
        <v>2</v>
      </c>
      <c r="C8" s="1" t="str">
        <f>VLOOKUP(A8,[11]LISTADHERENT!A$5:H$60,3,0)</f>
        <v>DJUOMBESSY ANTOINE</v>
      </c>
      <c r="D8" s="7">
        <f>IF(E8="ECHEC",0,VLOOKUP($A8,[10]HISTODEC24!$A$6:$BB$47,15,0))</f>
        <v>200000</v>
      </c>
      <c r="E8" s="7" t="str">
        <f>VLOOKUP($A8,[10]HISTODEC24!$A$6:$BB$47,8,0)</f>
        <v>BANQUE</v>
      </c>
      <c r="F8" s="7">
        <f>VLOOKUP($A8,[10]HISTODEC24!$A$6:$BB$47,37,0)</f>
        <v>0</v>
      </c>
      <c r="G8" s="7">
        <f>VLOOKUP($A8,[10]HISTODEC24!$A$6:$BB$47,40,0)</f>
        <v>0</v>
      </c>
      <c r="H8" s="7" t="str">
        <f>IF(F8&lt;&gt;0,VLOOKUP($A8,[10]HISTODEC24!$A$6:$BB$47,42,0),"ECHEC")</f>
        <v>ECHEC</v>
      </c>
      <c r="I8" s="7">
        <f>VLOOKUP($A8,[10]HISTODEC24!$A$6:$BB$47,41,0)</f>
        <v>0</v>
      </c>
      <c r="J8" s="7">
        <f>TONTNOV24!F8+TONTNOV24!G8</f>
        <v>505000</v>
      </c>
      <c r="K8" s="7">
        <f>VLOOKUP($A8,[10]HISTODEC24!$A$6:$BB$47,18,0)</f>
        <v>505000</v>
      </c>
      <c r="L8" s="7">
        <f>IF(K8&lt;&gt;0,VLOOKUP($A8,[10]HISTODEC24!$A$6:$BB$47,42,0),"ECHEC")</f>
        <v>0</v>
      </c>
      <c r="M8" s="7" t="str">
        <f>IF(P8&lt;&gt;0,VLOOKUP($A8,[10]HISTODEC24!$A$6:$BB$47,32,0),"ECHEC")</f>
        <v>ECHEC</v>
      </c>
      <c r="N8" s="7">
        <f>VLOOKUP($A8,[10]HISTODEC24!$A$6:$BB$47,33,0)</f>
        <v>0</v>
      </c>
      <c r="O8" s="7">
        <f t="shared" si="0"/>
        <v>0</v>
      </c>
      <c r="P8" s="7">
        <f>VLOOKUP($A8,[10]HISTODEC24!$A$6:$BB$47,31,0)</f>
        <v>0</v>
      </c>
    </row>
    <row r="9" spans="1:16" x14ac:dyDescent="0.35">
      <c r="A9" s="1" t="s">
        <v>21</v>
      </c>
      <c r="B9" s="7">
        <f>IF(D9=0,0,VLOOKUP($A9,[10]HISTODEC24!$A$6:$BQ$47,14,0))</f>
        <v>1</v>
      </c>
      <c r="C9" s="1" t="str">
        <f>VLOOKUP(A9,[11]LISTADHERENT!A$5:H$60,3,0)</f>
        <v>HOTCHO BENJAMIN</v>
      </c>
      <c r="D9" s="7">
        <f>IF(E9="ECHEC",0,VLOOKUP($A9,[10]HISTODEC24!$A$6:$BB$47,15,0))</f>
        <v>100000</v>
      </c>
      <c r="E9" s="7" t="str">
        <f>VLOOKUP($A9,[10]HISTODEC24!$A$6:$BB$47,8,0)</f>
        <v>BANQUE</v>
      </c>
      <c r="F9" s="7">
        <f>VLOOKUP($A9,[10]HISTODEC24!$A$6:$BB$47,37,0)</f>
        <v>0</v>
      </c>
      <c r="G9" s="7">
        <f>VLOOKUP($A9,[10]HISTODEC24!$A$6:$BB$47,40,0)</f>
        <v>0</v>
      </c>
      <c r="H9" s="7" t="str">
        <f>IF(F9&lt;&gt;0,VLOOKUP($A9,[10]HISTODEC24!$A$6:$BB$47,42,0),"ECHEC")</f>
        <v>ECHEC</v>
      </c>
      <c r="I9" s="7">
        <f>VLOOKUP($A9,[10]HISTODEC24!$A$6:$BB$47,41,0)</f>
        <v>0</v>
      </c>
      <c r="J9" s="7">
        <f>TONTNOV24!F9+TONTNOV24!G9</f>
        <v>202000</v>
      </c>
      <c r="K9" s="7">
        <f>VLOOKUP($A9,[10]HISTODEC24!$A$6:$BB$47,18,0)</f>
        <v>202000</v>
      </c>
      <c r="L9" s="7">
        <f>IF(K9&lt;&gt;0,VLOOKUP($A9,[10]HISTODEC24!$A$6:$BB$47,42,0),"ECHEC")</f>
        <v>0</v>
      </c>
      <c r="M9" s="7" t="str">
        <f>IF(P9&lt;&gt;0,VLOOKUP($A9,[10]HISTODEC24!$A$6:$BB$47,32,0),"ECHEC")</f>
        <v>ECHEC</v>
      </c>
      <c r="N9" s="7">
        <f>VLOOKUP($A9,[10]HISTODEC24!$A$6:$BB$47,33,0)</f>
        <v>0</v>
      </c>
      <c r="O9" s="7">
        <f t="shared" si="0"/>
        <v>0</v>
      </c>
      <c r="P9" s="7">
        <f>VLOOKUP($A9,[10]HISTODEC24!$A$6:$BB$47,31,0)</f>
        <v>0</v>
      </c>
    </row>
    <row r="10" spans="1:16" x14ac:dyDescent="0.35">
      <c r="A10" s="1" t="s">
        <v>26</v>
      </c>
      <c r="B10" s="7">
        <f>IF(D10=0,0,VLOOKUP($A10,[10]HISTODEC24!$A$6:$BQ$47,14,0))</f>
        <v>1</v>
      </c>
      <c r="C10" s="1" t="str">
        <f>VLOOKUP(A10,[11]LISTADHERENT!A$5:H$60,3,0)</f>
        <v>KOUAMOU MOISE</v>
      </c>
      <c r="D10" s="7">
        <f>IF(E10="ECHEC",0,VLOOKUP($A10,[10]HISTODEC24!$A$6:$BB$47,15,0))</f>
        <v>100000</v>
      </c>
      <c r="E10" s="7" t="str">
        <f>VLOOKUP($A10,[10]HISTODEC24!$A$6:$BB$47,8,0)</f>
        <v>BANQUE</v>
      </c>
      <c r="F10" s="7">
        <f>VLOOKUP($A10,[10]HISTODEC24!$A$6:$BB$47,37,0)</f>
        <v>0</v>
      </c>
      <c r="G10" s="7">
        <f>VLOOKUP($A10,[10]HISTODEC24!$A$6:$BB$47,40,0)</f>
        <v>0</v>
      </c>
      <c r="H10" s="7" t="str">
        <f>IF(F10&lt;&gt;0,VLOOKUP($A10,[10]HISTODEC24!$A$6:$BB$47,42,0),"ECHEC")</f>
        <v>ECHEC</v>
      </c>
      <c r="I10" s="7">
        <f>VLOOKUP($A10,[10]HISTODEC24!$A$6:$BB$47,41,0)</f>
        <v>0</v>
      </c>
      <c r="J10" s="7">
        <f>TONTNOV24!F10+TONTNOV24!G10</f>
        <v>104500</v>
      </c>
      <c r="K10" s="7">
        <f>VLOOKUP($A10,[10]HISTODEC24!$A$6:$BB$47,18,0)</f>
        <v>104500</v>
      </c>
      <c r="L10" s="7">
        <f>IF(K10&lt;&gt;0,VLOOKUP($A10,[10]HISTODEC24!$A$6:$BB$47,42,0),"ECHEC")</f>
        <v>0</v>
      </c>
      <c r="M10" s="7" t="str">
        <f>IF(P10&lt;&gt;0,VLOOKUP($A10,[10]HISTODEC24!$A$6:$BB$47,32,0),"ECHEC")</f>
        <v>ECHEC</v>
      </c>
      <c r="N10" s="7">
        <f>VLOOKUP($A10,[10]HISTODEC24!$A$6:$BB$47,33,0)</f>
        <v>0</v>
      </c>
      <c r="O10" s="7">
        <f t="shared" si="0"/>
        <v>0</v>
      </c>
      <c r="P10" s="7">
        <f>VLOOKUP($A10,[10]HISTODEC24!$A$6:$BB$47,31,0)</f>
        <v>0</v>
      </c>
    </row>
    <row r="11" spans="1:16" x14ac:dyDescent="0.35">
      <c r="A11" s="1" t="s">
        <v>8</v>
      </c>
      <c r="B11" s="7">
        <f>IF(D11=0,0,VLOOKUP($A11,[10]HISTODEC24!$A$6:$BQ$47,14,0))</f>
        <v>1</v>
      </c>
      <c r="C11" s="1" t="str">
        <f>VLOOKUP(A11,[11]LISTADHERENT!A$5:H$60,3,0)</f>
        <v>KOUATCHO MESSACK</v>
      </c>
      <c r="D11" s="7">
        <f>IF(E11="ECHEC",0,VLOOKUP($A11,[10]HISTODEC24!$A$6:$BB$47,15,0))</f>
        <v>100000</v>
      </c>
      <c r="E11" s="7" t="str">
        <f>VLOOKUP($A11,[10]HISTODEC24!$A$6:$BB$47,8,0)</f>
        <v>BANQUE</v>
      </c>
      <c r="F11" s="7">
        <f>VLOOKUP($A11,[10]HISTODEC24!$A$6:$BB$47,37,0)</f>
        <v>0</v>
      </c>
      <c r="G11" s="7">
        <f>VLOOKUP($A11,[10]HISTODEC24!$A$6:$BB$47,40,0)</f>
        <v>0</v>
      </c>
      <c r="H11" s="7" t="str">
        <f>IF(F11&lt;&gt;0,VLOOKUP($A11,[10]HISTODEC24!$A$6:$BB$47,42,0),"ECHEC")</f>
        <v>ECHEC</v>
      </c>
      <c r="I11" s="7">
        <f>VLOOKUP($A11,[10]HISTODEC24!$A$6:$BB$47,41,0)</f>
        <v>0</v>
      </c>
      <c r="J11" s="7">
        <f>TONTNOV24!F11+TONTNOV24!G11</f>
        <v>101000</v>
      </c>
      <c r="K11" s="7">
        <f>VLOOKUP($A11,[10]HISTODEC24!$A$6:$BB$47,18,0)</f>
        <v>101000</v>
      </c>
      <c r="L11" s="7">
        <f>IF(K11&lt;&gt;0,VLOOKUP($A11,[10]HISTODEC24!$A$6:$BB$47,42,0),"ECHEC")</f>
        <v>0</v>
      </c>
      <c r="M11" s="7" t="str">
        <f>IF(P11&lt;&gt;0,VLOOKUP($A11,[10]HISTODEC24!$A$6:$BB$47,32,0),"ECHEC")</f>
        <v>ECHEC</v>
      </c>
      <c r="N11" s="7">
        <f>VLOOKUP($A11,[10]HISTODEC24!$A$6:$BB$47,33,0)</f>
        <v>0</v>
      </c>
      <c r="O11" s="7">
        <f t="shared" si="0"/>
        <v>0</v>
      </c>
      <c r="P11" s="7">
        <f>VLOOKUP($A11,[10]HISTODEC24!$A$6:$BB$47,31,0)</f>
        <v>0</v>
      </c>
    </row>
    <row r="12" spans="1:16" x14ac:dyDescent="0.35">
      <c r="A12" s="1" t="s">
        <v>22</v>
      </c>
      <c r="B12" s="7">
        <f>IF(D12=0,0,VLOOKUP($A12,[10]HISTODEC24!$A$6:$BQ$47,14,0))</f>
        <v>1</v>
      </c>
      <c r="C12" s="1" t="str">
        <f>VLOOKUP(A12,[11]LISTADHERENT!A$5:H$60,3,0)</f>
        <v>MBOGNING TUGMA GUY</v>
      </c>
      <c r="D12" s="7">
        <f>IF(E12="ECHEC",0,VLOOKUP($A12,[10]HISTODEC24!$A$6:$BB$47,15,0))</f>
        <v>100000</v>
      </c>
      <c r="E12" s="7" t="str">
        <f>VLOOKUP($A12,[10]HISTODEC24!$A$6:$BB$47,8,0)</f>
        <v>BANQUE</v>
      </c>
      <c r="F12" s="7">
        <f>VLOOKUP($A12,[10]HISTODEC24!$A$6:$BB$47,37,0)</f>
        <v>0</v>
      </c>
      <c r="G12" s="7">
        <f>VLOOKUP($A12,[10]HISTODEC24!$A$6:$BB$47,40,0)</f>
        <v>0</v>
      </c>
      <c r="H12" s="7" t="str">
        <f>IF(F12&lt;&gt;0,VLOOKUP($A12,[10]HISTODEC24!$A$6:$BB$47,42,0),"ECHEC")</f>
        <v>ECHEC</v>
      </c>
      <c r="I12" s="7">
        <f>VLOOKUP($A12,[10]HISTODEC24!$A$6:$BB$47,41,0)</f>
        <v>0</v>
      </c>
      <c r="J12" s="7">
        <f>TONTNOV24!F12+TONTNOV24!G12</f>
        <v>202000</v>
      </c>
      <c r="K12" s="7">
        <f>VLOOKUP($A12,[10]HISTODEC24!$A$6:$BB$47,18,0)</f>
        <v>202000</v>
      </c>
      <c r="L12" s="7">
        <f>IF(K12&lt;&gt;0,VLOOKUP($A12,[10]HISTODEC24!$A$6:$BB$47,42,0),"ECHEC")</f>
        <v>0</v>
      </c>
      <c r="M12" s="7" t="str">
        <f>IF(P12&lt;&gt;0,VLOOKUP($A12,[10]HISTODEC24!$A$6:$BB$47,32,0),"ECHEC")</f>
        <v>ECHEC</v>
      </c>
      <c r="N12" s="7">
        <f>VLOOKUP($A12,[10]HISTODEC24!$A$6:$BB$47,33,0)</f>
        <v>0</v>
      </c>
      <c r="O12" s="7">
        <f t="shared" si="0"/>
        <v>0</v>
      </c>
      <c r="P12" s="7">
        <f>VLOOKUP($A12,[10]HISTODEC24!$A$6:$BB$47,31,0)</f>
        <v>0</v>
      </c>
    </row>
    <row r="13" spans="1:16" x14ac:dyDescent="0.35">
      <c r="A13" s="1" t="s">
        <v>9</v>
      </c>
      <c r="B13" s="7">
        <f>IF(D13=0,0,VLOOKUP($A13,[10]HISTODEC24!$A$6:$BQ$47,14,0))</f>
        <v>2</v>
      </c>
      <c r="C13" s="1" t="str">
        <f>VLOOKUP(A13,[11]LISTADHERENT!A$5:H$60,3,0)</f>
        <v>NDJOMO ETIENNE</v>
      </c>
      <c r="D13" s="7">
        <f>IF(E13="ECHEC",0,VLOOKUP($A13,[10]HISTODEC24!$A$6:$BB$47,15,0))</f>
        <v>200000</v>
      </c>
      <c r="E13" s="7" t="str">
        <f>VLOOKUP($A13,[10]HISTODEC24!$A$6:$BB$47,8,0)</f>
        <v>BANQUE</v>
      </c>
      <c r="F13" s="7">
        <f>VLOOKUP($A13,[10]HISTODEC24!$A$6:$BB$47,37,0)</f>
        <v>0</v>
      </c>
      <c r="G13" s="7">
        <f>VLOOKUP($A13,[10]HISTODEC24!$A$6:$BB$47,40,0)</f>
        <v>0</v>
      </c>
      <c r="H13" s="7" t="str">
        <f>IF(F13&lt;&gt;0,VLOOKUP($A13,[10]HISTODEC24!$A$6:$BB$47,42,0),"ECHEC")</f>
        <v>ECHEC</v>
      </c>
      <c r="I13" s="7">
        <f>VLOOKUP($A13,[10]HISTODEC24!$A$6:$BB$47,41,0)</f>
        <v>0</v>
      </c>
      <c r="J13" s="7">
        <f>TONTNOV24!F13+TONTNOV24!G13</f>
        <v>404000</v>
      </c>
      <c r="K13" s="7">
        <f>VLOOKUP($A13,[10]HISTODEC24!$A$6:$BB$47,18,0)</f>
        <v>404000</v>
      </c>
      <c r="L13" s="7">
        <f>IF(K13&lt;&gt;0,VLOOKUP($A13,[10]HISTODEC24!$A$6:$BB$47,42,0),"ECHEC")</f>
        <v>0</v>
      </c>
      <c r="M13" s="7" t="str">
        <f>IF(P13&lt;&gt;0,VLOOKUP($A13,[10]HISTODEC24!$A$6:$BB$47,32,0),"ECHEC")</f>
        <v>ECHEC</v>
      </c>
      <c r="N13" s="7">
        <f>VLOOKUP($A13,[10]HISTODEC24!$A$6:$BB$47,33,0)</f>
        <v>0</v>
      </c>
      <c r="O13" s="7">
        <f t="shared" si="0"/>
        <v>0</v>
      </c>
      <c r="P13" s="7">
        <f>VLOOKUP($A13,[10]HISTODEC24!$A$6:$BB$47,31,0)</f>
        <v>0</v>
      </c>
    </row>
    <row r="14" spans="1:16" x14ac:dyDescent="0.35">
      <c r="A14" s="1" t="s">
        <v>10</v>
      </c>
      <c r="B14" s="7">
        <f>IF(D14=0,0,VLOOKUP($A14,[10]HISTODEC24!$A$6:$BQ$47,14,0))</f>
        <v>1</v>
      </c>
      <c r="C14" s="1" t="str">
        <f>VLOOKUP(A14,[11]LISTADHERENT!A$5:H$60,3,0)</f>
        <v>NGONDIEP CLAUDE</v>
      </c>
      <c r="D14" s="7">
        <f>IF(E14="ECHEC",0,VLOOKUP($A14,[10]HISTODEC24!$A$6:$BB$47,15,0))</f>
        <v>100000</v>
      </c>
      <c r="E14" s="7" t="str">
        <f>VLOOKUP($A14,[10]HISTODEC24!$A$6:$BB$47,8,0)</f>
        <v>BANQUE</v>
      </c>
      <c r="F14" s="7">
        <f>VLOOKUP($A14,[10]HISTODEC24!$A$6:$BB$47,37,0)</f>
        <v>0</v>
      </c>
      <c r="G14" s="7">
        <f>VLOOKUP($A14,[10]HISTODEC24!$A$6:$BB$47,40,0)</f>
        <v>0</v>
      </c>
      <c r="H14" s="7" t="str">
        <f>IF(F14&lt;&gt;0,VLOOKUP($A14,[10]HISTODEC24!$A$6:$BB$47,42,0),"ECHEC")</f>
        <v>ECHEC</v>
      </c>
      <c r="I14" s="7">
        <f>VLOOKUP($A14,[10]HISTODEC24!$A$6:$BB$47,41,0)</f>
        <v>0</v>
      </c>
      <c r="J14" s="7">
        <f>TONTNOV24!F14+TONTNOV24!G14</f>
        <v>204000</v>
      </c>
      <c r="K14" s="7">
        <f>VLOOKUP($A14,[10]HISTODEC24!$A$6:$BB$47,18,0)</f>
        <v>204000</v>
      </c>
      <c r="L14" s="7">
        <f>IF(K14&lt;&gt;0,VLOOKUP($A14,[10]HISTODEC24!$A$6:$BB$47,42,0),"ECHEC")</f>
        <v>0</v>
      </c>
      <c r="M14" s="7" t="str">
        <f>IF(P14&lt;&gt;0,VLOOKUP($A14,[10]HISTODEC24!$A$6:$BB$47,32,0),"ECHEC")</f>
        <v>ECHEC</v>
      </c>
      <c r="N14" s="7">
        <f>VLOOKUP($A14,[10]HISTODEC24!$A$6:$BB$47,33,0)</f>
        <v>0</v>
      </c>
      <c r="O14" s="7">
        <f t="shared" si="0"/>
        <v>0</v>
      </c>
      <c r="P14" s="7">
        <f>VLOOKUP($A14,[10]HISTODEC24!$A$6:$BB$47,31,0)</f>
        <v>0</v>
      </c>
    </row>
    <row r="15" spans="1:16" x14ac:dyDescent="0.35">
      <c r="A15" s="1" t="s">
        <v>43</v>
      </c>
      <c r="B15" s="7">
        <f>IF(D15=0,0,VLOOKUP($A15,[10]HISTODEC24!$A$6:$BQ$47,14,0))</f>
        <v>1</v>
      </c>
      <c r="C15" s="1" t="str">
        <f>VLOOKUP(A15,[11]LISTADHERENT!A$5:H$60,3,0)</f>
        <v>NGUIEMEGNI MATHIEU BLAISE</v>
      </c>
      <c r="D15" s="7">
        <f>IF(E15="ECHEC",0,VLOOKUP($A15,[10]HISTODEC24!$A$6:$BB$47,15,0))</f>
        <v>100000</v>
      </c>
      <c r="E15" s="7" t="str">
        <f>VLOOKUP($A15,[10]HISTODEC24!$A$6:$BB$47,8,0)</f>
        <v>BANQUE</v>
      </c>
      <c r="F15" s="7">
        <f>VLOOKUP($A15,[10]HISTODEC24!$A$6:$BB$47,37,0)</f>
        <v>0</v>
      </c>
      <c r="G15" s="7">
        <f>VLOOKUP($A15,[10]HISTODEC24!$A$6:$BB$47,40,0)</f>
        <v>0</v>
      </c>
      <c r="H15" s="7" t="str">
        <f>IF(F15&lt;&gt;0,VLOOKUP($A15,[10]HISTODEC24!$A$6:$BB$47,42,0),"ECHEC")</f>
        <v>ECHEC</v>
      </c>
      <c r="I15" s="7">
        <f>VLOOKUP($A15,[10]HISTODEC24!$A$6:$BB$47,41,0)</f>
        <v>0</v>
      </c>
      <c r="J15" s="7">
        <f>TONTNOV24!F15+TONTNOV24!G15</f>
        <v>0</v>
      </c>
      <c r="K15" s="7">
        <f>VLOOKUP($A15,[10]HISTODEC24!$A$6:$BB$47,18,0)</f>
        <v>0</v>
      </c>
      <c r="L15" s="7" t="str">
        <f>IF(K15&lt;&gt;0,VLOOKUP($A15,[10]HISTODEC24!$A$6:$BB$47,42,0),"ECHEC")</f>
        <v>ECHEC</v>
      </c>
      <c r="M15" s="7" t="str">
        <f>IF(P15&lt;&gt;0,VLOOKUP($A15,[10]HISTODEC24!$A$6:$BB$47,32,0),"ECHEC")</f>
        <v>ECHEC</v>
      </c>
      <c r="N15" s="7">
        <f>VLOOKUP($A15,[10]HISTODEC24!$A$6:$BB$47,33,0)</f>
        <v>0</v>
      </c>
      <c r="O15" s="7">
        <f t="shared" si="0"/>
        <v>0</v>
      </c>
      <c r="P15" s="7">
        <f>VLOOKUP($A15,[10]HISTODEC24!$A$6:$BB$47,31,0)</f>
        <v>0</v>
      </c>
    </row>
    <row r="16" spans="1:16" x14ac:dyDescent="0.35">
      <c r="A16" s="1" t="s">
        <v>54</v>
      </c>
      <c r="B16" s="7">
        <f>IF(D16=0,0,VLOOKUP($A16,[10]HISTODEC24!$A$6:$BQ$47,14,0))</f>
        <v>2</v>
      </c>
      <c r="C16" s="1" t="str">
        <f>VLOOKUP(A16,[11]LISTADHERENT!A$5:H$60,3,0)</f>
        <v>SIME BRICE</v>
      </c>
      <c r="D16" s="7">
        <f>IF(E16="ECHEC",0,VLOOKUP($A16,[10]HISTODEC24!$A$6:$BB$47,15,0))</f>
        <v>200000</v>
      </c>
      <c r="E16" s="7" t="str">
        <f>VLOOKUP($A16,[10]HISTODEC24!$A$6:$BB$47,8,0)</f>
        <v>BANQUE</v>
      </c>
      <c r="F16" s="7">
        <f>VLOOKUP($A16,[10]HISTODEC24!$A$6:$BB$47,37,0)</f>
        <v>0</v>
      </c>
      <c r="G16" s="7">
        <f>VLOOKUP($A16,[10]HISTODEC24!$A$6:$BB$47,40,0)</f>
        <v>0</v>
      </c>
      <c r="H16" s="7" t="str">
        <f>IF(F16&lt;&gt;0,VLOOKUP($A16,[10]HISTODEC24!$A$6:$BB$47,42,0),"ECHEC")</f>
        <v>ECHEC</v>
      </c>
      <c r="I16" s="7">
        <f>VLOOKUP($A16,[10]HISTODEC24!$A$6:$BB$47,41,0)</f>
        <v>0</v>
      </c>
      <c r="J16" s="7">
        <f>TONTNOV24!F16+TONTNOV24!G16</f>
        <v>202000</v>
      </c>
      <c r="K16" s="7">
        <f>VLOOKUP($A16,[10]HISTODEC24!$A$6:$BB$47,18,0)</f>
        <v>202000</v>
      </c>
      <c r="L16" s="7">
        <f>IF(K16&lt;&gt;0,VLOOKUP($A16,[10]HISTODEC24!$A$6:$BB$47,42,0),"ECHEC")</f>
        <v>0</v>
      </c>
      <c r="M16" s="7" t="str">
        <f>IF(P16&lt;&gt;0,VLOOKUP($A16,[10]HISTODEC24!$A$6:$BB$47,32,0),"ECHEC")</f>
        <v>ECHEC</v>
      </c>
      <c r="N16" s="7">
        <f>VLOOKUP($A16,[10]HISTODEC24!$A$6:$BB$47,33,0)</f>
        <v>0</v>
      </c>
      <c r="O16" s="7">
        <f t="shared" si="0"/>
        <v>0</v>
      </c>
      <c r="P16" s="7">
        <f>VLOOKUP($A16,[10]HISTODEC24!$A$6:$BB$47,31,0)</f>
        <v>0</v>
      </c>
    </row>
    <row r="17" spans="1:16" x14ac:dyDescent="0.35">
      <c r="A17" s="1" t="s">
        <v>55</v>
      </c>
      <c r="B17" s="7">
        <f>IF(D17=0,0,VLOOKUP($A17,[10]HISTODEC24!$A$6:$BQ$47,14,0))</f>
        <v>1</v>
      </c>
      <c r="C17" s="1" t="str">
        <f>VLOOKUP(A17,[11]LISTADHERENT!A$5:H$60,3,0)</f>
        <v>TCHOUATEU AUGUSTIN</v>
      </c>
      <c r="D17" s="7">
        <f>IF(E17="ECHEC",0,VLOOKUP($A17,[10]HISTODEC24!$A$6:$BB$47,15,0))</f>
        <v>100000</v>
      </c>
      <c r="E17" s="7" t="str">
        <f>VLOOKUP($A17,[10]HISTODEC24!$A$6:$BB$47,8,0)</f>
        <v>BANQUE</v>
      </c>
      <c r="F17" s="7">
        <f>VLOOKUP($A17,[10]HISTODEC24!$A$6:$BB$47,37,0)</f>
        <v>0</v>
      </c>
      <c r="G17" s="7">
        <f>VLOOKUP($A17,[10]HISTODEC24!$A$6:$BB$47,40,0)</f>
        <v>0</v>
      </c>
      <c r="H17" s="7" t="str">
        <f>IF(F17&lt;&gt;0,VLOOKUP($A17,[10]HISTODEC24!$A$6:$BB$47,42,0),"ECHEC")</f>
        <v>ECHEC</v>
      </c>
      <c r="I17" s="7">
        <f>VLOOKUP($A17,[10]HISTODEC24!$A$6:$BB$47,41,0)</f>
        <v>0</v>
      </c>
      <c r="J17" s="7">
        <f>TONTNOV24!F17+TONTNOV24!G17</f>
        <v>0</v>
      </c>
      <c r="K17" s="7">
        <f>VLOOKUP($A17,[10]HISTODEC24!$A$6:$BB$47,18,0)</f>
        <v>0</v>
      </c>
      <c r="L17" s="7" t="str">
        <f>IF(K17&lt;&gt;0,VLOOKUP($A17,[10]HISTODEC24!$A$6:$BB$47,42,0),"ECHEC")</f>
        <v>ECHEC</v>
      </c>
      <c r="M17" s="7" t="str">
        <f>IF(P17&lt;&gt;0,VLOOKUP($A17,[10]HISTODEC24!$A$6:$BB$47,32,0),"ECHEC")</f>
        <v>ECHEC</v>
      </c>
      <c r="N17" s="7">
        <f>VLOOKUP($A17,[10]HISTODEC24!$A$6:$BB$47,33,0)</f>
        <v>0</v>
      </c>
      <c r="O17" s="7">
        <f t="shared" si="0"/>
        <v>0</v>
      </c>
      <c r="P17" s="7">
        <f>VLOOKUP($A17,[10]HISTODEC24!$A$6:$BB$47,31,0)</f>
        <v>0</v>
      </c>
    </row>
    <row r="18" spans="1:16" x14ac:dyDescent="0.35">
      <c r="A18" s="1" t="s">
        <v>46</v>
      </c>
      <c r="B18" s="7">
        <f>IF(D18=0,0,VLOOKUP($A18,[10]HISTODEC24!$A$6:$BQ$47,14,0))</f>
        <v>1</v>
      </c>
      <c r="C18" s="1" t="str">
        <f>VLOOKUP(A18,[11]LISTADHERENT!A$5:H$60,3,0)</f>
        <v>SIMO PIERRE</v>
      </c>
      <c r="D18" s="7">
        <f>IF(E18="ECHEC",0,VLOOKUP($A18,[10]HISTODEC24!$A$6:$BB$47,15,0))</f>
        <v>100000</v>
      </c>
      <c r="E18" s="7" t="str">
        <f>VLOOKUP($A18,[10]HISTODEC24!$A$6:$BB$47,8,0)</f>
        <v>BANQUE</v>
      </c>
      <c r="F18" s="7">
        <f>VLOOKUP($A18,[10]HISTODEC24!$A$6:$BB$47,37,0)</f>
        <v>0</v>
      </c>
      <c r="G18" s="7">
        <f>VLOOKUP($A18,[10]HISTODEC24!$A$6:$BB$47,40,0)</f>
        <v>0</v>
      </c>
      <c r="H18" s="7" t="str">
        <f>IF(F18&lt;&gt;0,VLOOKUP($A18,[10]HISTODEC24!$A$6:$BB$47,42,0),"ECHEC")</f>
        <v>ECHEC</v>
      </c>
      <c r="I18" s="7">
        <f>VLOOKUP($A18,[10]HISTODEC24!$A$6:$BB$47,41,0)</f>
        <v>0</v>
      </c>
      <c r="J18" s="7">
        <f>TONTNOV24!F18+TONTNOV24!G18</f>
        <v>0</v>
      </c>
      <c r="K18" s="7">
        <f>VLOOKUP($A18,[10]HISTODEC24!$A$6:$BB$47,18,0)</f>
        <v>0</v>
      </c>
      <c r="L18" s="7" t="str">
        <f>IF(K18&lt;&gt;0,VLOOKUP($A18,[10]HISTODEC24!$A$6:$BB$47,42,0),"ECHEC")</f>
        <v>ECHEC</v>
      </c>
      <c r="M18" s="7" t="str">
        <f>IF(P18&lt;&gt;0,VLOOKUP($A18,[10]HISTODEC24!$A$6:$BB$47,32,0),"ECHEC")</f>
        <v>ECHEC</v>
      </c>
      <c r="N18" s="7">
        <f>VLOOKUP($A18,[10]HISTODEC24!$A$6:$BB$47,33,0)</f>
        <v>0</v>
      </c>
      <c r="O18" s="7">
        <f t="shared" si="0"/>
        <v>0</v>
      </c>
      <c r="P18" s="7">
        <f>VLOOKUP($A18,[10]HISTODEC24!$A$6:$BB$47,31,0)</f>
        <v>0</v>
      </c>
    </row>
    <row r="19" spans="1:16" x14ac:dyDescent="0.35">
      <c r="A19" s="1" t="s">
        <v>53</v>
      </c>
      <c r="B19" s="7">
        <f>IF(D19=0,0,VLOOKUP($A19,[10]HISTODEC24!$A$6:$BQ$47,14,0))</f>
        <v>1</v>
      </c>
      <c r="C19" s="1" t="str">
        <f>VLOOKUP(A19,[11]LISTADHERENT!A$5:H$60,3,0)</f>
        <v>YIALA ALAIN OSCAR</v>
      </c>
      <c r="D19" s="7">
        <f>IF(E19="ECHEC",0,VLOOKUP($A19,[10]HISTODEC24!$A$6:$BB$47,15,0))</f>
        <v>100000</v>
      </c>
      <c r="E19" s="7" t="str">
        <f>VLOOKUP($A19,[10]HISTODEC24!$A$6:$BB$47,8,0)</f>
        <v>ESPECES</v>
      </c>
      <c r="F19" s="7">
        <f>VLOOKUP($A19,[10]HISTODEC24!$A$6:$BB$47,37,0)</f>
        <v>0</v>
      </c>
      <c r="G19" s="7">
        <f>VLOOKUP($A19,[10]HISTODEC24!$A$6:$BB$47,40,0)</f>
        <v>0</v>
      </c>
      <c r="H19" s="7" t="str">
        <f>IF(F19&lt;&gt;0,VLOOKUP($A19,[10]HISTODEC24!$A$6:$BB$47,42,0),"ECHEC")</f>
        <v>ECHEC</v>
      </c>
      <c r="I19" s="7">
        <f>VLOOKUP($A19,[10]HISTODEC24!$A$6:$BB$47,41,0)</f>
        <v>0</v>
      </c>
      <c r="J19" s="7">
        <f>TONTNOV24!F19+TONTNOV24!G19</f>
        <v>0</v>
      </c>
      <c r="K19" s="7">
        <f>VLOOKUP($A19,[10]HISTODEC24!$A$6:$BB$47,18,0)</f>
        <v>0</v>
      </c>
      <c r="L19" s="7" t="str">
        <f>IF(K19&lt;&gt;0,VLOOKUP($A19,[10]HISTODEC24!$A$6:$BB$47,42,0),"ECHEC")</f>
        <v>ECHEC</v>
      </c>
      <c r="M19" s="7" t="str">
        <f>IF(P19&lt;&gt;0,VLOOKUP($A19,[10]HISTODEC24!$A$6:$BB$47,32,0),"ECHEC")</f>
        <v>ECHEC</v>
      </c>
      <c r="N19" s="7">
        <f>VLOOKUP($A19,[10]HISTODEC24!$A$6:$BB$47,33,0)</f>
        <v>0</v>
      </c>
      <c r="O19" s="7">
        <f t="shared" si="0"/>
        <v>0</v>
      </c>
      <c r="P19" s="7">
        <f>VLOOKUP($A19,[10]HISTODEC24!$A$6:$BB$47,31,0)</f>
        <v>0</v>
      </c>
    </row>
    <row r="20" spans="1:16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7.5" x14ac:dyDescent="0.35">
      <c r="A21" s="1" t="s">
        <v>40</v>
      </c>
      <c r="B21" s="8">
        <f>SUM(B6:B20)</f>
        <v>18</v>
      </c>
      <c r="G21" s="10"/>
    </row>
    <row r="22" spans="1:16" ht="17.5" x14ac:dyDescent="0.35">
      <c r="A22" s="1" t="s">
        <v>41</v>
      </c>
      <c r="B22" s="15">
        <f>+COUNT(D6:D20)</f>
        <v>14</v>
      </c>
      <c r="C22" s="8"/>
      <c r="D22" s="8">
        <f>SUM(D6:D20)</f>
        <v>1800000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2025500</v>
      </c>
      <c r="K22" s="8">
        <f t="shared" si="1"/>
        <v>2025500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1190000</v>
      </c>
      <c r="P22" s="8">
        <f t="shared" si="1"/>
        <v>10000</v>
      </c>
    </row>
    <row r="23" spans="1:16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D28+E28+P22+TONTNOV24!N29</f>
        <v>3569500</v>
      </c>
      <c r="M24" s="5"/>
      <c r="N24"/>
      <c r="O24" s="5"/>
    </row>
    <row r="25" spans="1:16" s="2" customFormat="1" ht="17.5" x14ac:dyDescent="0.3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1200000</v>
      </c>
      <c r="M25" s="8">
        <f>D3</f>
        <v>2</v>
      </c>
      <c r="N25" s="8">
        <f>COUNTIF(O6:O19,"&gt;0")</f>
        <v>1</v>
      </c>
      <c r="O25" s="8"/>
    </row>
    <row r="26" spans="1:16" s="2" customFormat="1" ht="17.5" x14ac:dyDescent="0.35">
      <c r="C26" s="8" t="s">
        <v>7</v>
      </c>
      <c r="D26" s="8">
        <f>SUMIFS(D6:D20,E6:E20,"BANQUE")</f>
        <v>1700000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1700000</v>
      </c>
      <c r="I26" s="8"/>
      <c r="L26" s="8"/>
      <c r="M26" s="8"/>
      <c r="N26" s="8"/>
      <c r="O26" s="8"/>
    </row>
    <row r="27" spans="1:16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2369500</v>
      </c>
      <c r="M27" s="8"/>
      <c r="N27" s="8"/>
      <c r="O27" s="8"/>
    </row>
    <row r="28" spans="1:16" s="2" customFormat="1" ht="17.5" x14ac:dyDescent="0.35">
      <c r="C28" s="8" t="s">
        <v>45</v>
      </c>
      <c r="D28" s="8">
        <f>D25+D26</f>
        <v>1800000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1800000</v>
      </c>
      <c r="I28" s="8"/>
      <c r="L28" s="8"/>
      <c r="M28" s="8"/>
      <c r="N28" s="8"/>
      <c r="O28" s="8"/>
    </row>
    <row r="29" spans="1:16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2369500</v>
      </c>
      <c r="M29"/>
      <c r="N29" s="8">
        <f>L29</f>
        <v>2369500</v>
      </c>
      <c r="O29" s="8" t="s">
        <v>28</v>
      </c>
    </row>
    <row r="30" spans="1:16" s="2" customFormat="1" x14ac:dyDescent="0.35">
      <c r="D30" s="5"/>
      <c r="E30"/>
      <c r="F30"/>
      <c r="G30" s="3"/>
      <c r="H30" s="3"/>
      <c r="I30" s="3"/>
      <c r="M30"/>
      <c r="N30" s="3"/>
      <c r="O30" s="3"/>
    </row>
    <row r="31" spans="1:16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16" ht="17.5" x14ac:dyDescent="0.35">
      <c r="K32" s="8" t="s">
        <v>36</v>
      </c>
      <c r="L32" s="8">
        <f>J22-E28</f>
        <v>2025500</v>
      </c>
      <c r="N32" s="8">
        <f>L32</f>
        <v>2025500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P19" xr:uid="{00000000-0009-0000-0000-00000C000000}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4"/>
  <sheetViews>
    <sheetView workbookViewId="0">
      <pane xSplit="3" ySplit="5" topLeftCell="P6" activePane="bottomRight" state="frozen"/>
      <selection activeCell="G6" sqref="G6:G39"/>
      <selection pane="topRight" activeCell="G6" sqref="G6:G39"/>
      <selection pane="bottomLeft" activeCell="G6" sqref="G6:G39"/>
      <selection pane="bottomRight" activeCell="V22" sqref="V22"/>
    </sheetView>
  </sheetViews>
  <sheetFormatPr baseColWidth="10" defaultColWidth="11" defaultRowHeight="14.5" x14ac:dyDescent="0.35"/>
  <cols>
    <col min="1" max="1" width="13.81640625" customWidth="1"/>
    <col min="2" max="2" width="18.453125" customWidth="1"/>
    <col min="3" max="3" width="29.54296875" customWidth="1"/>
    <col min="4" max="4" width="21" customWidth="1"/>
    <col min="5" max="5" width="16.7265625" customWidth="1"/>
    <col min="6" max="6" width="17.7265625" customWidth="1"/>
    <col min="7" max="8" width="17.54296875" style="3" customWidth="1"/>
    <col min="9" max="9" width="16" style="3" customWidth="1"/>
    <col min="10" max="10" width="19.81640625" style="3" customWidth="1"/>
    <col min="11" max="11" width="15.7265625" style="2" customWidth="1"/>
    <col min="12" max="12" width="16.7265625" bestFit="1" customWidth="1"/>
    <col min="13" max="13" width="14.54296875" bestFit="1" customWidth="1"/>
    <col min="14" max="14" width="15.54296875" style="3" customWidth="1"/>
    <col min="15" max="15" width="18.1796875" style="2" customWidth="1"/>
    <col min="16" max="16" width="22.26953125" style="2" customWidth="1"/>
    <col min="17" max="17" width="12.453125" bestFit="1" customWidth="1"/>
    <col min="19" max="19" width="16.26953125" customWidth="1"/>
    <col min="20" max="20" width="12.453125" bestFit="1" customWidth="1"/>
  </cols>
  <sheetData>
    <row r="1" spans="1:20" x14ac:dyDescent="0.35">
      <c r="A1" s="1" t="s">
        <v>0</v>
      </c>
      <c r="B1" s="1" t="s">
        <v>1</v>
      </c>
      <c r="D1" s="1"/>
      <c r="E1" s="1"/>
      <c r="L1" s="1"/>
      <c r="M1" s="1"/>
    </row>
    <row r="2" spans="1:20" x14ac:dyDescent="0.3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20" x14ac:dyDescent="0.35">
      <c r="A3" s="1" t="s">
        <v>38</v>
      </c>
      <c r="B3" s="4">
        <v>100000</v>
      </c>
      <c r="C3" s="4">
        <f>B3*12</f>
        <v>1200000</v>
      </c>
      <c r="D3" s="1">
        <f>ROUNDDOWN(L24/C3,0)</f>
        <v>0</v>
      </c>
      <c r="E3" s="1"/>
      <c r="L3" s="1"/>
      <c r="M3" s="1"/>
    </row>
    <row r="4" spans="1:20" s="12" customFormat="1" ht="17.5" x14ac:dyDescent="0.35">
      <c r="B4" s="13"/>
      <c r="C4" s="37" t="s">
        <v>56</v>
      </c>
      <c r="D4" s="38"/>
      <c r="E4" s="38"/>
      <c r="F4" s="38"/>
      <c r="G4" s="38"/>
      <c r="H4" s="38"/>
      <c r="I4" s="38"/>
      <c r="J4" s="38"/>
      <c r="K4" s="38"/>
      <c r="L4" s="38"/>
      <c r="N4" s="14"/>
      <c r="O4" s="14"/>
      <c r="P4" s="14"/>
    </row>
    <row r="5" spans="1:20" ht="57" x14ac:dyDescent="0.4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  <c r="Q5" s="5" t="s">
        <v>48</v>
      </c>
      <c r="R5" s="5" t="s">
        <v>49</v>
      </c>
      <c r="S5" s="5" t="s">
        <v>51</v>
      </c>
      <c r="T5" s="5" t="s">
        <v>57</v>
      </c>
    </row>
    <row r="6" spans="1:20" ht="18.5" x14ac:dyDescent="0.45">
      <c r="A6" s="1" t="s">
        <v>44</v>
      </c>
      <c r="B6" s="7">
        <f>+TONTJANV24!B6+TONTFEV24!B6+TONTMARS24!B6+TONTAVRIL24!B6+TONTMAI24!B6+TONTJUIN24!B6+TONTJUIL24!B6+TONTAOUT24!B6+TONTSEPT24!B6+TONTOCT24!B6+TONTNOV24!B6+TONTDEC24!B6</f>
        <v>12</v>
      </c>
      <c r="C6" s="1" t="str">
        <f>VLOOKUP(A6,[11]LISTADHERENT!A$5:H$60,3,0)</f>
        <v>ASELBY</v>
      </c>
      <c r="D6" s="7">
        <f>+TONTJANV24!D6+TONTFEV24!D6+TONTMARS24!D6+TONTAVRIL24!D6+TONTMAI24!D6+TONTJUIN24!D6+TONTJUIL24!D6+TONTAOUT24!D6+TONTSEPT24!D6+TONTOCT24!D6+TONTNOV24!D6+TONTDEC24!D6</f>
        <v>1200000</v>
      </c>
      <c r="E6" s="7"/>
      <c r="F6" s="7">
        <f>+TONTJANV24!F6+TONTFEV24!F6+TONTMARS24!F6+TONTAVRIL24!F6+TONTMAI24!F6+TONTJUIN24!F6+TONTJUIL24!F6+TONTAOUT24!F6+TONTSEPT24!F6+TONTOCT24!F6+TONTNOV24!F6+TONTDEC24!F6</f>
        <v>0</v>
      </c>
      <c r="G6" s="7">
        <f>+TONTJANV24!G6+TONTFEV24!G6+TONTMARS24!G6+TONTAVRIL24!G6+TONTMAI24!G6+TONTJUIN24!G6+TONTJUIL24!G6+TONTAOUT24!G6+TONTSEPT24!G6+TONTOCT24!G6+TONTNOV24!G6+TONTDEC24!G6</f>
        <v>0</v>
      </c>
      <c r="H6" s="7"/>
      <c r="I6" s="7">
        <f>VLOOKUP($A6,[10]HISTOAVRIL24!$A$6:$BB$47,41,0)</f>
        <v>0</v>
      </c>
      <c r="J6" s="7">
        <f>+TONTJANV24!J6+TONTFEV24!J6+TONTMARS24!J6+TONTAVRIL24!J6+TONTMAI24!J6+TONTJUIN24!J6+TONTJUIL24!J6+TONTAOUT24!J6+TONTSEPT24!J6+TONTOCT24!J6+TONTNOV24!J6+TONTDEC24!J6</f>
        <v>0</v>
      </c>
      <c r="K6" s="7">
        <f>+TONTJANV24!K6+TONTFEV24!K6+TONTMARS24!K6+TONTAVRIL24!K6+TONTMAI24!K6+TONTJUIN24!K6+TONTJUIL24!K6+TONTAOUT24!K6+TONTSEPT24!K6+TONTOCT24!K6+TONTNOV24!K6+TONTDEC24!K6</f>
        <v>0</v>
      </c>
      <c r="L6" s="7"/>
      <c r="N6" s="7">
        <f>+TONTJANV24!N6+TONTFEV24!N6+TONTMARS24!N6+TONTAVRIL24!N6+TONTMAI24!N6+TONTJUIN24!N6+TONTJUIL24!N6+TONTAOUT24!N6+TONTSEPT24!N6+TONTOCT24!N6+TONTNOV24!N6+TONTDEC24!N6</f>
        <v>0</v>
      </c>
      <c r="O6" s="7">
        <f>+TONTJANV24!O6+TONTFEV24!O6+TONTMARS24!O6+TONTAVRIL24!O6+TONTMAI24!O6+TONTJUIN24!O6+TONTJUIL24!O6+TONTAOUT24!O6+TONTSEPT24!O6+TONTOCT24!O6+TONTNOV24!O6+TONTDEC24!O6</f>
        <v>1190000</v>
      </c>
      <c r="P6" s="7">
        <f>+TONTJANV24!P6+TONTFEV24!P6+TONTMARS24!P6+TONTAVRIL24!P6+TONTMAI24!P6+TONTJUIN24!P6+TONTJUIL24!P6+TONTAOUT24!P6+TONTSEPT24!P6+TONTOCT24!P6+TONTNOV24!P6+TONTDEC24!P6</f>
        <v>10000</v>
      </c>
      <c r="Q6" s="16"/>
      <c r="S6" s="8">
        <f>$Q$28</f>
        <v>44166.666666666664</v>
      </c>
      <c r="T6" s="8">
        <v>41000</v>
      </c>
    </row>
    <row r="7" spans="1:20" ht="18.5" x14ac:dyDescent="0.45">
      <c r="A7" s="1" t="s">
        <v>47</v>
      </c>
      <c r="B7" s="7">
        <f>+TONTJANV24!B7+TONTFEV24!B7+TONTMARS24!B7+TONTAVRIL24!B7+TONTMAI24!B7+TONTJUIN24!B7+TONTJUIL24!B7+TONTAOUT24!B7+TONTSEPT24!B7+TONTOCT24!B7+TONTNOV24!B7+TONTDEC24!B7</f>
        <v>24</v>
      </c>
      <c r="C7" s="1" t="str">
        <f>VLOOKUP(A7,[11]LISTADHERENT!A$5:H$60,3,0)</f>
        <v xml:space="preserve">DJOMO JEAN PAUL </v>
      </c>
      <c r="D7" s="7">
        <f>+TONTJANV24!D7+TONTFEV24!D7+TONTMARS24!D7+TONTAVRIL24!D7+TONTMAI24!D7+TONTJUIN24!D7+TONTJUIL24!D7+TONTAOUT24!D7+TONTSEPT24!D7+TONTOCT24!D7+TONTNOV24!D7+TONTDEC24!D7</f>
        <v>2400000</v>
      </c>
      <c r="E7" s="7"/>
      <c r="F7" s="7">
        <f>+TONTJANV24!F7+TONTFEV24!F7+TONTMARS24!F7+TONTAVRIL24!F7+TONTMAI24!F7+TONTJUIN24!F7+TONTJUIL24!F7+TONTAOUT24!F7+TONTSEPT24!F7+TONTOCT24!F7+TONTNOV24!F7+TONTDEC24!F7</f>
        <v>755500</v>
      </c>
      <c r="G7" s="7">
        <f>+TONTJANV24!G7+TONTFEV24!G7+TONTMARS24!G7+TONTAVRIL24!G7+TONTMAI24!G7+TONTJUIN24!G7+TONTJUIL24!G7+TONTAOUT24!G7+TONTSEPT24!G7+TONTOCT24!G7+TONTNOV24!G7+TONTDEC24!G7</f>
        <v>8500</v>
      </c>
      <c r="H7" s="7"/>
      <c r="I7" s="7">
        <f>VLOOKUP($A7,[10]HISTOAVRIL24!$A$6:$BB$47,41,0)</f>
        <v>0</v>
      </c>
      <c r="J7" s="7">
        <f>+TONTJANV24!J7+TONTFEV24!J7+TONTMARS24!J7+TONTAVRIL24!J7+TONTMAI24!J7+TONTJUIN24!J7+TONTJUIL24!J7+TONTAOUT24!J7+TONTSEPT24!J7+TONTOCT24!J7+TONTNOV24!J7+TONTDEC24!J7</f>
        <v>764000</v>
      </c>
      <c r="K7" s="7">
        <f>+TONTJANV24!K7+TONTFEV24!K7+TONTMARS24!K7+TONTAVRIL24!K7+TONTMAI24!K7+TONTJUIN24!K7+TONTJUIL24!K7+TONTAOUT24!K7+TONTSEPT24!K7+TONTOCT24!K7+TONTNOV24!K7+TONTDEC24!K7</f>
        <v>764000</v>
      </c>
      <c r="L7" s="7"/>
      <c r="N7" s="7">
        <f>+TONTJANV24!N7+TONTFEV24!N7+TONTMARS24!N7+TONTAVRIL24!N7+TONTMAI24!N7+TONTJUIN24!N7+TONTJUIL24!N7+TONTAOUT24!N7+TONTSEPT24!N7+TONTOCT24!N7+TONTNOV24!N7+TONTDEC24!N7</f>
        <v>0</v>
      </c>
      <c r="O7" s="7">
        <f>+TONTJANV24!O7+TONTFEV24!O7+TONTMARS24!O7+TONTAVRIL24!O7+TONTMAI24!O7+TONTJUIN24!O7+TONTJUIL24!O7+TONTAOUT24!O7+TONTSEPT24!O7+TONTOCT24!O7+TONTNOV24!O7+TONTDEC24!O7</f>
        <v>2275000</v>
      </c>
      <c r="P7" s="7">
        <f>+TONTJANV24!P7+TONTFEV24!P7+TONTMARS24!P7+TONTAVRIL24!P7+TONTMAI24!P7+TONTJUIN24!P7+TONTJUIL24!P7+TONTAOUT24!P7+TONTSEPT24!P7+TONTOCT24!P7+TONTNOV24!P7+TONTDEC24!P7</f>
        <v>125000</v>
      </c>
      <c r="Q7" s="16">
        <v>45292</v>
      </c>
      <c r="R7" s="35">
        <v>45566</v>
      </c>
      <c r="S7" s="8">
        <f>$Q$28*2</f>
        <v>88333.333333333328</v>
      </c>
      <c r="T7" s="8">
        <v>82000</v>
      </c>
    </row>
    <row r="8" spans="1:20" ht="18.5" x14ac:dyDescent="0.45">
      <c r="A8" s="1" t="s">
        <v>20</v>
      </c>
      <c r="B8" s="7">
        <f>+TONTJANV24!B8+TONTFEV24!B8+TONTMARS24!B8+TONTAVRIL24!B8+TONTMAI24!B8+TONTJUIN24!B8+TONTJUIL24!B8+TONTAOUT24!B8+TONTSEPT24!B8+TONTOCT24!B8+TONTNOV24!B8+TONTDEC24!B8</f>
        <v>24</v>
      </c>
      <c r="C8" s="1" t="str">
        <f>VLOOKUP(A8,[11]LISTADHERENT!A$5:H$60,3,0)</f>
        <v>DJUOMBESSY ANTOINE</v>
      </c>
      <c r="D8" s="7">
        <f>+TONTJANV24!D8+TONTFEV24!D8+TONTMARS24!D8+TONTAVRIL24!D8+TONTMAI24!D8+TONTJUIN24!D8+TONTJUIL24!D8+TONTAOUT24!D8+TONTSEPT24!D8+TONTOCT24!D8+TONTNOV24!D8+TONTDEC24!D8</f>
        <v>2400000</v>
      </c>
      <c r="E8" s="7"/>
      <c r="F8" s="7">
        <f>+TONTJANV24!F8+TONTFEV24!F8+TONTMARS24!F8+TONTAVRIL24!F8+TONTMAI24!F8+TONTJUIN24!F8+TONTJUIL24!F8+TONTAOUT24!F8+TONTSEPT24!F8+TONTOCT24!F8+TONTNOV24!F8+TONTDEC24!F8</f>
        <v>1531000</v>
      </c>
      <c r="G8" s="7">
        <f>+TONTJANV24!G8+TONTFEV24!G8+TONTMARS24!G8+TONTAVRIL24!G8+TONTMAI24!G8+TONTJUIN24!G8+TONTJUIL24!G8+TONTAOUT24!G8+TONTSEPT24!G8+TONTOCT24!G8+TONTNOV24!G8+TONTDEC24!G8</f>
        <v>16000</v>
      </c>
      <c r="H8" s="7"/>
      <c r="I8" s="7">
        <f>VLOOKUP($A8,[10]HISTOAVRIL24!$A$6:$BB$47,41,0)</f>
        <v>0</v>
      </c>
      <c r="J8" s="7">
        <f>+TONTJANV24!J8+TONTFEV24!J8+TONTMARS24!J8+TONTAVRIL24!J8+TONTMAI24!J8+TONTJUIN24!J8+TONTJUIL24!J8+TONTAOUT24!J8+TONTSEPT24!J8+TONTOCT24!J8+TONTNOV24!J8+TONTDEC24!J8</f>
        <v>1547000</v>
      </c>
      <c r="K8" s="7">
        <f>+TONTJANV24!K8+TONTFEV24!K8+TONTMARS24!K8+TONTAVRIL24!K8+TONTMAI24!K8+TONTJUIN24!K8+TONTJUIL24!K8+TONTAOUT24!K8+TONTSEPT24!K8+TONTOCT24!K8+TONTNOV24!K8+TONTDEC24!K8</f>
        <v>1547000</v>
      </c>
      <c r="L8" s="7"/>
      <c r="N8" s="7">
        <f>+TONTJANV24!N8+TONTFEV24!N8+TONTMARS24!N8+TONTAVRIL24!N8+TONTMAI24!N8+TONTJUIN24!N8+TONTJUIL24!N8+TONTAOUT24!N8+TONTSEPT24!N8+TONTOCT24!N8+TONTNOV24!N8+TONTDEC24!N8</f>
        <v>0</v>
      </c>
      <c r="O8" s="7">
        <f>+TONTJANV24!O8+TONTFEV24!O8+TONTMARS24!O8+TONTAVRIL24!O8+TONTMAI24!O8+TONTJUIN24!O8+TONTJUIL24!O8+TONTAOUT24!O8+TONTSEPT24!O8+TONTOCT24!O8+TONTNOV24!O8+TONTDEC24!O8</f>
        <v>2380000</v>
      </c>
      <c r="P8" s="7">
        <f>+TONTJANV24!P8+TONTFEV24!P8+TONTMARS24!P8+TONTAVRIL24!P8+TONTMAI24!P8+TONTJUIN24!P8+TONTJUIL24!P8+TONTAOUT24!P8+TONTSEPT24!P8+TONTOCT24!P8+TONTNOV24!P8+TONTDEC24!P8</f>
        <v>20000</v>
      </c>
      <c r="Q8" s="16">
        <v>45413</v>
      </c>
      <c r="R8" s="35">
        <v>45474</v>
      </c>
      <c r="S8" s="8">
        <f>$Q$28*2</f>
        <v>88333.333333333328</v>
      </c>
      <c r="T8" s="8">
        <v>82000</v>
      </c>
    </row>
    <row r="9" spans="1:20" ht="18.5" x14ac:dyDescent="0.45">
      <c r="A9" s="1" t="s">
        <v>21</v>
      </c>
      <c r="B9" s="7">
        <f>+TONTJANV24!B9+TONTFEV24!B9+TONTMARS24!B9+TONTAVRIL24!B9+TONTMAI24!B9+TONTJUIN24!B9+TONTJUIL24!B9+TONTAOUT24!B9+TONTSEPT24!B9+TONTOCT24!B9+TONTNOV24!B9+TONTDEC24!B9</f>
        <v>12</v>
      </c>
      <c r="C9" s="1" t="str">
        <f>VLOOKUP(A9,[11]LISTADHERENT!A$5:H$60,3,0)</f>
        <v>HOTCHO BENJAMIN</v>
      </c>
      <c r="D9" s="7">
        <f>+TONTJANV24!D9+TONTFEV24!D9+TONTMARS24!D9+TONTAVRIL24!D9+TONTMAI24!D9+TONTJUIN24!D9+TONTJUIL24!D9+TONTAOUT24!D9+TONTSEPT24!D9+TONTOCT24!D9+TONTNOV24!D9+TONTDEC24!D9</f>
        <v>1200000</v>
      </c>
      <c r="E9" s="7"/>
      <c r="F9" s="7">
        <f>+TONTJANV24!F9+TONTFEV24!F9+TONTMARS24!F9+TONTAVRIL24!F9+TONTMAI24!F9+TONTJUIN24!F9+TONTJUIL24!F9+TONTAOUT24!F9+TONTSEPT24!F9+TONTOCT24!F9+TONTNOV24!F9+TONTDEC24!F9</f>
        <v>800000</v>
      </c>
      <c r="G9" s="7">
        <f>+TONTJANV24!G9+TONTFEV24!G9+TONTMARS24!G9+TONTAVRIL24!G9+TONTMAI24!G9+TONTJUIN24!G9+TONTJUIL24!G9+TONTAOUT24!G9+TONTSEPT24!G9+TONTOCT24!G9+TONTNOV24!G9+TONTDEC24!G9</f>
        <v>9500</v>
      </c>
      <c r="H9" s="7"/>
      <c r="I9" s="7">
        <f>VLOOKUP($A9,[10]HISTOAVRIL24!$A$6:$BB$47,41,0)</f>
        <v>0</v>
      </c>
      <c r="J9" s="7">
        <f>+TONTJANV24!J9+TONTFEV24!J9+TONTMARS24!J9+TONTAVRIL24!J9+TONTMAI24!J9+TONTJUIN24!J9+TONTJUIL24!J9+TONTAOUT24!J9+TONTSEPT24!J9+TONTOCT24!J9+TONTNOV24!J9+TONTDEC24!J9</f>
        <v>809500</v>
      </c>
      <c r="K9" s="7">
        <f>+TONTJANV24!K9+TONTFEV24!K9+TONTMARS24!K9+TONTAVRIL24!K9+TONTMAI24!K9+TONTJUIN24!K9+TONTJUIL24!K9+TONTAOUT24!K9+TONTSEPT24!K9+TONTOCT24!K9+TONTNOV24!K9+TONTDEC24!K9</f>
        <v>809500</v>
      </c>
      <c r="L9" s="7"/>
      <c r="N9" s="7">
        <f>+TONTJANV24!N9+TONTFEV24!N9+TONTMARS24!N9+TONTAVRIL24!N9+TONTMAI24!N9+TONTJUIN24!N9+TONTJUIL24!N9+TONTAOUT24!N9+TONTSEPT24!N9+TONTOCT24!N9+TONTNOV24!N9+TONTDEC24!N9</f>
        <v>0</v>
      </c>
      <c r="O9" s="7">
        <f>+TONTJANV24!O9+TONTFEV24!O9+TONTMARS24!O9+TONTAVRIL24!O9+TONTMAI24!O9+TONTJUIN24!O9+TONTJUIL24!O9+TONTAOUT24!O9+TONTSEPT24!O9+TONTOCT24!O9+TONTNOV24!O9+TONTDEC24!O9</f>
        <v>1185000</v>
      </c>
      <c r="P9" s="7">
        <f>+TONTJANV24!P9+TONTFEV24!P9+TONTMARS24!P9+TONTAVRIL24!P9+TONTMAI24!P9+TONTJUIN24!P9+TONTJUIL24!P9+TONTAOUT24!P9+TONTSEPT24!P9+TONTOCT24!P9+TONTNOV24!P9+TONTDEC24!P9</f>
        <v>15000</v>
      </c>
      <c r="Q9" s="16">
        <v>45383</v>
      </c>
      <c r="S9" s="8">
        <f t="shared" ref="S9:S19" si="0">$Q$28</f>
        <v>44166.666666666664</v>
      </c>
      <c r="T9" s="8">
        <v>41000</v>
      </c>
    </row>
    <row r="10" spans="1:20" ht="18.5" x14ac:dyDescent="0.45">
      <c r="A10" s="1" t="s">
        <v>26</v>
      </c>
      <c r="B10" s="7">
        <f>+TONTJANV24!B10+TONTFEV24!B10+TONTMARS24!B10+TONTAVRIL24!B10+TONTMAI24!B10+TONTJUIN24!B10+TONTJUIL24!B10+TONTAOUT24!B10+TONTSEPT24!B10+TONTOCT24!B10+TONTNOV24!B10+TONTDEC24!B10</f>
        <v>12</v>
      </c>
      <c r="C10" s="1" t="str">
        <f>VLOOKUP(A10,[11]LISTADHERENT!A$5:H$60,3,0)</f>
        <v>KOUAMOU MOISE</v>
      </c>
      <c r="D10" s="7">
        <f>+TONTJANV24!D10+TONTFEV24!D10+TONTMARS24!D10+TONTAVRIL24!D10+TONTMAI24!D10+TONTJUIN24!D10+TONTJUIL24!D10+TONTAOUT24!D10+TONTSEPT24!D10+TONTOCT24!D10+TONTNOV24!D10+TONTDEC24!D10</f>
        <v>1200000</v>
      </c>
      <c r="E10" s="7"/>
      <c r="F10" s="7">
        <f>+TONTJANV24!F10+TONTFEV24!F10+TONTMARS24!F10+TONTAVRIL24!F10+TONTMAI24!F10+TONTJUIN24!F10+TONTJUIL24!F10+TONTAOUT24!F10+TONTSEPT24!F10+TONTOCT24!F10+TONTNOV24!F10+TONTDEC24!F10</f>
        <v>905500</v>
      </c>
      <c r="G10" s="7">
        <f>+TONTJANV24!G10+TONTFEV24!G10+TONTMARS24!G10+TONTAVRIL24!G10+TONTMAI24!G10+TONTJUIN24!G10+TONTJUIL24!G10+TONTAOUT24!G10+TONTSEPT24!G10+TONTOCT24!G10+TONTNOV24!G10+TONTDEC24!G10</f>
        <v>12000</v>
      </c>
      <c r="H10" s="7"/>
      <c r="I10" s="7">
        <f>VLOOKUP($A10,[10]HISTOAVRIL24!$A$6:$BB$47,41,0)</f>
        <v>0</v>
      </c>
      <c r="J10" s="7">
        <f>+TONTJANV24!J10+TONTFEV24!J10+TONTMARS24!J10+TONTAVRIL24!J10+TONTMAI24!J10+TONTJUIN24!J10+TONTJUIL24!J10+TONTAOUT24!J10+TONTSEPT24!J10+TONTOCT24!J10+TONTNOV24!J10+TONTDEC24!J10</f>
        <v>917500</v>
      </c>
      <c r="K10" s="7">
        <f>+TONTJANV24!K10+TONTFEV24!K10+TONTMARS24!K10+TONTAVRIL24!K10+TONTMAI24!K10+TONTJUIN24!K10+TONTJUIL24!K10+TONTAOUT24!K10+TONTSEPT24!K10+TONTOCT24!K10+TONTNOV24!K10+TONTDEC24!K10</f>
        <v>917500</v>
      </c>
      <c r="L10" s="7"/>
      <c r="N10" s="7">
        <f>+TONTJANV24!N10+TONTFEV24!N10+TONTMARS24!N10+TONTAVRIL24!N10+TONTMAI24!N10+TONTJUIN24!N10+TONTJUIL24!N10+TONTAOUT24!N10+TONTSEPT24!N10+TONTOCT24!N10+TONTNOV24!N10+TONTDEC24!N10</f>
        <v>0</v>
      </c>
      <c r="O10" s="7">
        <f>+TONTJANV24!O10+TONTFEV24!O10+TONTMARS24!O10+TONTAVRIL24!O10+TONTMAI24!O10+TONTJUIN24!O10+TONTJUIL24!O10+TONTAOUT24!O10+TONTSEPT24!O10+TONTOCT24!O10+TONTNOV24!O10+TONTDEC24!O10</f>
        <v>1130000</v>
      </c>
      <c r="P10" s="7">
        <f>+TONTJANV24!P10+TONTFEV24!P10+TONTMARS24!P10+TONTAVRIL24!P10+TONTMAI24!P10+TONTJUIN24!P10+TONTJUIL24!P10+TONTAOUT24!P10+TONTSEPT24!P10+TONTOCT24!P10+TONTNOV24!P10+TONTDEC24!P10</f>
        <v>70000</v>
      </c>
      <c r="Q10" s="16">
        <v>45352</v>
      </c>
      <c r="S10" s="8">
        <f t="shared" si="0"/>
        <v>44166.666666666664</v>
      </c>
      <c r="T10" s="8">
        <v>41000</v>
      </c>
    </row>
    <row r="11" spans="1:20" ht="18.5" x14ac:dyDescent="0.45">
      <c r="A11" s="1" t="s">
        <v>8</v>
      </c>
      <c r="B11" s="7">
        <f>+TONTJANV24!B11+TONTFEV24!B11+TONTMARS24!B11+TONTAVRIL24!B11+TONTMAI24!B11+TONTJUIN24!B11+TONTJUIL24!B11+TONTAOUT24!B11+TONTSEPT24!B11+TONTOCT24!B11+TONTNOV24!B11+TONTDEC24!B11</f>
        <v>12</v>
      </c>
      <c r="C11" s="1" t="str">
        <f>VLOOKUP(A11,[11]LISTADHERENT!A$5:H$60,3,0)</f>
        <v>KOUATCHO MESSACK</v>
      </c>
      <c r="D11" s="7">
        <f>+TONTJANV24!D11+TONTFEV24!D11+TONTMARS24!D11+TONTAVRIL24!D11+TONTMAI24!D11+TONTJUIN24!D11+TONTJUIL24!D11+TONTAOUT24!D11+TONTSEPT24!D11+TONTOCT24!D11+TONTNOV24!D11+TONTDEC24!D11</f>
        <v>1200000</v>
      </c>
      <c r="E11" s="7"/>
      <c r="F11" s="7">
        <f>+TONTJANV24!F11+TONTFEV24!F11+TONTMARS24!F11+TONTAVRIL24!F11+TONTMAI24!F11+TONTJUIN24!F11+TONTJUIL24!F11+TONTAOUT24!F11+TONTSEPT24!F11+TONTOCT24!F11+TONTNOV24!F11+TONTDEC24!F11</f>
        <v>1000000</v>
      </c>
      <c r="G11" s="7">
        <f>+TONTJANV24!G11+TONTFEV24!G11+TONTMARS24!G11+TONTAVRIL24!G11+TONTMAI24!G11+TONTJUIN24!G11+TONTJUIL24!G11+TONTAOUT24!G11+TONTSEPT24!G11+TONTOCT24!G11+TONTNOV24!G11+TONTDEC24!G11</f>
        <v>13000</v>
      </c>
      <c r="H11" s="7"/>
      <c r="I11" s="7">
        <f>VLOOKUP($A11,[10]HISTOAVRIL24!$A$6:$BB$47,41,0)</f>
        <v>0</v>
      </c>
      <c r="J11" s="7">
        <f>+TONTJANV24!J11+TONTFEV24!J11+TONTMARS24!J11+TONTAVRIL24!J11+TONTMAI24!J11+TONTJUIN24!J11+TONTJUIL24!J11+TONTAOUT24!J11+TONTSEPT24!J11+TONTOCT24!J11+TONTNOV24!J11+TONTDEC24!J11</f>
        <v>1013000</v>
      </c>
      <c r="K11" s="7">
        <f>+TONTJANV24!K11+TONTFEV24!K11+TONTMARS24!K11+TONTAVRIL24!K11+TONTMAI24!K11+TONTJUIN24!K11+TONTJUIL24!K11+TONTAOUT24!K11+TONTSEPT24!K11+TONTOCT24!K11+TONTNOV24!K11+TONTDEC24!K11</f>
        <v>1013000</v>
      </c>
      <c r="L11" s="7"/>
      <c r="N11" s="7">
        <f>+TONTJANV24!N11+TONTFEV24!N11+TONTMARS24!N11+TONTAVRIL24!N11+TONTMAI24!N11+TONTJUIN24!N11+TONTJUIL24!N11+TONTAOUT24!N11+TONTSEPT24!N11+TONTOCT24!N11+TONTNOV24!N11+TONTDEC24!N11</f>
        <v>0</v>
      </c>
      <c r="O11" s="7">
        <f>+TONTJANV24!O11+TONTFEV24!O11+TONTMARS24!O11+TONTAVRIL24!O11+TONTMAI24!O11+TONTJUIN24!O11+TONTJUIL24!O11+TONTAOUT24!O11+TONTSEPT24!O11+TONTOCT24!O11+TONTNOV24!O11+TONTDEC24!O11</f>
        <v>1160000</v>
      </c>
      <c r="P11" s="7">
        <f>+TONTJANV24!P11+TONTFEV24!P11+TONTMARS24!P11+TONTAVRIL24!P11+TONTMAI24!P11+TONTJUIN24!P11+TONTJUIL24!P11+TONTAOUT24!P11+TONTSEPT24!P11+TONTOCT24!P11+TONTNOV24!P11+TONTDEC24!P11</f>
        <v>40000</v>
      </c>
      <c r="Q11" s="16">
        <v>45323</v>
      </c>
      <c r="S11" s="8">
        <f t="shared" si="0"/>
        <v>44166.666666666664</v>
      </c>
      <c r="T11" s="8">
        <v>41000</v>
      </c>
    </row>
    <row r="12" spans="1:20" ht="18.5" x14ac:dyDescent="0.45">
      <c r="A12" s="1" t="s">
        <v>22</v>
      </c>
      <c r="B12" s="7">
        <f>+TONTJANV24!B12+TONTFEV24!B12+TONTMARS24!B12+TONTAVRIL24!B12+TONTMAI24!B12+TONTJUIN24!B12+TONTJUIL24!B12+TONTAOUT24!B12+TONTSEPT24!B12+TONTOCT24!B12+TONTNOV24!B12+TONTDEC24!B12</f>
        <v>12</v>
      </c>
      <c r="C12" s="1" t="str">
        <f>VLOOKUP(A12,[11]LISTADHERENT!A$5:H$60,3,0)</f>
        <v>MBOGNING TUGMA GUY</v>
      </c>
      <c r="D12" s="7">
        <f>+TONTJANV24!D12+TONTFEV24!D12+TONTMARS24!D12+TONTAVRIL24!D12+TONTMAI24!D12+TONTJUIN24!D12+TONTJUIL24!D12+TONTAOUT24!D12+TONTSEPT24!D12+TONTOCT24!D12+TONTNOV24!D12+TONTDEC24!D12</f>
        <v>1200000</v>
      </c>
      <c r="E12" s="7"/>
      <c r="F12" s="7">
        <f>+TONTJANV24!F12+TONTFEV24!F12+TONTMARS24!F12+TONTAVRIL24!F12+TONTMAI24!F12+TONTJUIN24!F12+TONTJUIL24!F12+TONTAOUT24!F12+TONTSEPT24!F12+TONTOCT24!F12+TONTNOV24!F12+TONTDEC24!F12</f>
        <v>1770500</v>
      </c>
      <c r="G12" s="7">
        <f>+TONTJANV24!G12+TONTFEV24!G12+TONTMARS24!G12+TONTAVRIL24!G12+TONTMAI24!G12+TONTJUIN24!G12+TONTJUIL24!G12+TONTAOUT24!G12+TONTSEPT24!G12+TONTOCT24!G12+TONTNOV24!G12+TONTDEC24!G12</f>
        <v>18500</v>
      </c>
      <c r="H12" s="7"/>
      <c r="I12" s="7">
        <f>VLOOKUP($A12,[10]HISTOAVRIL24!$A$6:$BB$47,41,0)</f>
        <v>0</v>
      </c>
      <c r="J12" s="7">
        <f>+TONTJANV24!J12+TONTFEV24!J12+TONTMARS24!J12+TONTAVRIL24!J12+TONTMAI24!J12+TONTJUIN24!J12+TONTJUIL24!J12+TONTAOUT24!J12+TONTSEPT24!J12+TONTOCT24!J12+TONTNOV24!J12+TONTDEC24!J12</f>
        <v>1789000</v>
      </c>
      <c r="K12" s="7">
        <f>+TONTJANV24!K12+TONTFEV24!K12+TONTMARS24!K12+TONTAVRIL24!K12+TONTMAI24!K12+TONTJUIN24!K12+TONTJUIL24!K12+TONTAOUT24!K12+TONTSEPT24!K12+TONTOCT24!K12+TONTNOV24!K12+TONTDEC24!K12</f>
        <v>1789000</v>
      </c>
      <c r="L12" s="7"/>
      <c r="N12" s="7">
        <f>+TONTJANV24!N12+TONTFEV24!N12+TONTMARS24!N12+TONTAVRIL24!N12+TONTMAI24!N12+TONTJUIN24!N12+TONTJUIL24!N12+TONTAOUT24!N12+TONTSEPT24!N12+TONTOCT24!N12+TONTNOV24!N12+TONTDEC24!N12</f>
        <v>0</v>
      </c>
      <c r="O12" s="7">
        <f>+TONTJANV24!O12+TONTFEV24!O12+TONTMARS24!O12+TONTAVRIL24!O12+TONTMAI24!O12+TONTJUIN24!O12+TONTJUIL24!O12+TONTAOUT24!O12+TONTSEPT24!O12+TONTOCT24!O12+TONTNOV24!O12+TONTDEC24!O12</f>
        <v>1085000</v>
      </c>
      <c r="P12" s="7">
        <f>+TONTJANV24!P12+TONTFEV24!P12+TONTMARS24!P12+TONTAVRIL24!P12+TONTMAI24!P12+TONTJUIN24!P12+TONTJUIL24!P12+TONTAOUT24!P12+TONTSEPT24!P12+TONTOCT24!P12+TONTNOV24!P12+TONTDEC24!P12</f>
        <v>115000</v>
      </c>
      <c r="Q12" s="16">
        <v>45292</v>
      </c>
      <c r="S12" s="8">
        <f t="shared" si="0"/>
        <v>44166.666666666664</v>
      </c>
      <c r="T12" s="8">
        <v>41000</v>
      </c>
    </row>
    <row r="13" spans="1:20" ht="17.5" x14ac:dyDescent="0.35">
      <c r="A13" s="1" t="s">
        <v>9</v>
      </c>
      <c r="B13" s="7">
        <f>+TONTJANV24!B13+TONTFEV24!B13+TONTMARS24!B13+TONTAVRIL24!B13+TONTMAI24!B13+TONTJUIN24!B13+TONTJUIL24!B13+TONTAOUT24!B13+TONTSEPT24!B13+TONTOCT24!B13+TONTNOV24!B13+TONTDEC24!B13</f>
        <v>24</v>
      </c>
      <c r="C13" s="1" t="str">
        <f>VLOOKUP(A13,[11]LISTADHERENT!A$5:H$60,3,0)</f>
        <v>NDJOMO ETIENNE</v>
      </c>
      <c r="D13" s="7">
        <f>+TONTJANV24!D13+TONTFEV24!D13+TONTMARS24!D13+TONTAVRIL24!D13+TONTMAI24!D13+TONTJUIN24!D13+TONTJUIL24!D13+TONTAOUT24!D13+TONTSEPT24!D13+TONTOCT24!D13+TONTNOV24!D13+TONTDEC24!D13</f>
        <v>2400000</v>
      </c>
      <c r="E13" s="7"/>
      <c r="F13" s="7">
        <f>+TONTJANV24!F13+TONTFEV24!F13+TONTMARS24!F13+TONTAVRIL24!F13+TONTMAI24!F13+TONTJUIN24!F13+TONTJUIL24!F13+TONTAOUT24!F13+TONTSEPT24!F13+TONTOCT24!F13+TONTNOV24!F13+TONTDEC24!F13</f>
        <v>1600000</v>
      </c>
      <c r="G13" s="7">
        <f>+TONTJANV24!G13+TONTFEV24!G13+TONTMARS24!G13+TONTAVRIL24!G13+TONTMAI24!G13+TONTJUIN24!G13+TONTJUIL24!G13+TONTAOUT24!G13+TONTSEPT24!G13+TONTOCT24!G13+TONTNOV24!G13+TONTDEC24!G13</f>
        <v>16500</v>
      </c>
      <c r="H13" s="7"/>
      <c r="I13" s="7">
        <f>VLOOKUP($A13,[10]HISTOAVRIL24!$A$6:$BB$47,41,0)</f>
        <v>0</v>
      </c>
      <c r="J13" s="7">
        <f>+TONTJANV24!J13+TONTFEV24!J13+TONTMARS24!J13+TONTAVRIL24!J13+TONTMAI24!J13+TONTJUIN24!J13+TONTJUIL24!J13+TONTAOUT24!J13+TONTSEPT24!J13+TONTOCT24!J13+TONTNOV24!J13+TONTDEC24!J13</f>
        <v>1616500</v>
      </c>
      <c r="K13" s="7">
        <f>+TONTJANV24!K13+TONTFEV24!K13+TONTMARS24!K13+TONTAVRIL24!K13+TONTMAI24!K13+TONTJUIN24!K13+TONTJUIL24!K13+TONTAOUT24!K13+TONTSEPT24!K13+TONTOCT24!K13+TONTNOV24!K13+TONTDEC24!K13</f>
        <v>1616500</v>
      </c>
      <c r="L13" s="7"/>
      <c r="N13" s="7">
        <f>+TONTJANV24!N13+TONTFEV24!N13+TONTMARS24!N13+TONTAVRIL24!N13+TONTMAI24!N13+TONTJUIN24!N13+TONTJUIL24!N13+TONTAOUT24!N13+TONTSEPT24!N13+TONTOCT24!N13+TONTNOV24!N13+TONTDEC24!N13</f>
        <v>0</v>
      </c>
      <c r="O13" s="7">
        <f>+TONTJANV24!O13+TONTFEV24!O13+TONTMARS24!O13+TONTAVRIL24!O13+TONTMAI24!O13+TONTJUIN24!O13+TONTJUIL24!O13+TONTAOUT24!O13+TONTSEPT24!O13+TONTOCT24!O13+TONTNOV24!O13+TONTDEC24!O13</f>
        <v>2380000</v>
      </c>
      <c r="P13" s="7">
        <f>+TONTJANV24!P13+TONTFEV24!P13+TONTMARS24!P13+TONTAVRIL24!P13+TONTMAI24!P13+TONTJUIN24!P13+TONTJUIL24!P13+TONTAOUT24!P13+TONTSEPT24!P13+TONTOCT24!P13+TONTNOV24!P13+TONTDEC24!P13</f>
        <v>20000</v>
      </c>
      <c r="Q13" s="35">
        <v>45474</v>
      </c>
      <c r="R13" s="35">
        <v>45536</v>
      </c>
      <c r="S13" s="8">
        <f>$Q$28*2</f>
        <v>88333.333333333328</v>
      </c>
      <c r="T13" s="8">
        <v>82000</v>
      </c>
    </row>
    <row r="14" spans="1:20" ht="18.5" x14ac:dyDescent="0.45">
      <c r="A14" s="1" t="s">
        <v>10</v>
      </c>
      <c r="B14" s="7">
        <f>+TONTJANV24!B14+TONTFEV24!B14+TONTMARS24!B14+TONTAVRIL24!B14+TONTMAI24!B14+TONTJUIN24!B14+TONTJUIL24!B14+TONTAOUT24!B14+TONTSEPT24!B14+TONTOCT24!B14+TONTNOV24!B14+TONTDEC24!B14</f>
        <v>12</v>
      </c>
      <c r="C14" s="1" t="str">
        <f>VLOOKUP(A14,[11]LISTADHERENT!A$5:H$60,3,0)</f>
        <v>NGONDIEP CLAUDE</v>
      </c>
      <c r="D14" s="7">
        <f>+TONTJANV24!D14+TONTFEV24!D14+TONTMARS24!D14+TONTAVRIL24!D14+TONTMAI24!D14+TONTJUIN24!D14+TONTJUIL24!D14+TONTAOUT24!D14+TONTSEPT24!D14+TONTOCT24!D14+TONTNOV24!D14+TONTDEC24!D14</f>
        <v>1200000</v>
      </c>
      <c r="E14" s="7"/>
      <c r="F14" s="7">
        <f>+TONTJANV24!F14+TONTFEV24!F14+TONTMARS24!F14+TONTAVRIL24!F14+TONTMAI24!F14+TONTJUIN24!F14+TONTJUIL24!F14+TONTAOUT24!F14+TONTSEPT24!F14+TONTOCT24!F14+TONTNOV24!F14+TONTDEC24!F14</f>
        <v>1408500</v>
      </c>
      <c r="G14" s="7">
        <f>+TONTJANV24!G14+TONTFEV24!G14+TONTMARS24!G14+TONTAVRIL24!G14+TONTMAI24!G14+TONTJUIN24!G14+TONTJUIL24!G14+TONTAOUT24!G14+TONTSEPT24!G14+TONTOCT24!G14+TONTNOV24!G14+TONTDEC24!G14</f>
        <v>17000</v>
      </c>
      <c r="H14" s="7"/>
      <c r="I14" s="7">
        <f>VLOOKUP($A14,[10]HISTOAVRIL24!$A$6:$BB$47,41,0)</f>
        <v>0</v>
      </c>
      <c r="J14" s="7">
        <f>+TONTJANV24!J14+TONTFEV24!J14+TONTMARS24!J14+TONTAVRIL24!J14+TONTMAI24!J14+TONTJUIN24!J14+TONTJUIL24!J14+TONTAOUT24!J14+TONTSEPT24!J14+TONTOCT24!J14+TONTNOV24!J14+TONTDEC24!J14</f>
        <v>1425500</v>
      </c>
      <c r="K14" s="7">
        <f>+TONTJANV24!K14+TONTFEV24!K14+TONTMARS24!K14+TONTAVRIL24!K14+TONTMAI24!K14+TONTJUIN24!K14+TONTJUIL24!K14+TONTAOUT24!K14+TONTSEPT24!K14+TONTOCT24!K14+TONTNOV24!K14+TONTDEC24!K14</f>
        <v>1322500</v>
      </c>
      <c r="L14" s="7"/>
      <c r="N14" s="7">
        <f>+TONTJANV24!N14+TONTFEV24!N14+TONTMARS24!N14+TONTAVRIL24!N14+TONTMAI24!N14+TONTJUIN24!N14+TONTJUIL24!N14+TONTAOUT24!N14+TONTSEPT24!N14+TONTOCT24!N14+TONTNOV24!N14+TONTDEC24!N14</f>
        <v>0</v>
      </c>
      <c r="O14" s="7">
        <f>+TONTJANV24!O14+TONTFEV24!O14+TONTMARS24!O14+TONTAVRIL24!O14+TONTMAI24!O14+TONTJUIN24!O14+TONTJUIL24!O14+TONTAOUT24!O14+TONTSEPT24!O14+TONTOCT24!O14+TONTNOV24!O14+TONTDEC24!O14</f>
        <v>1185000</v>
      </c>
      <c r="P14" s="7">
        <f>+TONTJANV24!P14+TONTFEV24!P14+TONTMARS24!P14+TONTAVRIL24!P14+TONTMAI24!P14+TONTJUIN24!P14+TONTJUIL24!P14+TONTAOUT24!P14+TONTSEPT24!P14+TONTOCT24!P14+TONTNOV24!P14+TONTDEC24!P14</f>
        <v>15000</v>
      </c>
      <c r="Q14" s="16">
        <v>45444</v>
      </c>
      <c r="S14" s="8">
        <f t="shared" si="0"/>
        <v>44166.666666666664</v>
      </c>
      <c r="T14" s="8">
        <v>41000</v>
      </c>
    </row>
    <row r="15" spans="1:20" ht="18.5" x14ac:dyDescent="0.45">
      <c r="A15" s="1" t="s">
        <v>43</v>
      </c>
      <c r="B15" s="7">
        <f>+TONTJANV24!B15+TONTFEV24!B15+TONTMARS24!B15+TONTAVRIL24!B15+TONTMAI24!B15+TONTJUIN24!B15+TONTJUIL24!B15+TONTAOUT24!B15+TONTSEPT24!B15+TONTOCT24!B15+TONTNOV24!B15+TONTDEC24!B15</f>
        <v>12</v>
      </c>
      <c r="C15" s="1" t="str">
        <f>VLOOKUP(A15,[11]LISTADHERENT!A$5:H$60,3,0)</f>
        <v>NGUIEMEGNI MATHIEU BLAISE</v>
      </c>
      <c r="D15" s="7">
        <f>+TONTJANV24!D15+TONTFEV24!D15+TONTMARS24!D15+TONTAVRIL24!D15+TONTMAI24!D15+TONTJUIN24!D15+TONTJUIL24!D15+TONTAOUT24!D15+TONTSEPT24!D15+TONTOCT24!D15+TONTNOV24!D15+TONTDEC24!D15</f>
        <v>1200000</v>
      </c>
      <c r="E15" s="7"/>
      <c r="F15" s="7">
        <f>+TONTJANV24!F15+TONTFEV24!F15+TONTMARS24!F15+TONTAVRIL24!F15+TONTMAI24!F15+TONTJUIN24!F15+TONTJUIL24!F15+TONTAOUT24!F15+TONTSEPT24!F15+TONTOCT24!F15+TONTNOV24!F15+TONTDEC24!F15</f>
        <v>900000</v>
      </c>
      <c r="G15" s="7">
        <f>+TONTJANV24!G15+TONTFEV24!G15+TONTMARS24!G15+TONTAVRIL24!G15+TONTMAI24!G15+TONTJUIN24!G15+TONTJUIL24!G15+TONTAOUT24!G15+TONTSEPT24!G15+TONTOCT24!G15+TONTNOV24!G15+TONTDEC24!G15</f>
        <v>14000</v>
      </c>
      <c r="H15" s="7"/>
      <c r="I15" s="7">
        <f>VLOOKUP($A15,[10]HISTOAVRIL24!$A$6:$BB$47,41,0)</f>
        <v>0</v>
      </c>
      <c r="J15" s="7">
        <f>+TONTJANV24!J15+TONTFEV24!J15+TONTMARS24!J15+TONTAVRIL24!J15+TONTMAI24!J15+TONTJUIN24!J15+TONTJUIL24!J15+TONTAOUT24!J15+TONTSEPT24!J15+TONTOCT24!J15+TONTNOV24!J15+TONTDEC24!J15</f>
        <v>914000</v>
      </c>
      <c r="K15" s="7">
        <f>+TONTJANV24!K15+TONTFEV24!K15+TONTMARS24!K15+TONTAVRIL24!K15+TONTMAI24!K15+TONTJUIN24!K15+TONTJUIL24!K15+TONTAOUT24!K15+TONTSEPT24!K15+TONTOCT24!K15+TONTNOV24!K15+TONTDEC24!K15</f>
        <v>914000</v>
      </c>
      <c r="L15" s="7"/>
      <c r="N15" s="7">
        <f>+TONTJANV24!N15+TONTFEV24!N15+TONTMARS24!N15+TONTAVRIL24!N15+TONTMAI24!N15+TONTJUIN24!N15+TONTJUIL24!N15+TONTAOUT24!N15+TONTSEPT24!N15+TONTOCT24!N15+TONTNOV24!N15+TONTDEC24!N15</f>
        <v>0</v>
      </c>
      <c r="O15" s="7">
        <f>+TONTJANV24!O15+TONTFEV24!O15+TONTMARS24!O15+TONTAVRIL24!O15+TONTMAI24!O15+TONTJUIN24!O15+TONTJUIL24!O15+TONTAOUT24!O15+TONTSEPT24!O15+TONTOCT24!O15+TONTNOV24!O15+TONTDEC24!O15</f>
        <v>1075000</v>
      </c>
      <c r="P15" s="7">
        <f>+TONTJANV24!P15+TONTFEV24!P15+TONTMARS24!P15+TONTAVRIL24!P15+TONTMAI24!P15+TONTJUIN24!P15+TONTJUIL24!P15+TONTAOUT24!P15+TONTSEPT24!P15+TONTOCT24!P15+TONTNOV24!P15+TONTDEC24!P15</f>
        <v>125000</v>
      </c>
      <c r="Q15" s="16">
        <v>45292</v>
      </c>
      <c r="S15" s="8">
        <f t="shared" si="0"/>
        <v>44166.666666666664</v>
      </c>
      <c r="T15" s="8">
        <v>41000</v>
      </c>
    </row>
    <row r="16" spans="1:20" ht="18.5" x14ac:dyDescent="0.45">
      <c r="A16" s="1" t="s">
        <v>54</v>
      </c>
      <c r="B16" s="7">
        <f>+TONTJANV24!B16+TONTFEV24!B16+TONTMARS24!B16+TONTAVRIL24!B16+TONTMAI24!B16+TONTJUIN24!B16+TONTJUIL24!B16+TONTAOUT24!B16+TONTSEPT24!B16+TONTOCT24!B16+TONTNOV24!B16+TONTDEC24!B16</f>
        <v>24</v>
      </c>
      <c r="C16" s="1" t="str">
        <f>VLOOKUP(A16,[11]LISTADHERENT!A$5:H$60,3,0)</f>
        <v>SIME BRICE</v>
      </c>
      <c r="D16" s="7">
        <f>+TONTJANV24!D16+TONTFEV24!D16+TONTMARS24!D16+TONTAVRIL24!D16+TONTMAI24!D16+TONTJUIN24!D16+TONTJUIL24!D16+TONTAOUT24!D16+TONTSEPT24!D16+TONTOCT24!D16+TONTNOV24!D16+TONTDEC24!D16</f>
        <v>2400000</v>
      </c>
      <c r="E16" s="7"/>
      <c r="F16" s="7">
        <f>+TONTJANV24!F16+TONTFEV24!F16+TONTMARS24!F16+TONTAVRIL24!F16+TONTMAI24!F16+TONTJUIN24!F16+TONTJUIL24!F16+TONTAOUT24!F16+TONTSEPT24!F16+TONTOCT24!F16+TONTNOV24!F16+TONTDEC24!F16</f>
        <v>525000</v>
      </c>
      <c r="G16" s="7">
        <f>+TONTJANV24!G16+TONTFEV24!G16+TONTMARS24!G16+TONTAVRIL24!G16+TONTMAI24!G16+TONTJUIN24!G16+TONTJUIL24!G16+TONTAOUT24!G16+TONTSEPT24!G16+TONTOCT24!G16+TONTNOV24!G16+TONTDEC24!G16</f>
        <v>5000</v>
      </c>
      <c r="H16" s="7"/>
      <c r="I16" s="7">
        <f>VLOOKUP($A16,[10]HISTOAVRIL24!$A$6:$BB$47,41,0)</f>
        <v>0</v>
      </c>
      <c r="J16" s="7">
        <f>+TONTJANV24!J16+TONTFEV24!J16+TONTMARS24!J16+TONTAVRIL24!J16+TONTMAI24!J16+TONTJUIN24!J16+TONTJUIL24!J16+TONTAOUT24!J16+TONTSEPT24!J16+TONTOCT24!J16+TONTNOV24!J16+TONTDEC24!J16</f>
        <v>530000</v>
      </c>
      <c r="K16" s="7">
        <f>+TONTJANV24!K16+TONTFEV24!K16+TONTMARS24!K16+TONTAVRIL24!K16+TONTMAI24!K16+TONTJUIN24!K16+TONTJUIL24!K16+TONTAOUT24!K16+TONTSEPT24!K16+TONTOCT24!K16+TONTNOV24!K16+TONTDEC24!K16</f>
        <v>530000</v>
      </c>
      <c r="L16" s="7"/>
      <c r="N16" s="7">
        <f>+TONTJANV24!N16+TONTFEV24!N16+TONTMARS24!N16+TONTAVRIL24!N16+TONTMAI24!N16+TONTJUIN24!N16+TONTJUIL24!N16+TONTAOUT24!N16+TONTSEPT24!N16+TONTOCT24!N16+TONTNOV24!N16+TONTDEC24!N16</f>
        <v>0</v>
      </c>
      <c r="O16" s="7">
        <f>+TONTJANV24!O16+TONTFEV24!O16+TONTMARS24!O16+TONTAVRIL24!O16+TONTMAI24!O16+TONTJUIN24!O16+TONTJUIL24!O16+TONTAOUT24!O16+TONTSEPT24!O16+TONTOCT24!O16+TONTNOV24!O16+TONTDEC24!O16</f>
        <v>2350000</v>
      </c>
      <c r="P16" s="7">
        <f>+TONTJANV24!P16+TONTFEV24!P16+TONTMARS24!P16+TONTAVRIL24!P16+TONTMAI24!P16+TONTJUIN24!P16+TONTJUIL24!P16+TONTAOUT24!P16+TONTSEPT24!P16+TONTOCT24!P16+TONTNOV24!P16+TONTDEC24!P16</f>
        <v>50000</v>
      </c>
      <c r="Q16" s="16">
        <v>45323</v>
      </c>
      <c r="R16" s="16">
        <v>45444</v>
      </c>
      <c r="S16" s="8">
        <f>$Q$28*2</f>
        <v>88333.333333333328</v>
      </c>
      <c r="T16" s="8">
        <v>82000</v>
      </c>
    </row>
    <row r="17" spans="1:22" ht="17.5" x14ac:dyDescent="0.35">
      <c r="A17" s="1" t="s">
        <v>55</v>
      </c>
      <c r="B17" s="7">
        <f>+TONTJANV24!B17+TONTFEV24!B17+TONTMARS24!B17+TONTAVRIL24!B17+TONTMAI24!B17+TONTJUIN24!B17+TONTJUIL24!B17+TONTAOUT24!B17+TONTSEPT24!B17+TONTOCT24!B17+TONTNOV24!B17+TONTDEC24!B17</f>
        <v>12</v>
      </c>
      <c r="C17" s="1" t="str">
        <f>VLOOKUP(A17,[11]LISTADHERENT!A$5:H$60,3,0)</f>
        <v>TCHOUATEU AUGUSTIN</v>
      </c>
      <c r="D17" s="7">
        <f>+TONTJANV24!D17+TONTFEV24!D17+TONTMARS24!D17+TONTAVRIL24!D17+TONTMAI24!D17+TONTJUIN24!D17+TONTJUIL24!D17+TONTAOUT24!D17+TONTSEPT24!D17+TONTOCT24!D17+TONTNOV24!D17+TONTDEC24!D17</f>
        <v>1200000</v>
      </c>
      <c r="E17" s="7"/>
      <c r="F17" s="7">
        <f>+TONTJANV24!F17+TONTFEV24!F17+TONTMARS24!F17+TONTAVRIL24!F17+TONTMAI24!F17+TONTJUIN24!F17+TONTJUIL24!F17+TONTAOUT24!F17+TONTSEPT24!F17+TONTOCT24!F17+TONTNOV24!F17+TONTDEC24!F17</f>
        <v>0</v>
      </c>
      <c r="G17" s="7">
        <f>+TONTJANV24!G17+TONTFEV24!G17+TONTMARS24!G17+TONTAVRIL24!G17+TONTMAI24!G17+TONTJUIN24!G17+TONTJUIL24!G17+TONTAOUT24!G17+TONTSEPT24!G17+TONTOCT24!G17+TONTNOV24!G17+TONTDEC24!G17</f>
        <v>0</v>
      </c>
      <c r="H17" s="7"/>
      <c r="I17" s="7">
        <f>VLOOKUP($A17,[10]HISTOAVRIL24!$A$6:$BB$47,41,0)</f>
        <v>0</v>
      </c>
      <c r="J17" s="7">
        <f>+TONTJANV24!J17+TONTFEV24!J17+TONTMARS24!J17+TONTAVRIL24!J17+TONTMAI24!J17+TONTJUIN24!J17+TONTJUIL24!J17+TONTAOUT24!J17+TONTSEPT24!J17+TONTOCT24!J17+TONTNOV24!J17+TONTDEC24!J17</f>
        <v>0</v>
      </c>
      <c r="K17" s="7">
        <f>+TONTJANV24!K17+TONTFEV24!K17+TONTMARS24!K17+TONTAVRIL24!K17+TONTMAI24!K17+TONTJUIN24!K17+TONTJUIL24!K17+TONTAOUT24!K17+TONTSEPT24!K17+TONTOCT24!K17+TONTNOV24!K17+TONTDEC24!K17</f>
        <v>0</v>
      </c>
      <c r="L17" s="7"/>
      <c r="N17" s="7">
        <f>+TONTJANV24!N17+TONTFEV24!N17+TONTMARS24!N17+TONTAVRIL24!N17+TONTMAI24!N17+TONTJUIN24!N17+TONTJUIL24!N17+TONTAOUT24!N17+TONTSEPT24!N17+TONTOCT24!N17+TONTNOV24!N17+TONTDEC24!N17</f>
        <v>0</v>
      </c>
      <c r="O17" s="7">
        <f>+TONTJANV24!O17+TONTFEV24!O17+TONTMARS24!O17+TONTAVRIL24!O17+TONTMAI24!O17+TONTJUIN24!O17+TONTJUIL24!O17+TONTAOUT24!O17+TONTSEPT24!O17+TONTOCT24!O17+TONTNOV24!O17+TONTDEC24!O17</f>
        <v>1190000</v>
      </c>
      <c r="P17" s="7">
        <f>+TONTJANV24!P17+TONTFEV24!P17+TONTMARS24!P17+TONTAVRIL24!P17+TONTMAI24!P17+TONTJUIN24!P17+TONTJUIL24!P17+TONTAOUT24!P17+TONTSEPT24!P17+TONTOCT24!P17+TONTNOV24!P17+TONTDEC24!P17</f>
        <v>10000</v>
      </c>
      <c r="Q17" s="35">
        <v>45536</v>
      </c>
      <c r="S17" s="8">
        <f t="shared" si="0"/>
        <v>44166.666666666664</v>
      </c>
      <c r="T17" s="8">
        <v>41000</v>
      </c>
    </row>
    <row r="18" spans="1:22" ht="18.5" x14ac:dyDescent="0.45">
      <c r="A18" s="1" t="s">
        <v>46</v>
      </c>
      <c r="B18" s="7">
        <f>+TONTJANV24!B18+TONTFEV24!B18+TONTMARS24!B18+TONTAVRIL24!B18+TONTMAI24!B18+TONTJUIN24!B18+TONTJUIL24!B18+TONTAOUT24!B18+TONTSEPT24!B18+TONTOCT24!B18+TONTNOV24!B18+TONTDEC24!B18</f>
        <v>12</v>
      </c>
      <c r="C18" s="1" t="str">
        <f>VLOOKUP(A18,[11]LISTADHERENT!A$5:H$60,3,0)</f>
        <v>SIMO PIERRE</v>
      </c>
      <c r="D18" s="7">
        <f>+TONTJANV24!D18+TONTFEV24!D18+TONTMARS24!D18+TONTAVRIL24!D18+TONTMAI24!D18+TONTJUIN24!D18+TONTJUIL24!D18+TONTAOUT24!D18+TONTSEPT24!D18+TONTOCT24!D18+TONTNOV24!D18+TONTDEC24!D18</f>
        <v>1200000</v>
      </c>
      <c r="E18" s="7"/>
      <c r="F18" s="7">
        <f>+TONTJANV24!F18+TONTFEV24!F18+TONTMARS24!F18+TONTAVRIL24!F18+TONTMAI24!F18+TONTJUIN24!F18+TONTJUIL24!F18+TONTAOUT24!F18+TONTSEPT24!F18+TONTOCT24!F18+TONTNOV24!F18+TONTDEC24!F18</f>
        <v>0</v>
      </c>
      <c r="G18" s="7">
        <f>+TONTJANV24!G18+TONTFEV24!G18+TONTMARS24!G18+TONTAVRIL24!G18+TONTMAI24!G18+TONTJUIN24!G18+TONTJUIL24!G18+TONTAOUT24!G18+TONTSEPT24!G18+TONTOCT24!G18+TONTNOV24!G18+TONTDEC24!G18</f>
        <v>0</v>
      </c>
      <c r="H18" s="7"/>
      <c r="I18" s="7">
        <f>VLOOKUP($A18,[10]HISTOAVRIL24!$A$6:$BB$47,41,0)</f>
        <v>0</v>
      </c>
      <c r="J18" s="7">
        <f>+TONTJANV24!J18+TONTFEV24!J18+TONTMARS24!J18+TONTAVRIL24!J18+TONTMAI24!J18+TONTJUIN24!J18+TONTJUIL24!J18+TONTAOUT24!J18+TONTSEPT24!J18+TONTOCT24!J18+TONTNOV24!J18+TONTDEC24!J18</f>
        <v>0</v>
      </c>
      <c r="K18" s="7">
        <f>+TONTJANV24!K18+TONTFEV24!K18+TONTMARS24!K18+TONTAVRIL24!K18+TONTMAI24!K18+TONTJUIN24!K18+TONTJUIL24!K18+TONTAOUT24!K18+TONTSEPT24!K18+TONTOCT24!K18+TONTNOV24!K18+TONTDEC24!K18</f>
        <v>0</v>
      </c>
      <c r="L18" s="7"/>
      <c r="N18" s="7">
        <f>+TONTJANV24!N18+TONTFEV24!N18+TONTMARS24!N18+TONTAVRIL24!N18+TONTMAI24!N18+TONTJUIN24!N18+TONTJUIL24!N18+TONTAOUT24!N18+TONTSEPT24!N18+TONTOCT24!N18+TONTNOV24!N18+TONTDEC24!N18</f>
        <v>0</v>
      </c>
      <c r="O18" s="7">
        <f>+TONTJANV24!O18+TONTFEV24!O18+TONTMARS24!O18+TONTAVRIL24!O18+TONTMAI24!O18+TONTJUIN24!O18+TONTJUIL24!O18+TONTAOUT24!O18+TONTSEPT24!O18+TONTOCT24!O18+TONTNOV24!O18+TONTDEC24!O18</f>
        <v>1160000</v>
      </c>
      <c r="P18" s="7">
        <f>+TONTJANV24!P18+TONTFEV24!P18+TONTMARS24!P18+TONTAVRIL24!P18+TONTMAI24!P18+TONTJUIN24!P18+TONTJUIL24!P18+TONTAOUT24!P18+TONTSEPT24!P18+TONTOCT24!P18+TONTNOV24!P18+TONTDEC24!P18</f>
        <v>40000</v>
      </c>
      <c r="Q18" s="16">
        <v>45383</v>
      </c>
      <c r="S18" s="8">
        <f t="shared" si="0"/>
        <v>44166.666666666664</v>
      </c>
      <c r="T18" s="8">
        <v>41000</v>
      </c>
    </row>
    <row r="19" spans="1:22" ht="17.5" x14ac:dyDescent="0.35">
      <c r="A19" s="1" t="s">
        <v>53</v>
      </c>
      <c r="B19" s="7">
        <f>+TONTJANV24!B19+TONTFEV24!B19+TONTMARS24!B19+TONTAVRIL24!B19+TONTMAI24!B19+TONTJUIN24!B19+TONTJUIL24!B19+TONTAOUT24!B19+TONTSEPT24!B19+TONTOCT24!B19+TONTNOV24!B19+TONTDEC24!B19</f>
        <v>12</v>
      </c>
      <c r="C19" s="1" t="str">
        <f>VLOOKUP(A19,[11]LISTADHERENT!A$5:H$60,3,0)</f>
        <v>YIALA ALAIN OSCAR</v>
      </c>
      <c r="D19" s="7">
        <f>+TONTJANV24!D19+TONTFEV24!D19+TONTMARS24!D19+TONTAVRIL24!D19+TONTMAI24!D19+TONTJUIN24!D19+TONTJUIL24!D19+TONTAOUT24!D19+TONTSEPT24!D19+TONTOCT24!D19+TONTNOV24!D19+TONTDEC24!D19</f>
        <v>1200000</v>
      </c>
      <c r="E19" s="7"/>
      <c r="F19" s="7">
        <f>+TONTJANV24!F19+TONTFEV24!F19+TONTMARS24!F19+TONTAVRIL24!F19+TONTMAI24!F19+TONTJUIN24!F19+TONTJUIL24!F19+TONTAOUT24!F19+TONTSEPT24!F19+TONTOCT24!F19+TONTNOV24!F19+TONTDEC24!F19</f>
        <v>0</v>
      </c>
      <c r="G19" s="7">
        <f>+TONTJANV24!G19+TONTFEV24!G19+TONTMARS24!G19+TONTAVRIL24!G19+TONTMAI24!G19+TONTJUIN24!G19+TONTJUIL24!G19+TONTAOUT24!G19+TONTSEPT24!G19+TONTOCT24!G19+TONTNOV24!G19+TONTDEC24!G19</f>
        <v>0</v>
      </c>
      <c r="H19" s="7"/>
      <c r="I19" s="7">
        <f>VLOOKUP($A19,[10]HISTOAVRIL24!$A$6:$BB$47,41,0)</f>
        <v>0</v>
      </c>
      <c r="J19" s="7">
        <f>+TONTJANV24!J19+TONTFEV24!J19+TONTMARS24!J19+TONTAVRIL24!J19+TONTMAI24!J19+TONTJUIN24!J19+TONTJUIL24!J19+TONTAOUT24!J19+TONTSEPT24!J19+TONTOCT24!J19+TONTNOV24!J19+TONTDEC24!J19</f>
        <v>0</v>
      </c>
      <c r="K19" s="7">
        <f>+TONTJANV24!K19+TONTFEV24!K19+TONTMARS24!K19+TONTAVRIL24!K19+TONTMAI24!K19+TONTJUIN24!K19+TONTJUIL24!K19+TONTAOUT24!K19+TONTSEPT24!K19+TONTOCT24!K19+TONTNOV24!K19+TONTDEC24!K19</f>
        <v>0</v>
      </c>
      <c r="L19" s="7"/>
      <c r="N19" s="7">
        <f>+TONTJANV24!N19+TONTFEV24!N19+TONTMARS24!N19+TONTAVRIL24!N19+TONTMAI24!N19+TONTJUIN24!N19+TONTJUIL24!N19+TONTAOUT24!N19+TONTSEPT24!N19+TONTOCT24!N19+TONTNOV24!N19+TONTDEC24!N19</f>
        <v>0</v>
      </c>
      <c r="O19" s="7">
        <f>+TONTJANV24!O19+TONTFEV24!O19+TONTMARS24!O19+TONTAVRIL24!O19+TONTMAI24!O19+TONTJUIN24!O19+TONTJUIL24!O19+TONTAOUT24!O19+TONTSEPT24!O19+TONTOCT24!O19+TONTNOV24!O19+TONTDEC24!O19</f>
        <v>1190000</v>
      </c>
      <c r="P19" s="7">
        <f>+TONTJANV24!P19+TONTFEV24!P19+TONTMARS24!P19+TONTAVRIL24!P19+TONTMAI24!P19+TONTJUIN24!P19+TONTJUIL24!P19+TONTAOUT24!P19+TONTSEPT24!P19+TONTOCT24!P19+TONTNOV24!P19+TONTDEC24!P19</f>
        <v>10000</v>
      </c>
      <c r="Q19" s="35">
        <v>45536</v>
      </c>
      <c r="S19" s="8">
        <f t="shared" si="0"/>
        <v>44166.666666666664</v>
      </c>
      <c r="T19" s="8">
        <v>41000</v>
      </c>
    </row>
    <row r="20" spans="1:22" ht="17.5" x14ac:dyDescent="0.3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  <c r="T20" s="8"/>
    </row>
    <row r="21" spans="1:22" ht="17.5" x14ac:dyDescent="0.35">
      <c r="A21" s="1" t="s">
        <v>40</v>
      </c>
      <c r="B21" s="8">
        <f>SUM(B6:B20)</f>
        <v>216</v>
      </c>
      <c r="G21" s="10"/>
      <c r="Q21" s="2"/>
      <c r="R21" s="2"/>
      <c r="S21" s="2"/>
      <c r="T21" s="8"/>
    </row>
    <row r="22" spans="1:22" ht="17.5" x14ac:dyDescent="0.35">
      <c r="A22" s="1" t="s">
        <v>41</v>
      </c>
      <c r="B22" s="15">
        <f>+COUNT(D6:D20)</f>
        <v>14</v>
      </c>
      <c r="C22" s="8"/>
      <c r="D22" s="8">
        <f>SUM(D6:D20)</f>
        <v>21600000</v>
      </c>
      <c r="E22" s="8">
        <f t="shared" ref="E22:P22" si="1">SUM(E6:E20)</f>
        <v>0</v>
      </c>
      <c r="F22" s="8">
        <f t="shared" si="1"/>
        <v>11196000</v>
      </c>
      <c r="G22" s="8">
        <f t="shared" si="1"/>
        <v>130000</v>
      </c>
      <c r="H22" s="8">
        <f t="shared" si="1"/>
        <v>0</v>
      </c>
      <c r="I22" s="8">
        <f t="shared" si="1"/>
        <v>0</v>
      </c>
      <c r="J22" s="8">
        <f t="shared" si="1"/>
        <v>11326000</v>
      </c>
      <c r="K22" s="8">
        <f t="shared" si="1"/>
        <v>11223000</v>
      </c>
      <c r="L22" s="8">
        <f>SUM(L6:L20)</f>
        <v>0</v>
      </c>
      <c r="M22" s="8">
        <f t="shared" si="1"/>
        <v>0</v>
      </c>
      <c r="N22" s="8">
        <f t="shared" si="1"/>
        <v>0</v>
      </c>
      <c r="O22" s="8">
        <f t="shared" si="1"/>
        <v>20935000</v>
      </c>
      <c r="P22" s="8">
        <f t="shared" si="1"/>
        <v>665000</v>
      </c>
      <c r="Q22" s="2"/>
      <c r="R22" s="2"/>
      <c r="S22" s="8">
        <f>SUM(S6:S19)</f>
        <v>794999.99999999988</v>
      </c>
      <c r="T22" s="8">
        <f>SUM(T6:T19)</f>
        <v>738000</v>
      </c>
      <c r="V22" s="2">
        <f>S22-T22</f>
        <v>56999.999999999884</v>
      </c>
    </row>
    <row r="23" spans="1:22" s="2" customFormat="1" x14ac:dyDescent="0.3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22" s="2" customFormat="1" ht="28.5" x14ac:dyDescent="0.3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D28+E28+P22+TONTFEV24!N29</f>
        <v>665000</v>
      </c>
      <c r="M24" s="5"/>
      <c r="N24"/>
      <c r="O24" s="5"/>
      <c r="P24" s="17" t="s">
        <v>12</v>
      </c>
      <c r="Q24" s="8">
        <f>G22</f>
        <v>130000</v>
      </c>
      <c r="S24" s="8">
        <f>[12]TONTRESUME23!$X$38+[13]TONTRESUME23!$U$23+V20</f>
        <v>46499.999999999854</v>
      </c>
    </row>
    <row r="25" spans="1:22" s="2" customFormat="1" ht="17.5" x14ac:dyDescent="0.35">
      <c r="C25" s="8" t="s">
        <v>11</v>
      </c>
      <c r="D25" s="8">
        <f>SUMIFS(D6:D20,E6:E20,"ESPECES")</f>
        <v>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0</v>
      </c>
      <c r="I25" s="8"/>
      <c r="K25" s="8" t="s">
        <v>34</v>
      </c>
      <c r="L25" s="8">
        <f>C3*COUNTIF(O6:O20,"&gt;0")</f>
        <v>16800000</v>
      </c>
      <c r="M25" s="8">
        <f>D3</f>
        <v>0</v>
      </c>
      <c r="N25" s="8">
        <f>COUNTIF(O8:O19,"&gt;0")</f>
        <v>12</v>
      </c>
      <c r="O25" s="8"/>
      <c r="Q25" s="8"/>
      <c r="T25" s="8">
        <f>S24/7</f>
        <v>6642.8571428571222</v>
      </c>
    </row>
    <row r="26" spans="1:22" s="2" customFormat="1" ht="17.5" x14ac:dyDescent="0.35">
      <c r="C26" s="8" t="s">
        <v>7</v>
      </c>
      <c r="D26" s="8">
        <f>SUMIFS(D6:D20,E6:E20,"BANQUE")</f>
        <v>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0</v>
      </c>
      <c r="I26" s="8"/>
      <c r="L26" s="8"/>
      <c r="M26" s="8"/>
      <c r="N26" s="8"/>
      <c r="O26" s="8"/>
      <c r="P26" s="17" t="s">
        <v>50</v>
      </c>
      <c r="Q26" s="8">
        <f>G22+P22</f>
        <v>795000</v>
      </c>
    </row>
    <row r="27" spans="1:22" s="2" customFormat="1" ht="17.5" x14ac:dyDescent="0.35">
      <c r="D27" s="8"/>
      <c r="E27" s="8"/>
      <c r="F27" s="8"/>
      <c r="G27" s="8"/>
      <c r="I27" s="8"/>
      <c r="K27" s="8" t="s">
        <v>23</v>
      </c>
      <c r="L27" s="8">
        <f>L24-L25</f>
        <v>-16135000</v>
      </c>
      <c r="M27" s="8"/>
      <c r="N27" s="8"/>
      <c r="O27" s="8"/>
      <c r="Q27" s="8"/>
      <c r="U27" s="2">
        <f>(17000+30500+57000)/6</f>
        <v>17416.666666666668</v>
      </c>
    </row>
    <row r="28" spans="1:22" s="2" customFormat="1" ht="17.5" x14ac:dyDescent="0.35">
      <c r="C28" s="8" t="s">
        <v>45</v>
      </c>
      <c r="D28" s="8">
        <f>D25+D26</f>
        <v>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0</v>
      </c>
      <c r="I28" s="8"/>
      <c r="L28" s="8"/>
      <c r="M28" s="8"/>
      <c r="N28" s="8"/>
      <c r="O28" s="8"/>
      <c r="P28" s="17" t="s">
        <v>52</v>
      </c>
      <c r="Q28" s="8">
        <f>Q26/18</f>
        <v>44166.666666666664</v>
      </c>
    </row>
    <row r="29" spans="1:22" s="2" customFormat="1" ht="17.5" x14ac:dyDescent="0.35">
      <c r="D29" s="8"/>
      <c r="E29"/>
      <c r="F29"/>
      <c r="G29" s="3"/>
      <c r="H29" s="3"/>
      <c r="I29" s="3"/>
      <c r="K29" s="8" t="s">
        <v>27</v>
      </c>
      <c r="L29" s="8">
        <f>L27-F22</f>
        <v>-27331000</v>
      </c>
      <c r="M29"/>
      <c r="N29" s="8">
        <f>L29</f>
        <v>-27331000</v>
      </c>
      <c r="O29" s="8" t="s">
        <v>28</v>
      </c>
      <c r="Q29"/>
      <c r="R29"/>
      <c r="T29"/>
    </row>
    <row r="30" spans="1:22" s="2" customFormat="1" x14ac:dyDescent="0.35">
      <c r="D30" s="5"/>
      <c r="E30"/>
      <c r="F30"/>
      <c r="G30" s="3"/>
      <c r="H30" s="3"/>
      <c r="I30" s="3"/>
      <c r="M30"/>
      <c r="N30" s="3"/>
      <c r="O30" s="3"/>
      <c r="Q30"/>
      <c r="R30"/>
      <c r="S30"/>
      <c r="T30"/>
    </row>
    <row r="31" spans="1:22" ht="17.5" x14ac:dyDescent="0.3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22" ht="17.5" x14ac:dyDescent="0.35">
      <c r="K32" s="8" t="s">
        <v>36</v>
      </c>
      <c r="L32" s="8">
        <f>J22-E28</f>
        <v>11326000</v>
      </c>
      <c r="N32" s="8">
        <f>L32</f>
        <v>11326000</v>
      </c>
      <c r="O32" s="8" t="s">
        <v>28</v>
      </c>
    </row>
    <row r="33" spans="11:15" x14ac:dyDescent="0.35">
      <c r="K33" s="3"/>
      <c r="L33" s="2"/>
      <c r="N33"/>
      <c r="O33" s="3"/>
    </row>
    <row r="34" spans="11:15" x14ac:dyDescent="0.35">
      <c r="K34" s="3"/>
      <c r="L34" s="2"/>
      <c r="N34"/>
      <c r="O34" s="3"/>
    </row>
  </sheetData>
  <autoFilter ref="A5:T29" xr:uid="{C2269373-F197-4D4A-A828-F5690CE65B78}"/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7941-2E1D-40B0-B6E0-E5F332300877}">
  <dimension ref="A1:J21"/>
  <sheetViews>
    <sheetView workbookViewId="0">
      <pane xSplit="2" ySplit="4" topLeftCell="D5" activePane="bottomRight" state="frozen"/>
      <selection activeCell="G6" sqref="G6:G39"/>
      <selection pane="topRight" activeCell="G6" sqref="G6:G39"/>
      <selection pane="bottomLeft" activeCell="G6" sqref="G6:G39"/>
      <selection pane="bottomRight" activeCell="H16" sqref="H16:H18"/>
    </sheetView>
  </sheetViews>
  <sheetFormatPr baseColWidth="10" defaultColWidth="11" defaultRowHeight="14.5" x14ac:dyDescent="0.35"/>
  <cols>
    <col min="1" max="1" width="13.81640625" customWidth="1"/>
    <col min="2" max="2" width="29.54296875" customWidth="1"/>
    <col min="3" max="3" width="21" customWidth="1"/>
    <col min="4" max="4" width="17.54296875" style="3" customWidth="1"/>
    <col min="5" max="5" width="18.1796875" style="2" customWidth="1"/>
    <col min="6" max="6" width="22.26953125" style="2" customWidth="1"/>
    <col min="7" max="7" width="12.453125" bestFit="1" customWidth="1"/>
    <col min="9" max="9" width="16.26953125" customWidth="1"/>
    <col min="10" max="10" width="12.453125" bestFit="1" customWidth="1"/>
  </cols>
  <sheetData>
    <row r="1" spans="1:10" x14ac:dyDescent="0.35">
      <c r="A1" s="1" t="s">
        <v>0</v>
      </c>
      <c r="B1" s="1" t="s">
        <v>1</v>
      </c>
      <c r="D1" s="1"/>
      <c r="E1"/>
      <c r="F1" s="3"/>
      <c r="G1" s="2"/>
    </row>
    <row r="2" spans="1:10" x14ac:dyDescent="0.35">
      <c r="A2" s="1" t="s">
        <v>2</v>
      </c>
      <c r="B2" s="1">
        <v>2024</v>
      </c>
      <c r="C2" s="1"/>
      <c r="D2" s="1"/>
      <c r="E2"/>
      <c r="F2" s="3"/>
      <c r="G2" s="2"/>
    </row>
    <row r="3" spans="1:10" ht="24" thickBot="1" x14ac:dyDescent="0.6">
      <c r="A3" s="39" t="s">
        <v>59</v>
      </c>
      <c r="B3" s="40"/>
      <c r="C3" s="40"/>
      <c r="D3" s="40"/>
      <c r="E3" s="40"/>
      <c r="F3" s="40"/>
      <c r="G3" s="40"/>
      <c r="H3" s="40"/>
      <c r="I3" s="40"/>
      <c r="J3" s="40"/>
    </row>
    <row r="4" spans="1:10" ht="43" thickTop="1" x14ac:dyDescent="0.35">
      <c r="A4" s="31" t="s">
        <v>3</v>
      </c>
      <c r="B4" s="32" t="s">
        <v>4</v>
      </c>
      <c r="C4" s="33" t="s">
        <v>5</v>
      </c>
      <c r="D4" s="33" t="s">
        <v>12</v>
      </c>
      <c r="E4" s="33" t="s">
        <v>58</v>
      </c>
      <c r="F4" s="33" t="s">
        <v>15</v>
      </c>
      <c r="G4" s="33" t="s">
        <v>48</v>
      </c>
      <c r="H4" s="33" t="s">
        <v>49</v>
      </c>
      <c r="I4" s="33" t="s">
        <v>51</v>
      </c>
      <c r="J4" s="34" t="s">
        <v>57</v>
      </c>
    </row>
    <row r="5" spans="1:10" ht="17.5" x14ac:dyDescent="0.35">
      <c r="A5" s="19" t="s">
        <v>44</v>
      </c>
      <c r="B5" s="20" t="str">
        <f>VLOOKUP(A5,[11]LISTADHERENT!A$5:H$60,3,0)</f>
        <v>ASELBY</v>
      </c>
      <c r="C5" s="21">
        <f>+TONTRESUME24!D6</f>
        <v>1200000</v>
      </c>
      <c r="D5" s="21">
        <f>+TONTRESUME24!G6</f>
        <v>0</v>
      </c>
      <c r="E5" s="21">
        <f>+TONTRESUME24!O6</f>
        <v>1190000</v>
      </c>
      <c r="F5" s="21">
        <f>+TONTRESUME24!P6</f>
        <v>10000</v>
      </c>
      <c r="G5" s="18">
        <f>IF(F5=0,"",VLOOKUP(TONTRESUME24EDIT!A5,TONTRESUME24!A6:T19,17,0))</f>
        <v>0</v>
      </c>
      <c r="H5" s="18">
        <f>IF(C5=600000,"",VLOOKUP(TONTRESUME24EDIT!A5,TONTRESUME24!A6:U19,18,0))</f>
        <v>0</v>
      </c>
      <c r="I5" s="22"/>
      <c r="J5" s="23">
        <f>TONTRESUME24!T6</f>
        <v>41000</v>
      </c>
    </row>
    <row r="6" spans="1:10" ht="17.5" x14ac:dyDescent="0.35">
      <c r="A6" s="19" t="s">
        <v>47</v>
      </c>
      <c r="B6" s="20" t="str">
        <f>VLOOKUP(A6,[11]LISTADHERENT!A$5:H$60,3,0)</f>
        <v xml:space="preserve">DJOMO JEAN PAUL </v>
      </c>
      <c r="C6" s="21">
        <f>+TONTRESUME24!D7</f>
        <v>2400000</v>
      </c>
      <c r="D6" s="21">
        <f>+TONTRESUME24!G7</f>
        <v>8500</v>
      </c>
      <c r="E6" s="21">
        <f>+TONTRESUME24!O7</f>
        <v>2275000</v>
      </c>
      <c r="F6" s="21">
        <f>+TONTRESUME24!P7</f>
        <v>125000</v>
      </c>
      <c r="G6" s="18">
        <f>IF(F6=0,"",VLOOKUP(TONTRESUME24EDIT!A6,TONTRESUME24!A7:T20,17,0))</f>
        <v>45292</v>
      </c>
      <c r="H6" s="18"/>
      <c r="I6" s="22">
        <f>TONTRESUME24!S7</f>
        <v>88333.333333333328</v>
      </c>
      <c r="J6" s="23">
        <f>TONTRESUME24!T7</f>
        <v>82000</v>
      </c>
    </row>
    <row r="7" spans="1:10" ht="17.5" x14ac:dyDescent="0.35">
      <c r="A7" s="19" t="s">
        <v>20</v>
      </c>
      <c r="B7" s="20" t="str">
        <f>VLOOKUP(A7,[11]LISTADHERENT!A$5:H$60,3,0)</f>
        <v>DJUOMBESSY ANTOINE</v>
      </c>
      <c r="C7" s="21">
        <f>+TONTRESUME24!D8</f>
        <v>2400000</v>
      </c>
      <c r="D7" s="21">
        <f>+TONTRESUME24!G8</f>
        <v>16000</v>
      </c>
      <c r="E7" s="21">
        <f>+TONTRESUME24!O8</f>
        <v>2380000</v>
      </c>
      <c r="F7" s="21">
        <f>+TONTRESUME24!P8</f>
        <v>20000</v>
      </c>
      <c r="G7" s="18">
        <f>IF(F7=0,"",VLOOKUP(TONTRESUME24EDIT!A7,TONTRESUME24!A8:T21,17,0))</f>
        <v>45413</v>
      </c>
      <c r="H7" s="18"/>
      <c r="I7" s="22">
        <f>TONTRESUME24!S8</f>
        <v>88333.333333333328</v>
      </c>
      <c r="J7" s="23">
        <f>TONTRESUME24!T8</f>
        <v>82000</v>
      </c>
    </row>
    <row r="8" spans="1:10" ht="17.5" x14ac:dyDescent="0.35">
      <c r="A8" s="19" t="s">
        <v>21</v>
      </c>
      <c r="B8" s="20" t="str">
        <f>VLOOKUP(A8,[11]LISTADHERENT!A$5:H$60,3,0)</f>
        <v>HOTCHO BENJAMIN</v>
      </c>
      <c r="C8" s="21">
        <f>+TONTRESUME24!D9</f>
        <v>1200000</v>
      </c>
      <c r="D8" s="21">
        <f>+TONTRESUME24!G9</f>
        <v>9500</v>
      </c>
      <c r="E8" s="21">
        <f>+TONTRESUME24!O9</f>
        <v>1185000</v>
      </c>
      <c r="F8" s="21">
        <f>+TONTRESUME24!P9</f>
        <v>15000</v>
      </c>
      <c r="G8" s="18">
        <f>IF(F8=0,"",VLOOKUP(TONTRESUME24EDIT!A8,TONTRESUME24!A9:T22,17,0))</f>
        <v>45383</v>
      </c>
      <c r="H8" s="18">
        <f>IF(C8=600000,"",VLOOKUP(TONTRESUME24EDIT!A8,TONTRESUME24!A9:U22,18,0))</f>
        <v>0</v>
      </c>
      <c r="I8" s="22">
        <f>TONTRESUME24!S9</f>
        <v>44166.666666666664</v>
      </c>
      <c r="J8" s="23">
        <f>TONTRESUME24!T9</f>
        <v>41000</v>
      </c>
    </row>
    <row r="9" spans="1:10" ht="17.5" x14ac:dyDescent="0.35">
      <c r="A9" s="19" t="s">
        <v>26</v>
      </c>
      <c r="B9" s="20" t="str">
        <f>VLOOKUP(A9,[11]LISTADHERENT!A$5:H$60,3,0)</f>
        <v>KOUAMOU MOISE</v>
      </c>
      <c r="C9" s="21">
        <f>+TONTRESUME24!D10</f>
        <v>1200000</v>
      </c>
      <c r="D9" s="21">
        <f>+TONTRESUME24!G10</f>
        <v>12000</v>
      </c>
      <c r="E9" s="21">
        <f>+TONTRESUME24!O10</f>
        <v>1130000</v>
      </c>
      <c r="F9" s="21">
        <f>+TONTRESUME24!P10</f>
        <v>70000</v>
      </c>
      <c r="G9" s="18">
        <f>IF(F9=0,"",VLOOKUP(TONTRESUME24EDIT!A9,TONTRESUME24!A10:T23,17,0))</f>
        <v>45352</v>
      </c>
      <c r="H9" s="18">
        <f>IF(C9=600000,"",VLOOKUP(TONTRESUME24EDIT!A9,TONTRESUME24!A10:U23,18,0))</f>
        <v>0</v>
      </c>
      <c r="I9" s="22">
        <f>TONTRESUME24!S10</f>
        <v>44166.666666666664</v>
      </c>
      <c r="J9" s="23">
        <f>TONTRESUME24!T10</f>
        <v>41000</v>
      </c>
    </row>
    <row r="10" spans="1:10" ht="17.5" x14ac:dyDescent="0.35">
      <c r="A10" s="19" t="s">
        <v>8</v>
      </c>
      <c r="B10" s="20" t="str">
        <f>VLOOKUP(A10,[11]LISTADHERENT!A$5:H$60,3,0)</f>
        <v>KOUATCHO MESSACK</v>
      </c>
      <c r="C10" s="21">
        <f>+TONTRESUME24!D11</f>
        <v>1200000</v>
      </c>
      <c r="D10" s="21">
        <f>+TONTRESUME24!G11</f>
        <v>13000</v>
      </c>
      <c r="E10" s="21">
        <f>+TONTRESUME24!O11</f>
        <v>1160000</v>
      </c>
      <c r="F10" s="21">
        <f>+TONTRESUME24!P11</f>
        <v>40000</v>
      </c>
      <c r="G10" s="18">
        <f>IF(F10=0,"",VLOOKUP(TONTRESUME24EDIT!A10,TONTRESUME24!A11:T24,17,0))</f>
        <v>45323</v>
      </c>
      <c r="H10" s="18">
        <f>IF(C10=600000,"",VLOOKUP(TONTRESUME24EDIT!A10,TONTRESUME24!A11:U24,18,0))</f>
        <v>0</v>
      </c>
      <c r="I10" s="22">
        <f>TONTRESUME24!S11</f>
        <v>44166.666666666664</v>
      </c>
      <c r="J10" s="23">
        <f>TONTRESUME24!T11</f>
        <v>41000</v>
      </c>
    </row>
    <row r="11" spans="1:10" ht="17.5" x14ac:dyDescent="0.35">
      <c r="A11" s="19" t="s">
        <v>22</v>
      </c>
      <c r="B11" s="20" t="str">
        <f>VLOOKUP(A11,[11]LISTADHERENT!A$5:H$60,3,0)</f>
        <v>MBOGNING TUGMA GUY</v>
      </c>
      <c r="C11" s="21">
        <f>+TONTRESUME24!D12</f>
        <v>1200000</v>
      </c>
      <c r="D11" s="21">
        <f>+TONTRESUME24!G12</f>
        <v>18500</v>
      </c>
      <c r="E11" s="21">
        <f>+TONTRESUME24!O12</f>
        <v>1085000</v>
      </c>
      <c r="F11" s="21">
        <f>+TONTRESUME24!P12</f>
        <v>115000</v>
      </c>
      <c r="G11" s="18">
        <f>IF(F11=0,"",VLOOKUP(TONTRESUME24EDIT!A11,TONTRESUME24!A12:T25,17,0))</f>
        <v>45292</v>
      </c>
      <c r="H11" s="18">
        <f>IF(C11=600000,"",VLOOKUP(TONTRESUME24EDIT!A11,TONTRESUME24!A12:U25,18,0))</f>
        <v>0</v>
      </c>
      <c r="I11" s="22">
        <f>TONTRESUME24!S12</f>
        <v>44166.666666666664</v>
      </c>
      <c r="J11" s="23">
        <f>TONTRESUME24!T12</f>
        <v>41000</v>
      </c>
    </row>
    <row r="12" spans="1:10" ht="17.5" x14ac:dyDescent="0.35">
      <c r="A12" s="19" t="s">
        <v>9</v>
      </c>
      <c r="B12" s="20" t="str">
        <f>VLOOKUP(A12,[11]LISTADHERENT!A$5:H$60,3,0)</f>
        <v>NDJOMO ETIENNE</v>
      </c>
      <c r="C12" s="21">
        <f>+TONTRESUME24!D13</f>
        <v>2400000</v>
      </c>
      <c r="D12" s="21">
        <f>+TONTRESUME24!G13</f>
        <v>16500</v>
      </c>
      <c r="E12" s="21">
        <f>+TONTRESUME24!O13</f>
        <v>2380000</v>
      </c>
      <c r="F12" s="21">
        <f>+TONTRESUME24!P13</f>
        <v>20000</v>
      </c>
      <c r="G12" s="18">
        <f>IF(F12=0,"",VLOOKUP(TONTRESUME24EDIT!A12,TONTRESUME24!A13:T26,17,0))</f>
        <v>45474</v>
      </c>
      <c r="H12" s="18"/>
      <c r="I12" s="22">
        <f>TONTRESUME24!S13</f>
        <v>88333.333333333328</v>
      </c>
      <c r="J12" s="23">
        <f>TONTRESUME24!T13</f>
        <v>82000</v>
      </c>
    </row>
    <row r="13" spans="1:10" ht="17.5" x14ac:dyDescent="0.35">
      <c r="A13" s="19" t="s">
        <v>10</v>
      </c>
      <c r="B13" s="20" t="str">
        <f>VLOOKUP(A13,[11]LISTADHERENT!A$5:H$60,3,0)</f>
        <v>NGONDIEP CLAUDE</v>
      </c>
      <c r="C13" s="21">
        <f>+TONTRESUME24!D14</f>
        <v>1200000</v>
      </c>
      <c r="D13" s="21">
        <f>+TONTRESUME24!G14</f>
        <v>17000</v>
      </c>
      <c r="E13" s="21">
        <f>+TONTRESUME24!O14</f>
        <v>1185000</v>
      </c>
      <c r="F13" s="21">
        <f>+TONTRESUME24!P14</f>
        <v>15000</v>
      </c>
      <c r="G13" s="18">
        <f>IF(F13=0,"",VLOOKUP(TONTRESUME24EDIT!A13,TONTRESUME24!A14:T27,17,0))</f>
        <v>45444</v>
      </c>
      <c r="H13" s="18">
        <f>IF(C13=600000,"",VLOOKUP(TONTRESUME24EDIT!A13,TONTRESUME24!A14:U27,18,0))</f>
        <v>0</v>
      </c>
      <c r="I13" s="22">
        <f>TONTRESUME24!S14</f>
        <v>44166.666666666664</v>
      </c>
      <c r="J13" s="23">
        <f>TONTRESUME24!T14</f>
        <v>41000</v>
      </c>
    </row>
    <row r="14" spans="1:10" ht="17.5" x14ac:dyDescent="0.35">
      <c r="A14" s="19" t="s">
        <v>43</v>
      </c>
      <c r="B14" s="20" t="str">
        <f>VLOOKUP(A14,[11]LISTADHERENT!A$5:H$60,3,0)</f>
        <v>NGUIEMEGNI MATHIEU BLAISE</v>
      </c>
      <c r="C14" s="21">
        <f>+TONTRESUME24!D15</f>
        <v>1200000</v>
      </c>
      <c r="D14" s="21">
        <f>+TONTRESUME24!G15</f>
        <v>14000</v>
      </c>
      <c r="E14" s="21">
        <f>+TONTRESUME24!O15</f>
        <v>1075000</v>
      </c>
      <c r="F14" s="21">
        <f>+TONTRESUME24!P15</f>
        <v>125000</v>
      </c>
      <c r="G14" s="18">
        <f>IF(F14=0,"",VLOOKUP(TONTRESUME24EDIT!A14,TONTRESUME24!A15:T28,17,0))</f>
        <v>45292</v>
      </c>
      <c r="H14" s="18">
        <f>IF(C14=600000,"",VLOOKUP(TONTRESUME24EDIT!A14,TONTRESUME24!A15:U28,18,0))</f>
        <v>0</v>
      </c>
      <c r="I14" s="22">
        <f>TONTRESUME24!S15</f>
        <v>44166.666666666664</v>
      </c>
      <c r="J14" s="23">
        <f>TONTRESUME24!T15</f>
        <v>41000</v>
      </c>
    </row>
    <row r="15" spans="1:10" ht="17.5" x14ac:dyDescent="0.35">
      <c r="A15" s="19" t="s">
        <v>54</v>
      </c>
      <c r="B15" s="20" t="str">
        <f>VLOOKUP(A15,[11]LISTADHERENT!A$5:H$60,3,0)</f>
        <v>SIME BRICE</v>
      </c>
      <c r="C15" s="21">
        <f>+TONTRESUME24!D16</f>
        <v>2400000</v>
      </c>
      <c r="D15" s="21">
        <f>+TONTRESUME24!G16</f>
        <v>5000</v>
      </c>
      <c r="E15" s="21">
        <f>+TONTRESUME24!O16</f>
        <v>2350000</v>
      </c>
      <c r="F15" s="21">
        <f>+TONTRESUME24!P16</f>
        <v>50000</v>
      </c>
      <c r="G15" s="18">
        <f>IF(F15=0,"",VLOOKUP(TONTRESUME24EDIT!A15,TONTRESUME24!A16:T29,17,0))</f>
        <v>45323</v>
      </c>
      <c r="H15" s="18">
        <f>IF(C15=600000,"",VLOOKUP(TONTRESUME24EDIT!A15,TONTRESUME24!A16:U29,18,0))</f>
        <v>45444</v>
      </c>
      <c r="I15" s="22">
        <f>TONTRESUME24!S16</f>
        <v>88333.333333333328</v>
      </c>
      <c r="J15" s="23">
        <f>TONTRESUME24!T16</f>
        <v>82000</v>
      </c>
    </row>
    <row r="16" spans="1:10" ht="17.5" x14ac:dyDescent="0.35">
      <c r="A16" s="19" t="s">
        <v>55</v>
      </c>
      <c r="B16" s="20" t="str">
        <f>VLOOKUP(A16,[11]LISTADHERENT!A$5:H$60,3,0)</f>
        <v>TCHOUATEU AUGUSTIN</v>
      </c>
      <c r="C16" s="21">
        <f>+TONTRESUME24!D17</f>
        <v>1200000</v>
      </c>
      <c r="D16" s="21">
        <f>+TONTRESUME24!G17</f>
        <v>0</v>
      </c>
      <c r="E16" s="21">
        <f>+TONTRESUME24!O17</f>
        <v>1190000</v>
      </c>
      <c r="F16" s="21">
        <f>+TONTRESUME24!P17</f>
        <v>10000</v>
      </c>
      <c r="G16" s="18">
        <f>IF(F16=0,"",VLOOKUP(TONTRESUME24EDIT!A16,TONTRESUME24!A17:T30,17,0))</f>
        <v>45536</v>
      </c>
      <c r="H16" s="18">
        <f>IF(C16=600000,"",VLOOKUP(TONTRESUME24EDIT!A16,TONTRESUME24!A17:U30,18,0))</f>
        <v>0</v>
      </c>
      <c r="I16" s="22">
        <f>TONTRESUME24!S17</f>
        <v>44166.666666666664</v>
      </c>
      <c r="J16" s="23">
        <f>TONTRESUME24!T17</f>
        <v>41000</v>
      </c>
    </row>
    <row r="17" spans="1:10" ht="17.5" x14ac:dyDescent="0.35">
      <c r="A17" s="19" t="s">
        <v>46</v>
      </c>
      <c r="B17" s="20" t="str">
        <f>VLOOKUP(A17,[11]LISTADHERENT!A$5:H$60,3,0)</f>
        <v>SIMO PIERRE</v>
      </c>
      <c r="C17" s="21">
        <f>+TONTRESUME24!D18</f>
        <v>1200000</v>
      </c>
      <c r="D17" s="21">
        <f>+TONTRESUME24!G18</f>
        <v>0</v>
      </c>
      <c r="E17" s="21">
        <f>+TONTRESUME24!O18</f>
        <v>1160000</v>
      </c>
      <c r="F17" s="21">
        <f>+TONTRESUME24!P18</f>
        <v>40000</v>
      </c>
      <c r="G17" s="18">
        <f>IF(F17=0,"",VLOOKUP(TONTRESUME24EDIT!A17,TONTRESUME24!A18:T31,17,0))</f>
        <v>45383</v>
      </c>
      <c r="H17" s="18">
        <f>IF(C17=600000,"",VLOOKUP(TONTRESUME24EDIT!A17,TONTRESUME24!A18:U31,18,0))</f>
        <v>0</v>
      </c>
      <c r="I17" s="22">
        <f>TONTRESUME24!S18</f>
        <v>44166.666666666664</v>
      </c>
      <c r="J17" s="24"/>
    </row>
    <row r="18" spans="1:10" ht="17.5" x14ac:dyDescent="0.35">
      <c r="A18" s="19" t="s">
        <v>53</v>
      </c>
      <c r="B18" s="20" t="str">
        <f>VLOOKUP(A18,[11]LISTADHERENT!A$5:H$60,3,0)</f>
        <v>YIALA ALAIN OSCAR</v>
      </c>
      <c r="C18" s="21">
        <f>+TONTRESUME24!D19</f>
        <v>1200000</v>
      </c>
      <c r="D18" s="21">
        <f>+TONTRESUME24!G19</f>
        <v>0</v>
      </c>
      <c r="E18" s="21">
        <f>+TONTRESUME24!O19</f>
        <v>1190000</v>
      </c>
      <c r="F18" s="21">
        <f>+TONTRESUME24!P19</f>
        <v>10000</v>
      </c>
      <c r="G18" s="18">
        <f>IF(F18=0,"",VLOOKUP(TONTRESUME24EDIT!A18,TONTRESUME24!A19:T32,17,0))</f>
        <v>45536</v>
      </c>
      <c r="H18" s="18">
        <f>IF(C18=600000,"",VLOOKUP(TONTRESUME24EDIT!A18,TONTRESUME24!A19:U32,18,0))</f>
        <v>0</v>
      </c>
      <c r="I18" s="22">
        <f>TONTRESUME24!S19</f>
        <v>44166.666666666664</v>
      </c>
      <c r="J18" s="24"/>
    </row>
    <row r="19" spans="1:10" x14ac:dyDescent="0.35">
      <c r="A19" s="19"/>
      <c r="B19" s="20"/>
      <c r="C19" s="25"/>
      <c r="D19" s="25"/>
      <c r="E19" s="25"/>
      <c r="F19" s="25"/>
      <c r="G19" s="26"/>
      <c r="H19" s="26"/>
      <c r="I19" s="26"/>
      <c r="J19" s="24"/>
    </row>
    <row r="20" spans="1:10" ht="18" thickBot="1" x14ac:dyDescent="0.4">
      <c r="A20" s="27" t="s">
        <v>40</v>
      </c>
      <c r="B20" s="28"/>
      <c r="C20" s="28">
        <f>SUM(C5:C19)</f>
        <v>21600000</v>
      </c>
      <c r="D20" s="28">
        <f>SUM(D5:D19)</f>
        <v>130000</v>
      </c>
      <c r="E20" s="28">
        <f>SUM(E5:E19)</f>
        <v>20935000</v>
      </c>
      <c r="F20" s="28">
        <f>SUM(F5:F19)</f>
        <v>665000</v>
      </c>
      <c r="G20" s="29"/>
      <c r="H20" s="29"/>
      <c r="I20" s="28">
        <f>SUM(I5:I17)</f>
        <v>706666.66666666663</v>
      </c>
      <c r="J20" s="30">
        <f>SUM(J5:J17)</f>
        <v>656000</v>
      </c>
    </row>
    <row r="21" spans="1:10" ht="15" thickTop="1" x14ac:dyDescent="0.35"/>
  </sheetData>
  <autoFilter ref="A4:J20" xr:uid="{C2269373-F197-4D4A-A828-F5690CE65B78}"/>
  <mergeCells count="1">
    <mergeCell ref="A3:J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I19" sqref="I19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3</vt:i4>
      </vt:variant>
    </vt:vector>
  </HeadingPairs>
  <TitlesOfParts>
    <vt:vector size="32" baseType="lpstr">
      <vt:lpstr>MODEPAID</vt:lpstr>
      <vt:lpstr>TONTJANV25</vt:lpstr>
      <vt:lpstr>TONTFEV25</vt:lpstr>
      <vt:lpstr>TONTMARS25</vt:lpstr>
      <vt:lpstr>TONTAVRIL25</vt:lpstr>
      <vt:lpstr>TONTMAI25</vt:lpstr>
      <vt:lpstr>TONTJUIN25</vt:lpstr>
      <vt:lpstr>TONTJUIL25</vt:lpstr>
      <vt:lpstr>TONTAOUT25</vt:lpstr>
      <vt:lpstr>TONTSEPT25</vt:lpstr>
      <vt:lpstr>TONTOCT25</vt:lpstr>
      <vt:lpstr>TONTNOV25</vt:lpstr>
      <vt:lpstr>TONTDEC25</vt:lpstr>
      <vt:lpstr>TONTRESUME25</vt:lpstr>
      <vt:lpstr>TONTJANV24</vt:lpstr>
      <vt:lpstr>TONTFEV24</vt:lpstr>
      <vt:lpstr>TONTMARS24</vt:lpstr>
      <vt:lpstr>TONTAVRIL24</vt:lpstr>
      <vt:lpstr>TONTMAI24</vt:lpstr>
      <vt:lpstr>TONTJUIN24</vt:lpstr>
      <vt:lpstr>TONTJUIL24</vt:lpstr>
      <vt:lpstr>TONTAOUT24</vt:lpstr>
      <vt:lpstr>TONTSEPT24</vt:lpstr>
      <vt:lpstr>TONTOCT24</vt:lpstr>
      <vt:lpstr>TONTNOV24</vt:lpstr>
      <vt:lpstr>TONTDEC24</vt:lpstr>
      <vt:lpstr>TONTRESUME24</vt:lpstr>
      <vt:lpstr>TONTRESUME24EDIT</vt:lpstr>
      <vt:lpstr>SYNTHESE</vt:lpstr>
      <vt:lpstr>TONTRESUME24EDIT!Impression_des_titres</vt:lpstr>
      <vt:lpstr>MODEPAID!MODEPAID</vt:lpstr>
      <vt:lpstr>VALMODEPAID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HP</cp:lastModifiedBy>
  <dcterms:created xsi:type="dcterms:W3CDTF">2016-12-19T08:36:25Z</dcterms:created>
  <dcterms:modified xsi:type="dcterms:W3CDTF">2026-02-10T10:58:19Z</dcterms:modified>
</cp:coreProperties>
</file>