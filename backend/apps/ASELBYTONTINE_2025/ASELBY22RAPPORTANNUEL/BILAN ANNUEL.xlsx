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SELBYTONTINE_2023\ASELBY22RAPPORTANNUEL\"/>
    </mc:Choice>
  </mc:AlternateContent>
  <bookViews>
    <workbookView xWindow="0" yWindow="0" windowWidth="20490" windowHeight="7095"/>
  </bookViews>
  <sheets>
    <sheet name="BILAN 20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BANQUE" localSheetId="0">#REF!</definedName>
    <definedName name="BANQUE">#REF!</definedName>
    <definedName name="MODEET30000">[2]MODEVERSEMENT!$A$1:$A$3</definedName>
    <definedName name="MODEPAID" localSheetId="0">[3]Feuil2!$A$1:$A$3</definedName>
    <definedName name="MODEPAID">[4]Feuil2!$A$1:$A$3</definedName>
    <definedName name="MODEPAIDOK" localSheetId="0">[5]MODEVERSEMENT!$A$1:$A$4</definedName>
    <definedName name="MODEPAIDS">[2]MODEVERSEMENT!$A$1:$A$3</definedName>
    <definedName name="MODET25000">[6]MODEVERSEMENT!$A$1:$A$3</definedName>
    <definedName name="MODET3000">[2]MODEVERSEMENT!$A$1:$A$3</definedName>
    <definedName name="MODEVERSEMENT" localSheetId="0">#REF!</definedName>
    <definedName name="MODEVERSEMENT">#REF!</definedName>
    <definedName name="MODEVERSEMENTS">[7]MODEVERSEMENT!$A$1:$A$3</definedName>
    <definedName name="VALMODEPAID">[8]MODEPAID!$A$1:$A$3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6" i="1" l="1"/>
  <c r="H26" i="1" s="1"/>
  <c r="C41" i="1"/>
  <c r="D39" i="1"/>
  <c r="D32" i="1"/>
  <c r="F23" i="1"/>
  <c r="D22" i="1"/>
  <c r="F22" i="1" s="1"/>
  <c r="F21" i="1"/>
  <c r="F20" i="1"/>
  <c r="F19" i="1"/>
  <c r="F18" i="1"/>
  <c r="D17" i="1"/>
  <c r="F17" i="1" s="1"/>
  <c r="F16" i="1"/>
  <c r="F15" i="1"/>
  <c r="E14" i="1"/>
  <c r="D14" i="1"/>
  <c r="E13" i="1"/>
  <c r="D13" i="1"/>
  <c r="F13" i="1" s="1"/>
  <c r="E12" i="1"/>
  <c r="D12" i="1"/>
  <c r="F12" i="1" s="1"/>
  <c r="E11" i="1"/>
  <c r="F11" i="1" s="1"/>
  <c r="D11" i="1"/>
  <c r="E10" i="1"/>
  <c r="D10" i="1"/>
  <c r="E9" i="1"/>
  <c r="D9" i="1"/>
  <c r="E8" i="1"/>
  <c r="D41" i="1" l="1"/>
  <c r="E26" i="1"/>
  <c r="F8" i="1"/>
  <c r="F10" i="1"/>
  <c r="D26" i="1"/>
  <c r="F14" i="1"/>
  <c r="F9" i="1"/>
  <c r="F26" i="1" s="1"/>
</calcChain>
</file>

<file path=xl/comments1.xml><?xml version="1.0" encoding="utf-8"?>
<comments xmlns="http://schemas.openxmlformats.org/spreadsheetml/2006/main">
  <authors>
    <author>DJUOMBESSY</author>
  </authors>
  <commentList>
    <comment ref="D3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FOTSO 46 000
KEHEP DAVID 343 500
SIMO FONGANG 23 000
TYAM ERNEST 164 500</t>
        </r>
      </text>
    </comment>
  </commentList>
</comments>
</file>

<file path=xl/sharedStrings.xml><?xml version="1.0" encoding="utf-8"?>
<sst xmlns="http://schemas.openxmlformats.org/spreadsheetml/2006/main" count="37" uniqueCount="35">
  <si>
    <t>ASELBY</t>
  </si>
  <si>
    <t>ANNEE</t>
  </si>
  <si>
    <t>SYNTHESE DES COMPTES</t>
  </si>
  <si>
    <t>NUMERO ORDRE</t>
  </si>
  <si>
    <t>RUBRIQUE</t>
  </si>
  <si>
    <t>REPORT A NOUVEAU</t>
  </si>
  <si>
    <t>ENTREES</t>
  </si>
  <si>
    <t>SORTIES</t>
  </si>
  <si>
    <t>SOLDE</t>
  </si>
  <si>
    <t>FONDS DE CAISSE ET RELIQUAT</t>
  </si>
  <si>
    <t>FONDS DE ROULEMENT</t>
  </si>
  <si>
    <t>FRAIS EXCEPTIONNELS</t>
  </si>
  <si>
    <t>MUTUELLE\COMPLEMENT MUTUEL</t>
  </si>
  <si>
    <t>INSCRIPTION</t>
  </si>
  <si>
    <t>PENALITES</t>
  </si>
  <si>
    <t>COLLATION</t>
  </si>
  <si>
    <t>TONTINE DE PRESENCE</t>
  </si>
  <si>
    <t>RECOUVREMENT POUR LA'AGWEU</t>
  </si>
  <si>
    <t>FOYER</t>
  </si>
  <si>
    <t>CHAISES</t>
  </si>
  <si>
    <t>DIVERS</t>
  </si>
  <si>
    <t>TENUES</t>
  </si>
  <si>
    <t>FONDS GELES</t>
  </si>
  <si>
    <t>INTERETS PRÊT ET AUTRES</t>
  </si>
  <si>
    <t>INTERET TONTINE 100</t>
  </si>
  <si>
    <t>TOTAL</t>
  </si>
  <si>
    <t>DISPOSITION DES FONDS</t>
  </si>
  <si>
    <t>COMPTE CCA AU 30/12/2022</t>
  </si>
  <si>
    <t>COMPTE MC²(NON ACTUALISE)</t>
  </si>
  <si>
    <t>COMPTE AFRILAND</t>
  </si>
  <si>
    <t>DETTE PREFINANCEMENT LA'AGWEU</t>
  </si>
  <si>
    <t>DETTE MR KOUATCHO</t>
  </si>
  <si>
    <t>RESTE A RECUPERE AU CONSEIL</t>
  </si>
  <si>
    <t>FONDS EN CIRCULATION</t>
  </si>
  <si>
    <t>DETTES TONTINES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</si>
</sst>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FF0000"/>
      <name val="Britannic Bold"/>
      <family val="2"/>
    </font>
    <font>
      <sz val="16"/>
      <color theme="1"/>
      <name val="Britannic Bold"/>
      <family val="2"/>
    </font>
    <font>
      <sz val="18"/>
      <color theme="1"/>
      <name val="Britannic Bold"/>
      <family val="2"/>
    </font>
    <font>
      <sz val="18"/>
      <color theme="1"/>
      <name val="Calibri"/>
      <family val="2"/>
      <scheme val="minor"/>
    </font>
    <font>
      <b/>
      <sz val="14"/>
      <color theme="1"/>
      <name val="Britannic Bold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hair">
        <color auto="1"/>
      </bottom>
      <diagonal/>
    </border>
    <border>
      <left style="double">
        <color auto="1"/>
      </left>
      <right/>
      <top style="hair">
        <color auto="1"/>
      </top>
      <bottom style="hair">
        <color auto="1"/>
      </bottom>
      <diagonal/>
    </border>
    <border>
      <left style="double">
        <color auto="1"/>
      </left>
      <right/>
      <top style="hair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0" borderId="1" xfId="0" applyFont="1" applyBorder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2" borderId="2" xfId="0" applyFont="1" applyFill="1" applyBorder="1"/>
    <xf numFmtId="0" fontId="5" fillId="2" borderId="3" xfId="0" applyFont="1" applyFill="1" applyBorder="1"/>
    <xf numFmtId="0" fontId="5" fillId="2" borderId="3" xfId="0" applyFont="1" applyFill="1" applyBorder="1" applyAlignment="1">
      <alignment wrapText="1"/>
    </xf>
    <xf numFmtId="0" fontId="5" fillId="2" borderId="4" xfId="0" applyFont="1" applyFill="1" applyBorder="1"/>
    <xf numFmtId="0" fontId="5" fillId="2" borderId="1" xfId="0" applyFont="1" applyFill="1" applyBorder="1"/>
    <xf numFmtId="0" fontId="5" fillId="2" borderId="5" xfId="0" applyFont="1" applyFill="1" applyBorder="1"/>
    <xf numFmtId="0" fontId="5" fillId="2" borderId="5" xfId="0" applyFont="1" applyFill="1" applyBorder="1" applyAlignment="1">
      <alignment wrapText="1"/>
    </xf>
    <xf numFmtId="0" fontId="5" fillId="2" borderId="6" xfId="0" applyFont="1" applyFill="1" applyBorder="1"/>
    <xf numFmtId="0" fontId="0" fillId="0" borderId="1" xfId="0" applyBorder="1"/>
    <xf numFmtId="0" fontId="0" fillId="0" borderId="5" xfId="0" applyBorder="1"/>
    <xf numFmtId="3" fontId="6" fillId="0" borderId="5" xfId="0" applyNumberFormat="1" applyFont="1" applyBorder="1"/>
    <xf numFmtId="3" fontId="7" fillId="0" borderId="5" xfId="0" applyNumberFormat="1" applyFont="1" applyBorder="1"/>
    <xf numFmtId="3" fontId="3" fillId="0" borderId="6" xfId="0" applyNumberFormat="1" applyFont="1" applyBorder="1"/>
    <xf numFmtId="3" fontId="0" fillId="0" borderId="0" xfId="0" applyNumberFormat="1"/>
    <xf numFmtId="3" fontId="3" fillId="0" borderId="5" xfId="0" applyNumberFormat="1" applyFont="1" applyBorder="1"/>
    <xf numFmtId="0" fontId="3" fillId="0" borderId="5" xfId="0" applyFont="1" applyBorder="1"/>
    <xf numFmtId="0" fontId="0" fillId="0" borderId="7" xfId="0" applyBorder="1"/>
    <xf numFmtId="0" fontId="8" fillId="0" borderId="8" xfId="0" applyFont="1" applyBorder="1"/>
    <xf numFmtId="3" fontId="8" fillId="0" borderId="8" xfId="0" applyNumberFormat="1" applyFont="1" applyBorder="1"/>
    <xf numFmtId="3" fontId="8" fillId="0" borderId="9" xfId="0" applyNumberFormat="1" applyFont="1" applyBorder="1"/>
    <xf numFmtId="0" fontId="0" fillId="0" borderId="0" xfId="0" applyBorder="1"/>
    <xf numFmtId="0" fontId="3" fillId="0" borderId="0" xfId="0" applyFont="1" applyBorder="1"/>
    <xf numFmtId="3" fontId="3" fillId="0" borderId="0" xfId="0" applyNumberFormat="1" applyFont="1" applyBorder="1"/>
    <xf numFmtId="3" fontId="9" fillId="0" borderId="0" xfId="0" applyNumberFormat="1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3" fontId="7" fillId="0" borderId="0" xfId="0" applyNumberFormat="1" applyFont="1" applyBorder="1"/>
    <xf numFmtId="0" fontId="0" fillId="0" borderId="10" xfId="0" applyBorder="1"/>
    <xf numFmtId="0" fontId="0" fillId="0" borderId="2" xfId="0" applyBorder="1"/>
    <xf numFmtId="3" fontId="6" fillId="0" borderId="3" xfId="0" applyNumberFormat="1" applyFont="1" applyBorder="1"/>
    <xf numFmtId="3" fontId="6" fillId="0" borderId="4" xfId="0" applyNumberFormat="1" applyFont="1" applyBorder="1"/>
    <xf numFmtId="0" fontId="0" fillId="0" borderId="11" xfId="0" applyBorder="1"/>
    <xf numFmtId="3" fontId="6" fillId="0" borderId="6" xfId="0" applyNumberFormat="1" applyFont="1" applyBorder="1"/>
    <xf numFmtId="0" fontId="0" fillId="0" borderId="12" xfId="0" applyBorder="1"/>
    <xf numFmtId="0" fontId="3" fillId="0" borderId="7" xfId="0" applyFont="1" applyBorder="1"/>
    <xf numFmtId="3" fontId="3" fillId="0" borderId="8" xfId="0" applyNumberFormat="1" applyFont="1" applyBorder="1"/>
    <xf numFmtId="3" fontId="3" fillId="0" borderId="9" xfId="0" applyNumberFormat="1" applyFont="1" applyBorder="1"/>
    <xf numFmtId="3" fontId="1" fillId="0" borderId="0" xfId="0" applyNumberFormat="1" applyFont="1" applyBorder="1"/>
    <xf numFmtId="3" fontId="2" fillId="0" borderId="0" xfId="0" applyNumberFormat="1" applyFont="1"/>
    <xf numFmtId="3" fontId="0" fillId="0" borderId="0" xfId="0" applyNumberFormat="1" applyBorder="1"/>
    <xf numFmtId="0" fontId="1" fillId="0" borderId="0" xfId="0" applyFont="1" applyBorder="1"/>
    <xf numFmtId="3" fontId="11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2/ASELBY2022AUTREMOUVEMEN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TONTINE30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LBYTONTINE2017\ASELBYTONTINEBACKUP\TONTASELBY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LBYBURAEUDPA\ASELBYTONTINE2017\ASELBYTONTINEBACKUP\TONTASELB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AUTREMOUVEMEN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TONTINE25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TONTINE20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TONTINE100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F"/>
      <sheetName val="MODEVERSEMENT"/>
      <sheetName val="MODET25000"/>
      <sheetName val="MVTDEC21"/>
      <sheetName val="MVTJANV22"/>
      <sheetName val="MVTFEV22"/>
      <sheetName val="MVTMARS22"/>
      <sheetName val="MVTAVRIL22"/>
      <sheetName val="MVTMAI22"/>
      <sheetName val="MVTJUIN22"/>
      <sheetName val="MVTJUIL22"/>
      <sheetName val="MVTAOUT22"/>
      <sheetName val="MVTSEPT22"/>
      <sheetName val="MVTOCT22"/>
      <sheetName val="MVTNOV22"/>
      <sheetName val="MVTDEC22"/>
      <sheetName val="MVTRESUME22"/>
      <sheetName val="MVTREPARTITION2022"/>
      <sheetName val="BILAN 2022"/>
      <sheetName val="MVTFONDSROULEMENT"/>
      <sheetName val="MVTFRAISEXCEPT22"/>
      <sheetName val="MVTFONDSMUTUELLE"/>
      <sheetName val="MVTPENALITE"/>
      <sheetName val="MVTCOLLATION"/>
      <sheetName val="MVTFOYER"/>
      <sheetName val="MVTPRET"/>
      <sheetName val="MVTREPARTITIONEDIT (2)"/>
      <sheetName val="MVTREPARTITION2021 (2)"/>
      <sheetName val="MVTREPARTITION2021DEF"/>
      <sheetName val="PARTAGE INTERET T100"/>
      <sheetName val="CPTECHINGUE"/>
      <sheetName val="CPTEKEHEPDAVID)"/>
      <sheetName val="CPTEKOUAMOEMMANUEL"/>
      <sheetName val="CPTETCHOUANTE"/>
      <sheetName val="CPTENJEPDJIO"/>
      <sheetName val="CPTETCHOUTOU"/>
      <sheetName val="MVTRESUME2019"/>
      <sheetName val="CPTETYAMERNEST"/>
      <sheetName val="CPTEFOGANGERIC"/>
      <sheetName val="CPTEFOTSOTHOMAS"/>
      <sheetName val="VP KOUAMOPEGUY"/>
      <sheetName val="SITUATION KEPSEU"/>
      <sheetName val="BAKOPACHILLE"/>
      <sheetName val="Feuil1"/>
      <sheetName val="MVTRESUMEEDIT2019"/>
      <sheetName val="MVTRESUMETAB"/>
      <sheetName val="MVTRESUME20BACKUP"/>
      <sheetName val="GESTTRESORERIE"/>
      <sheetName val="MVTJANV2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40">
          <cell r="E40">
            <v>500000</v>
          </cell>
          <cell r="G40">
            <v>3313199.9999999995</v>
          </cell>
          <cell r="L40">
            <v>156000</v>
          </cell>
          <cell r="M40">
            <v>312000</v>
          </cell>
          <cell r="N40">
            <v>780000</v>
          </cell>
          <cell r="O40">
            <v>96000</v>
          </cell>
          <cell r="P40">
            <v>0</v>
          </cell>
          <cell r="Q40">
            <v>540000</v>
          </cell>
          <cell r="AD40">
            <v>1836000</v>
          </cell>
          <cell r="AE40">
            <v>234500</v>
          </cell>
          <cell r="AF40">
            <v>0</v>
          </cell>
          <cell r="AG40">
            <v>0</v>
          </cell>
          <cell r="AH40">
            <v>770000</v>
          </cell>
          <cell r="AL40">
            <v>450000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DEFAILLANCETONTINE"/>
      <sheetName val="TONTJANVTEST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7">
          <cell r="C7">
            <v>10000</v>
          </cell>
        </row>
      </sheetData>
      <sheetData sheetId="2">
        <row r="7">
          <cell r="C7">
            <v>10000</v>
          </cell>
        </row>
      </sheetData>
      <sheetData sheetId="3">
        <row r="7">
          <cell r="C7">
            <v>10000</v>
          </cell>
        </row>
      </sheetData>
      <sheetData sheetId="4">
        <row r="7">
          <cell r="C7">
            <v>10000</v>
          </cell>
        </row>
      </sheetData>
      <sheetData sheetId="5">
        <row r="7">
          <cell r="C7">
            <v>10000</v>
          </cell>
        </row>
      </sheetData>
      <sheetData sheetId="6">
        <row r="7">
          <cell r="C7">
            <v>10000</v>
          </cell>
        </row>
      </sheetData>
      <sheetData sheetId="7">
        <row r="7">
          <cell r="C7">
            <v>10000</v>
          </cell>
        </row>
      </sheetData>
      <sheetData sheetId="8">
        <row r="7">
          <cell r="C7">
            <v>10000</v>
          </cell>
        </row>
      </sheetData>
      <sheetData sheetId="9">
        <row r="7">
          <cell r="C7">
            <v>10000</v>
          </cell>
        </row>
      </sheetData>
      <sheetData sheetId="10">
        <row r="7">
          <cell r="C7">
            <v>10000</v>
          </cell>
        </row>
      </sheetData>
      <sheetData sheetId="11">
        <row r="7">
          <cell r="C7">
            <v>10000</v>
          </cell>
        </row>
      </sheetData>
      <sheetData sheetId="12">
        <row r="7">
          <cell r="C7">
            <v>10000</v>
          </cell>
        </row>
      </sheetData>
      <sheetData sheetId="13">
        <row r="7">
          <cell r="C7">
            <v>10000</v>
          </cell>
        </row>
      </sheetData>
      <sheetData sheetId="14">
        <row r="7">
          <cell r="C7">
            <v>10000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MODET25000"/>
      <sheetName val="MVTNOV"/>
      <sheetName val="MVTDEC"/>
      <sheetName val="MVTJANV"/>
      <sheetName val="MVTFEV"/>
      <sheetName val="MVTMARS"/>
      <sheetName val="MVTAVRIL"/>
      <sheetName val="MVTMAI"/>
      <sheetName val="MVTJUIN"/>
      <sheetName val="MVTJUIL"/>
      <sheetName val="MVTAOUT"/>
      <sheetName val="MVTSEPT"/>
      <sheetName val="MVTOCT"/>
      <sheetName val="MVTNOV20"/>
      <sheetName val="MVTDEC20"/>
      <sheetName val="MVTRESUME20"/>
      <sheetName val="MVTREPARTITION"/>
      <sheetName val="MVTREPARTITIONEDIT"/>
      <sheetName val="MVTREPARTITIONEDIT (2)"/>
      <sheetName val="SITUATION KEPSEU"/>
      <sheetName val="CPTETCHEMNOU"/>
      <sheetName val="CPTECHINGUE"/>
      <sheetName val="MVTRESUME2019"/>
      <sheetName val="Feuil1"/>
      <sheetName val="MVTRESUMEEDIT2019"/>
      <sheetName val="MVTRESUMETAB"/>
      <sheetName val="MVTRESUME20BACKUP"/>
      <sheetName val="GESTTRESORERIE"/>
      <sheetName val="MVTREPARTITION (2)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/>
      <sheetData sheetId="2">
        <row r="44">
          <cell r="C44">
            <v>16412126.924414562</v>
          </cell>
        </row>
      </sheetData>
      <sheetData sheetId="3">
        <row r="44">
          <cell r="C44">
            <v>119999.99999999997</v>
          </cell>
        </row>
      </sheetData>
      <sheetData sheetId="4">
        <row r="44">
          <cell r="C44">
            <v>244000.00000000006</v>
          </cell>
        </row>
      </sheetData>
      <sheetData sheetId="5">
        <row r="44">
          <cell r="C44">
            <v>0</v>
          </cell>
        </row>
      </sheetData>
      <sheetData sheetId="6">
        <row r="44">
          <cell r="C44">
            <v>0</v>
          </cell>
        </row>
      </sheetData>
      <sheetData sheetId="7">
        <row r="44">
          <cell r="C44">
            <v>20000</v>
          </cell>
        </row>
      </sheetData>
      <sheetData sheetId="8">
        <row r="44">
          <cell r="C44">
            <v>0</v>
          </cell>
        </row>
      </sheetData>
      <sheetData sheetId="9">
        <row r="44">
          <cell r="C44">
            <v>36180</v>
          </cell>
        </row>
      </sheetData>
      <sheetData sheetId="10">
        <row r="44">
          <cell r="C44">
            <v>0</v>
          </cell>
        </row>
      </sheetData>
      <sheetData sheetId="11">
        <row r="44">
          <cell r="C44">
            <v>1586800.0000000005</v>
          </cell>
        </row>
      </sheetData>
      <sheetData sheetId="12">
        <row r="2">
          <cell r="A2" t="str">
            <v>ANNEE</v>
          </cell>
        </row>
      </sheetData>
      <sheetData sheetId="13">
        <row r="40">
          <cell r="C40">
            <v>0</v>
          </cell>
        </row>
      </sheetData>
      <sheetData sheetId="14">
        <row r="44">
          <cell r="C44">
            <v>180000.00000000003</v>
          </cell>
        </row>
      </sheetData>
      <sheetData sheetId="15">
        <row r="44">
          <cell r="C44">
            <v>517300</v>
          </cell>
        </row>
      </sheetData>
      <sheetData sheetId="16">
        <row r="6">
          <cell r="A6" t="str">
            <v>AS201648</v>
          </cell>
        </row>
      </sheetData>
      <sheetData sheetId="17">
        <row r="6">
          <cell r="A6" t="str">
            <v>AS201648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AOUT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2018"/>
      <sheetName val="TONTSEPT2018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6">
          <cell r="C6">
            <v>70000</v>
          </cell>
        </row>
      </sheetData>
      <sheetData sheetId="2">
        <row r="6">
          <cell r="C6">
            <v>0</v>
          </cell>
        </row>
      </sheetData>
      <sheetData sheetId="3">
        <row r="6">
          <cell r="C6">
            <v>7000</v>
          </cell>
        </row>
      </sheetData>
      <sheetData sheetId="4">
        <row r="6">
          <cell r="C6">
            <v>6000</v>
          </cell>
        </row>
      </sheetData>
      <sheetData sheetId="5">
        <row r="6">
          <cell r="C6">
            <v>0</v>
          </cell>
        </row>
      </sheetData>
      <sheetData sheetId="6">
        <row r="6">
          <cell r="C6">
            <v>0</v>
          </cell>
        </row>
      </sheetData>
      <sheetData sheetId="7">
        <row r="6">
          <cell r="C6">
            <v>0</v>
          </cell>
        </row>
      </sheetData>
      <sheetData sheetId="8">
        <row r="6">
          <cell r="C6">
            <v>0</v>
          </cell>
        </row>
      </sheetData>
      <sheetData sheetId="9">
        <row r="6">
          <cell r="C6">
            <v>21000</v>
          </cell>
        </row>
      </sheetData>
      <sheetData sheetId="10">
        <row r="6">
          <cell r="C6">
            <v>7000</v>
          </cell>
        </row>
      </sheetData>
      <sheetData sheetId="11">
        <row r="6">
          <cell r="C6">
            <v>7000</v>
          </cell>
        </row>
      </sheetData>
      <sheetData sheetId="12">
        <row r="6">
          <cell r="C6">
            <v>7000</v>
          </cell>
        </row>
      </sheetData>
      <sheetData sheetId="13">
        <row r="6">
          <cell r="C6">
            <v>35000</v>
          </cell>
        </row>
      </sheetData>
      <sheetData sheetId="1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RAVAUXINVENTAIRE"/>
      <sheetName val="FONDSDECAISSE"/>
      <sheetName val="TONT20000DEC2016"/>
      <sheetName val="TONT20000JANV2017"/>
      <sheetName val="TONT20000FEV2017"/>
      <sheetName val="TONT20000MARS2017"/>
      <sheetName val="TONT20000AVRIL2017"/>
      <sheetName val="TONT20000MAI2017"/>
      <sheetName val="TONT20000JUIN2017"/>
      <sheetName val="TONT20000JUIL2017"/>
      <sheetName val="RECAPINT2017"/>
      <sheetName val="TONT20000AOUT2017"/>
      <sheetName val="MVTAOUT"/>
      <sheetName val="TONT20000SEPT2017"/>
      <sheetName val="TONT20000OCT2017"/>
      <sheetName val="TONT20000NOV2017"/>
      <sheetName val="TONT20000ANNUELLE"/>
      <sheetName val="TONT20000ANNUELLEBACKUP"/>
      <sheetName val="TONTINVENTFINAOUT2017"/>
      <sheetName val="DETAILVERSEMENT"/>
      <sheetName val="MODEVERSEMENT"/>
      <sheetName val="RECAPTONT20000"/>
      <sheetName val="FONDSDECAISSEBACKUP"/>
      <sheetName val="TONT20000ANNUELLEBACKUPZ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2" refreshError="1"/>
      <sheetData sheetId="23" refreshError="1"/>
      <sheetData sheetId="2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DEFAILLANCETONTINE"/>
      <sheetName val="HISTORIQUE OCT"/>
      <sheetName val="TONT0CT"/>
      <sheetName val="TONTAOUT2019"/>
      <sheetName val="TONTSEPT2019"/>
      <sheetName val="TONTOCT2019"/>
    </sheetNames>
    <sheetDataSet>
      <sheetData sheetId="0" refreshError="1"/>
      <sheetData sheetId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10"/>
  <sheetViews>
    <sheetView tabSelected="1" topLeftCell="B25" workbookViewId="0">
      <selection activeCell="I41" sqref="I41"/>
    </sheetView>
  </sheetViews>
  <sheetFormatPr baseColWidth="10" defaultRowHeight="15" x14ac:dyDescent="0.25"/>
  <cols>
    <col min="2" max="2" width="40.7109375" customWidth="1"/>
    <col min="3" max="5" width="18.5703125" bestFit="1" customWidth="1"/>
    <col min="6" max="6" width="20.42578125" customWidth="1"/>
  </cols>
  <sheetData>
    <row r="1" spans="1:7" x14ac:dyDescent="0.25">
      <c r="B1" s="1" t="s">
        <v>0</v>
      </c>
    </row>
    <row r="2" spans="1:7" x14ac:dyDescent="0.25">
      <c r="B2" s="1" t="s">
        <v>1</v>
      </c>
      <c r="C2" s="1">
        <v>2022</v>
      </c>
    </row>
    <row r="3" spans="1:7" ht="21" x14ac:dyDescent="0.35">
      <c r="B3" s="2" t="s">
        <v>2</v>
      </c>
      <c r="C3" s="3"/>
      <c r="D3" s="3"/>
      <c r="E3" s="3"/>
      <c r="F3" s="3"/>
    </row>
    <row r="5" spans="1:7" ht="15.75" thickBot="1" x14ac:dyDescent="0.3"/>
    <row r="6" spans="1:7" ht="38.25" thickTop="1" x14ac:dyDescent="0.3">
      <c r="A6" s="4" t="s">
        <v>3</v>
      </c>
      <c r="B6" s="5" t="s">
        <v>4</v>
      </c>
      <c r="C6" s="6" t="s">
        <v>5</v>
      </c>
      <c r="D6" s="5" t="s">
        <v>6</v>
      </c>
      <c r="E6" s="5" t="s">
        <v>7</v>
      </c>
      <c r="F6" s="7" t="s">
        <v>8</v>
      </c>
    </row>
    <row r="7" spans="1:7" ht="18.75" x14ac:dyDescent="0.3">
      <c r="A7" s="8"/>
      <c r="B7" s="9"/>
      <c r="C7" s="10"/>
      <c r="D7" s="9"/>
      <c r="E7" s="9"/>
      <c r="F7" s="11"/>
    </row>
    <row r="8" spans="1:7" x14ac:dyDescent="0.25">
      <c r="A8" s="12">
        <v>1</v>
      </c>
      <c r="B8" s="13" t="s">
        <v>9</v>
      </c>
      <c r="C8" s="14">
        <v>21791466</v>
      </c>
      <c r="D8" s="14"/>
      <c r="E8" s="15">
        <f>[1]MVTRESUME22!E40</f>
        <v>500000</v>
      </c>
      <c r="F8" s="16">
        <f t="shared" ref="F8:F23" si="0">C8+D8-E8</f>
        <v>21291466</v>
      </c>
      <c r="G8" s="17"/>
    </row>
    <row r="9" spans="1:7" x14ac:dyDescent="0.25">
      <c r="A9" s="12">
        <v>2</v>
      </c>
      <c r="B9" s="13" t="s">
        <v>10</v>
      </c>
      <c r="C9" s="14">
        <v>2074728</v>
      </c>
      <c r="D9" s="14">
        <f>+[1]MVTRESUME22!L40</f>
        <v>156000</v>
      </c>
      <c r="E9" s="15">
        <f>[1]MVTRESUME22!AE40</f>
        <v>234500</v>
      </c>
      <c r="F9" s="16">
        <f t="shared" si="0"/>
        <v>1996228</v>
      </c>
      <c r="G9" s="17"/>
    </row>
    <row r="10" spans="1:7" x14ac:dyDescent="0.25">
      <c r="A10" s="12">
        <v>3</v>
      </c>
      <c r="B10" s="13" t="s">
        <v>11</v>
      </c>
      <c r="C10" s="14">
        <v>1191460</v>
      </c>
      <c r="D10" s="14">
        <f>+[1]MVTRESUME22!M40</f>
        <v>312000</v>
      </c>
      <c r="E10" s="15">
        <f>+[1]MVTRESUME22!AF40</f>
        <v>0</v>
      </c>
      <c r="F10" s="16">
        <f t="shared" si="0"/>
        <v>1503460</v>
      </c>
      <c r="G10" s="17"/>
    </row>
    <row r="11" spans="1:7" x14ac:dyDescent="0.25">
      <c r="A11" s="12">
        <v>4</v>
      </c>
      <c r="B11" s="13" t="s">
        <v>12</v>
      </c>
      <c r="C11" s="14">
        <v>94762</v>
      </c>
      <c r="D11" s="14">
        <f>+[1]MVTRESUME22!Q40</f>
        <v>540000</v>
      </c>
      <c r="E11" s="15">
        <f>+[1]MVTRESUME22!AG40</f>
        <v>0</v>
      </c>
      <c r="F11" s="16">
        <f t="shared" si="0"/>
        <v>634762</v>
      </c>
      <c r="G11" s="17"/>
    </row>
    <row r="12" spans="1:7" x14ac:dyDescent="0.25">
      <c r="A12" s="12">
        <v>5</v>
      </c>
      <c r="B12" s="13" t="s">
        <v>13</v>
      </c>
      <c r="C12" s="14">
        <v>680000</v>
      </c>
      <c r="D12" s="14">
        <f>+[1]MVTRESUME22!P40</f>
        <v>0</v>
      </c>
      <c r="E12" s="15">
        <f>[1]MVTRESUME22!P40</f>
        <v>0</v>
      </c>
      <c r="F12" s="16">
        <f t="shared" si="0"/>
        <v>680000</v>
      </c>
      <c r="G12" s="17"/>
    </row>
    <row r="13" spans="1:7" x14ac:dyDescent="0.25">
      <c r="A13" s="12">
        <v>6</v>
      </c>
      <c r="B13" s="13" t="s">
        <v>14</v>
      </c>
      <c r="C13" s="14">
        <v>1122025</v>
      </c>
      <c r="D13" s="14">
        <f>+[1]MVTRESUME22!O40</f>
        <v>96000</v>
      </c>
      <c r="E13" s="15">
        <f>+[1]MVTRESUME22!AL40</f>
        <v>450000</v>
      </c>
      <c r="F13" s="16">
        <f t="shared" si="0"/>
        <v>768025</v>
      </c>
      <c r="G13" s="17"/>
    </row>
    <row r="14" spans="1:7" x14ac:dyDescent="0.25">
      <c r="A14" s="12">
        <v>7</v>
      </c>
      <c r="B14" s="13" t="s">
        <v>15</v>
      </c>
      <c r="C14" s="14">
        <v>1310525</v>
      </c>
      <c r="D14" s="14">
        <f>+[1]MVTRESUME22!N40</f>
        <v>780000</v>
      </c>
      <c r="E14" s="15">
        <f>+[1]MVTRESUME22!AH40</f>
        <v>770000</v>
      </c>
      <c r="F14" s="16">
        <f t="shared" si="0"/>
        <v>1320525</v>
      </c>
      <c r="G14" s="17"/>
    </row>
    <row r="15" spans="1:7" x14ac:dyDescent="0.25">
      <c r="A15" s="12">
        <v>8</v>
      </c>
      <c r="B15" s="13" t="s">
        <v>16</v>
      </c>
      <c r="C15" s="14">
        <v>94000</v>
      </c>
      <c r="D15" s="14"/>
      <c r="E15" s="15"/>
      <c r="F15" s="16">
        <f t="shared" si="0"/>
        <v>94000</v>
      </c>
      <c r="G15" s="17"/>
    </row>
    <row r="16" spans="1:7" x14ac:dyDescent="0.25">
      <c r="A16" s="12">
        <v>9</v>
      </c>
      <c r="B16" s="13" t="s">
        <v>17</v>
      </c>
      <c r="C16" s="14"/>
      <c r="D16" s="14"/>
      <c r="E16" s="15"/>
      <c r="F16" s="16">
        <f t="shared" si="0"/>
        <v>0</v>
      </c>
      <c r="G16" s="17"/>
    </row>
    <row r="17" spans="1:8" x14ac:dyDescent="0.25">
      <c r="A17" s="12">
        <v>10</v>
      </c>
      <c r="B17" s="13" t="s">
        <v>18</v>
      </c>
      <c r="C17" s="14">
        <v>527000</v>
      </c>
      <c r="D17" s="14">
        <f>+[1]MVTRESUME22!AD40</f>
        <v>1836000</v>
      </c>
      <c r="E17" s="15">
        <v>1820000</v>
      </c>
      <c r="F17" s="16">
        <f t="shared" si="0"/>
        <v>543000</v>
      </c>
      <c r="G17" s="17"/>
    </row>
    <row r="18" spans="1:8" x14ac:dyDescent="0.25">
      <c r="A18" s="12">
        <v>11</v>
      </c>
      <c r="B18" s="13" t="s">
        <v>19</v>
      </c>
      <c r="C18" s="14">
        <v>164500</v>
      </c>
      <c r="D18" s="14"/>
      <c r="E18" s="15">
        <v>164500</v>
      </c>
      <c r="F18" s="16">
        <f t="shared" si="0"/>
        <v>0</v>
      </c>
      <c r="G18" s="17"/>
    </row>
    <row r="19" spans="1:8" x14ac:dyDescent="0.25">
      <c r="A19" s="12">
        <v>12</v>
      </c>
      <c r="B19" s="13" t="s">
        <v>20</v>
      </c>
      <c r="C19" s="14">
        <v>619900</v>
      </c>
      <c r="D19" s="14"/>
      <c r="E19" s="15">
        <v>619900</v>
      </c>
      <c r="F19" s="16">
        <f t="shared" si="0"/>
        <v>0</v>
      </c>
      <c r="G19" s="17"/>
    </row>
    <row r="20" spans="1:8" x14ac:dyDescent="0.25">
      <c r="A20" s="12">
        <v>13</v>
      </c>
      <c r="B20" s="13" t="s">
        <v>21</v>
      </c>
      <c r="C20" s="14">
        <v>75000</v>
      </c>
      <c r="D20" s="14"/>
      <c r="E20" s="15">
        <v>75000</v>
      </c>
      <c r="F20" s="16">
        <f t="shared" si="0"/>
        <v>0</v>
      </c>
      <c r="G20" s="17"/>
    </row>
    <row r="21" spans="1:8" x14ac:dyDescent="0.25">
      <c r="A21" s="12">
        <v>14</v>
      </c>
      <c r="B21" s="13" t="s">
        <v>22</v>
      </c>
      <c r="C21" s="14">
        <v>54508</v>
      </c>
      <c r="D21" s="14"/>
      <c r="E21" s="15">
        <v>54508</v>
      </c>
      <c r="F21" s="16">
        <f t="shared" si="0"/>
        <v>0</v>
      </c>
      <c r="G21" s="17"/>
    </row>
    <row r="22" spans="1:8" x14ac:dyDescent="0.25">
      <c r="A22" s="12">
        <v>15</v>
      </c>
      <c r="B22" s="13" t="s">
        <v>23</v>
      </c>
      <c r="C22" s="14">
        <v>2858226</v>
      </c>
      <c r="D22" s="14">
        <f>+[1]MVTRESUME22!G40-164500-75000+619900+54508</f>
        <v>3748107.9999999995</v>
      </c>
      <c r="E22" s="15"/>
      <c r="F22" s="16">
        <f t="shared" si="0"/>
        <v>6606334</v>
      </c>
      <c r="G22" s="17"/>
    </row>
    <row r="23" spans="1:8" x14ac:dyDescent="0.25">
      <c r="A23" s="12">
        <v>16</v>
      </c>
      <c r="B23" s="13" t="s">
        <v>24</v>
      </c>
      <c r="C23" s="18"/>
      <c r="D23" s="14">
        <v>28000</v>
      </c>
      <c r="E23" s="15"/>
      <c r="F23" s="16">
        <f t="shared" si="0"/>
        <v>28000</v>
      </c>
      <c r="G23" s="17"/>
    </row>
    <row r="24" spans="1:8" x14ac:dyDescent="0.25">
      <c r="A24" s="12"/>
      <c r="B24" s="13" t="s">
        <v>33</v>
      </c>
      <c r="C24" s="14"/>
      <c r="D24" s="14"/>
      <c r="E24" s="15"/>
      <c r="F24" s="16"/>
      <c r="G24" s="17"/>
    </row>
    <row r="25" spans="1:8" x14ac:dyDescent="0.25">
      <c r="A25" s="12"/>
      <c r="B25" s="19"/>
      <c r="C25" s="18"/>
      <c r="D25" s="18"/>
      <c r="E25" s="15"/>
      <c r="F25" s="16"/>
      <c r="G25" s="17"/>
    </row>
    <row r="26" spans="1:8" ht="20.25" thickBot="1" x14ac:dyDescent="0.3">
      <c r="A26" s="20"/>
      <c r="B26" s="21" t="s">
        <v>25</v>
      </c>
      <c r="C26" s="22">
        <f>SUM(C8:C24)</f>
        <v>32658100</v>
      </c>
      <c r="D26" s="22">
        <f t="shared" ref="D26:F26" si="1">SUM(D8:D23)</f>
        <v>7496108</v>
      </c>
      <c r="E26" s="22">
        <f t="shared" si="1"/>
        <v>4688408</v>
      </c>
      <c r="F26" s="23">
        <f t="shared" si="1"/>
        <v>35465800</v>
      </c>
      <c r="G26" s="17"/>
      <c r="H26" s="17">
        <f>C26-32179100</f>
        <v>479000</v>
      </c>
    </row>
    <row r="27" spans="1:8" ht="15.75" thickTop="1" x14ac:dyDescent="0.25">
      <c r="A27" s="24"/>
      <c r="B27" s="25"/>
      <c r="C27" s="26"/>
      <c r="D27" s="26"/>
      <c r="E27" s="26"/>
      <c r="F27" s="26"/>
      <c r="G27" s="17"/>
    </row>
    <row r="28" spans="1:8" ht="23.25" x14ac:dyDescent="0.35">
      <c r="B28" s="27" t="s">
        <v>26</v>
      </c>
      <c r="C28" s="28"/>
      <c r="D28" s="28"/>
      <c r="E28" s="28"/>
      <c r="F28" s="28"/>
      <c r="G28" s="24"/>
    </row>
    <row r="29" spans="1:8" x14ac:dyDescent="0.25">
      <c r="A29" s="24"/>
      <c r="B29" s="25"/>
      <c r="C29" s="26"/>
      <c r="D29" s="26"/>
      <c r="E29" s="29"/>
      <c r="F29" s="26"/>
      <c r="G29" s="17"/>
    </row>
    <row r="30" spans="1:8" x14ac:dyDescent="0.25">
      <c r="A30" s="24"/>
      <c r="B30" s="25"/>
      <c r="C30" s="26"/>
      <c r="D30" s="26"/>
      <c r="E30" s="29"/>
      <c r="F30" s="26"/>
      <c r="G30" s="17"/>
    </row>
    <row r="31" spans="1:8" ht="15.75" thickBot="1" x14ac:dyDescent="0.3">
      <c r="A31" s="24"/>
      <c r="B31" s="25"/>
      <c r="C31" s="26">
        <v>2021</v>
      </c>
      <c r="D31" s="26">
        <v>2022</v>
      </c>
      <c r="E31" s="29"/>
      <c r="F31" s="26"/>
      <c r="G31" s="17"/>
    </row>
    <row r="32" spans="1:8" ht="15.75" thickTop="1" x14ac:dyDescent="0.25">
      <c r="A32" s="30">
        <v>1</v>
      </c>
      <c r="B32" s="31" t="s">
        <v>27</v>
      </c>
      <c r="C32" s="32">
        <v>7304779</v>
      </c>
      <c r="D32" s="33">
        <f>4222431+115000</f>
        <v>4337431</v>
      </c>
      <c r="E32" s="29"/>
      <c r="F32" s="26"/>
      <c r="G32" s="17"/>
    </row>
    <row r="33" spans="1:8" x14ac:dyDescent="0.25">
      <c r="A33" s="34">
        <v>2</v>
      </c>
      <c r="B33" s="12" t="s">
        <v>28</v>
      </c>
      <c r="C33" s="14">
        <v>630005</v>
      </c>
      <c r="D33" s="35">
        <v>630005</v>
      </c>
      <c r="E33" s="29"/>
      <c r="F33" s="26"/>
      <c r="G33" s="17"/>
      <c r="H33" s="17"/>
    </row>
    <row r="34" spans="1:8" x14ac:dyDescent="0.25">
      <c r="A34" s="34">
        <v>3</v>
      </c>
      <c r="B34" s="12" t="s">
        <v>29</v>
      </c>
      <c r="C34" s="14">
        <v>1423702</v>
      </c>
      <c r="D34" s="35">
        <v>1423702</v>
      </c>
      <c r="E34" s="29"/>
      <c r="F34" s="26"/>
      <c r="G34" s="17"/>
    </row>
    <row r="35" spans="1:8" x14ac:dyDescent="0.25">
      <c r="A35" s="34">
        <v>4</v>
      </c>
      <c r="B35" s="12" t="s">
        <v>30</v>
      </c>
      <c r="C35" s="14">
        <v>744700</v>
      </c>
      <c r="D35" s="35">
        <v>744700</v>
      </c>
      <c r="E35" s="29"/>
      <c r="F35" s="26"/>
      <c r="G35" s="17"/>
    </row>
    <row r="36" spans="1:8" x14ac:dyDescent="0.25">
      <c r="A36" s="34">
        <v>5</v>
      </c>
      <c r="B36" s="12" t="s">
        <v>31</v>
      </c>
      <c r="C36" s="14">
        <v>275000</v>
      </c>
      <c r="D36" s="35">
        <v>0</v>
      </c>
      <c r="E36" s="26"/>
      <c r="F36" s="26"/>
      <c r="G36" s="17"/>
    </row>
    <row r="37" spans="1:8" x14ac:dyDescent="0.25">
      <c r="A37" s="34">
        <v>6</v>
      </c>
      <c r="B37" s="12" t="s">
        <v>32</v>
      </c>
      <c r="C37" s="14">
        <v>154000</v>
      </c>
      <c r="D37" s="35">
        <v>154000</v>
      </c>
      <c r="E37" s="26"/>
      <c r="F37" s="26"/>
      <c r="G37" s="17"/>
    </row>
    <row r="38" spans="1:8" x14ac:dyDescent="0.25">
      <c r="A38" s="34">
        <v>7</v>
      </c>
      <c r="B38" s="12" t="s">
        <v>33</v>
      </c>
      <c r="C38" s="14">
        <v>20515659</v>
      </c>
      <c r="D38" s="35">
        <v>15600000</v>
      </c>
      <c r="E38" s="26"/>
      <c r="F38" s="26"/>
      <c r="G38" s="17"/>
    </row>
    <row r="39" spans="1:8" x14ac:dyDescent="0.25">
      <c r="A39" s="34">
        <v>8</v>
      </c>
      <c r="B39" s="12" t="s">
        <v>34</v>
      </c>
      <c r="C39" s="14">
        <v>1233618</v>
      </c>
      <c r="D39" s="35">
        <f>C39-46000-343500-23000-164500</f>
        <v>656618</v>
      </c>
      <c r="E39" s="29"/>
      <c r="F39" s="26"/>
      <c r="G39" s="17"/>
    </row>
    <row r="40" spans="1:8" x14ac:dyDescent="0.25">
      <c r="A40" s="34"/>
      <c r="B40" s="12"/>
      <c r="C40" s="18"/>
      <c r="D40" s="16"/>
      <c r="E40" s="29"/>
      <c r="F40" s="26"/>
      <c r="G40" s="17"/>
    </row>
    <row r="41" spans="1:8" ht="15.75" thickBot="1" x14ac:dyDescent="0.3">
      <c r="A41" s="36"/>
      <c r="B41" s="37" t="s">
        <v>25</v>
      </c>
      <c r="C41" s="38">
        <f>SUM(C32:C39)</f>
        <v>32281463</v>
      </c>
      <c r="D41" s="39">
        <f>SUM(D32:D39)</f>
        <v>23546456</v>
      </c>
      <c r="E41" s="40"/>
      <c r="F41" s="26"/>
      <c r="G41" s="41"/>
    </row>
    <row r="42" spans="1:8" ht="15.75" thickTop="1" x14ac:dyDescent="0.25">
      <c r="A42" s="24"/>
      <c r="B42" s="24"/>
      <c r="C42" s="42"/>
      <c r="D42" s="42"/>
      <c r="E42" s="40"/>
      <c r="F42" s="26"/>
      <c r="G42" s="17"/>
    </row>
    <row r="43" spans="1:8" x14ac:dyDescent="0.25">
      <c r="A43" s="24"/>
      <c r="B43" s="24"/>
      <c r="C43" s="26"/>
      <c r="D43" s="26"/>
      <c r="E43" s="29"/>
      <c r="F43" s="26"/>
      <c r="G43" s="17"/>
    </row>
    <row r="44" spans="1:8" x14ac:dyDescent="0.25">
      <c r="A44" s="24"/>
      <c r="B44" s="25"/>
      <c r="C44" s="42"/>
      <c r="D44" s="26"/>
      <c r="E44" s="29"/>
      <c r="F44" s="26"/>
      <c r="G44" s="17"/>
    </row>
    <row r="45" spans="1:8" x14ac:dyDescent="0.25">
      <c r="A45" s="24"/>
      <c r="B45" s="25"/>
      <c r="C45" s="42"/>
      <c r="D45" s="24"/>
      <c r="E45" s="29"/>
      <c r="F45" s="26"/>
      <c r="G45" s="17"/>
    </row>
    <row r="46" spans="1:8" x14ac:dyDescent="0.25">
      <c r="A46" s="24"/>
      <c r="B46" s="25"/>
      <c r="C46" s="42"/>
      <c r="D46" s="26"/>
      <c r="E46" s="40"/>
      <c r="F46" s="26"/>
      <c r="G46" s="17"/>
    </row>
    <row r="47" spans="1:8" x14ac:dyDescent="0.25">
      <c r="A47" s="24"/>
      <c r="B47" s="25"/>
      <c r="C47" s="42"/>
      <c r="D47" s="26"/>
      <c r="E47" s="40"/>
      <c r="F47" s="26"/>
      <c r="G47" s="17"/>
    </row>
    <row r="48" spans="1:8" x14ac:dyDescent="0.25">
      <c r="A48" s="24"/>
      <c r="B48" s="25"/>
      <c r="C48" s="42"/>
      <c r="D48" s="26"/>
      <c r="E48" s="40"/>
      <c r="F48" s="26"/>
      <c r="G48" s="17"/>
    </row>
    <row r="49" spans="1:7" x14ac:dyDescent="0.25">
      <c r="A49" s="24"/>
      <c r="B49" s="25"/>
      <c r="C49" s="42"/>
      <c r="D49" s="26"/>
      <c r="E49" s="40"/>
      <c r="F49" s="26"/>
      <c r="G49" s="17"/>
    </row>
    <row r="50" spans="1:7" x14ac:dyDescent="0.25">
      <c r="A50" s="24"/>
      <c r="B50" s="25"/>
      <c r="C50" s="24"/>
      <c r="D50" s="26"/>
      <c r="E50" s="29"/>
      <c r="F50" s="26"/>
      <c r="G50" s="17"/>
    </row>
    <row r="51" spans="1:7" x14ac:dyDescent="0.25">
      <c r="A51" s="24"/>
      <c r="B51" s="25"/>
      <c r="C51" s="24"/>
      <c r="D51" s="26"/>
      <c r="E51" s="43"/>
      <c r="F51" s="26"/>
      <c r="G51" s="17"/>
    </row>
    <row r="52" spans="1:7" x14ac:dyDescent="0.25">
      <c r="A52" s="24"/>
      <c r="B52" s="25"/>
      <c r="C52" s="26"/>
      <c r="D52" s="26"/>
      <c r="E52" s="43"/>
      <c r="F52" s="26"/>
      <c r="G52" s="17"/>
    </row>
    <row r="53" spans="1:7" x14ac:dyDescent="0.25">
      <c r="A53" s="24"/>
      <c r="B53" s="25"/>
      <c r="C53" s="24"/>
      <c r="D53" s="26"/>
      <c r="E53" s="40"/>
      <c r="F53" s="26"/>
      <c r="G53" s="17"/>
    </row>
    <row r="54" spans="1:7" x14ac:dyDescent="0.25">
      <c r="A54" s="24"/>
      <c r="B54" s="25"/>
      <c r="C54" s="42"/>
      <c r="D54" s="26"/>
      <c r="E54" s="40"/>
      <c r="F54" s="26"/>
      <c r="G54" s="17"/>
    </row>
    <row r="55" spans="1:7" x14ac:dyDescent="0.25">
      <c r="A55" s="24"/>
      <c r="B55" s="25"/>
      <c r="C55" s="42"/>
      <c r="D55" s="26"/>
      <c r="E55" s="29"/>
      <c r="F55" s="26"/>
      <c r="G55" s="17"/>
    </row>
    <row r="56" spans="1:7" x14ac:dyDescent="0.25">
      <c r="A56" s="24"/>
      <c r="B56" s="25"/>
      <c r="C56" s="42"/>
      <c r="D56" s="26"/>
      <c r="E56" s="40"/>
      <c r="F56" s="26"/>
      <c r="G56" s="17"/>
    </row>
    <row r="57" spans="1:7" x14ac:dyDescent="0.25">
      <c r="A57" s="24"/>
      <c r="B57" s="24"/>
      <c r="C57" s="24"/>
      <c r="D57" s="24"/>
      <c r="E57" s="43"/>
      <c r="F57" s="26"/>
    </row>
    <row r="58" spans="1:7" x14ac:dyDescent="0.25">
      <c r="A58" s="24"/>
      <c r="B58" s="24"/>
      <c r="C58" s="24"/>
      <c r="D58" s="24"/>
      <c r="E58" s="43"/>
      <c r="F58" s="24"/>
    </row>
    <row r="59" spans="1:7" ht="18" x14ac:dyDescent="0.25">
      <c r="A59" s="24"/>
      <c r="B59" s="25"/>
      <c r="C59" s="44"/>
      <c r="D59" s="44"/>
      <c r="E59" s="44"/>
      <c r="F59" s="44"/>
    </row>
    <row r="60" spans="1:7" x14ac:dyDescent="0.25">
      <c r="A60" s="24"/>
      <c r="B60" s="24"/>
      <c r="C60" s="24"/>
      <c r="D60" s="24"/>
      <c r="E60" s="24"/>
      <c r="F60" s="24"/>
    </row>
    <row r="61" spans="1:7" x14ac:dyDescent="0.25">
      <c r="A61" s="24"/>
      <c r="B61" s="24"/>
      <c r="C61" s="24"/>
      <c r="D61" s="24"/>
      <c r="E61" s="24"/>
      <c r="F61" s="24"/>
    </row>
    <row r="62" spans="1:7" x14ac:dyDescent="0.25">
      <c r="A62" s="24"/>
      <c r="B62" s="24"/>
      <c r="C62" s="24"/>
      <c r="D62" s="24"/>
      <c r="E62" s="24"/>
      <c r="F62" s="24"/>
    </row>
    <row r="63" spans="1:7" x14ac:dyDescent="0.25">
      <c r="A63" s="24"/>
      <c r="B63" s="24"/>
      <c r="C63" s="24"/>
      <c r="D63" s="24"/>
      <c r="E63" s="24"/>
      <c r="F63" s="24"/>
    </row>
    <row r="64" spans="1:7" x14ac:dyDescent="0.25">
      <c r="A64" s="24"/>
      <c r="B64" s="24"/>
      <c r="C64" s="24"/>
      <c r="D64" s="24"/>
      <c r="E64" s="24"/>
      <c r="F64" s="24"/>
    </row>
    <row r="65" spans="1:6" x14ac:dyDescent="0.25">
      <c r="A65" s="24"/>
      <c r="B65" s="24"/>
      <c r="C65" s="24"/>
      <c r="D65" s="24"/>
      <c r="E65" s="24"/>
      <c r="F65" s="24"/>
    </row>
    <row r="66" spans="1:6" x14ac:dyDescent="0.25">
      <c r="A66" s="24"/>
      <c r="B66" s="24"/>
      <c r="C66" s="24"/>
      <c r="D66" s="24"/>
      <c r="E66" s="24"/>
      <c r="F66" s="24"/>
    </row>
    <row r="67" spans="1:6" x14ac:dyDescent="0.25">
      <c r="A67" s="24"/>
      <c r="B67" s="24"/>
      <c r="C67" s="24"/>
      <c r="D67" s="24"/>
      <c r="E67" s="24"/>
      <c r="F67" s="24"/>
    </row>
    <row r="68" spans="1:6" x14ac:dyDescent="0.25">
      <c r="A68" s="24"/>
      <c r="B68" s="24"/>
      <c r="C68" s="24"/>
      <c r="D68" s="24"/>
      <c r="E68" s="24"/>
      <c r="F68" s="24"/>
    </row>
    <row r="69" spans="1:6" x14ac:dyDescent="0.25">
      <c r="A69" s="24"/>
      <c r="B69" s="24"/>
      <c r="C69" s="24"/>
      <c r="D69" s="24"/>
      <c r="E69" s="24"/>
      <c r="F69" s="24"/>
    </row>
    <row r="70" spans="1:6" x14ac:dyDescent="0.25">
      <c r="A70" s="24"/>
      <c r="B70" s="24"/>
      <c r="C70" s="24"/>
      <c r="D70" s="24"/>
      <c r="E70" s="24"/>
      <c r="F70" s="24"/>
    </row>
    <row r="71" spans="1:6" x14ac:dyDescent="0.25">
      <c r="A71" s="24"/>
      <c r="B71" s="24"/>
      <c r="C71" s="24"/>
      <c r="D71" s="24"/>
      <c r="E71" s="24"/>
      <c r="F71" s="24"/>
    </row>
    <row r="72" spans="1:6" x14ac:dyDescent="0.25">
      <c r="A72" s="24"/>
      <c r="B72" s="24"/>
      <c r="C72" s="24"/>
      <c r="D72" s="24"/>
      <c r="E72" s="24"/>
      <c r="F72" s="24"/>
    </row>
    <row r="73" spans="1:6" x14ac:dyDescent="0.25">
      <c r="A73" s="24"/>
      <c r="B73" s="24"/>
      <c r="C73" s="24"/>
      <c r="D73" s="24"/>
      <c r="E73" s="24"/>
      <c r="F73" s="24"/>
    </row>
    <row r="74" spans="1:6" x14ac:dyDescent="0.25">
      <c r="A74" s="24"/>
      <c r="B74" s="24"/>
      <c r="C74" s="24"/>
      <c r="D74" s="24"/>
      <c r="E74" s="24"/>
      <c r="F74" s="24"/>
    </row>
    <row r="75" spans="1:6" x14ac:dyDescent="0.25">
      <c r="A75" s="24"/>
      <c r="B75" s="24"/>
      <c r="C75" s="24"/>
      <c r="D75" s="24"/>
      <c r="E75" s="24"/>
      <c r="F75" s="24"/>
    </row>
    <row r="76" spans="1:6" x14ac:dyDescent="0.25">
      <c r="A76" s="24"/>
      <c r="B76" s="24"/>
      <c r="C76" s="24"/>
      <c r="D76" s="24"/>
      <c r="E76" s="24"/>
      <c r="F76" s="24"/>
    </row>
    <row r="77" spans="1:6" x14ac:dyDescent="0.25">
      <c r="A77" s="24"/>
      <c r="B77" s="24"/>
      <c r="C77" s="24"/>
      <c r="D77" s="24"/>
      <c r="E77" s="24"/>
      <c r="F77" s="24"/>
    </row>
    <row r="78" spans="1:6" x14ac:dyDescent="0.25">
      <c r="A78" s="24"/>
      <c r="B78" s="24"/>
      <c r="C78" s="24"/>
      <c r="D78" s="24"/>
      <c r="E78" s="24"/>
      <c r="F78" s="24"/>
    </row>
    <row r="79" spans="1:6" x14ac:dyDescent="0.25">
      <c r="A79" s="24"/>
      <c r="B79" s="24"/>
      <c r="C79" s="24"/>
      <c r="D79" s="24"/>
      <c r="E79" s="24"/>
      <c r="F79" s="24"/>
    </row>
    <row r="80" spans="1:6" x14ac:dyDescent="0.25">
      <c r="A80" s="24"/>
      <c r="B80" s="24"/>
      <c r="C80" s="24"/>
      <c r="D80" s="24"/>
      <c r="E80" s="24"/>
      <c r="F80" s="24"/>
    </row>
    <row r="81" spans="1:6" x14ac:dyDescent="0.25">
      <c r="A81" s="24"/>
      <c r="B81" s="24"/>
      <c r="C81" s="24"/>
      <c r="D81" s="24"/>
      <c r="E81" s="24"/>
      <c r="F81" s="24"/>
    </row>
    <row r="82" spans="1:6" x14ac:dyDescent="0.25">
      <c r="A82" s="24"/>
      <c r="B82" s="24"/>
      <c r="C82" s="24"/>
      <c r="D82" s="24"/>
      <c r="E82" s="24"/>
      <c r="F82" s="24"/>
    </row>
    <row r="83" spans="1:6" x14ac:dyDescent="0.25">
      <c r="A83" s="24"/>
      <c r="B83" s="24"/>
      <c r="C83" s="24"/>
      <c r="D83" s="24"/>
      <c r="E83" s="24"/>
      <c r="F83" s="24"/>
    </row>
    <row r="84" spans="1:6" x14ac:dyDescent="0.25">
      <c r="A84" s="24"/>
      <c r="B84" s="24"/>
      <c r="C84" s="24"/>
      <c r="D84" s="24"/>
      <c r="E84" s="24"/>
      <c r="F84" s="24"/>
    </row>
    <row r="85" spans="1:6" x14ac:dyDescent="0.25">
      <c r="A85" s="24"/>
      <c r="B85" s="24"/>
      <c r="C85" s="24"/>
      <c r="D85" s="24"/>
      <c r="E85" s="24"/>
      <c r="F85" s="24"/>
    </row>
    <row r="86" spans="1:6" x14ac:dyDescent="0.25">
      <c r="A86" s="24"/>
      <c r="B86" s="24"/>
      <c r="C86" s="24"/>
      <c r="D86" s="24"/>
      <c r="E86" s="24"/>
      <c r="F86" s="24"/>
    </row>
    <row r="87" spans="1:6" x14ac:dyDescent="0.25">
      <c r="A87" s="24"/>
      <c r="B87" s="24"/>
      <c r="C87" s="24"/>
      <c r="D87" s="24"/>
      <c r="E87" s="24"/>
      <c r="F87" s="24"/>
    </row>
    <row r="88" spans="1:6" x14ac:dyDescent="0.25">
      <c r="A88" s="24"/>
      <c r="B88" s="24"/>
      <c r="C88" s="24"/>
      <c r="D88" s="24"/>
      <c r="E88" s="24"/>
      <c r="F88" s="24"/>
    </row>
    <row r="89" spans="1:6" x14ac:dyDescent="0.25">
      <c r="A89" s="24"/>
      <c r="B89" s="24"/>
      <c r="C89" s="24"/>
      <c r="D89" s="24"/>
      <c r="E89" s="24"/>
      <c r="F89" s="24"/>
    </row>
    <row r="90" spans="1:6" x14ac:dyDescent="0.25">
      <c r="A90" s="24"/>
      <c r="B90" s="24"/>
      <c r="C90" s="24"/>
      <c r="D90" s="24"/>
      <c r="E90" s="24"/>
      <c r="F90" s="24"/>
    </row>
    <row r="91" spans="1:6" x14ac:dyDescent="0.25">
      <c r="A91" s="24"/>
      <c r="B91" s="24"/>
      <c r="C91" s="24"/>
      <c r="D91" s="24"/>
      <c r="E91" s="24"/>
      <c r="F91" s="24"/>
    </row>
    <row r="92" spans="1:6" x14ac:dyDescent="0.25">
      <c r="A92" s="24"/>
      <c r="B92" s="24"/>
      <c r="C92" s="24"/>
      <c r="D92" s="24"/>
      <c r="E92" s="24"/>
      <c r="F92" s="24"/>
    </row>
    <row r="93" spans="1:6" x14ac:dyDescent="0.25">
      <c r="A93" s="24"/>
      <c r="B93" s="24"/>
      <c r="C93" s="24"/>
      <c r="D93" s="24"/>
      <c r="E93" s="24"/>
      <c r="F93" s="24"/>
    </row>
    <row r="94" spans="1:6" x14ac:dyDescent="0.25">
      <c r="A94" s="24"/>
      <c r="B94" s="24"/>
      <c r="C94" s="24"/>
      <c r="D94" s="24"/>
      <c r="E94" s="24"/>
      <c r="F94" s="24"/>
    </row>
    <row r="95" spans="1:6" x14ac:dyDescent="0.25">
      <c r="A95" s="24"/>
      <c r="B95" s="24"/>
      <c r="C95" s="24"/>
      <c r="D95" s="24"/>
      <c r="E95" s="24"/>
      <c r="F95" s="24"/>
    </row>
    <row r="96" spans="1:6" x14ac:dyDescent="0.25">
      <c r="A96" s="24"/>
      <c r="B96" s="24"/>
      <c r="C96" s="24"/>
      <c r="D96" s="24"/>
      <c r="E96" s="24"/>
      <c r="F96" s="24"/>
    </row>
    <row r="97" spans="1:6" x14ac:dyDescent="0.25">
      <c r="A97" s="24"/>
      <c r="B97" s="24"/>
      <c r="C97" s="24"/>
      <c r="D97" s="24"/>
      <c r="E97" s="24"/>
      <c r="F97" s="24"/>
    </row>
    <row r="98" spans="1:6" x14ac:dyDescent="0.25">
      <c r="A98" s="24"/>
      <c r="B98" s="24"/>
      <c r="C98" s="24"/>
      <c r="D98" s="24"/>
      <c r="E98" s="24"/>
      <c r="F98" s="24"/>
    </row>
    <row r="99" spans="1:6" x14ac:dyDescent="0.25">
      <c r="A99" s="24"/>
      <c r="B99" s="24"/>
      <c r="C99" s="24"/>
      <c r="D99" s="24"/>
      <c r="E99" s="24"/>
      <c r="F99" s="24"/>
    </row>
    <row r="100" spans="1:6" x14ac:dyDescent="0.25">
      <c r="A100" s="24"/>
      <c r="B100" s="24"/>
      <c r="C100" s="24"/>
      <c r="D100" s="24"/>
      <c r="E100" s="24"/>
      <c r="F100" s="24"/>
    </row>
    <row r="101" spans="1:6" x14ac:dyDescent="0.25">
      <c r="A101" s="24"/>
      <c r="B101" s="24"/>
      <c r="C101" s="24"/>
      <c r="D101" s="24"/>
      <c r="E101" s="24"/>
      <c r="F101" s="24"/>
    </row>
    <row r="102" spans="1:6" x14ac:dyDescent="0.25">
      <c r="A102" s="24"/>
      <c r="B102" s="24"/>
      <c r="C102" s="24"/>
      <c r="D102" s="24"/>
      <c r="E102" s="24"/>
      <c r="F102" s="24"/>
    </row>
    <row r="103" spans="1:6" x14ac:dyDescent="0.25">
      <c r="A103" s="24"/>
      <c r="B103" s="24"/>
      <c r="C103" s="24"/>
      <c r="D103" s="24"/>
      <c r="E103" s="24"/>
      <c r="F103" s="24"/>
    </row>
    <row r="104" spans="1:6" x14ac:dyDescent="0.25">
      <c r="A104" s="24"/>
      <c r="B104" s="24"/>
      <c r="C104" s="24"/>
      <c r="D104" s="24"/>
      <c r="E104" s="24"/>
      <c r="F104" s="24"/>
    </row>
    <row r="105" spans="1:6" x14ac:dyDescent="0.25">
      <c r="A105" s="24"/>
      <c r="B105" s="24"/>
      <c r="C105" s="24"/>
      <c r="D105" s="24"/>
      <c r="E105" s="24"/>
      <c r="F105" s="24"/>
    </row>
    <row r="106" spans="1:6" x14ac:dyDescent="0.25">
      <c r="A106" s="24"/>
      <c r="B106" s="24"/>
      <c r="C106" s="24"/>
      <c r="D106" s="24"/>
      <c r="E106" s="24"/>
      <c r="F106" s="24"/>
    </row>
    <row r="107" spans="1:6" x14ac:dyDescent="0.25">
      <c r="A107" s="24"/>
      <c r="B107" s="24"/>
      <c r="C107" s="24"/>
      <c r="D107" s="24"/>
      <c r="E107" s="24"/>
      <c r="F107" s="24"/>
    </row>
    <row r="108" spans="1:6" x14ac:dyDescent="0.25">
      <c r="A108" s="24"/>
      <c r="B108" s="24"/>
      <c r="C108" s="24"/>
      <c r="D108" s="24"/>
      <c r="E108" s="24"/>
      <c r="F108" s="24"/>
    </row>
    <row r="109" spans="1:6" x14ac:dyDescent="0.25">
      <c r="A109" s="24"/>
      <c r="B109" s="24"/>
      <c r="C109" s="24"/>
      <c r="D109" s="24"/>
      <c r="E109" s="24"/>
      <c r="F109" s="24"/>
    </row>
    <row r="110" spans="1:6" x14ac:dyDescent="0.25">
      <c r="A110" s="24"/>
      <c r="B110" s="24"/>
      <c r="C110" s="24"/>
      <c r="D110" s="24"/>
      <c r="E110" s="24"/>
      <c r="F110" s="24"/>
    </row>
  </sheetData>
  <mergeCells count="2">
    <mergeCell ref="B3:F3"/>
    <mergeCell ref="B28:F28"/>
  </mergeCells>
  <pageMargins left="0.31496062992125984" right="0.31496062992125984" top="0.74803149606299213" bottom="0.74803149606299213" header="0.31496062992125984" footer="0.31496062992125984"/>
  <pageSetup paperSize="9" scale="95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BILAN 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DJUOMBESSY</dc:creator>
  <cp:lastModifiedBy>DJUOMBESSY</cp:lastModifiedBy>
  <dcterms:created xsi:type="dcterms:W3CDTF">2023-01-24T12:42:49Z</dcterms:created>
  <dcterms:modified xsi:type="dcterms:W3CDTF">2023-01-24T13:30:46Z</dcterms:modified>
</cp:coreProperties>
</file>