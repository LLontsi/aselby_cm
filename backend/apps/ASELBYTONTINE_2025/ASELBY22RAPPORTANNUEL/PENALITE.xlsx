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MVTPENALIT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MVTPENALITE!$A$6:$D$33</definedName>
    <definedName name="BANQUE" localSheetId="0">#REF!</definedName>
    <definedName name="BANQUE">#REF!</definedName>
    <definedName name="MODEET30000" localSheetId="0">[3]MODEVERSEMENT!$A$1:$A$3</definedName>
    <definedName name="MODEET30000">[4]MODEVERSEMENT!$A$1:$A$3</definedName>
    <definedName name="MODEPAID">[5]Feuil2!$A$1:$A$3</definedName>
    <definedName name="MODEPAID30000" localSheetId="0">MVTPENALITE!#REF!</definedName>
    <definedName name="MODEPAIDOK" localSheetId="0">[6]MODEVERSEMENT!$A$1:$A$4</definedName>
    <definedName name="MODEPAIDS" localSheetId="0">[3]MODEVERSEMENT!$A$1:$A$3</definedName>
    <definedName name="MODEPAIDS">[4]MODEVERSEMENT!$A$1:$A$3</definedName>
    <definedName name="MODET25000">[7]MODEVERSEMENT!$A$1:$A$3</definedName>
    <definedName name="MODET3000" localSheetId="0">[3]MODEVERSEMENT!$A$1:$A$3</definedName>
    <definedName name="MODET3000">[4]MODEVERSEMENT!$A$1:$A$3</definedName>
    <definedName name="MODET30000" localSheetId="0">MVTPENALITE!#REF!</definedName>
    <definedName name="MODEVERSEMENT" localSheetId="0">#REF!</definedName>
    <definedName name="MODEVERSEMENT">#REF!</definedName>
    <definedName name="MODEVERSEMENTS">[8]MODEVERSEMENT!$A$1:$A$3</definedName>
    <definedName name="MODPAID" localSheetId="0">MVTPENALITE!#REF!</definedName>
    <definedName name="VALMODEPAID" localSheetId="0">[9]MODEPAID!$A$1:$A$3</definedName>
    <definedName name="VALMODEPAID">[10]MODEPAID!$A$1:$A$3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C3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<sst xmlns="http://schemas.openxmlformats.org/spreadsheetml/2006/main" count="41" uniqueCount="40">
  <si>
    <t>ASSOCIATION</t>
  </si>
  <si>
    <t>ASELBY</t>
  </si>
  <si>
    <t>ANNEE</t>
  </si>
  <si>
    <t xml:space="preserve">TONTINE </t>
  </si>
  <si>
    <t>PENALITE</t>
  </si>
  <si>
    <t>ENTREE</t>
  </si>
  <si>
    <t>SORTIE</t>
  </si>
  <si>
    <t>MATRICULE</t>
  </si>
  <si>
    <t>NOM ET PRENOM</t>
  </si>
  <si>
    <t>MONTANT</t>
  </si>
  <si>
    <t>DATE</t>
  </si>
  <si>
    <t>LIBELLE</t>
  </si>
  <si>
    <t>AS201648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</si>
  <si>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</si>
  <si>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</si>
  <si>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</si>
  <si>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</si>
  <si>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</si>
  <si>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</si>
  <si>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</si>
  <si>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</si>
  <si>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</si>
  <si>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</si>
  <si>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</si>
  <si>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</si>
  <si>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</si>
  <si>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</si>
  <si>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</si>
  <si>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</si>
  <si>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</si>
  <si>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</si>
  <si>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</si>
  <si>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AS201629</t>
  </si>
  <si>
    <t>AS201633</t>
  </si>
  <si>
    <t>AS201653</t>
  </si>
  <si>
    <t>AS201638</t>
  </si>
  <si>
    <t>AS201641</t>
  </si>
  <si>
    <t>AS201646</t>
  </si>
  <si>
    <t>AS201647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</si>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</sst>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Britannic Bold"/>
      <family val="2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3" fontId="4" fillId="0" borderId="0" xfId="0" applyNumberFormat="1" applyFont="1"/>
    <xf numFmtId="3" fontId="4" fillId="0" borderId="4" xfId="0" applyNumberFormat="1" applyFont="1" applyBorder="1"/>
    <xf numFmtId="0" fontId="0" fillId="0" borderId="5" xfId="0" applyBorder="1"/>
    <xf numFmtId="0" fontId="0" fillId="0" borderId="6" xfId="0" applyBorder="1"/>
    <xf numFmtId="164" fontId="4" fillId="0" borderId="4" xfId="0" applyNumberFormat="1" applyFont="1" applyBorder="1"/>
    <xf numFmtId="3" fontId="0" fillId="0" borderId="6" xfId="0" applyNumberFormat="1" applyBorder="1"/>
    <xf numFmtId="3" fontId="4" fillId="0" borderId="6" xfId="0" applyNumberFormat="1" applyFont="1" applyBorder="1"/>
    <xf numFmtId="3" fontId="0" fillId="0" borderId="4" xfId="0" applyNumberFormat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>
      <pane xSplit="2" ySplit="6" topLeftCell="C22" activePane="bottomRight" state="frozen"/>
      <selection activeCell="B43" sqref="B43"/>
      <selection pane="topRight" activeCell="B43" sqref="B43"/>
      <selection pane="bottomLeft" activeCell="B43" sqref="B43"/>
      <selection pane="bottomRight" activeCell="C6" sqref="C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9.42578125" style="2" customWidth="1"/>
    <col min="4" max="4" width="12.42578125" style="2" customWidth="1"/>
    <col min="5" max="5" width="19.2851562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>
        <v>2022</v>
      </c>
    </row>
    <row r="3" spans="1:6" x14ac:dyDescent="0.25">
      <c r="A3" s="1" t="s">
        <v>3</v>
      </c>
      <c r="B3" s="3"/>
    </row>
    <row r="4" spans="1:6" ht="34.5" thickBot="1" x14ac:dyDescent="0.55000000000000004">
      <c r="C4" s="4" t="s">
        <v>4</v>
      </c>
      <c r="D4"/>
    </row>
    <row r="5" spans="1:6" ht="21.75" thickTop="1" x14ac:dyDescent="0.35">
      <c r="A5" s="5"/>
      <c r="B5" s="6"/>
      <c r="C5" s="7" t="s">
        <v>5</v>
      </c>
      <c r="D5" s="8" t="s">
        <v>6</v>
      </c>
      <c r="E5" s="9"/>
      <c r="F5" s="10"/>
    </row>
    <row r="6" spans="1:6" x14ac:dyDescent="0.25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3" t="s">
        <v>9</v>
      </c>
    </row>
    <row r="7" spans="1:6" x14ac:dyDescent="0.25">
      <c r="A7" s="11" t="s">
        <v>12</v>
      </c>
      <c r="B7" s="12" t="str">
        <f>VLOOKUP(A7,[1]LISTADHERENT!A$5:H$60,3,0)</f>
        <v>ASELBY</v>
      </c>
      <c r="C7" s="16">
        <v>0</v>
      </c>
      <c r="D7" s="17"/>
      <c r="E7" s="18"/>
      <c r="F7" s="19"/>
    </row>
    <row r="8" spans="1:6" x14ac:dyDescent="0.25">
      <c r="A8" s="11" t="s">
        <v>13</v>
      </c>
      <c r="B8" s="12" t="str">
        <f>VLOOKUP(A8,[1]LISTADHERENT!A$5:H$60,3,0)</f>
        <v>BOUTCHOUANG WILLIAM</v>
      </c>
      <c r="C8" s="16">
        <v>3000</v>
      </c>
      <c r="D8" s="20"/>
      <c r="E8" s="18"/>
      <c r="F8" s="21"/>
    </row>
    <row r="9" spans="1:6" x14ac:dyDescent="0.25">
      <c r="A9" s="11" t="s">
        <v>14</v>
      </c>
      <c r="B9" s="12" t="str">
        <f>VLOOKUP(A9,[1]LISTADHERENT!A$5:H$60,3,0)</f>
        <v xml:space="preserve">DJOMO JEAN PAUL </v>
      </c>
      <c r="C9" s="16">
        <v>6000</v>
      </c>
      <c r="D9" s="17"/>
      <c r="E9" s="18"/>
      <c r="F9" s="19"/>
    </row>
    <row r="10" spans="1:6" x14ac:dyDescent="0.25">
      <c r="A10" s="11" t="s">
        <v>15</v>
      </c>
      <c r="B10" s="12" t="str">
        <f>VLOOKUP(A10,[1]LISTADHERENT!A$5:H$60,3,0)</f>
        <v>DJOMOU TCHANDA</v>
      </c>
      <c r="C10" s="16">
        <v>6000</v>
      </c>
      <c r="D10" s="17"/>
      <c r="E10" s="18"/>
      <c r="F10" s="19"/>
    </row>
    <row r="11" spans="1:6" x14ac:dyDescent="0.25">
      <c r="A11" s="11" t="s">
        <v>16</v>
      </c>
      <c r="B11" s="12" t="str">
        <f>VLOOKUP(A11,[1]LISTADHERENT!A$5:H$60,3,0)</f>
        <v>DJOUKWE NANGUEN GUY BLAISE</v>
      </c>
      <c r="C11" s="16">
        <v>0</v>
      </c>
      <c r="D11" s="17"/>
      <c r="E11" s="18"/>
      <c r="F11" s="19"/>
    </row>
    <row r="12" spans="1:6" x14ac:dyDescent="0.25">
      <c r="A12" s="11" t="s">
        <v>17</v>
      </c>
      <c r="B12" s="12" t="str">
        <f>VLOOKUP(A12,[1]LISTADHERENT!A$5:H$60,3,0)</f>
        <v>DJUOMBESSY ANTOINE</v>
      </c>
      <c r="C12" s="16">
        <v>6000</v>
      </c>
      <c r="D12" s="17"/>
      <c r="E12" s="18"/>
      <c r="F12" s="19"/>
    </row>
    <row r="13" spans="1:6" ht="14.25" customHeight="1" x14ac:dyDescent="0.25">
      <c r="A13" s="11" t="s">
        <v>18</v>
      </c>
      <c r="B13" s="12" t="str">
        <f>VLOOKUP(A13,[1]LISTADHERENT!A$5:H$60,3,0)</f>
        <v>DOMOU FABIEN</v>
      </c>
      <c r="C13" s="16">
        <v>0</v>
      </c>
      <c r="D13" s="17"/>
      <c r="E13" s="18"/>
      <c r="F13" s="19"/>
    </row>
    <row r="14" spans="1:6" x14ac:dyDescent="0.25">
      <c r="A14" s="11" t="s">
        <v>19</v>
      </c>
      <c r="B14" s="12" t="str">
        <f>VLOOKUP(A14,[1]LISTADHERENT!A$5:H$60,3,0)</f>
        <v>DONHOU DAVID</v>
      </c>
      <c r="C14" s="16">
        <v>3000</v>
      </c>
      <c r="D14" s="17"/>
      <c r="E14" s="18"/>
      <c r="F14" s="19"/>
    </row>
    <row r="15" spans="1:6" ht="14.25" customHeight="1" x14ac:dyDescent="0.25">
      <c r="A15" s="11" t="s">
        <v>20</v>
      </c>
      <c r="B15" s="12" t="str">
        <f>VLOOKUP(A15,[1]LISTADHERENT!A$5:H$60,3,0)</f>
        <v>HENGUE PAUL OMER</v>
      </c>
      <c r="C15" s="22">
        <v>0</v>
      </c>
      <c r="D15" s="17"/>
      <c r="E15" s="18"/>
      <c r="F15" s="19"/>
    </row>
    <row r="16" spans="1:6" x14ac:dyDescent="0.25">
      <c r="A16" s="11" t="s">
        <v>21</v>
      </c>
      <c r="B16" s="12" t="str">
        <f>VLOOKUP(A16,[1]LISTADHERENT!A$5:H$60,3,0)</f>
        <v>HOTCHO BENJAMIN</v>
      </c>
      <c r="C16" s="22">
        <v>0</v>
      </c>
      <c r="D16" s="17"/>
      <c r="E16" s="18"/>
      <c r="F16" s="19"/>
    </row>
    <row r="17" spans="1:6" x14ac:dyDescent="0.25">
      <c r="A17" s="11" t="s">
        <v>22</v>
      </c>
      <c r="B17" s="12" t="str">
        <f>VLOOKUP(A17,[1]LISTADHERENT!A$5:H$60,3,0)</f>
        <v>KOUAMOU MOISE</v>
      </c>
      <c r="C17" s="22">
        <v>0</v>
      </c>
      <c r="D17" s="17"/>
      <c r="E17" s="18"/>
      <c r="F17" s="19"/>
    </row>
    <row r="18" spans="1:6" x14ac:dyDescent="0.25">
      <c r="A18" s="11" t="s">
        <v>23</v>
      </c>
      <c r="B18" s="12" t="str">
        <f>VLOOKUP(A18,[1]LISTADHERENT!A$5:H$60,3,0)</f>
        <v>KOUATCHO MESSACK</v>
      </c>
      <c r="C18" s="22">
        <v>9000</v>
      </c>
      <c r="D18" s="17"/>
      <c r="E18" s="18"/>
      <c r="F18" s="19"/>
    </row>
    <row r="19" spans="1:6" x14ac:dyDescent="0.25">
      <c r="A19" s="11" t="s">
        <v>24</v>
      </c>
      <c r="B19" s="12" t="str">
        <f>VLOOKUP(A19,[1]LISTADHERENT!A$5:H$60,3,0)</f>
        <v>LOWE JEAN</v>
      </c>
      <c r="C19" s="22">
        <v>0</v>
      </c>
      <c r="D19" s="17"/>
      <c r="E19" s="18"/>
      <c r="F19" s="19"/>
    </row>
    <row r="20" spans="1:6" x14ac:dyDescent="0.25">
      <c r="A20" s="11" t="s">
        <v>25</v>
      </c>
      <c r="B20" s="12" t="str">
        <f>VLOOKUP(A20,[1]LISTADHERENT!A$5:H$60,3,0)</f>
        <v>MBOGNING TUGMA GUY</v>
      </c>
      <c r="C20" s="22">
        <v>3000</v>
      </c>
      <c r="D20" s="17"/>
      <c r="E20" s="18"/>
      <c r="F20" s="19"/>
    </row>
    <row r="21" spans="1:6" x14ac:dyDescent="0.25">
      <c r="A21" s="11" t="s">
        <v>26</v>
      </c>
      <c r="B21" s="12" t="str">
        <f>VLOOKUP(A21,[1]LISTADHERENT!A$5:H$60,3,0)</f>
        <v>NANGUEN MARTIN</v>
      </c>
      <c r="C21" s="22">
        <v>0</v>
      </c>
      <c r="D21" s="17"/>
      <c r="E21" s="18"/>
      <c r="F21" s="19"/>
    </row>
    <row r="22" spans="1:6" x14ac:dyDescent="0.25">
      <c r="A22" s="11" t="s">
        <v>27</v>
      </c>
      <c r="B22" s="12" t="str">
        <f>VLOOKUP(A22,[1]LISTADHERENT!A$5:H$60,3,0)</f>
        <v>NANKAM APPOLINAIRE</v>
      </c>
      <c r="C22" s="22">
        <v>0</v>
      </c>
      <c r="D22" s="17"/>
      <c r="E22" s="18"/>
      <c r="F22" s="19"/>
    </row>
    <row r="23" spans="1:6" x14ac:dyDescent="0.25">
      <c r="A23" s="11" t="s">
        <v>28</v>
      </c>
      <c r="B23" s="12" t="str">
        <f>VLOOKUP(A23,[1]LISTADHERENT!A$5:H$60,3,0)</f>
        <v>NDJOMO ETIENNE</v>
      </c>
      <c r="C23" s="22">
        <v>0</v>
      </c>
      <c r="D23" s="17"/>
      <c r="E23" s="18"/>
      <c r="F23" s="19"/>
    </row>
    <row r="24" spans="1:6" x14ac:dyDescent="0.25">
      <c r="A24" s="11" t="s">
        <v>29</v>
      </c>
      <c r="B24" s="12" t="str">
        <f>VLOOKUP(A24,[1]LISTADHERENT!A$5:H$60,3,0)</f>
        <v>NGONDIEP CLAUDE</v>
      </c>
      <c r="C24" s="22">
        <v>18000</v>
      </c>
      <c r="D24" s="17"/>
      <c r="E24" s="18"/>
      <c r="F24" s="19"/>
    </row>
    <row r="25" spans="1:6" x14ac:dyDescent="0.25">
      <c r="A25" s="11" t="s">
        <v>30</v>
      </c>
      <c r="B25" s="12" t="str">
        <f>VLOOKUP(A25,[1]LISTADHERENT!A$5:H$60,3,0)</f>
        <v>NGUIEMEGNI MATHIEU BLAISE</v>
      </c>
      <c r="C25" s="22">
        <v>0</v>
      </c>
      <c r="D25" s="17"/>
      <c r="E25" s="18"/>
      <c r="F25" s="19"/>
    </row>
    <row r="26" spans="1:6" x14ac:dyDescent="0.25">
      <c r="A26" s="11" t="s">
        <v>31</v>
      </c>
      <c r="B26" s="12" t="str">
        <f>VLOOKUP(A26,[1]LISTADHERENT!A$5:H$60,3,0)</f>
        <v>NKAMGANG JUSTIN DEJOLIE</v>
      </c>
      <c r="C26" s="22">
        <v>15000</v>
      </c>
      <c r="D26" s="17"/>
      <c r="E26" s="18"/>
      <c r="F26" s="19"/>
    </row>
    <row r="27" spans="1:6" x14ac:dyDescent="0.25">
      <c r="A27" s="11" t="s">
        <v>32</v>
      </c>
      <c r="B27" s="12" t="str">
        <f>VLOOKUP(A27,[1]LISTADHERENT!A$5:H$60,3,0)</f>
        <v>NKEPSEU DIEUDONNE</v>
      </c>
      <c r="C27" s="22">
        <v>0</v>
      </c>
      <c r="D27" s="17"/>
      <c r="E27" s="18"/>
      <c r="F27" s="19"/>
    </row>
    <row r="28" spans="1:6" x14ac:dyDescent="0.25">
      <c r="A28" s="11" t="s">
        <v>33</v>
      </c>
      <c r="B28" s="12" t="str">
        <f>VLOOKUP(A28,[1]LISTADHERENT!A$5:H$60,3,0)</f>
        <v>PATEGO NJOSSU GUSTAVE</v>
      </c>
      <c r="C28" s="22">
        <v>0</v>
      </c>
      <c r="D28" s="17"/>
      <c r="E28" s="18"/>
      <c r="F28" s="19"/>
    </row>
    <row r="29" spans="1:6" x14ac:dyDescent="0.25">
      <c r="A29" s="11" t="s">
        <v>34</v>
      </c>
      <c r="B29" s="12" t="str">
        <f>VLOOKUP(A29,[1]LISTADHERENT!A$5:H$60,3,0)</f>
        <v>SIME BRICE</v>
      </c>
      <c r="C29" s="22">
        <v>9000</v>
      </c>
      <c r="D29" s="17"/>
      <c r="E29" s="18"/>
      <c r="F29" s="19"/>
    </row>
    <row r="30" spans="1:6" x14ac:dyDescent="0.25">
      <c r="A30" s="11" t="s">
        <v>35</v>
      </c>
      <c r="B30" s="12" t="str">
        <f>VLOOKUP(A30,[1]LISTADHERENT!A$5:H$60,3,0)</f>
        <v>SIMO PIERRE</v>
      </c>
      <c r="C30" s="22">
        <v>0</v>
      </c>
      <c r="D30" s="17"/>
      <c r="E30" s="18"/>
      <c r="F30" s="19"/>
    </row>
    <row r="31" spans="1:6" x14ac:dyDescent="0.25">
      <c r="A31" s="11" t="s">
        <v>36</v>
      </c>
      <c r="B31" s="12" t="str">
        <f>VLOOKUP(A31,[1]LISTADHERENT!A$5:H$60,3,0)</f>
        <v>TCHOUAMOU MATHIEU</v>
      </c>
      <c r="C31" s="22"/>
      <c r="D31" s="17"/>
      <c r="E31" s="18"/>
      <c r="F31" s="19"/>
    </row>
    <row r="32" spans="1:6" x14ac:dyDescent="0.25">
      <c r="A32" s="11" t="s">
        <v>37</v>
      </c>
      <c r="B32" s="12" t="str">
        <f>VLOOKUP(A32,[1]LISTADHERENT!A$5:H$60,3,0)</f>
        <v>YEPMOU JEAN JACQUES</v>
      </c>
      <c r="C32" s="22">
        <v>15000</v>
      </c>
      <c r="D32" s="17"/>
      <c r="E32" s="18"/>
      <c r="F32" s="19"/>
    </row>
    <row r="33" spans="1:6" x14ac:dyDescent="0.25">
      <c r="A33" s="11" t="s">
        <v>38</v>
      </c>
      <c r="B33" s="12" t="str">
        <f>VLOOKUP(A33,[1]LISTADHERENT!A$5:H$60,3,0)</f>
        <v>YOUMBI EMMANUEL</v>
      </c>
      <c r="C33" s="22">
        <v>3000</v>
      </c>
      <c r="D33" s="17"/>
      <c r="E33" s="18"/>
      <c r="F33" s="19"/>
    </row>
    <row r="34" spans="1:6" x14ac:dyDescent="0.25">
      <c r="A34" s="11"/>
      <c r="B34" s="12"/>
      <c r="C34" s="21"/>
      <c r="D34" s="23"/>
      <c r="E34" s="18"/>
      <c r="F34" s="19"/>
    </row>
    <row r="35" spans="1:6" ht="18.75" thickBot="1" x14ac:dyDescent="0.3">
      <c r="A35" s="24" t="s">
        <v>39</v>
      </c>
      <c r="B35" s="25"/>
      <c r="C35" s="26">
        <f>SUM(C7:C34)</f>
        <v>96000</v>
      </c>
      <c r="D35" s="27"/>
      <c r="E35" s="28"/>
      <c r="F35" s="26">
        <f>SUM(F7:F34)</f>
        <v>0</v>
      </c>
    </row>
    <row r="36" spans="1:6" ht="15.75" thickTop="1" x14ac:dyDescent="0.25"/>
  </sheetData>
  <mergeCells count="1">
    <mergeCell ref="D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MVTPENALITE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2023-01-24T12:48:10Z</dcterms:created>
  <dcterms:modified xsi:type="dcterms:W3CDTF">2023-01-24T12:48:26Z</dcterms:modified>
</cp:coreProperties>
</file>