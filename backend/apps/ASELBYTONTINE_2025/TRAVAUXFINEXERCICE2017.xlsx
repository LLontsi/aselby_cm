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firstSheet="2" activeTab="2"/>
  </bookViews>
  <sheets>
    <sheet name="BILAN 2016 (2)" sheetId="8" r:id="rId1"/>
    <sheet name="BILAN 2016" sheetId="2" r:id="rId2"/>
    <sheet name="BILANFINAOUT2017" sheetId="1" r:id="rId3"/>
    <sheet name="BILANUPDATE" sheetId="3" r:id="rId4"/>
    <sheet name="BILANUPDATEDPA" sheetId="5" r:id="rId5"/>
    <sheet name="Feuil1" sheetId="4" r:id="rId6"/>
    <sheet name="Feuil2" sheetId="6" r:id="rId7"/>
    <sheet name="Feuil2 (2)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2" hidden="1">BILANFINAOUT2017!$A$4:$R$56</definedName>
    <definedName name="BANQUE" localSheetId="4">#REF!</definedName>
    <definedName name="BANQUE" localSheetId="7">#REF!</definedName>
    <definedName name="BANQUE">#REF!</definedName>
    <definedName name="_xlnm.Print_Titles" localSheetId="2">BILANFINAOUT2017!$1:$4</definedName>
    <definedName name="MODEPAID" localSheetId="0">[1]Feuil2!$A$1:$A$3</definedName>
    <definedName name="MODEPAID">[2]Feuil2!$A$1:$A$3</definedName>
    <definedName name="MODEVERSEMENT" localSheetId="4">#REF!</definedName>
    <definedName name="MODEVERSEMENT" localSheetId="7">#REF!</definedName>
    <definedName name="MODEVERSEMENT">#REF!</definedName>
    <definedName name="MODEVERSEMENTS">[3]MODEVERSEMENT!$A$1:$A$3</definedName>
    <definedName name="MODPAID" localSheetId="2">BILANFINAOUT2017!#REF!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E29" i="8" l="1"/>
  <c r="E27" i="8"/>
  <c r="E26" i="8"/>
  <c r="E24" i="8"/>
  <c r="E31" i="8" s="1"/>
  <c r="C21" i="8"/>
  <c r="E19" i="8"/>
  <c r="D19" i="8"/>
  <c r="C17" i="8"/>
  <c r="E17" i="8" s="1"/>
  <c r="C15" i="8"/>
  <c r="D12" i="8"/>
  <c r="C12" i="8"/>
  <c r="D11" i="8"/>
  <c r="C11" i="8"/>
  <c r="D10" i="8"/>
  <c r="C10" i="8"/>
  <c r="D9" i="8"/>
  <c r="C9" i="8"/>
  <c r="C8" i="8"/>
  <c r="B8" i="8"/>
  <c r="D7" i="8"/>
  <c r="B7" i="8"/>
  <c r="C7" i="8" l="1"/>
  <c r="E9" i="8"/>
  <c r="E10" i="8"/>
  <c r="E33" i="8"/>
  <c r="E11" i="8"/>
  <c r="E8" i="8"/>
  <c r="E12" i="8"/>
  <c r="E7" i="8"/>
  <c r="B28" i="7"/>
  <c r="B27" i="7"/>
  <c r="B26" i="7"/>
  <c r="B25" i="7"/>
  <c r="B24" i="7"/>
  <c r="B23" i="7"/>
  <c r="B22" i="7"/>
  <c r="B21" i="7"/>
  <c r="B19" i="7"/>
  <c r="B12" i="7"/>
  <c r="B10" i="7"/>
  <c r="B14" i="7" l="1"/>
  <c r="B20" i="7"/>
  <c r="B30" i="7" s="1"/>
  <c r="B32" i="7" l="1"/>
  <c r="B22" i="6"/>
  <c r="B23" i="6"/>
  <c r="B24" i="6"/>
  <c r="B25" i="6"/>
  <c r="B11" i="6" l="1"/>
  <c r="D17" i="6" s="1"/>
  <c r="B9" i="6"/>
  <c r="C8" i="3"/>
  <c r="E17" i="6" l="1"/>
  <c r="B13" i="6"/>
  <c r="T12" i="5"/>
  <c r="T11" i="5"/>
  <c r="T10" i="5"/>
  <c r="T9" i="5"/>
  <c r="T8" i="5"/>
  <c r="T7" i="5"/>
  <c r="T6" i="5"/>
  <c r="T5" i="5"/>
  <c r="T4" i="5"/>
  <c r="R12" i="5"/>
  <c r="R11" i="5"/>
  <c r="R10" i="5"/>
  <c r="R9" i="5"/>
  <c r="R8" i="5"/>
  <c r="R7" i="5"/>
  <c r="R6" i="5"/>
  <c r="R5" i="5"/>
  <c r="R4" i="5"/>
  <c r="P12" i="5"/>
  <c r="P11" i="5"/>
  <c r="P10" i="5"/>
  <c r="P9" i="5"/>
  <c r="P8" i="5"/>
  <c r="P7" i="5"/>
  <c r="P5" i="5"/>
  <c r="P4" i="5"/>
  <c r="N12" i="5"/>
  <c r="N11" i="5"/>
  <c r="N10" i="5"/>
  <c r="N9" i="5"/>
  <c r="N8" i="5"/>
  <c r="N7" i="5"/>
  <c r="N6" i="5"/>
  <c r="N5" i="5"/>
  <c r="N4" i="5"/>
  <c r="L12" i="5"/>
  <c r="L11" i="5"/>
  <c r="L10" i="5"/>
  <c r="L9" i="5"/>
  <c r="L8" i="5"/>
  <c r="L7" i="5"/>
  <c r="L6" i="5"/>
  <c r="L5" i="5"/>
  <c r="L4" i="5"/>
  <c r="J12" i="5"/>
  <c r="J11" i="5"/>
  <c r="J10" i="5"/>
  <c r="J9" i="5"/>
  <c r="J8" i="5"/>
  <c r="J7" i="5"/>
  <c r="J6" i="5"/>
  <c r="J5" i="5"/>
  <c r="J4" i="5"/>
  <c r="H12" i="5"/>
  <c r="H11" i="5"/>
  <c r="H10" i="5"/>
  <c r="H9" i="5"/>
  <c r="H8" i="5"/>
  <c r="H7" i="5"/>
  <c r="H5" i="5"/>
  <c r="H4" i="5"/>
  <c r="F12" i="5"/>
  <c r="F11" i="5"/>
  <c r="F10" i="5"/>
  <c r="F9" i="5"/>
  <c r="F8" i="5"/>
  <c r="F7" i="5"/>
  <c r="F6" i="5"/>
  <c r="F5" i="5"/>
  <c r="F4" i="5"/>
  <c r="D5" i="5"/>
  <c r="D6" i="5"/>
  <c r="D7" i="5"/>
  <c r="D8" i="5"/>
  <c r="D9" i="5"/>
  <c r="D10" i="5"/>
  <c r="D11" i="5"/>
  <c r="D12" i="5"/>
  <c r="D4" i="5"/>
  <c r="R3" i="5" l="1"/>
  <c r="P3" i="5"/>
  <c r="N3" i="5"/>
  <c r="L3" i="5"/>
  <c r="J3" i="5"/>
  <c r="H3" i="5"/>
  <c r="T3" i="5"/>
  <c r="F3" i="5"/>
  <c r="D3" i="5"/>
  <c r="V11" i="5"/>
  <c r="S12" i="5"/>
  <c r="S11" i="5"/>
  <c r="S8" i="5"/>
  <c r="V3" i="5" l="1"/>
  <c r="Q12" i="5" l="1"/>
  <c r="Q11" i="5"/>
  <c r="Q8" i="5"/>
  <c r="Q7" i="5"/>
  <c r="Q6" i="5"/>
  <c r="Q5" i="5"/>
  <c r="Q4" i="5"/>
  <c r="O12" i="5"/>
  <c r="O11" i="5"/>
  <c r="O8" i="5"/>
  <c r="O7" i="5"/>
  <c r="O6" i="5"/>
  <c r="O5" i="5"/>
  <c r="O4" i="5"/>
  <c r="M12" i="5"/>
  <c r="M11" i="5"/>
  <c r="M8" i="5"/>
  <c r="M7" i="5"/>
  <c r="M6" i="5"/>
  <c r="M5" i="5"/>
  <c r="M4" i="5"/>
  <c r="K12" i="5"/>
  <c r="K11" i="5"/>
  <c r="K8" i="5"/>
  <c r="K7" i="5"/>
  <c r="K6" i="5"/>
  <c r="K5" i="5"/>
  <c r="K4" i="5"/>
  <c r="I12" i="5"/>
  <c r="I11" i="5"/>
  <c r="I8" i="5"/>
  <c r="I7" i="5"/>
  <c r="I6" i="5"/>
  <c r="I5" i="5"/>
  <c r="I4" i="5"/>
  <c r="G12" i="5"/>
  <c r="G11" i="5"/>
  <c r="G8" i="5"/>
  <c r="G7" i="5"/>
  <c r="G6" i="5"/>
  <c r="G5" i="5"/>
  <c r="G4" i="5"/>
  <c r="J16" i="5"/>
  <c r="R16" i="5"/>
  <c r="E12" i="5"/>
  <c r="E10" i="5"/>
  <c r="Q10" i="5"/>
  <c r="O10" i="5"/>
  <c r="M10" i="5"/>
  <c r="K10" i="5"/>
  <c r="I10" i="5"/>
  <c r="G10" i="5"/>
  <c r="E11" i="5"/>
  <c r="E8" i="5"/>
  <c r="E7" i="5"/>
  <c r="E6" i="5"/>
  <c r="E5" i="5"/>
  <c r="E4" i="5"/>
  <c r="C3" i="5"/>
  <c r="U9" i="5"/>
  <c r="U13" i="5"/>
  <c r="U14" i="5"/>
  <c r="C10" i="5"/>
  <c r="C11" i="5"/>
  <c r="C12" i="5"/>
  <c r="C7" i="5"/>
  <c r="C6" i="5"/>
  <c r="C5" i="5"/>
  <c r="C4" i="5"/>
  <c r="C8" i="5"/>
  <c r="N16" i="5"/>
  <c r="L16" i="5"/>
  <c r="F16" i="5"/>
  <c r="D16" i="5"/>
  <c r="V14" i="5"/>
  <c r="V13" i="5"/>
  <c r="V10" i="5"/>
  <c r="V9" i="5"/>
  <c r="V8" i="5"/>
  <c r="V7" i="5"/>
  <c r="V5" i="5"/>
  <c r="V4" i="5"/>
  <c r="B3" i="5"/>
  <c r="Y3" i="4"/>
  <c r="B3" i="3"/>
  <c r="B3" i="4" l="1"/>
  <c r="W14" i="5"/>
  <c r="W13" i="5"/>
  <c r="W9" i="5"/>
  <c r="U12" i="5"/>
  <c r="W12" i="5" s="1"/>
  <c r="Q16" i="5"/>
  <c r="U11" i="5"/>
  <c r="W11" i="5" s="1"/>
  <c r="M16" i="5"/>
  <c r="I16" i="5"/>
  <c r="U8" i="5"/>
  <c r="O16" i="5"/>
  <c r="K16" i="5"/>
  <c r="E16" i="5"/>
  <c r="C16" i="5"/>
  <c r="G16" i="5"/>
  <c r="U3" i="5"/>
  <c r="W3" i="5" s="1"/>
  <c r="V3" i="3" l="1"/>
  <c r="C15" i="3"/>
  <c r="D15" i="3"/>
  <c r="E15" i="3"/>
  <c r="F15" i="3"/>
  <c r="I15" i="3"/>
  <c r="J15" i="3"/>
  <c r="K15" i="3"/>
  <c r="L15" i="3"/>
  <c r="M15" i="3"/>
  <c r="N15" i="3"/>
  <c r="O15" i="3"/>
  <c r="R15" i="3"/>
  <c r="T15" i="3"/>
  <c r="V4" i="3"/>
  <c r="V5" i="3"/>
  <c r="D18" i="6" s="1"/>
  <c r="V7" i="3"/>
  <c r="D20" i="6" s="1"/>
  <c r="V8" i="3"/>
  <c r="D21" i="6" s="1"/>
  <c r="V9" i="3"/>
  <c r="D22" i="6" s="1"/>
  <c r="V10" i="3"/>
  <c r="D23" i="6" s="1"/>
  <c r="V11" i="3"/>
  <c r="D24" i="6" s="1"/>
  <c r="V12" i="3"/>
  <c r="D25" i="6" s="1"/>
  <c r="V13" i="3"/>
  <c r="U4" i="3"/>
  <c r="U5" i="3"/>
  <c r="U6" i="3"/>
  <c r="U7" i="3"/>
  <c r="U8" i="3"/>
  <c r="C21" i="6" s="1"/>
  <c r="U9" i="3"/>
  <c r="U13" i="3"/>
  <c r="S10" i="3"/>
  <c r="Q11" i="3"/>
  <c r="Q3" i="3"/>
  <c r="U3" i="3" s="1"/>
  <c r="P6" i="3"/>
  <c r="H6" i="3"/>
  <c r="G12" i="3"/>
  <c r="U12" i="3" s="1"/>
  <c r="G11" i="3"/>
  <c r="H15" i="3" l="1"/>
  <c r="H6" i="5"/>
  <c r="U10" i="3"/>
  <c r="S10" i="5"/>
  <c r="V6" i="3"/>
  <c r="D19" i="6" s="1"/>
  <c r="P6" i="5"/>
  <c r="P16" i="5" s="1"/>
  <c r="W13" i="3"/>
  <c r="C25" i="6" s="1"/>
  <c r="E25" i="6" s="1"/>
  <c r="Y14" i="5"/>
  <c r="C19" i="6"/>
  <c r="Y6" i="5"/>
  <c r="C20" i="6"/>
  <c r="Y7" i="5"/>
  <c r="Y3" i="5"/>
  <c r="W3" i="3"/>
  <c r="C22" i="6"/>
  <c r="E22" i="6" s="1"/>
  <c r="W9" i="3"/>
  <c r="C18" i="6"/>
  <c r="Y5" i="5"/>
  <c r="S15" i="3"/>
  <c r="W12" i="3"/>
  <c r="C24" i="6" s="1"/>
  <c r="E24" i="6" s="1"/>
  <c r="Y13" i="5"/>
  <c r="D27" i="6"/>
  <c r="Y8" i="5"/>
  <c r="U11" i="3"/>
  <c r="Q15" i="3"/>
  <c r="V15" i="3"/>
  <c r="P15" i="3"/>
  <c r="G15" i="3"/>
  <c r="C23" i="6" l="1"/>
  <c r="W10" i="3"/>
  <c r="Y10" i="5"/>
  <c r="H16" i="5"/>
  <c r="V6" i="5"/>
  <c r="V16" i="5" s="1"/>
  <c r="U10" i="5"/>
  <c r="U15" i="3"/>
  <c r="W11" i="3"/>
  <c r="Y12" i="5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7" i="1"/>
  <c r="E35" i="2"/>
  <c r="J56" i="1"/>
  <c r="C14" i="2" s="1"/>
  <c r="Q53" i="1"/>
  <c r="N53" i="1"/>
  <c r="M53" i="1"/>
  <c r="K53" i="1"/>
  <c r="I53" i="1"/>
  <c r="H53" i="1"/>
  <c r="G53" i="1"/>
  <c r="F53" i="1"/>
  <c r="E53" i="1"/>
  <c r="D53" i="1"/>
  <c r="C53" i="1"/>
  <c r="B53" i="1"/>
  <c r="Q52" i="1"/>
  <c r="N52" i="1"/>
  <c r="M52" i="1"/>
  <c r="K52" i="1"/>
  <c r="I52" i="1"/>
  <c r="H52" i="1"/>
  <c r="G52" i="1"/>
  <c r="F52" i="1"/>
  <c r="E52" i="1"/>
  <c r="D52" i="1"/>
  <c r="C52" i="1"/>
  <c r="B52" i="1"/>
  <c r="Q51" i="1"/>
  <c r="O51" i="1"/>
  <c r="N51" i="1"/>
  <c r="M51" i="1"/>
  <c r="K51" i="1"/>
  <c r="I51" i="1"/>
  <c r="H51" i="1"/>
  <c r="G51" i="1"/>
  <c r="F51" i="1"/>
  <c r="E51" i="1"/>
  <c r="D51" i="1"/>
  <c r="C51" i="1"/>
  <c r="B51" i="1"/>
  <c r="Q50" i="1"/>
  <c r="O50" i="1"/>
  <c r="N50" i="1"/>
  <c r="M50" i="1"/>
  <c r="K50" i="1"/>
  <c r="I50" i="1"/>
  <c r="H50" i="1"/>
  <c r="G50" i="1"/>
  <c r="F50" i="1"/>
  <c r="E50" i="1"/>
  <c r="D50" i="1"/>
  <c r="C50" i="1"/>
  <c r="B50" i="1"/>
  <c r="Q49" i="1"/>
  <c r="N49" i="1"/>
  <c r="K49" i="1"/>
  <c r="I49" i="1"/>
  <c r="H49" i="1"/>
  <c r="G49" i="1"/>
  <c r="F49" i="1"/>
  <c r="E49" i="1"/>
  <c r="D49" i="1"/>
  <c r="C49" i="1"/>
  <c r="B49" i="1"/>
  <c r="Q48" i="1"/>
  <c r="O48" i="1"/>
  <c r="N48" i="1"/>
  <c r="M48" i="1"/>
  <c r="K48" i="1"/>
  <c r="I48" i="1"/>
  <c r="H48" i="1"/>
  <c r="G48" i="1"/>
  <c r="F48" i="1"/>
  <c r="E48" i="1"/>
  <c r="D48" i="1"/>
  <c r="C48" i="1"/>
  <c r="B48" i="1"/>
  <c r="Q47" i="1"/>
  <c r="P47" i="1"/>
  <c r="O47" i="1"/>
  <c r="N47" i="1"/>
  <c r="M47" i="1"/>
  <c r="K47" i="1"/>
  <c r="I47" i="1"/>
  <c r="H47" i="1"/>
  <c r="G47" i="1"/>
  <c r="F47" i="1"/>
  <c r="E47" i="1"/>
  <c r="D47" i="1"/>
  <c r="C47" i="1"/>
  <c r="B47" i="1"/>
  <c r="Q46" i="1"/>
  <c r="N46" i="1"/>
  <c r="M46" i="1"/>
  <c r="K46" i="1"/>
  <c r="I46" i="1"/>
  <c r="H46" i="1"/>
  <c r="G46" i="1"/>
  <c r="F46" i="1"/>
  <c r="E46" i="1"/>
  <c r="D46" i="1"/>
  <c r="C46" i="1"/>
  <c r="B46" i="1"/>
  <c r="Q45" i="1"/>
  <c r="N45" i="1"/>
  <c r="M45" i="1"/>
  <c r="K45" i="1"/>
  <c r="I45" i="1"/>
  <c r="H45" i="1"/>
  <c r="G45" i="1"/>
  <c r="F45" i="1"/>
  <c r="E45" i="1"/>
  <c r="D45" i="1"/>
  <c r="C45" i="1"/>
  <c r="B45" i="1"/>
  <c r="Q44" i="1"/>
  <c r="O44" i="1"/>
  <c r="N44" i="1"/>
  <c r="M44" i="1"/>
  <c r="K44" i="1"/>
  <c r="I44" i="1"/>
  <c r="H44" i="1"/>
  <c r="G44" i="1"/>
  <c r="F44" i="1"/>
  <c r="E44" i="1"/>
  <c r="D44" i="1"/>
  <c r="C44" i="1"/>
  <c r="B44" i="1"/>
  <c r="Q43" i="1"/>
  <c r="O43" i="1"/>
  <c r="N43" i="1"/>
  <c r="M43" i="1"/>
  <c r="K43" i="1"/>
  <c r="I43" i="1"/>
  <c r="H43" i="1"/>
  <c r="G43" i="1"/>
  <c r="F43" i="1"/>
  <c r="E43" i="1"/>
  <c r="D43" i="1"/>
  <c r="C43" i="1"/>
  <c r="B43" i="1"/>
  <c r="Q42" i="1"/>
  <c r="O42" i="1"/>
  <c r="N42" i="1"/>
  <c r="M42" i="1"/>
  <c r="K42" i="1"/>
  <c r="I42" i="1"/>
  <c r="H42" i="1"/>
  <c r="G42" i="1"/>
  <c r="F42" i="1"/>
  <c r="E42" i="1"/>
  <c r="D42" i="1"/>
  <c r="C42" i="1"/>
  <c r="B42" i="1"/>
  <c r="Q41" i="1"/>
  <c r="O41" i="1"/>
  <c r="N41" i="1"/>
  <c r="M41" i="1"/>
  <c r="K41" i="1"/>
  <c r="I41" i="1"/>
  <c r="H41" i="1"/>
  <c r="G41" i="1"/>
  <c r="F41" i="1"/>
  <c r="E41" i="1"/>
  <c r="D41" i="1"/>
  <c r="C41" i="1"/>
  <c r="B41" i="1"/>
  <c r="Q40" i="1"/>
  <c r="O40" i="1"/>
  <c r="N40" i="1"/>
  <c r="M40" i="1"/>
  <c r="K40" i="1"/>
  <c r="I40" i="1"/>
  <c r="H40" i="1"/>
  <c r="G40" i="1"/>
  <c r="F40" i="1"/>
  <c r="E40" i="1"/>
  <c r="D40" i="1"/>
  <c r="C40" i="1"/>
  <c r="B40" i="1"/>
  <c r="N39" i="1"/>
  <c r="M39" i="1"/>
  <c r="K39" i="1"/>
  <c r="I39" i="1"/>
  <c r="H39" i="1"/>
  <c r="G39" i="1"/>
  <c r="F39" i="1"/>
  <c r="E39" i="1"/>
  <c r="D39" i="1"/>
  <c r="C39" i="1"/>
  <c r="B39" i="1"/>
  <c r="Q38" i="1"/>
  <c r="N38" i="1"/>
  <c r="M38" i="1"/>
  <c r="K38" i="1"/>
  <c r="I38" i="1"/>
  <c r="H38" i="1"/>
  <c r="G38" i="1"/>
  <c r="F38" i="1"/>
  <c r="E38" i="1"/>
  <c r="D38" i="1"/>
  <c r="C38" i="1"/>
  <c r="Q37" i="1"/>
  <c r="N37" i="1"/>
  <c r="M37" i="1"/>
  <c r="K37" i="1"/>
  <c r="I37" i="1"/>
  <c r="H37" i="1"/>
  <c r="G37" i="1"/>
  <c r="F37" i="1"/>
  <c r="E37" i="1"/>
  <c r="D37" i="1"/>
  <c r="C37" i="1"/>
  <c r="B37" i="1"/>
  <c r="Q36" i="1"/>
  <c r="K36" i="1"/>
  <c r="I36" i="1"/>
  <c r="H36" i="1"/>
  <c r="G36" i="1"/>
  <c r="F36" i="1"/>
  <c r="E36" i="1"/>
  <c r="D36" i="1"/>
  <c r="C36" i="1"/>
  <c r="Q35" i="1"/>
  <c r="O35" i="1"/>
  <c r="N35" i="1"/>
  <c r="M35" i="1"/>
  <c r="K35" i="1"/>
  <c r="I35" i="1"/>
  <c r="H35" i="1"/>
  <c r="G35" i="1"/>
  <c r="F35" i="1"/>
  <c r="E35" i="1"/>
  <c r="D35" i="1"/>
  <c r="C35" i="1"/>
  <c r="B35" i="1"/>
  <c r="Q34" i="1"/>
  <c r="O34" i="1"/>
  <c r="N34" i="1"/>
  <c r="M34" i="1"/>
  <c r="K34" i="1"/>
  <c r="I34" i="1"/>
  <c r="H34" i="1"/>
  <c r="G34" i="1"/>
  <c r="F34" i="1"/>
  <c r="E34" i="1"/>
  <c r="D34" i="1"/>
  <c r="C34" i="1"/>
  <c r="B34" i="1"/>
  <c r="Q33" i="1"/>
  <c r="O33" i="1"/>
  <c r="N33" i="1"/>
  <c r="M33" i="1"/>
  <c r="K33" i="1"/>
  <c r="I33" i="1"/>
  <c r="H33" i="1"/>
  <c r="G33" i="1"/>
  <c r="F33" i="1"/>
  <c r="E33" i="1"/>
  <c r="D33" i="1"/>
  <c r="C33" i="1"/>
  <c r="B33" i="1"/>
  <c r="Q32" i="1"/>
  <c r="N32" i="1"/>
  <c r="M32" i="1"/>
  <c r="K32" i="1"/>
  <c r="I32" i="1"/>
  <c r="H32" i="1"/>
  <c r="G32" i="1"/>
  <c r="F32" i="1"/>
  <c r="E32" i="1"/>
  <c r="D32" i="1"/>
  <c r="C32" i="1"/>
  <c r="B32" i="1"/>
  <c r="Q31" i="1"/>
  <c r="N31" i="1"/>
  <c r="M31" i="1"/>
  <c r="K31" i="1"/>
  <c r="I31" i="1"/>
  <c r="H31" i="1"/>
  <c r="G31" i="1"/>
  <c r="F31" i="1"/>
  <c r="E31" i="1"/>
  <c r="D31" i="1"/>
  <c r="C31" i="1"/>
  <c r="B31" i="1"/>
  <c r="Q30" i="1"/>
  <c r="O30" i="1"/>
  <c r="N30" i="1"/>
  <c r="M30" i="1"/>
  <c r="K30" i="1"/>
  <c r="I30" i="1"/>
  <c r="H30" i="1"/>
  <c r="G30" i="1"/>
  <c r="F30" i="1"/>
  <c r="E30" i="1"/>
  <c r="D30" i="1"/>
  <c r="C30" i="1"/>
  <c r="B30" i="1"/>
  <c r="Q29" i="1"/>
  <c r="N29" i="1"/>
  <c r="M29" i="1"/>
  <c r="K29" i="1"/>
  <c r="I29" i="1"/>
  <c r="H29" i="1"/>
  <c r="G29" i="1"/>
  <c r="F29" i="1"/>
  <c r="E29" i="1"/>
  <c r="D29" i="1"/>
  <c r="C29" i="1"/>
  <c r="B29" i="1"/>
  <c r="Q28" i="1"/>
  <c r="O28" i="1"/>
  <c r="N28" i="1"/>
  <c r="M28" i="1"/>
  <c r="K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K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K26" i="1"/>
  <c r="I26" i="1"/>
  <c r="H26" i="1"/>
  <c r="G26" i="1"/>
  <c r="F26" i="1"/>
  <c r="E26" i="1"/>
  <c r="D26" i="1"/>
  <c r="C26" i="1"/>
  <c r="B26" i="1"/>
  <c r="Q25" i="1"/>
  <c r="O25" i="1"/>
  <c r="N25" i="1"/>
  <c r="M25" i="1"/>
  <c r="K25" i="1"/>
  <c r="I25" i="1"/>
  <c r="H25" i="1"/>
  <c r="G25" i="1"/>
  <c r="F25" i="1"/>
  <c r="E25" i="1"/>
  <c r="D25" i="1"/>
  <c r="C25" i="1"/>
  <c r="B25" i="1"/>
  <c r="Q24" i="1"/>
  <c r="O24" i="1"/>
  <c r="N24" i="1"/>
  <c r="M24" i="1"/>
  <c r="K24" i="1"/>
  <c r="I24" i="1"/>
  <c r="H24" i="1"/>
  <c r="G24" i="1"/>
  <c r="F24" i="1"/>
  <c r="E24" i="1"/>
  <c r="D24" i="1"/>
  <c r="C24" i="1"/>
  <c r="B24" i="1"/>
  <c r="Q23" i="1"/>
  <c r="O23" i="1"/>
  <c r="N23" i="1"/>
  <c r="M23" i="1"/>
  <c r="K23" i="1"/>
  <c r="I23" i="1"/>
  <c r="H23" i="1"/>
  <c r="G23" i="1"/>
  <c r="F23" i="1"/>
  <c r="E23" i="1"/>
  <c r="D23" i="1"/>
  <c r="C23" i="1"/>
  <c r="B23" i="1"/>
  <c r="Q22" i="1"/>
  <c r="O22" i="1"/>
  <c r="N22" i="1"/>
  <c r="M22" i="1"/>
  <c r="K22" i="1"/>
  <c r="I22" i="1"/>
  <c r="H22" i="1"/>
  <c r="G22" i="1"/>
  <c r="F22" i="1"/>
  <c r="E22" i="1"/>
  <c r="D22" i="1"/>
  <c r="C22" i="1"/>
  <c r="B22" i="1"/>
  <c r="Q21" i="1"/>
  <c r="N21" i="1"/>
  <c r="M21" i="1"/>
  <c r="K21" i="1"/>
  <c r="I21" i="1"/>
  <c r="H21" i="1"/>
  <c r="G21" i="1"/>
  <c r="F21" i="1"/>
  <c r="E21" i="1"/>
  <c r="D21" i="1"/>
  <c r="C21" i="1"/>
  <c r="B21" i="1"/>
  <c r="Q20" i="1"/>
  <c r="N20" i="1"/>
  <c r="M20" i="1"/>
  <c r="K20" i="1"/>
  <c r="I20" i="1"/>
  <c r="H20" i="1"/>
  <c r="G20" i="1"/>
  <c r="F20" i="1"/>
  <c r="E20" i="1"/>
  <c r="D20" i="1"/>
  <c r="C20" i="1"/>
  <c r="B20" i="1"/>
  <c r="Q19" i="1"/>
  <c r="O19" i="1"/>
  <c r="N19" i="1"/>
  <c r="M19" i="1"/>
  <c r="K19" i="1"/>
  <c r="I19" i="1"/>
  <c r="H19" i="1"/>
  <c r="G19" i="1"/>
  <c r="F19" i="1"/>
  <c r="E19" i="1"/>
  <c r="D19" i="1"/>
  <c r="C19" i="1"/>
  <c r="B19" i="1"/>
  <c r="Q18" i="1"/>
  <c r="N18" i="1"/>
  <c r="M18" i="1"/>
  <c r="K18" i="1"/>
  <c r="I18" i="1"/>
  <c r="H18" i="1"/>
  <c r="G18" i="1"/>
  <c r="F18" i="1"/>
  <c r="E18" i="1"/>
  <c r="D18" i="1"/>
  <c r="C18" i="1"/>
  <c r="B18" i="1"/>
  <c r="Q17" i="1"/>
  <c r="O17" i="1"/>
  <c r="N17" i="1"/>
  <c r="M17" i="1"/>
  <c r="K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K16" i="1"/>
  <c r="I16" i="1"/>
  <c r="H16" i="1"/>
  <c r="G16" i="1"/>
  <c r="F16" i="1"/>
  <c r="E16" i="1"/>
  <c r="D16" i="1"/>
  <c r="C16" i="1"/>
  <c r="B16" i="1"/>
  <c r="Q15" i="1"/>
  <c r="N15" i="1"/>
  <c r="M15" i="1"/>
  <c r="K15" i="1"/>
  <c r="I15" i="1"/>
  <c r="H15" i="1"/>
  <c r="G15" i="1"/>
  <c r="F15" i="1"/>
  <c r="E15" i="1"/>
  <c r="D15" i="1"/>
  <c r="C15" i="1"/>
  <c r="B15" i="1"/>
  <c r="Q14" i="1"/>
  <c r="O14" i="1"/>
  <c r="N14" i="1"/>
  <c r="M14" i="1"/>
  <c r="K14" i="1"/>
  <c r="I14" i="1"/>
  <c r="H14" i="1"/>
  <c r="G14" i="1"/>
  <c r="F14" i="1"/>
  <c r="E14" i="1"/>
  <c r="D14" i="1"/>
  <c r="C14" i="1"/>
  <c r="B14" i="1"/>
  <c r="Q13" i="1"/>
  <c r="O13" i="1"/>
  <c r="N13" i="1"/>
  <c r="M13" i="1"/>
  <c r="K13" i="1"/>
  <c r="I13" i="1"/>
  <c r="H13" i="1"/>
  <c r="G13" i="1"/>
  <c r="F13" i="1"/>
  <c r="E13" i="1"/>
  <c r="D13" i="1"/>
  <c r="C13" i="1"/>
  <c r="B13" i="1"/>
  <c r="K12" i="1"/>
  <c r="I12" i="1"/>
  <c r="H12" i="1"/>
  <c r="G12" i="1"/>
  <c r="E12" i="1"/>
  <c r="D12" i="1"/>
  <c r="C12" i="1"/>
  <c r="Q11" i="1"/>
  <c r="O11" i="1"/>
  <c r="N11" i="1"/>
  <c r="M11" i="1"/>
  <c r="K11" i="1"/>
  <c r="I11" i="1"/>
  <c r="H11" i="1"/>
  <c r="G11" i="1"/>
  <c r="F11" i="1"/>
  <c r="E11" i="1"/>
  <c r="D11" i="1"/>
  <c r="C11" i="1"/>
  <c r="B11" i="1"/>
  <c r="Q10" i="1"/>
  <c r="O10" i="1"/>
  <c r="N10" i="1"/>
  <c r="M10" i="1"/>
  <c r="K10" i="1"/>
  <c r="I10" i="1"/>
  <c r="H10" i="1"/>
  <c r="F10" i="1"/>
  <c r="E10" i="1"/>
  <c r="D10" i="1"/>
  <c r="C10" i="1"/>
  <c r="B10" i="1"/>
  <c r="Q9" i="1"/>
  <c r="P9" i="1"/>
  <c r="O9" i="1"/>
  <c r="N9" i="1"/>
  <c r="M9" i="1"/>
  <c r="K9" i="1"/>
  <c r="I9" i="1"/>
  <c r="H9" i="1"/>
  <c r="G9" i="1"/>
  <c r="F9" i="1"/>
  <c r="E9" i="1"/>
  <c r="D9" i="1"/>
  <c r="C9" i="1"/>
  <c r="B9" i="1"/>
  <c r="Q8" i="1"/>
  <c r="O8" i="1"/>
  <c r="N8" i="1"/>
  <c r="M8" i="1"/>
  <c r="K8" i="1"/>
  <c r="I8" i="1"/>
  <c r="H8" i="1"/>
  <c r="G8" i="1"/>
  <c r="F8" i="1"/>
  <c r="E8" i="1"/>
  <c r="D8" i="1"/>
  <c r="C8" i="1"/>
  <c r="B8" i="1"/>
  <c r="Q7" i="1"/>
  <c r="P7" i="1"/>
  <c r="O7" i="1"/>
  <c r="N7" i="1"/>
  <c r="M7" i="1"/>
  <c r="K7" i="1"/>
  <c r="I7" i="1"/>
  <c r="H7" i="1"/>
  <c r="G7" i="1"/>
  <c r="F7" i="1"/>
  <c r="E7" i="1"/>
  <c r="D7" i="1"/>
  <c r="C7" i="1"/>
  <c r="B7" i="1"/>
  <c r="Q6" i="1"/>
  <c r="K6" i="1"/>
  <c r="D6" i="1"/>
  <c r="C6" i="1"/>
  <c r="I5" i="1"/>
  <c r="B12" i="2" s="1"/>
  <c r="H5" i="1"/>
  <c r="B11" i="2" s="1"/>
  <c r="G5" i="1"/>
  <c r="B10" i="2" s="1"/>
  <c r="F5" i="1"/>
  <c r="B9" i="2" s="1"/>
  <c r="W10" i="5" l="1"/>
  <c r="E23" i="6"/>
  <c r="C27" i="6"/>
  <c r="B6" i="3"/>
  <c r="B6" i="5"/>
  <c r="B5" i="3"/>
  <c r="B5" i="5"/>
  <c r="B8" i="3"/>
  <c r="B8" i="5"/>
  <c r="B7" i="3"/>
  <c r="B7" i="5"/>
  <c r="I56" i="1"/>
  <c r="C56" i="1"/>
  <c r="M56" i="1"/>
  <c r="Z11" i="3" s="1"/>
  <c r="N56" i="1"/>
  <c r="R56" i="1"/>
  <c r="Q56" i="1"/>
  <c r="D56" i="1"/>
  <c r="H56" i="1"/>
  <c r="C12" i="2"/>
  <c r="E56" i="1"/>
  <c r="K56" i="1"/>
  <c r="G10" i="1"/>
  <c r="G56" i="1" s="1"/>
  <c r="F56" i="1"/>
  <c r="C13" i="2" l="1"/>
  <c r="B4" i="5"/>
  <c r="B16" i="5" s="1"/>
  <c r="B18" i="6"/>
  <c r="J3" i="4"/>
  <c r="W7" i="3"/>
  <c r="F3" i="4"/>
  <c r="W5" i="3"/>
  <c r="B20" i="6"/>
  <c r="E20" i="6" s="1"/>
  <c r="W8" i="5"/>
  <c r="B21" i="6"/>
  <c r="E21" i="6" s="1"/>
  <c r="B19" i="6"/>
  <c r="E19" i="6" s="1"/>
  <c r="L3" i="4"/>
  <c r="W8" i="3"/>
  <c r="H3" i="4"/>
  <c r="W6" i="3"/>
  <c r="Y8" i="3"/>
  <c r="Y4" i="3"/>
  <c r="Y10" i="3"/>
  <c r="Y7" i="3"/>
  <c r="Y5" i="3"/>
  <c r="Y3" i="3"/>
  <c r="Y6" i="3"/>
  <c r="B7" i="2"/>
  <c r="B4" i="3"/>
  <c r="C7" i="2"/>
  <c r="C8" i="2"/>
  <c r="I58" i="1"/>
  <c r="C9" i="2"/>
  <c r="F58" i="1"/>
  <c r="C10" i="2"/>
  <c r="G58" i="1"/>
  <c r="C11" i="2"/>
  <c r="H58" i="1"/>
  <c r="D3" i="4" l="1"/>
  <c r="X3" i="4" s="1"/>
  <c r="W4" i="3"/>
  <c r="W15" i="3" s="1"/>
  <c r="B27" i="6"/>
  <c r="E27" i="6" s="1"/>
  <c r="E18" i="6"/>
  <c r="B15" i="3"/>
  <c r="T16" i="5"/>
  <c r="S6" i="5" l="1"/>
  <c r="U6" i="5" s="1"/>
  <c r="W6" i="5" s="1"/>
  <c r="S7" i="5"/>
  <c r="U7" i="5" s="1"/>
  <c r="W7" i="5" s="1"/>
  <c r="S5" i="5"/>
  <c r="U5" i="5" s="1"/>
  <c r="W5" i="5" s="1"/>
  <c r="S4" i="5" l="1"/>
  <c r="U4" i="5" l="1"/>
  <c r="S16" i="5"/>
  <c r="U16" i="5" l="1"/>
  <c r="W4" i="5"/>
  <c r="W16" i="5" s="1"/>
</calcChain>
</file>

<file path=xl/sharedStrings.xml><?xml version="1.0" encoding="utf-8"?>
<sst xmlns="http://schemas.openxmlformats.org/spreadsheetml/2006/main" count="312" uniqueCount="135">
  <si>
    <t>NOM</t>
  </si>
  <si>
    <t>ASELBY</t>
  </si>
  <si>
    <t>ANNEE</t>
  </si>
  <si>
    <t>2016/2017</t>
  </si>
  <si>
    <t>BILAN MI PARCOURS</t>
  </si>
  <si>
    <t>MATRICULE</t>
  </si>
  <si>
    <t>NOM ET PRENOM</t>
  </si>
  <si>
    <t>FONDS DE CAISSE</t>
  </si>
  <si>
    <t>RELIQUAT 2016</t>
  </si>
  <si>
    <t>EPARGNE</t>
  </si>
  <si>
    <t>FONDS DE ROULEMENT</t>
  </si>
  <si>
    <t>FRAIS EXCEPTIONNEL</t>
  </si>
  <si>
    <t>COLLATION</t>
  </si>
  <si>
    <t>MUTUELLE</t>
  </si>
  <si>
    <t>SANCTION</t>
  </si>
  <si>
    <t>INTERET PERCU</t>
  </si>
  <si>
    <t>MONTANT A PERCEVOIR</t>
  </si>
  <si>
    <t>PRÊT EN COURS</t>
  </si>
  <si>
    <t>INTERET PRORATA</t>
  </si>
  <si>
    <t>DATE REMBOURSEMENT</t>
  </si>
  <si>
    <t>OBSERVATION</t>
  </si>
  <si>
    <t>MONTAN INTERET 2017</t>
  </si>
  <si>
    <t>REPORT 2015-2016</t>
  </si>
  <si>
    <t>AS201648</t>
  </si>
  <si>
    <t>AS201601</t>
  </si>
  <si>
    <t>AS201602</t>
  </si>
  <si>
    <t>AS201603</t>
  </si>
  <si>
    <t>AS201604</t>
  </si>
  <si>
    <t>AS201605</t>
  </si>
  <si>
    <t>ECHEC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</si>
  <si>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</si>
  <si>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</si>
  <si>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</si>
  <si>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</si>
  <si>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</si>
  <si>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</si>
  <si>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</si>
  <si>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</si>
  <si>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</si>
  <si>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</si>
  <si>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</si>
  <si>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</si>
  <si>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</si>
  <si>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</si>
  <si>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</si>
  <si>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</si>
  <si>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</si>
  <si>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</si>
  <si>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</si>
  <si>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</si>
  <si>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</si>
  <si>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</si>
  <si>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</si>
  <si>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AS201631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</si>
  <si>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</si>
  <si>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</si>
  <si>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</si>
  <si>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</si>
  <si>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</si>
  <si>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</si>
  <si>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</si>
  <si>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</si>
  <si>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</si>
  <si>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</si>
  <si>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</si>
  <si>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</si>
  <si>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</si>
  <si>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</si>
  <si>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</si>
  <si>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</si>
  <si>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RUBRIQUE</t>
  </si>
  <si>
    <t>REPORT A NOUVEAU</t>
  </si>
  <si>
    <t>ENTREES</t>
  </si>
  <si>
    <t>SORTIES</t>
  </si>
  <si>
    <t>SOLDE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</si>
  <si>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</si>
  <si>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</si>
  <si>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</si>
  <si>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</si>
  <si>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</si>
  <si>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</si>
  <si>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</si>
  <si>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COMPTE CCA</t>
  </si>
  <si>
    <t>COMPTE AFRILAND</t>
  </si>
  <si>
    <t>COMPTE MC2</t>
  </si>
  <si>
    <t>ASELBY CAISSE(NDJOMO ETIENNE)</t>
  </si>
  <si>
    <t>RETRAIT DISTRIBUTION EPARGNE</t>
  </si>
  <si>
    <t>MONTANT DISPONIBLE</t>
  </si>
  <si>
    <t>PENALITE VERSEMENT ESPECES</t>
  </si>
  <si>
    <t>EPARGNE\RELIQUAT2016</t>
  </si>
  <si>
    <t>PENALITE VERSEMENT EN ESPECES</t>
  </si>
  <si>
    <t>BILAN ALLANT DE LA PERIODE  DU 01 DECEMBRE 2016 AU 30 AOUT 2017</t>
  </si>
  <si>
    <t>FRAIS EXCEPTIONNELLE</t>
  </si>
  <si>
    <t>INSCRIPTION</t>
  </si>
  <si>
    <t>SOLDE AU 30/11/2016</t>
  </si>
  <si>
    <t>ENTREE</t>
  </si>
  <si>
    <t>SORTIE</t>
  </si>
  <si>
    <t>PENALITE</t>
  </si>
  <si>
    <t>REMBOURSEMENT</t>
  </si>
  <si>
    <t>JANV.</t>
  </si>
  <si>
    <t>FÉVR.</t>
  </si>
  <si>
    <t>MARS</t>
  </si>
  <si>
    <t>DEC 2016</t>
  </si>
  <si>
    <t>FONDS DE  ROULEMENT</t>
  </si>
  <si>
    <t>AVRIL</t>
  </si>
  <si>
    <t>MAI</t>
  </si>
  <si>
    <t>JUIN</t>
  </si>
  <si>
    <t>ARGENT GARDE</t>
  </si>
  <si>
    <t>JUILLET</t>
  </si>
  <si>
    <t>AOÛT</t>
  </si>
  <si>
    <t>BILANINFORMATIQU</t>
  </si>
  <si>
    <t>MOIS</t>
  </si>
  <si>
    <t xml:space="preserve">FEVRIER </t>
  </si>
  <si>
    <t>AOUT</t>
  </si>
  <si>
    <t>REPORT A NOUVEAU NOV 2016</t>
  </si>
  <si>
    <t>JANVIER 2017</t>
  </si>
  <si>
    <t>PENALITE VESEMENT ESPECE</t>
  </si>
  <si>
    <t>BILANDEJOLIE</t>
  </si>
  <si>
    <t>EPARGNE/RELIQUAT</t>
  </si>
  <si>
    <t>SITUATION GLOBALE DE TRESORERIE AU 31 AOUT 2017</t>
  </si>
  <si>
    <t>LIBELLE BANQUE</t>
  </si>
  <si>
    <t>CCA</t>
  </si>
  <si>
    <t>AFRILAND FIRST BANK</t>
  </si>
  <si>
    <t>MC2</t>
  </si>
  <si>
    <t>PRÊT EN CIRCULATION</t>
  </si>
  <si>
    <t>MASSE MONETAIRE</t>
  </si>
  <si>
    <t>MONTANT</t>
  </si>
  <si>
    <t>LIBELLE</t>
  </si>
  <si>
    <t>S/TOTAL</t>
  </si>
  <si>
    <t>REPORT</t>
  </si>
  <si>
    <t>FONDS DE CAISSE/EPARGNE/RELIQUAT</t>
  </si>
  <si>
    <t>DIFFERENCE</t>
  </si>
  <si>
    <t>BILAN ALLANT DE LA PERIODE  DU 01 DECEMBRE 2015 AU 30 NOVEMBRE 2016</t>
  </si>
  <si>
    <t>EPARGNE\RELIQUAT2015</t>
  </si>
  <si>
    <t>SOUS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</si>
</sst>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3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3" fontId="2" fillId="0" borderId="5" xfId="0" applyNumberFormat="1" applyFont="1" applyBorder="1"/>
    <xf numFmtId="3" fontId="3" fillId="0" borderId="5" xfId="0" applyNumberFormat="1" applyFont="1" applyBorder="1"/>
    <xf numFmtId="3" fontId="2" fillId="0" borderId="5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3" fontId="0" fillId="0" borderId="5" xfId="0" applyNumberFormat="1" applyBorder="1" applyProtection="1">
      <protection locked="0"/>
    </xf>
    <xf numFmtId="3" fontId="2" fillId="0" borderId="6" xfId="0" applyNumberFormat="1" applyFont="1" applyBorder="1" applyAlignment="1">
      <alignment horizontal="right"/>
    </xf>
    <xf numFmtId="164" fontId="2" fillId="0" borderId="5" xfId="0" applyNumberFormat="1" applyFont="1" applyBorder="1" applyAlignment="1" applyProtection="1">
      <alignment horizontal="right"/>
      <protection locked="0"/>
    </xf>
    <xf numFmtId="0" fontId="0" fillId="0" borderId="5" xfId="0" applyBorder="1"/>
    <xf numFmtId="164" fontId="0" fillId="0" borderId="5" xfId="0" applyNumberFormat="1" applyBorder="1"/>
    <xf numFmtId="0" fontId="4" fillId="0" borderId="4" xfId="0" applyFont="1" applyBorder="1"/>
    <xf numFmtId="0" fontId="5" fillId="0" borderId="0" xfId="0" applyFont="1"/>
    <xf numFmtId="0" fontId="5" fillId="0" borderId="5" xfId="0" applyFont="1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3" fontId="6" fillId="0" borderId="8" xfId="0" applyNumberFormat="1" applyFont="1" applyBorder="1"/>
    <xf numFmtId="164" fontId="6" fillId="0" borderId="8" xfId="0" applyNumberFormat="1" applyFont="1" applyBorder="1"/>
    <xf numFmtId="0" fontId="0" fillId="0" borderId="8" xfId="0" applyBorder="1"/>
    <xf numFmtId="3" fontId="6" fillId="0" borderId="9" xfId="0" applyNumberFormat="1" applyFont="1" applyBorder="1"/>
    <xf numFmtId="164" fontId="0" fillId="0" borderId="0" xfId="0" applyNumberFormat="1"/>
    <xf numFmtId="0" fontId="7" fillId="0" borderId="0" xfId="0" applyFont="1"/>
    <xf numFmtId="0" fontId="8" fillId="2" borderId="1" xfId="0" applyFont="1" applyFill="1" applyBorder="1"/>
    <xf numFmtId="0" fontId="8" fillId="2" borderId="2" xfId="0" applyFont="1" applyFill="1" applyBorder="1" applyAlignment="1">
      <alignment wrapText="1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4" xfId="0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1" fillId="0" borderId="0" xfId="0" applyNumberFormat="1" applyFont="1"/>
    <xf numFmtId="3" fontId="2" fillId="0" borderId="9" xfId="0" applyNumberFormat="1" applyFont="1" applyBorder="1"/>
    <xf numFmtId="3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164" fontId="2" fillId="0" borderId="10" xfId="0" applyNumberFormat="1" applyFont="1" applyBorder="1" applyAlignment="1">
      <alignment horizontal="center" wrapText="1"/>
    </xf>
    <xf numFmtId="0" fontId="0" fillId="0" borderId="3" xfId="0" applyBorder="1"/>
    <xf numFmtId="3" fontId="7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wrapText="1"/>
    </xf>
    <xf numFmtId="3" fontId="9" fillId="0" borderId="0" xfId="0" applyNumberFormat="1" applyFont="1"/>
    <xf numFmtId="3" fontId="10" fillId="0" borderId="0" xfId="0" applyNumberFormat="1" applyFont="1"/>
    <xf numFmtId="0" fontId="0" fillId="0" borderId="7" xfId="0" applyBorder="1"/>
    <xf numFmtId="0" fontId="0" fillId="0" borderId="9" xfId="0" applyBorder="1"/>
    <xf numFmtId="0" fontId="8" fillId="0" borderId="4" xfId="0" applyFont="1" applyBorder="1"/>
    <xf numFmtId="3" fontId="8" fillId="0" borderId="6" xfId="0" applyNumberFormat="1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0" xfId="0" applyFont="1"/>
    <xf numFmtId="3" fontId="11" fillId="0" borderId="6" xfId="0" applyNumberFormat="1" applyFont="1" applyBorder="1"/>
    <xf numFmtId="0" fontId="11" fillId="0" borderId="6" xfId="0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8" fillId="0" borderId="8" xfId="0" applyNumberFormat="1" applyFont="1" applyBorder="1"/>
    <xf numFmtId="3" fontId="8" fillId="0" borderId="9" xfId="0" applyNumberFormat="1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12" fillId="0" borderId="9" xfId="0" applyNumberFormat="1" applyFont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20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/ASELBYTONTINE2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B8" t="str">
            <v>MBOGNING TUGMA GUY</v>
          </cell>
          <cell r="C8" t="str">
            <v>TECHNICIEN D'ELEVAGE</v>
          </cell>
          <cell r="E8">
            <v>694452000</v>
          </cell>
          <cell r="G8" t="str">
            <v xml:space="preserve">NSIMEYONG </v>
          </cell>
        </row>
        <row r="9">
          <cell r="A9" t="str">
            <v>AS201604</v>
          </cell>
          <cell r="B9" t="str">
            <v xml:space="preserve">DJOMO JEAN PAUL </v>
          </cell>
          <cell r="C9" t="str">
            <v>RETRAITE</v>
          </cell>
          <cell r="E9">
            <v>677986676</v>
          </cell>
          <cell r="G9" t="str">
            <v>RUE MANGUIERS</v>
          </cell>
          <cell r="H9">
            <v>43132</v>
          </cell>
        </row>
        <row r="10">
          <cell r="A10" t="str">
            <v>AS201605</v>
          </cell>
          <cell r="B10" t="str">
            <v>DJOUKWE NANGUEN GUY BLAISE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AS201606</v>
          </cell>
          <cell r="B11" t="str">
            <v>DJOSSEU JOSUE</v>
          </cell>
          <cell r="C11" t="str">
            <v>PROFESSEUR DES LYCEES TECHNIQUE</v>
          </cell>
          <cell r="E11">
            <v>675250451</v>
          </cell>
          <cell r="G11" t="str">
            <v>RUE MANGUIERS</v>
          </cell>
          <cell r="H11">
            <v>43313</v>
          </cell>
        </row>
        <row r="12">
          <cell r="A12" t="str">
            <v>AS201607</v>
          </cell>
          <cell r="B12" t="str">
            <v>DJOUNKEP SAMUEL</v>
          </cell>
          <cell r="C12" t="str">
            <v>COMPTABLE RETRAITE</v>
          </cell>
          <cell r="E12">
            <v>697103557</v>
          </cell>
          <cell r="G12" t="str">
            <v>BIYEM ASSI LYCEE</v>
          </cell>
          <cell r="H12">
            <v>42401</v>
          </cell>
        </row>
        <row r="13">
          <cell r="A13" t="str">
            <v>AS201608</v>
          </cell>
          <cell r="B13" t="str">
            <v>DJUOMBESSY ANTOINE</v>
          </cell>
          <cell r="C13" t="str">
            <v>ANALYSTE CONCEPTEUR SI</v>
          </cell>
          <cell r="E13">
            <v>677501239</v>
          </cell>
          <cell r="F13">
            <v>699324095</v>
          </cell>
          <cell r="G13" t="str">
            <v>MESSASSI</v>
          </cell>
          <cell r="H13">
            <v>43647</v>
          </cell>
        </row>
        <row r="14">
          <cell r="A14" t="str">
            <v>AS201609</v>
          </cell>
          <cell r="B14" t="str">
            <v>DONHOU DAVID</v>
          </cell>
          <cell r="C14" t="str">
            <v>MAGISTRAT</v>
          </cell>
          <cell r="E14">
            <v>699908065</v>
          </cell>
          <cell r="G14" t="str">
            <v>TONGOLO</v>
          </cell>
          <cell r="H14">
            <v>42979</v>
          </cell>
        </row>
        <row r="15">
          <cell r="A15" t="str">
            <v>AS201610</v>
          </cell>
          <cell r="B15" t="str">
            <v>FOTSO THOMAS</v>
          </cell>
          <cell r="C15" t="str">
            <v>CADRE BANQUE</v>
          </cell>
          <cell r="E15">
            <v>677910278</v>
          </cell>
          <cell r="G15" t="str">
            <v>OYOMABANG</v>
          </cell>
          <cell r="H15">
            <v>43344</v>
          </cell>
        </row>
        <row r="16">
          <cell r="A16" t="str">
            <v>AS201611</v>
          </cell>
          <cell r="B16" t="str">
            <v>HENGUE PAUL OMER</v>
          </cell>
          <cell r="C16" t="str">
            <v>SOCIOLOGUE</v>
          </cell>
          <cell r="E16">
            <v>694468080</v>
          </cell>
          <cell r="G16" t="str">
            <v>MESSASSI</v>
          </cell>
          <cell r="H16">
            <v>42583</v>
          </cell>
        </row>
        <row r="17">
          <cell r="A17" t="str">
            <v>AS201612</v>
          </cell>
          <cell r="B17" t="str">
            <v>HODIEP JULES</v>
          </cell>
          <cell r="C17" t="str">
            <v>CADRE CNPS</v>
          </cell>
          <cell r="E17">
            <v>675291170</v>
          </cell>
          <cell r="G17" t="str">
            <v>NYOM 2</v>
          </cell>
          <cell r="H17">
            <v>43009</v>
          </cell>
        </row>
        <row r="18">
          <cell r="A18" t="str">
            <v>AS201613</v>
          </cell>
          <cell r="B18" t="str">
            <v>HOTCHO BENJAMIN</v>
          </cell>
          <cell r="C18" t="str">
            <v>COMPTABLE</v>
          </cell>
          <cell r="E18">
            <v>699956355</v>
          </cell>
          <cell r="G18" t="str">
            <v>DAMAS</v>
          </cell>
          <cell r="H18">
            <v>42614</v>
          </cell>
        </row>
        <row r="19">
          <cell r="A19" t="str">
            <v>AS201614</v>
          </cell>
          <cell r="B19" t="str">
            <v>NKEHE DAVID</v>
          </cell>
          <cell r="C19" t="str">
            <v>OPERATEUR ECONOMIQUE</v>
          </cell>
          <cell r="E19">
            <v>677053815</v>
          </cell>
          <cell r="G19" t="str">
            <v>MESSASSI</v>
          </cell>
          <cell r="H19">
            <v>43374</v>
          </cell>
        </row>
        <row r="20">
          <cell r="A20" t="str">
            <v>AS201615</v>
          </cell>
          <cell r="B20" t="str">
            <v>KEPSEU FRANCIS</v>
          </cell>
          <cell r="C20" t="str">
            <v>OFFICIER DE POLICE RETRAITE</v>
          </cell>
          <cell r="E20">
            <v>699528700</v>
          </cell>
          <cell r="G20" t="str">
            <v>SIMBOCK</v>
          </cell>
          <cell r="H20">
            <v>43405</v>
          </cell>
        </row>
        <row r="21">
          <cell r="A21" t="str">
            <v>AS201616</v>
          </cell>
          <cell r="B21" t="str">
            <v>KOUAMOU EMMANUEL</v>
          </cell>
          <cell r="C21" t="str">
            <v>OPERATEUR ECONOMIQUE</v>
          </cell>
          <cell r="E21">
            <v>699335584</v>
          </cell>
          <cell r="G21" t="str">
            <v>MONTEE JOUVENCE</v>
          </cell>
          <cell r="H21">
            <v>42795</v>
          </cell>
        </row>
        <row r="22">
          <cell r="A22" t="str">
            <v>AS201617</v>
          </cell>
          <cell r="B22" t="str">
            <v>KOUAMOU MOISE</v>
          </cell>
          <cell r="C22" t="str">
            <v>INGENIEUR E-F</v>
          </cell>
          <cell r="E22">
            <v>675836725</v>
          </cell>
          <cell r="G22" t="str">
            <v>DAMAS</v>
          </cell>
          <cell r="H22">
            <v>42370</v>
          </cell>
        </row>
        <row r="23">
          <cell r="A23" t="str">
            <v>AS201618</v>
          </cell>
          <cell r="B23" t="str">
            <v>KOUAMO VICTOR PEGUY</v>
          </cell>
          <cell r="C23" t="str">
            <v>S/OFFICIER SUPERIEUR</v>
          </cell>
          <cell r="E23">
            <v>696564847</v>
          </cell>
          <cell r="G23" t="str">
            <v>MESSASSI</v>
          </cell>
          <cell r="H23">
            <v>43617</v>
          </cell>
        </row>
        <row r="24">
          <cell r="A24" t="str">
            <v>AS201619</v>
          </cell>
          <cell r="B24" t="str">
            <v>KOUATCHO MESSACK</v>
          </cell>
          <cell r="C24" t="str">
            <v>INSPECTEUR DE TRAVAIL</v>
          </cell>
          <cell r="E24">
            <v>677735778</v>
          </cell>
          <cell r="G24" t="str">
            <v>SANTA BARBARA</v>
          </cell>
          <cell r="H24">
            <v>42644</v>
          </cell>
        </row>
        <row r="25">
          <cell r="A25" t="str">
            <v>AS201620</v>
          </cell>
          <cell r="B25" t="str">
            <v>LOWE JEAN</v>
          </cell>
          <cell r="C25" t="str">
            <v>PROFESSEUR DE LYCEE</v>
          </cell>
        </row>
        <row r="26">
          <cell r="A26" t="str">
            <v>AS201649</v>
          </cell>
          <cell r="B26" t="str">
            <v>MBOGNING TUGMA GUY</v>
          </cell>
          <cell r="C26" t="str">
            <v>TECHNICIEN D'ELEVAGE</v>
          </cell>
          <cell r="E26">
            <v>694452000</v>
          </cell>
          <cell r="G26" t="str">
            <v xml:space="preserve">NSIMEYONG </v>
          </cell>
        </row>
        <row r="27">
          <cell r="A27" t="str">
            <v>AS201621</v>
          </cell>
          <cell r="B27" t="str">
            <v>NANKAM APPOLINAIRE</v>
          </cell>
          <cell r="C27" t="str">
            <v>ENSEIGNANT</v>
          </cell>
          <cell r="E27">
            <v>693055118</v>
          </cell>
          <cell r="G27" t="str">
            <v>DAMAS</v>
          </cell>
          <cell r="H27">
            <v>43678</v>
          </cell>
        </row>
        <row r="28">
          <cell r="A28" t="str">
            <v>AS201622</v>
          </cell>
          <cell r="B28" t="str">
            <v>NDJOMO ETIENNE</v>
          </cell>
          <cell r="C28" t="str">
            <v>COMPTABLE</v>
          </cell>
          <cell r="E28">
            <v>677553702</v>
          </cell>
          <cell r="G28" t="str">
            <v>MONTEE JOUVENCE</v>
          </cell>
          <cell r="H28">
            <v>42705</v>
          </cell>
        </row>
        <row r="29">
          <cell r="A29" t="str">
            <v>AS201623</v>
          </cell>
          <cell r="B29" t="str">
            <v>NDOMBOU JEAN CLAUDE</v>
          </cell>
          <cell r="C29" t="str">
            <v>ING AGRONOME RETRAITE</v>
          </cell>
          <cell r="E29">
            <v>699358350</v>
          </cell>
          <cell r="G29" t="str">
            <v>ETOUG EBE</v>
          </cell>
          <cell r="H29">
            <v>42767</v>
          </cell>
        </row>
        <row r="30">
          <cell r="A30" t="str">
            <v>AS201624</v>
          </cell>
          <cell r="B30" t="str">
            <v>NGONDIEP CLAUDE</v>
          </cell>
          <cell r="C30" t="str">
            <v>DAS(DIRECTEUR ADMINISTRATEUR SOCIETE)</v>
          </cell>
          <cell r="E30">
            <v>675249207</v>
          </cell>
          <cell r="G30" t="str">
            <v>CITE VERTE</v>
          </cell>
          <cell r="H30">
            <v>43070</v>
          </cell>
        </row>
        <row r="31">
          <cell r="A31" t="str">
            <v>AS201625</v>
          </cell>
          <cell r="B31" t="str">
            <v>NGONGANG JEAN THEODORE</v>
          </cell>
          <cell r="C31" t="str">
            <v>CHEF ENTREPRISE</v>
          </cell>
          <cell r="E31">
            <v>677766503</v>
          </cell>
          <cell r="G31" t="str">
            <v>RUE MANGUIERS</v>
          </cell>
          <cell r="H31">
            <v>42491</v>
          </cell>
        </row>
        <row r="32">
          <cell r="A32" t="str">
            <v>AS201626</v>
          </cell>
          <cell r="B32" t="str">
            <v>NGUIEMEGNI MATHIEU BLAISE</v>
          </cell>
          <cell r="C32" t="str">
            <v>CADRE CADASTRE</v>
          </cell>
          <cell r="E32">
            <v>677068360</v>
          </cell>
          <cell r="G32" t="str">
            <v>MONATELE</v>
          </cell>
          <cell r="H32">
            <v>43101</v>
          </cell>
        </row>
        <row r="33">
          <cell r="A33" t="str">
            <v>AS201627</v>
          </cell>
          <cell r="B33" t="str">
            <v>NJEPDJIO MBOUKAM DELUXE</v>
          </cell>
          <cell r="C33" t="str">
            <v>OPERATEUR ECONOMIQUE</v>
          </cell>
          <cell r="E33">
            <v>670909070</v>
          </cell>
          <cell r="G33" t="str">
            <v>MENDONG</v>
          </cell>
          <cell r="H33">
            <v>43586</v>
          </cell>
        </row>
        <row r="34">
          <cell r="A34" t="str">
            <v>AS201628</v>
          </cell>
          <cell r="B34" t="str">
            <v>NKAMGANG JUSTIN DEJOLIE</v>
          </cell>
          <cell r="C34" t="str">
            <v>DELEGUE COMMERCIAL</v>
          </cell>
          <cell r="E34">
            <v>676659191</v>
          </cell>
          <cell r="G34" t="str">
            <v>MENDONG</v>
          </cell>
          <cell r="H34">
            <v>43497</v>
          </cell>
        </row>
        <row r="35">
          <cell r="A35" t="str">
            <v>AS201629</v>
          </cell>
          <cell r="B35" t="str">
            <v>NKEPSEU DIEUDONNE</v>
          </cell>
          <cell r="C35" t="str">
            <v>OPERATEUR ECONOMIQUE</v>
          </cell>
          <cell r="E35">
            <v>677575366</v>
          </cell>
          <cell r="G35" t="str">
            <v>ESSOS</v>
          </cell>
          <cell r="H35">
            <v>42917</v>
          </cell>
        </row>
        <row r="36">
          <cell r="A36" t="str">
            <v>AS201630</v>
          </cell>
          <cell r="B36" t="str">
            <v>NKEPSEU HENANG RENE</v>
          </cell>
          <cell r="C36" t="str">
            <v>CADRE SONEL RETRAITE</v>
          </cell>
          <cell r="E36">
            <v>699843118</v>
          </cell>
          <cell r="G36" t="str">
            <v>BIYEM ASSI LYCEE</v>
          </cell>
          <cell r="H36">
            <v>42522</v>
          </cell>
        </row>
        <row r="37">
          <cell r="A37" t="str">
            <v>AS201631</v>
          </cell>
          <cell r="B37" t="str">
            <v>NTEPDIE TUEMAC MZ</v>
          </cell>
          <cell r="C37" t="str">
            <v>OPERATEUR ECONOMIQUE</v>
          </cell>
          <cell r="E37">
            <v>677377251</v>
          </cell>
          <cell r="G37" t="str">
            <v>MONTEE JOUVENCE</v>
          </cell>
          <cell r="H37">
            <v>43282</v>
          </cell>
        </row>
        <row r="38">
          <cell r="A38" t="str">
            <v>AS201632</v>
          </cell>
          <cell r="B38" t="str">
            <v>NTOMBOU ADOLPHE</v>
          </cell>
          <cell r="C38" t="str">
            <v xml:space="preserve">INGENIEUR </v>
          </cell>
          <cell r="E38">
            <v>677867173</v>
          </cell>
          <cell r="G38" t="str">
            <v>BIYEM ASSI LYCEE</v>
          </cell>
          <cell r="H38">
            <v>42461</v>
          </cell>
        </row>
        <row r="39">
          <cell r="A39" t="str">
            <v>AS201633</v>
          </cell>
          <cell r="B39" t="str">
            <v>PATEGO NJOSSU GUSTAVE</v>
          </cell>
          <cell r="C39" t="str">
            <v>INGENIEUR T-P</v>
          </cell>
          <cell r="E39">
            <v>699995086</v>
          </cell>
          <cell r="G39" t="str">
            <v>EBOGO 1(SOA)</v>
          </cell>
          <cell r="H39">
            <v>43525</v>
          </cell>
        </row>
        <row r="40">
          <cell r="A40" t="str">
            <v>AS201634</v>
          </cell>
          <cell r="B40" t="str">
            <v>SEUNOU RICHELOT</v>
          </cell>
          <cell r="C40" t="str">
            <v>OPERATEUR ECONOMIQUE</v>
          </cell>
          <cell r="E40">
            <v>677054646</v>
          </cell>
          <cell r="G40" t="str">
            <v>EMANA</v>
          </cell>
          <cell r="H40">
            <v>43160</v>
          </cell>
        </row>
        <row r="41">
          <cell r="A41" t="str">
            <v>AS201635</v>
          </cell>
          <cell r="B41" t="str">
            <v>SIME ABEL</v>
          </cell>
          <cell r="C41" t="str">
            <v>OPERATEUR ECONOMIQUE</v>
          </cell>
          <cell r="E41">
            <v>699549665</v>
          </cell>
          <cell r="G41" t="str">
            <v>ELEVEUR</v>
          </cell>
          <cell r="H41">
            <v>43556</v>
          </cell>
        </row>
        <row r="42">
          <cell r="A42" t="str">
            <v>AS201636</v>
          </cell>
          <cell r="B42" t="str">
            <v>SIME FONGANG ERIC</v>
          </cell>
          <cell r="C42" t="str">
            <v>CADRE BANQUE</v>
          </cell>
          <cell r="E42">
            <v>699350133</v>
          </cell>
          <cell r="G42" t="str">
            <v>DAMAS</v>
          </cell>
          <cell r="H42">
            <v>43435</v>
          </cell>
        </row>
        <row r="43">
          <cell r="A43" t="str">
            <v>AS201637</v>
          </cell>
          <cell r="B43" t="str">
            <v>SIME MATHIEU</v>
          </cell>
          <cell r="C43" t="str">
            <v>CHEF ENTREPRISE</v>
          </cell>
          <cell r="E43">
            <v>677477649</v>
          </cell>
          <cell r="G43" t="str">
            <v>PARC NATIONAL</v>
          </cell>
          <cell r="H43">
            <v>42948</v>
          </cell>
        </row>
        <row r="44">
          <cell r="A44" t="str">
            <v>AS201638</v>
          </cell>
          <cell r="B44" t="str">
            <v>SIME PIERRE</v>
          </cell>
          <cell r="C44" t="str">
            <v>TECHNICIEN DE SANTE RETRAITE</v>
          </cell>
          <cell r="E44">
            <v>677546060</v>
          </cell>
          <cell r="G44" t="str">
            <v>OYOMABANG</v>
          </cell>
          <cell r="H44">
            <v>42736</v>
          </cell>
        </row>
        <row r="45">
          <cell r="A45" t="str">
            <v>AS201639</v>
          </cell>
          <cell r="B45" t="str">
            <v>TAGNE NANGUEN MARTIN</v>
          </cell>
          <cell r="C45" t="str">
            <v>SECRETAIRE D'ADMINISTRATION</v>
          </cell>
          <cell r="E45">
            <v>677648306</v>
          </cell>
          <cell r="G45" t="str">
            <v>RUE MANGUIERS</v>
          </cell>
          <cell r="H45">
            <v>43040</v>
          </cell>
        </row>
        <row r="46">
          <cell r="A46" t="str">
            <v>AS201640</v>
          </cell>
          <cell r="B46" t="str">
            <v>TCHOUAMOU JEAN PAUL</v>
          </cell>
          <cell r="C46" t="str">
            <v>CADRE CNPS</v>
          </cell>
          <cell r="E46">
            <v>677780149</v>
          </cell>
          <cell r="G46" t="str">
            <v>MESSASSI</v>
          </cell>
          <cell r="H46">
            <v>42552</v>
          </cell>
        </row>
        <row r="47">
          <cell r="A47" t="str">
            <v>AS201641</v>
          </cell>
          <cell r="B47" t="str">
            <v>TCHOUAMOU MATHIEU</v>
          </cell>
          <cell r="C47" t="str">
            <v>OFFICIER SUPERIEUR</v>
          </cell>
          <cell r="E47">
            <v>699778906</v>
          </cell>
          <cell r="G47" t="str">
            <v>MENDONG</v>
          </cell>
          <cell r="H47">
            <v>43709</v>
          </cell>
        </row>
        <row r="48">
          <cell r="A48" t="str">
            <v>AS201642</v>
          </cell>
          <cell r="B48" t="str">
            <v>TCHOUANTE FRANCOIS</v>
          </cell>
          <cell r="C48" t="str">
            <v>ENSEIGNANT</v>
          </cell>
          <cell r="E48">
            <v>678639806</v>
          </cell>
          <cell r="G48" t="str">
            <v>MENDONG</v>
          </cell>
          <cell r="H48">
            <v>43252</v>
          </cell>
        </row>
        <row r="49">
          <cell r="A49" t="str">
            <v>AS201643</v>
          </cell>
          <cell r="B49" t="str">
            <v>TCHOUTOU NANA CLAUDE</v>
          </cell>
          <cell r="C49" t="str">
            <v>OPERATEUR ECONOMIQUE</v>
          </cell>
          <cell r="E49">
            <v>677775940</v>
          </cell>
          <cell r="G49" t="str">
            <v>NKOL FOULOU</v>
          </cell>
          <cell r="H49">
            <v>43221</v>
          </cell>
        </row>
        <row r="50">
          <cell r="A50" t="str">
            <v>AS201644</v>
          </cell>
          <cell r="B50" t="str">
            <v>TIEYAM ERNEST</v>
          </cell>
          <cell r="C50" t="str">
            <v>INGENIEUR ELECTRONICIEN</v>
          </cell>
          <cell r="E50">
            <v>677508603</v>
          </cell>
          <cell r="G50" t="str">
            <v>BASTOS</v>
          </cell>
          <cell r="H50">
            <v>42856</v>
          </cell>
        </row>
        <row r="51">
          <cell r="A51" t="str">
            <v>AS201645</v>
          </cell>
          <cell r="B51" t="str">
            <v>TUGMA PIERRE LOTI</v>
          </cell>
          <cell r="C51" t="str">
            <v>PROFESSEUR DES LYCEES RETRAITE</v>
          </cell>
          <cell r="E51">
            <v>677726329</v>
          </cell>
          <cell r="G51" t="str">
            <v>BIYEM ASSI LYCEE</v>
          </cell>
          <cell r="H51">
            <v>42430</v>
          </cell>
        </row>
        <row r="52">
          <cell r="A52" t="str">
            <v>AS201646</v>
          </cell>
          <cell r="B52" t="str">
            <v>YEPMOU JEAN JACQUES</v>
          </cell>
          <cell r="C52" t="str">
            <v>ADMINISTRATEUR CIVIL</v>
          </cell>
          <cell r="E52">
            <v>699663416</v>
          </cell>
          <cell r="G52" t="str">
            <v>MENDONG (NKOLZIE)</v>
          </cell>
          <cell r="H52">
            <v>42826</v>
          </cell>
        </row>
      </sheetData>
      <sheetData sheetId="1" refreshError="1"/>
      <sheetData sheetId="2" refreshError="1">
        <row r="5">
          <cell r="O5">
            <v>0</v>
          </cell>
        </row>
        <row r="6">
          <cell r="O6">
            <v>420000</v>
          </cell>
        </row>
        <row r="7">
          <cell r="O7">
            <v>420000</v>
          </cell>
        </row>
        <row r="8">
          <cell r="O8">
            <v>420000</v>
          </cell>
        </row>
        <row r="9">
          <cell r="O9">
            <v>420000</v>
          </cell>
        </row>
        <row r="10">
          <cell r="O10">
            <v>420000</v>
          </cell>
        </row>
        <row r="11">
          <cell r="O11">
            <v>0</v>
          </cell>
        </row>
        <row r="12">
          <cell r="O12">
            <v>420000</v>
          </cell>
        </row>
        <row r="13">
          <cell r="O13">
            <v>420000</v>
          </cell>
        </row>
        <row r="14">
          <cell r="O14">
            <v>420000</v>
          </cell>
        </row>
        <row r="15">
          <cell r="O15">
            <v>420000</v>
          </cell>
        </row>
        <row r="16">
          <cell r="O16">
            <v>420000</v>
          </cell>
        </row>
        <row r="17">
          <cell r="O17">
            <v>50000</v>
          </cell>
        </row>
        <row r="18">
          <cell r="O18">
            <v>420000</v>
          </cell>
        </row>
        <row r="19">
          <cell r="O19">
            <v>357000</v>
          </cell>
        </row>
        <row r="20">
          <cell r="O20">
            <v>420000</v>
          </cell>
        </row>
        <row r="21">
          <cell r="O21">
            <v>420000</v>
          </cell>
        </row>
        <row r="22">
          <cell r="O22">
            <v>420000</v>
          </cell>
        </row>
        <row r="23">
          <cell r="O23">
            <v>420000</v>
          </cell>
        </row>
        <row r="24">
          <cell r="O24">
            <v>420000</v>
          </cell>
        </row>
        <row r="25">
          <cell r="O25">
            <v>420000</v>
          </cell>
        </row>
        <row r="26">
          <cell r="O26">
            <v>420000</v>
          </cell>
        </row>
        <row r="27">
          <cell r="O27">
            <v>420000</v>
          </cell>
        </row>
        <row r="28">
          <cell r="O28">
            <v>420000</v>
          </cell>
        </row>
        <row r="29">
          <cell r="O29">
            <v>420000</v>
          </cell>
        </row>
        <row r="30">
          <cell r="O30">
            <v>0</v>
          </cell>
        </row>
        <row r="31">
          <cell r="O31">
            <v>420000</v>
          </cell>
        </row>
        <row r="32">
          <cell r="O32">
            <v>420000</v>
          </cell>
        </row>
        <row r="33">
          <cell r="O33">
            <v>420000</v>
          </cell>
        </row>
        <row r="34">
          <cell r="O34">
            <v>420000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420000</v>
          </cell>
        </row>
        <row r="39">
          <cell r="O39">
            <v>420000</v>
          </cell>
        </row>
        <row r="40">
          <cell r="O40">
            <v>390000</v>
          </cell>
        </row>
        <row r="41">
          <cell r="O41">
            <v>420000</v>
          </cell>
        </row>
        <row r="42">
          <cell r="O42">
            <v>420000</v>
          </cell>
        </row>
        <row r="43">
          <cell r="O43">
            <v>420000</v>
          </cell>
        </row>
        <row r="44">
          <cell r="O44">
            <v>390000</v>
          </cell>
        </row>
        <row r="45">
          <cell r="O45">
            <v>20000</v>
          </cell>
        </row>
        <row r="46">
          <cell r="O46">
            <v>420000</v>
          </cell>
        </row>
        <row r="47">
          <cell r="O47">
            <v>403819</v>
          </cell>
        </row>
        <row r="48">
          <cell r="O48">
            <v>0</v>
          </cell>
        </row>
        <row r="49">
          <cell r="O49">
            <v>420000</v>
          </cell>
        </row>
        <row r="50">
          <cell r="O50">
            <v>420000</v>
          </cell>
        </row>
        <row r="51">
          <cell r="O51">
            <v>420000</v>
          </cell>
        </row>
        <row r="52">
          <cell r="O52">
            <v>420000</v>
          </cell>
        </row>
      </sheetData>
      <sheetData sheetId="3" refreshError="1">
        <row r="5">
          <cell r="D5">
            <v>355097</v>
          </cell>
        </row>
        <row r="6">
          <cell r="D6">
            <v>51993</v>
          </cell>
        </row>
        <row r="7">
          <cell r="D7">
            <v>2720</v>
          </cell>
        </row>
        <row r="8">
          <cell r="D8">
            <v>5874</v>
          </cell>
        </row>
        <row r="9">
          <cell r="D9">
            <v>2570</v>
          </cell>
        </row>
        <row r="10">
          <cell r="D10">
            <v>2697</v>
          </cell>
        </row>
        <row r="11">
          <cell r="D11">
            <v>0</v>
          </cell>
        </row>
        <row r="12">
          <cell r="D12">
            <v>635540</v>
          </cell>
        </row>
        <row r="13">
          <cell r="D13">
            <v>2746</v>
          </cell>
        </row>
        <row r="14">
          <cell r="D14">
            <v>53748</v>
          </cell>
        </row>
        <row r="15">
          <cell r="D15">
            <v>2522</v>
          </cell>
        </row>
        <row r="17">
          <cell r="D17">
            <v>260</v>
          </cell>
        </row>
        <row r="18">
          <cell r="D18">
            <v>112685</v>
          </cell>
        </row>
        <row r="19">
          <cell r="D19">
            <v>177</v>
          </cell>
        </row>
        <row r="20">
          <cell r="D20">
            <v>705425</v>
          </cell>
        </row>
        <row r="21">
          <cell r="D21">
            <v>2357</v>
          </cell>
        </row>
        <row r="22">
          <cell r="D22">
            <v>3048</v>
          </cell>
        </row>
        <row r="23">
          <cell r="D23">
            <v>2686</v>
          </cell>
        </row>
        <row r="24">
          <cell r="D24">
            <v>3818</v>
          </cell>
        </row>
        <row r="25">
          <cell r="D25">
            <v>2652</v>
          </cell>
        </row>
        <row r="26">
          <cell r="D26">
            <v>2741</v>
          </cell>
        </row>
        <row r="27">
          <cell r="D27">
            <v>2818</v>
          </cell>
        </row>
        <row r="28">
          <cell r="D28">
            <v>0</v>
          </cell>
        </row>
        <row r="29">
          <cell r="D29">
            <v>3250</v>
          </cell>
        </row>
        <row r="30">
          <cell r="D30">
            <v>106</v>
          </cell>
        </row>
        <row r="31">
          <cell r="D31">
            <v>40133</v>
          </cell>
        </row>
        <row r="32">
          <cell r="D32">
            <v>2773</v>
          </cell>
        </row>
        <row r="33">
          <cell r="D33">
            <v>69808</v>
          </cell>
        </row>
        <row r="34">
          <cell r="D34">
            <v>2772</v>
          </cell>
        </row>
        <row r="35">
          <cell r="D35">
            <v>0</v>
          </cell>
        </row>
        <row r="37">
          <cell r="D37">
            <v>0</v>
          </cell>
        </row>
        <row r="38">
          <cell r="D38">
            <v>2474</v>
          </cell>
        </row>
        <row r="39">
          <cell r="D39">
            <v>6756</v>
          </cell>
        </row>
        <row r="40">
          <cell r="D40">
            <v>488</v>
          </cell>
        </row>
        <row r="41">
          <cell r="D41">
            <v>4914</v>
          </cell>
        </row>
        <row r="42">
          <cell r="D42">
            <v>4528</v>
          </cell>
        </row>
        <row r="43">
          <cell r="D43">
            <v>105975</v>
          </cell>
        </row>
        <row r="44">
          <cell r="D44">
            <v>1621</v>
          </cell>
        </row>
        <row r="45">
          <cell r="D45">
            <v>14843</v>
          </cell>
        </row>
        <row r="46">
          <cell r="D46">
            <v>2654</v>
          </cell>
        </row>
        <row r="47">
          <cell r="D47">
            <v>25832</v>
          </cell>
        </row>
        <row r="49">
          <cell r="D49">
            <v>2593</v>
          </cell>
        </row>
        <row r="50">
          <cell r="D50">
            <v>2503</v>
          </cell>
        </row>
        <row r="51">
          <cell r="D51">
            <v>393982</v>
          </cell>
        </row>
        <row r="52">
          <cell r="D52">
            <v>883628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5">
          <cell r="C5">
            <v>23675.873462402647</v>
          </cell>
        </row>
        <row r="6">
          <cell r="C6">
            <v>31473.444135790131</v>
          </cell>
          <cell r="G6">
            <v>2000</v>
          </cell>
          <cell r="J6">
            <v>30000</v>
          </cell>
          <cell r="K6">
            <v>5000</v>
          </cell>
          <cell r="L6">
            <v>10000</v>
          </cell>
          <cell r="M6">
            <v>25000</v>
          </cell>
          <cell r="N6">
            <v>50000</v>
          </cell>
        </row>
        <row r="7">
          <cell r="C7">
            <v>29249.869645344585</v>
          </cell>
          <cell r="G7">
            <v>8000</v>
          </cell>
          <cell r="J7">
            <v>27000</v>
          </cell>
          <cell r="K7">
            <v>4500</v>
          </cell>
          <cell r="L7">
            <v>9000</v>
          </cell>
          <cell r="M7">
            <v>22500</v>
          </cell>
          <cell r="N7">
            <v>50000</v>
          </cell>
        </row>
        <row r="8">
          <cell r="C8">
            <v>29460.160650057158</v>
          </cell>
          <cell r="G8">
            <v>7000</v>
          </cell>
          <cell r="J8">
            <v>27000</v>
          </cell>
          <cell r="K8">
            <v>4500</v>
          </cell>
          <cell r="L8">
            <v>9000</v>
          </cell>
          <cell r="M8">
            <v>22500</v>
          </cell>
          <cell r="N8">
            <v>50000</v>
          </cell>
        </row>
        <row r="9">
          <cell r="C9">
            <v>29704.875239627068</v>
          </cell>
          <cell r="G9">
            <v>1000</v>
          </cell>
          <cell r="J9">
            <v>37500</v>
          </cell>
          <cell r="K9">
            <v>4500</v>
          </cell>
          <cell r="L9">
            <v>9000</v>
          </cell>
          <cell r="M9">
            <v>22500</v>
          </cell>
          <cell r="N9">
            <v>50000</v>
          </cell>
        </row>
        <row r="10">
          <cell r="C10">
            <v>29661.677050978691</v>
          </cell>
          <cell r="G10">
            <v>7000</v>
          </cell>
          <cell r="J10">
            <v>40000</v>
          </cell>
          <cell r="K10">
            <v>4500</v>
          </cell>
          <cell r="L10">
            <v>9000</v>
          </cell>
          <cell r="M10">
            <v>22500</v>
          </cell>
          <cell r="N10">
            <v>50000</v>
          </cell>
        </row>
        <row r="11">
          <cell r="C11">
            <v>0</v>
          </cell>
          <cell r="G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71442.752841985624</v>
          </cell>
          <cell r="G12">
            <v>0</v>
          </cell>
          <cell r="J12">
            <v>227000</v>
          </cell>
          <cell r="K12">
            <v>4500</v>
          </cell>
          <cell r="L12">
            <v>9000</v>
          </cell>
          <cell r="M12">
            <v>22500</v>
          </cell>
          <cell r="N12">
            <v>50000</v>
          </cell>
        </row>
        <row r="13">
          <cell r="C13">
            <v>29251.603179308611</v>
          </cell>
          <cell r="G13">
            <v>2000</v>
          </cell>
          <cell r="J13">
            <v>27000</v>
          </cell>
          <cell r="K13">
            <v>4500</v>
          </cell>
          <cell r="L13">
            <v>9000</v>
          </cell>
          <cell r="M13">
            <v>22500</v>
          </cell>
          <cell r="N13">
            <v>50000</v>
          </cell>
        </row>
        <row r="14">
          <cell r="C14">
            <v>32652.130072888282</v>
          </cell>
          <cell r="G14">
            <v>3000</v>
          </cell>
          <cell r="J14">
            <v>27000</v>
          </cell>
          <cell r="K14">
            <v>4500</v>
          </cell>
          <cell r="L14">
            <v>9000</v>
          </cell>
          <cell r="M14">
            <v>22500</v>
          </cell>
          <cell r="N14">
            <v>50000</v>
          </cell>
        </row>
        <row r="15">
          <cell r="C15">
            <v>29236.668117464727</v>
          </cell>
          <cell r="G15">
            <v>7000</v>
          </cell>
          <cell r="J15">
            <v>27000</v>
          </cell>
          <cell r="K15">
            <v>4500</v>
          </cell>
          <cell r="L15">
            <v>9000</v>
          </cell>
          <cell r="M15">
            <v>22500</v>
          </cell>
          <cell r="N15">
            <v>50000</v>
          </cell>
        </row>
        <row r="16">
          <cell r="C16">
            <v>33469.024616242226</v>
          </cell>
          <cell r="G16">
            <v>1000</v>
          </cell>
          <cell r="J16">
            <v>93000</v>
          </cell>
          <cell r="K16">
            <v>5500</v>
          </cell>
          <cell r="L16">
            <v>11000</v>
          </cell>
          <cell r="M16">
            <v>27500</v>
          </cell>
          <cell r="N16">
            <v>50000</v>
          </cell>
        </row>
        <row r="17">
          <cell r="C17">
            <v>3351.054501221799</v>
          </cell>
          <cell r="G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14092</v>
          </cell>
        </row>
        <row r="18">
          <cell r="C18">
            <v>36581.718197410933</v>
          </cell>
          <cell r="G18">
            <v>0</v>
          </cell>
          <cell r="J18">
            <v>27000</v>
          </cell>
          <cell r="K18">
            <v>4500</v>
          </cell>
          <cell r="L18">
            <v>9000</v>
          </cell>
          <cell r="M18">
            <v>22500</v>
          </cell>
          <cell r="N18">
            <v>50000</v>
          </cell>
        </row>
        <row r="19">
          <cell r="C19">
            <v>24879.4703480795</v>
          </cell>
          <cell r="G19">
            <v>2000</v>
          </cell>
          <cell r="J19">
            <v>24000</v>
          </cell>
          <cell r="K19">
            <v>4000</v>
          </cell>
          <cell r="L19">
            <v>8000</v>
          </cell>
          <cell r="M19">
            <v>20000</v>
          </cell>
          <cell r="N19">
            <v>21829</v>
          </cell>
        </row>
        <row r="20">
          <cell r="C20">
            <v>160404.20740748342</v>
          </cell>
          <cell r="G20">
            <v>0</v>
          </cell>
          <cell r="J20">
            <v>2054000</v>
          </cell>
          <cell r="K20">
            <v>4500</v>
          </cell>
          <cell r="L20">
            <v>9000</v>
          </cell>
          <cell r="M20">
            <v>22500</v>
          </cell>
          <cell r="N20">
            <v>50000</v>
          </cell>
        </row>
        <row r="21">
          <cell r="C21">
            <v>29225.666844231506</v>
          </cell>
          <cell r="G21">
            <v>6000</v>
          </cell>
          <cell r="J21">
            <v>27000</v>
          </cell>
          <cell r="K21">
            <v>4500</v>
          </cell>
          <cell r="L21">
            <v>9000</v>
          </cell>
          <cell r="M21">
            <v>22500</v>
          </cell>
          <cell r="N21">
            <v>50000</v>
          </cell>
        </row>
        <row r="22">
          <cell r="C22">
            <v>29204.095709582361</v>
          </cell>
          <cell r="G22">
            <v>1000</v>
          </cell>
          <cell r="J22">
            <v>27000</v>
          </cell>
          <cell r="K22">
            <v>4000</v>
          </cell>
          <cell r="L22">
            <v>8000</v>
          </cell>
          <cell r="M22">
            <v>20000</v>
          </cell>
          <cell r="N22">
            <v>50000</v>
          </cell>
        </row>
        <row r="23">
          <cell r="C23">
            <v>29247.602716314712</v>
          </cell>
          <cell r="G23">
            <v>5000</v>
          </cell>
          <cell r="J23">
            <v>27000</v>
          </cell>
          <cell r="K23">
            <v>4500</v>
          </cell>
          <cell r="L23">
            <v>9000</v>
          </cell>
          <cell r="M23">
            <v>22500</v>
          </cell>
          <cell r="N23">
            <v>50000</v>
          </cell>
        </row>
        <row r="24">
          <cell r="C24">
            <v>29323.078118132915</v>
          </cell>
          <cell r="G24">
            <v>3000</v>
          </cell>
          <cell r="J24">
            <v>27000</v>
          </cell>
          <cell r="K24">
            <v>4500</v>
          </cell>
          <cell r="L24">
            <v>9000</v>
          </cell>
          <cell r="M24">
            <v>22500</v>
          </cell>
          <cell r="N24">
            <v>50000</v>
          </cell>
        </row>
        <row r="25">
          <cell r="C25">
            <v>29195.647933605331</v>
          </cell>
          <cell r="G25">
            <v>1000</v>
          </cell>
          <cell r="J25">
            <v>24000</v>
          </cell>
          <cell r="K25">
            <v>4000</v>
          </cell>
          <cell r="L25">
            <v>8000</v>
          </cell>
          <cell r="M25">
            <v>20000</v>
          </cell>
          <cell r="N25">
            <v>50000</v>
          </cell>
        </row>
        <row r="26">
          <cell r="C26">
            <v>29251.269807392451</v>
          </cell>
          <cell r="G26">
            <v>1000</v>
          </cell>
          <cell r="J26">
            <v>27000</v>
          </cell>
          <cell r="K26">
            <v>4500</v>
          </cell>
          <cell r="L26">
            <v>9000</v>
          </cell>
          <cell r="M26">
            <v>22500</v>
          </cell>
          <cell r="N26">
            <v>50000</v>
          </cell>
        </row>
        <row r="27">
          <cell r="C27">
            <v>31031.260682493044</v>
          </cell>
          <cell r="G27">
            <v>1000</v>
          </cell>
          <cell r="J27">
            <v>72000</v>
          </cell>
          <cell r="K27">
            <v>4500</v>
          </cell>
          <cell r="L27">
            <v>9000</v>
          </cell>
          <cell r="M27">
            <v>22500</v>
          </cell>
          <cell r="N27">
            <v>50000</v>
          </cell>
        </row>
        <row r="28">
          <cell r="C28">
            <v>28003.601154399497</v>
          </cell>
          <cell r="G28">
            <v>0</v>
          </cell>
          <cell r="J28">
            <v>3000</v>
          </cell>
          <cell r="K28">
            <v>500</v>
          </cell>
          <cell r="L28">
            <v>1000</v>
          </cell>
          <cell r="M28">
            <v>2500</v>
          </cell>
          <cell r="N28">
            <v>50000</v>
          </cell>
        </row>
        <row r="29">
          <cell r="C29">
            <v>29879.831118129652</v>
          </cell>
          <cell r="G29">
            <v>1000</v>
          </cell>
          <cell r="J29">
            <v>36000</v>
          </cell>
          <cell r="K29">
            <v>4500</v>
          </cell>
          <cell r="L29">
            <v>9000</v>
          </cell>
          <cell r="M29">
            <v>22500</v>
          </cell>
          <cell r="N29">
            <v>50000</v>
          </cell>
        </row>
        <row r="30">
          <cell r="C30">
            <v>982.09060748933393</v>
          </cell>
          <cell r="G30">
            <v>3000</v>
          </cell>
          <cell r="J30">
            <v>16193</v>
          </cell>
          <cell r="K30">
            <v>4000</v>
          </cell>
          <cell r="L30">
            <v>8000</v>
          </cell>
          <cell r="M30">
            <v>20000</v>
          </cell>
          <cell r="N30">
            <v>50000</v>
          </cell>
        </row>
        <row r="31">
          <cell r="C31">
            <v>31746.159330760962</v>
          </cell>
          <cell r="G31">
            <v>2000</v>
          </cell>
          <cell r="J31">
            <v>27000</v>
          </cell>
          <cell r="K31">
            <v>4500</v>
          </cell>
          <cell r="L31">
            <v>9000</v>
          </cell>
          <cell r="M31">
            <v>22500</v>
          </cell>
          <cell r="N31">
            <v>50000</v>
          </cell>
        </row>
        <row r="32">
          <cell r="C32">
            <v>29585.5510674896</v>
          </cell>
          <cell r="G32">
            <v>7000</v>
          </cell>
          <cell r="J32">
            <v>32000</v>
          </cell>
          <cell r="K32">
            <v>4500</v>
          </cell>
          <cell r="L32">
            <v>9000</v>
          </cell>
          <cell r="M32">
            <v>22500</v>
          </cell>
          <cell r="N32">
            <v>50000</v>
          </cell>
        </row>
        <row r="33">
          <cell r="C33">
            <v>34923.93568210525</v>
          </cell>
          <cell r="G33">
            <v>7000</v>
          </cell>
          <cell r="J33">
            <v>56000</v>
          </cell>
          <cell r="K33">
            <v>4500</v>
          </cell>
          <cell r="L33">
            <v>9000</v>
          </cell>
          <cell r="M33">
            <v>22500</v>
          </cell>
          <cell r="N33">
            <v>50000</v>
          </cell>
        </row>
        <row r="34">
          <cell r="C34">
            <v>37701.034940741571</v>
          </cell>
          <cell r="G34">
            <v>7000</v>
          </cell>
          <cell r="J34">
            <v>172000</v>
          </cell>
          <cell r="K34">
            <v>4500</v>
          </cell>
          <cell r="L34">
            <v>9000</v>
          </cell>
          <cell r="M34">
            <v>22500</v>
          </cell>
          <cell r="N34">
            <v>50000</v>
          </cell>
        </row>
        <row r="35">
          <cell r="C35">
            <v>0</v>
          </cell>
          <cell r="G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C36">
            <v>0</v>
          </cell>
          <cell r="G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C37">
            <v>0</v>
          </cell>
          <cell r="G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C38">
            <v>29235.26873264095</v>
          </cell>
          <cell r="G38">
            <v>0</v>
          </cell>
          <cell r="J38">
            <v>27000</v>
          </cell>
          <cell r="K38">
            <v>4500</v>
          </cell>
          <cell r="L38">
            <v>9000</v>
          </cell>
          <cell r="M38">
            <v>22500</v>
          </cell>
          <cell r="N38">
            <v>50000</v>
          </cell>
        </row>
        <row r="39">
          <cell r="C39">
            <v>29520.7684416388</v>
          </cell>
          <cell r="G39">
            <v>8000</v>
          </cell>
          <cell r="J39">
            <v>27000</v>
          </cell>
          <cell r="K39">
            <v>4500</v>
          </cell>
          <cell r="L39">
            <v>9000</v>
          </cell>
          <cell r="M39">
            <v>22500</v>
          </cell>
          <cell r="N39">
            <v>50000</v>
          </cell>
        </row>
        <row r="40">
          <cell r="C40">
            <v>26966.57331610264</v>
          </cell>
          <cell r="G40">
            <v>7000</v>
          </cell>
          <cell r="J40">
            <v>24000</v>
          </cell>
          <cell r="K40">
            <v>4000</v>
          </cell>
          <cell r="L40">
            <v>8000</v>
          </cell>
          <cell r="M40">
            <v>20000</v>
          </cell>
          <cell r="N40">
            <v>24006</v>
          </cell>
        </row>
        <row r="41">
          <cell r="C41">
            <v>29397.954227726128</v>
          </cell>
          <cell r="G41">
            <v>3000</v>
          </cell>
          <cell r="J41">
            <v>27000</v>
          </cell>
          <cell r="K41">
            <v>4500</v>
          </cell>
          <cell r="L41">
            <v>9000</v>
          </cell>
          <cell r="M41">
            <v>22500</v>
          </cell>
          <cell r="N41">
            <v>50000</v>
          </cell>
        </row>
        <row r="42">
          <cell r="C42">
            <v>29372.217915798727</v>
          </cell>
          <cell r="G42">
            <v>1000</v>
          </cell>
          <cell r="J42">
            <v>27000</v>
          </cell>
          <cell r="K42">
            <v>4500</v>
          </cell>
          <cell r="L42">
            <v>9000</v>
          </cell>
          <cell r="M42">
            <v>22500</v>
          </cell>
          <cell r="N42">
            <v>50000</v>
          </cell>
        </row>
        <row r="43">
          <cell r="C43">
            <v>38878.559670585193</v>
          </cell>
          <cell r="G43">
            <v>0</v>
          </cell>
          <cell r="J43">
            <v>87000</v>
          </cell>
          <cell r="K43">
            <v>4500</v>
          </cell>
          <cell r="L43">
            <v>9000</v>
          </cell>
          <cell r="M43">
            <v>22500</v>
          </cell>
          <cell r="N43">
            <v>50000</v>
          </cell>
        </row>
        <row r="44">
          <cell r="C44">
            <v>27178.163986795425</v>
          </cell>
          <cell r="G44">
            <v>0</v>
          </cell>
          <cell r="J44">
            <v>27000</v>
          </cell>
          <cell r="K44">
            <v>4500</v>
          </cell>
          <cell r="L44">
            <v>9000</v>
          </cell>
          <cell r="M44">
            <v>22500</v>
          </cell>
          <cell r="N44">
            <v>50000</v>
          </cell>
        </row>
        <row r="45">
          <cell r="C45">
            <v>3388.0497034947907</v>
          </cell>
          <cell r="G45">
            <v>0</v>
          </cell>
          <cell r="J45">
            <v>24000</v>
          </cell>
          <cell r="K45">
            <v>4000</v>
          </cell>
          <cell r="L45">
            <v>8000</v>
          </cell>
          <cell r="M45">
            <v>20000</v>
          </cell>
          <cell r="N45">
            <v>50000</v>
          </cell>
        </row>
        <row r="46">
          <cell r="C46">
            <v>29247.270121622645</v>
          </cell>
          <cell r="G46">
            <v>1000</v>
          </cell>
          <cell r="J46">
            <v>27000</v>
          </cell>
          <cell r="K46">
            <v>4500</v>
          </cell>
          <cell r="L46">
            <v>9000</v>
          </cell>
          <cell r="M46">
            <v>22500</v>
          </cell>
          <cell r="N46">
            <v>50000</v>
          </cell>
        </row>
        <row r="47">
          <cell r="C47">
            <v>33021.439928996493</v>
          </cell>
          <cell r="G47">
            <v>7000</v>
          </cell>
          <cell r="J47">
            <v>84000</v>
          </cell>
          <cell r="K47">
            <v>4500</v>
          </cell>
          <cell r="L47">
            <v>9000</v>
          </cell>
          <cell r="M47">
            <v>22500</v>
          </cell>
          <cell r="N47">
            <v>50000</v>
          </cell>
        </row>
        <row r="48">
          <cell r="C48">
            <v>360.92824570480371</v>
          </cell>
          <cell r="G48">
            <v>2000</v>
          </cell>
          <cell r="J48">
            <v>6000</v>
          </cell>
          <cell r="K48">
            <v>4000</v>
          </cell>
          <cell r="L48">
            <v>8000</v>
          </cell>
          <cell r="M48">
            <v>20000</v>
          </cell>
          <cell r="N48">
            <v>0</v>
          </cell>
        </row>
        <row r="49">
          <cell r="C49">
            <v>30866.21145724431</v>
          </cell>
          <cell r="G49">
            <v>2000</v>
          </cell>
          <cell r="J49">
            <v>61000</v>
          </cell>
          <cell r="K49">
            <v>4500</v>
          </cell>
          <cell r="L49">
            <v>9000</v>
          </cell>
          <cell r="M49">
            <v>22500</v>
          </cell>
          <cell r="N49">
            <v>50000</v>
          </cell>
        </row>
        <row r="50">
          <cell r="C50">
            <v>29232.87992438344</v>
          </cell>
          <cell r="G50">
            <v>0</v>
          </cell>
          <cell r="J50">
            <v>21000</v>
          </cell>
          <cell r="K50">
            <v>3500</v>
          </cell>
          <cell r="L50">
            <v>7000</v>
          </cell>
          <cell r="M50">
            <v>17500</v>
          </cell>
          <cell r="N50">
            <v>50000</v>
          </cell>
        </row>
        <row r="51">
          <cell r="C51">
            <v>55338.823162890541</v>
          </cell>
          <cell r="G51">
            <v>7000</v>
          </cell>
          <cell r="J51">
            <v>27000</v>
          </cell>
          <cell r="K51">
            <v>4500</v>
          </cell>
          <cell r="L51">
            <v>9000</v>
          </cell>
          <cell r="M51">
            <v>22500</v>
          </cell>
          <cell r="N51">
            <v>50000</v>
          </cell>
        </row>
        <row r="52">
          <cell r="C52">
            <v>101199.53598522153</v>
          </cell>
          <cell r="G52">
            <v>2000</v>
          </cell>
          <cell r="J52">
            <v>227000</v>
          </cell>
          <cell r="K52">
            <v>4500</v>
          </cell>
          <cell r="L52">
            <v>9000</v>
          </cell>
          <cell r="M52">
            <v>22500</v>
          </cell>
          <cell r="N52">
            <v>50000</v>
          </cell>
        </row>
      </sheetData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D54">
            <v>3525236</v>
          </cell>
          <cell r="E54">
            <v>3212114</v>
          </cell>
          <cell r="G54">
            <v>2230668</v>
          </cell>
          <cell r="L54">
            <v>3142500</v>
          </cell>
          <cell r="M54">
            <v>1050000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>
        <row r="17">
          <cell r="D17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D6">
            <v>588000</v>
          </cell>
        </row>
        <row r="52">
          <cell r="C52">
            <v>0</v>
          </cell>
          <cell r="AP52">
            <v>0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E9">
            <v>250500</v>
          </cell>
        </row>
        <row r="10">
          <cell r="E10">
            <v>-599000</v>
          </cell>
        </row>
        <row r="11">
          <cell r="E11">
            <v>-7500</v>
          </cell>
        </row>
        <row r="12">
          <cell r="E12">
            <v>-640140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AP6">
            <v>588000</v>
          </cell>
          <cell r="AR6">
            <v>42948</v>
          </cell>
          <cell r="AS6">
            <v>60000</v>
          </cell>
          <cell r="AT6" t="str">
            <v>ECHEC</v>
          </cell>
          <cell r="AU6">
            <v>0</v>
          </cell>
        </row>
        <row r="7">
          <cell r="AP7">
            <v>784000</v>
          </cell>
          <cell r="AR7">
            <v>43040</v>
          </cell>
          <cell r="AS7">
            <v>63090</v>
          </cell>
          <cell r="AU7">
            <v>0</v>
          </cell>
        </row>
        <row r="8">
          <cell r="AP8">
            <v>1293600</v>
          </cell>
          <cell r="AR8">
            <v>42887</v>
          </cell>
          <cell r="AS8">
            <v>140140</v>
          </cell>
          <cell r="AT8" t="str">
            <v>ECHEC</v>
          </cell>
          <cell r="AU8">
            <v>0</v>
          </cell>
        </row>
        <row r="9">
          <cell r="AP9">
            <v>-3000</v>
          </cell>
          <cell r="AR9">
            <v>43132</v>
          </cell>
          <cell r="AS9">
            <v>70000</v>
          </cell>
          <cell r="AU9">
            <v>60000</v>
          </cell>
        </row>
        <row r="10">
          <cell r="AP10">
            <v>70000</v>
          </cell>
          <cell r="AR10">
            <v>42767</v>
          </cell>
          <cell r="AS10">
            <v>20080</v>
          </cell>
          <cell r="AU10">
            <v>0</v>
          </cell>
        </row>
        <row r="11">
          <cell r="AP11">
            <v>1120000</v>
          </cell>
          <cell r="AR11">
            <v>43252</v>
          </cell>
          <cell r="AS11">
            <v>20000</v>
          </cell>
          <cell r="AU11">
            <v>20000</v>
          </cell>
        </row>
        <row r="12">
          <cell r="AP12">
            <v>784000</v>
          </cell>
          <cell r="AR12">
            <v>43252</v>
          </cell>
          <cell r="AS12">
            <v>14000</v>
          </cell>
          <cell r="AU12">
            <v>14000</v>
          </cell>
        </row>
        <row r="13">
          <cell r="AP13">
            <v>0</v>
          </cell>
          <cell r="AU13">
            <v>0</v>
          </cell>
        </row>
        <row r="14">
          <cell r="AP14">
            <v>967600</v>
          </cell>
          <cell r="AR14">
            <v>43313</v>
          </cell>
          <cell r="AS14">
            <v>170170</v>
          </cell>
          <cell r="AT14" t="str">
            <v>ECHEC</v>
          </cell>
          <cell r="AU14">
            <v>0</v>
          </cell>
        </row>
        <row r="15">
          <cell r="AP15">
            <v>0</v>
          </cell>
          <cell r="AU15">
            <v>0</v>
          </cell>
        </row>
        <row r="16">
          <cell r="AP16">
            <v>0</v>
          </cell>
          <cell r="AU16">
            <v>0</v>
          </cell>
        </row>
        <row r="17">
          <cell r="AP17">
            <v>684000</v>
          </cell>
          <cell r="AR17">
            <v>43252</v>
          </cell>
          <cell r="AS17">
            <v>14000</v>
          </cell>
          <cell r="AU17">
            <v>14000</v>
          </cell>
        </row>
        <row r="18">
          <cell r="AP18">
            <v>0</v>
          </cell>
          <cell r="AU18">
            <v>0</v>
          </cell>
        </row>
        <row r="19">
          <cell r="AP19">
            <v>0</v>
          </cell>
          <cell r="AU19">
            <v>0</v>
          </cell>
        </row>
        <row r="20">
          <cell r="AP20">
            <v>450000</v>
          </cell>
          <cell r="AR20">
            <v>42917</v>
          </cell>
          <cell r="AS20">
            <v>270000</v>
          </cell>
          <cell r="AU20">
            <v>150000</v>
          </cell>
        </row>
        <row r="21">
          <cell r="AP21">
            <v>592000</v>
          </cell>
          <cell r="AR21">
            <v>43160</v>
          </cell>
          <cell r="AS21">
            <v>25000</v>
          </cell>
          <cell r="AU21">
            <v>15000</v>
          </cell>
        </row>
        <row r="22">
          <cell r="AP22">
            <v>980000</v>
          </cell>
          <cell r="AR22">
            <v>43374</v>
          </cell>
          <cell r="AS22">
            <v>72000</v>
          </cell>
          <cell r="AU22">
            <v>0</v>
          </cell>
        </row>
        <row r="23">
          <cell r="AP23">
            <v>1120000</v>
          </cell>
          <cell r="AR23">
            <v>43191</v>
          </cell>
          <cell r="AS23">
            <v>40000</v>
          </cell>
          <cell r="AU23">
            <v>40000</v>
          </cell>
        </row>
        <row r="24">
          <cell r="AP24">
            <v>154500</v>
          </cell>
          <cell r="AR24">
            <v>42979</v>
          </cell>
          <cell r="AS24">
            <v>1600</v>
          </cell>
          <cell r="AU24">
            <v>1500</v>
          </cell>
        </row>
        <row r="25">
          <cell r="AP25">
            <v>0</v>
          </cell>
          <cell r="AR25">
            <v>42917</v>
          </cell>
          <cell r="AS25">
            <v>140000</v>
          </cell>
          <cell r="AU25">
            <v>0</v>
          </cell>
        </row>
        <row r="26">
          <cell r="AP26">
            <v>672000</v>
          </cell>
          <cell r="AR26">
            <v>43160</v>
          </cell>
          <cell r="AS26">
            <v>30000</v>
          </cell>
          <cell r="AU26">
            <v>42000</v>
          </cell>
        </row>
        <row r="27">
          <cell r="AP27">
            <v>0</v>
          </cell>
          <cell r="AU27">
            <v>0</v>
          </cell>
        </row>
        <row r="28">
          <cell r="AP28">
            <v>1020000</v>
          </cell>
          <cell r="AR28">
            <v>43252</v>
          </cell>
          <cell r="AS28">
            <v>20020</v>
          </cell>
          <cell r="AU28">
            <v>20000</v>
          </cell>
        </row>
        <row r="29">
          <cell r="AP29">
            <v>0</v>
          </cell>
          <cell r="AU29">
            <v>0</v>
          </cell>
        </row>
        <row r="30">
          <cell r="AP30">
            <v>0</v>
          </cell>
          <cell r="AU30">
            <v>0</v>
          </cell>
        </row>
        <row r="31">
          <cell r="AP31">
            <v>896000</v>
          </cell>
          <cell r="AR31">
            <v>43221</v>
          </cell>
          <cell r="AS31">
            <v>24000</v>
          </cell>
          <cell r="AU31">
            <v>24000</v>
          </cell>
        </row>
        <row r="32">
          <cell r="AP32">
            <v>1120000</v>
          </cell>
          <cell r="AR32">
            <v>43040</v>
          </cell>
          <cell r="AS32">
            <v>90090</v>
          </cell>
          <cell r="AU32">
            <v>0</v>
          </cell>
        </row>
        <row r="33">
          <cell r="AP33">
            <v>532000</v>
          </cell>
          <cell r="AR33">
            <v>43009</v>
          </cell>
          <cell r="AS33">
            <v>60100</v>
          </cell>
          <cell r="AU33">
            <v>0</v>
          </cell>
        </row>
        <row r="34">
          <cell r="AP34">
            <v>0</v>
          </cell>
          <cell r="AU34">
            <v>0</v>
          </cell>
        </row>
        <row r="35">
          <cell r="AP35">
            <v>0</v>
          </cell>
          <cell r="AU35">
            <v>0</v>
          </cell>
        </row>
        <row r="36">
          <cell r="AP36">
            <v>1120000</v>
          </cell>
          <cell r="AR36">
            <v>43009</v>
          </cell>
          <cell r="AS36">
            <v>100100</v>
          </cell>
          <cell r="AU36">
            <v>0</v>
          </cell>
        </row>
        <row r="37">
          <cell r="AP37">
            <v>904000</v>
          </cell>
          <cell r="AR37">
            <v>43221</v>
          </cell>
          <cell r="AS37">
            <v>21030</v>
          </cell>
          <cell r="AU37">
            <v>21000</v>
          </cell>
        </row>
        <row r="38">
          <cell r="AP38">
            <v>1120000</v>
          </cell>
          <cell r="AR38">
            <v>43221</v>
          </cell>
          <cell r="AS38">
            <v>30000</v>
          </cell>
          <cell r="AU38">
            <v>30000</v>
          </cell>
        </row>
        <row r="39">
          <cell r="AP39">
            <v>963000</v>
          </cell>
          <cell r="AR39">
            <v>43160</v>
          </cell>
          <cell r="AS39">
            <v>50000</v>
          </cell>
          <cell r="AU39">
            <v>50000</v>
          </cell>
        </row>
        <row r="40">
          <cell r="AP40">
            <v>182200</v>
          </cell>
          <cell r="AR40">
            <v>43252</v>
          </cell>
          <cell r="AS40">
            <v>8000</v>
          </cell>
          <cell r="AU40">
            <v>8000</v>
          </cell>
        </row>
        <row r="41">
          <cell r="AP41">
            <v>0</v>
          </cell>
          <cell r="AU41">
            <v>0</v>
          </cell>
        </row>
        <row r="42">
          <cell r="AP42">
            <v>0</v>
          </cell>
          <cell r="AU42">
            <v>0</v>
          </cell>
        </row>
        <row r="43">
          <cell r="AP43">
            <v>0</v>
          </cell>
          <cell r="AR43">
            <v>42887</v>
          </cell>
          <cell r="AS43">
            <v>70000</v>
          </cell>
          <cell r="AT43" t="str">
            <v>ECHEC</v>
          </cell>
          <cell r="AU43">
            <v>0</v>
          </cell>
        </row>
        <row r="44">
          <cell r="AP44">
            <v>851500</v>
          </cell>
          <cell r="AR44">
            <v>43252</v>
          </cell>
          <cell r="AS44">
            <v>14000</v>
          </cell>
          <cell r="AU44">
            <v>21000</v>
          </cell>
        </row>
        <row r="45">
          <cell r="AU45">
            <v>0</v>
          </cell>
        </row>
        <row r="46">
          <cell r="AP46">
            <v>1064000</v>
          </cell>
          <cell r="AR46">
            <v>43132</v>
          </cell>
          <cell r="AS46">
            <v>120060</v>
          </cell>
          <cell r="AU46">
            <v>60000</v>
          </cell>
        </row>
        <row r="47">
          <cell r="AP47">
            <v>1120000</v>
          </cell>
          <cell r="AR47">
            <v>43221</v>
          </cell>
          <cell r="AS47">
            <v>30000</v>
          </cell>
          <cell r="AU47">
            <v>30000</v>
          </cell>
        </row>
        <row r="48">
          <cell r="AP48">
            <v>0</v>
          </cell>
        </row>
        <row r="49">
          <cell r="AP49">
            <v>0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/>
      <sheetData sheetId="1">
        <row r="54">
          <cell r="M54">
            <v>1050000</v>
          </cell>
          <cell r="O54">
            <v>1930123</v>
          </cell>
        </row>
      </sheetData>
      <sheetData sheetId="2"/>
      <sheetData sheetId="3">
        <row r="56">
          <cell r="I56">
            <v>10000</v>
          </cell>
          <cell r="L56">
            <v>1307000</v>
          </cell>
          <cell r="M56">
            <v>21000</v>
          </cell>
          <cell r="N56">
            <v>42000</v>
          </cell>
          <cell r="O56">
            <v>105000</v>
          </cell>
          <cell r="Q56">
            <v>400000</v>
          </cell>
          <cell r="R56">
            <v>12000</v>
          </cell>
          <cell r="S56">
            <v>494400</v>
          </cell>
        </row>
      </sheetData>
      <sheetData sheetId="4">
        <row r="56">
          <cell r="G56">
            <v>36000</v>
          </cell>
          <cell r="J56">
            <v>407000</v>
          </cell>
          <cell r="K56">
            <v>19000</v>
          </cell>
          <cell r="L56">
            <v>38000</v>
          </cell>
          <cell r="M56">
            <v>95000</v>
          </cell>
          <cell r="N56">
            <v>0</v>
          </cell>
          <cell r="O56">
            <v>0</v>
          </cell>
          <cell r="P56">
            <v>0</v>
          </cell>
          <cell r="Q56">
            <v>309000</v>
          </cell>
        </row>
      </sheetData>
      <sheetData sheetId="5">
        <row r="56">
          <cell r="G56">
            <v>14000</v>
          </cell>
          <cell r="J56">
            <v>163000</v>
          </cell>
          <cell r="K56">
            <v>21000</v>
          </cell>
          <cell r="L56">
            <v>42000</v>
          </cell>
          <cell r="M56">
            <v>105000</v>
          </cell>
          <cell r="N56">
            <v>0</v>
          </cell>
          <cell r="O56">
            <v>2000000</v>
          </cell>
          <cell r="P56">
            <v>120000</v>
          </cell>
          <cell r="Q56">
            <v>2039000</v>
          </cell>
        </row>
      </sheetData>
      <sheetData sheetId="6">
        <row r="56">
          <cell r="G56">
            <v>16000</v>
          </cell>
          <cell r="J56">
            <v>604000</v>
          </cell>
          <cell r="K56">
            <v>20000</v>
          </cell>
          <cell r="L56">
            <v>40000</v>
          </cell>
          <cell r="M56">
            <v>130350</v>
          </cell>
          <cell r="N56">
            <v>50000</v>
          </cell>
          <cell r="O56">
            <v>1600000</v>
          </cell>
          <cell r="P56">
            <v>80000</v>
          </cell>
          <cell r="Q56">
            <v>1939000</v>
          </cell>
        </row>
      </sheetData>
      <sheetData sheetId="7">
        <row r="56">
          <cell r="G56">
            <v>18000</v>
          </cell>
          <cell r="J56">
            <v>153000</v>
          </cell>
          <cell r="K56">
            <v>19500</v>
          </cell>
          <cell r="L56">
            <v>39000</v>
          </cell>
          <cell r="M56">
            <v>97500</v>
          </cell>
          <cell r="N56">
            <v>0</v>
          </cell>
          <cell r="O56">
            <v>1500000</v>
          </cell>
          <cell r="P56">
            <v>65000</v>
          </cell>
          <cell r="Q56">
            <v>1300000</v>
          </cell>
        </row>
      </sheetData>
      <sheetData sheetId="8">
        <row r="56">
          <cell r="G56">
            <v>15000</v>
          </cell>
          <cell r="J56">
            <v>164000</v>
          </cell>
          <cell r="K56">
            <v>19500</v>
          </cell>
          <cell r="L56">
            <v>39000</v>
          </cell>
          <cell r="M56">
            <v>97500</v>
          </cell>
          <cell r="N56">
            <v>0</v>
          </cell>
          <cell r="O56">
            <v>4200000</v>
          </cell>
          <cell r="P56">
            <v>126000</v>
          </cell>
          <cell r="Q56">
            <v>4271800</v>
          </cell>
        </row>
      </sheetData>
      <sheetData sheetId="9">
        <row r="56">
          <cell r="G56">
            <v>15000</v>
          </cell>
          <cell r="J56">
            <v>1156000</v>
          </cell>
          <cell r="K56">
            <v>19500</v>
          </cell>
          <cell r="L56">
            <v>39000</v>
          </cell>
          <cell r="M56">
            <v>97500</v>
          </cell>
          <cell r="N56">
            <v>0</v>
          </cell>
          <cell r="O56">
            <v>3800000</v>
          </cell>
          <cell r="P56">
            <v>80000</v>
          </cell>
          <cell r="Q56">
            <v>1094000</v>
          </cell>
        </row>
      </sheetData>
      <sheetData sheetId="10">
        <row r="56">
          <cell r="G56">
            <v>15000</v>
          </cell>
          <cell r="J56">
            <v>141500</v>
          </cell>
          <cell r="K56">
            <v>19500</v>
          </cell>
          <cell r="L56">
            <v>39000</v>
          </cell>
          <cell r="M56">
            <v>97500</v>
          </cell>
          <cell r="N56">
            <v>0</v>
          </cell>
          <cell r="O56">
            <v>0</v>
          </cell>
          <cell r="P56">
            <v>0</v>
          </cell>
          <cell r="Q56">
            <v>805000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AOUT2017"/>
      <sheetName val="MVTAOUT"/>
      <sheetName val="MVTSEPT"/>
      <sheetName val="MVTOCT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2018"/>
      <sheetName val="RECAP"/>
    </sheetNames>
    <sheetDataSet>
      <sheetData sheetId="0"/>
      <sheetData sheetId="1"/>
      <sheetData sheetId="2">
        <row r="53">
          <cell r="H53">
            <v>359000</v>
          </cell>
          <cell r="I53">
            <v>23000</v>
          </cell>
          <cell r="J53">
            <v>46000</v>
          </cell>
          <cell r="K53">
            <v>115000</v>
          </cell>
          <cell r="L53">
            <v>30000</v>
          </cell>
          <cell r="M53">
            <v>150000</v>
          </cell>
          <cell r="N53">
            <v>4500</v>
          </cell>
          <cell r="O53">
            <v>391000</v>
          </cell>
        </row>
      </sheetData>
      <sheetData sheetId="3">
        <row r="5">
          <cell r="D5">
            <v>269.6156423446804</v>
          </cell>
        </row>
      </sheetData>
      <sheetData sheetId="4">
        <row r="5">
          <cell r="E5">
            <v>1297.4202318451312</v>
          </cell>
        </row>
      </sheetData>
      <sheetData sheetId="5">
        <row r="5">
          <cell r="C5">
            <v>4285.2807407029477</v>
          </cell>
        </row>
      </sheetData>
      <sheetData sheetId="6">
        <row r="5">
          <cell r="C5">
            <v>1737.3498317746098</v>
          </cell>
        </row>
      </sheetData>
      <sheetData sheetId="7">
        <row r="5">
          <cell r="C5">
            <v>918.54363258949627</v>
          </cell>
        </row>
      </sheetData>
      <sheetData sheetId="8">
        <row r="5">
          <cell r="C5">
            <v>1317.9221822406801</v>
          </cell>
        </row>
      </sheetData>
      <sheetData sheetId="9">
        <row r="5">
          <cell r="C5">
            <v>2883.1711307152564</v>
          </cell>
        </row>
      </sheetData>
      <sheetData sheetId="10">
        <row r="5">
          <cell r="C5">
            <v>653.6634166373625</v>
          </cell>
        </row>
      </sheetData>
      <sheetData sheetId="11">
        <row r="5">
          <cell r="C5">
            <v>1470.4254495387659</v>
          </cell>
        </row>
      </sheetData>
      <sheetData sheetId="12">
        <row r="5">
          <cell r="C5">
            <v>575.50335067121171</v>
          </cell>
        </row>
      </sheetData>
      <sheetData sheetId="13">
        <row r="5">
          <cell r="C5">
            <v>171.8276742375391</v>
          </cell>
        </row>
      </sheetData>
      <sheetData sheetId="14">
        <row r="5">
          <cell r="C5">
            <v>0</v>
          </cell>
        </row>
      </sheetData>
      <sheetData sheetId="15">
        <row r="6">
          <cell r="G6">
            <v>15000</v>
          </cell>
        </row>
      </sheetData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FINAOUT2017"/>
      <sheetName val="BILANUPDATE"/>
      <sheetName val="BILANUPDATEDPA"/>
      <sheetName val="Feuil1"/>
      <sheetName val="Feuil2"/>
      <sheetName val="BILANEMPRUNT"/>
    </sheetNames>
    <sheetDataSet>
      <sheetData sheetId="0" refreshError="1"/>
      <sheetData sheetId="1" refreshError="1"/>
      <sheetData sheetId="2">
        <row r="5">
          <cell r="W5">
            <v>25350</v>
          </cell>
        </row>
        <row r="6">
          <cell r="W6">
            <v>-32000</v>
          </cell>
        </row>
        <row r="7">
          <cell r="W7">
            <v>-579000</v>
          </cell>
        </row>
        <row r="8">
          <cell r="W8">
            <v>399983</v>
          </cell>
        </row>
        <row r="9">
          <cell r="W9">
            <v>0</v>
          </cell>
        </row>
        <row r="10">
          <cell r="W10">
            <v>193000</v>
          </cell>
        </row>
        <row r="12">
          <cell r="W12">
            <v>551750</v>
          </cell>
        </row>
        <row r="13">
          <cell r="W13">
            <v>300000</v>
          </cell>
        </row>
      </sheetData>
      <sheetData sheetId="3">
        <row r="3">
          <cell r="W3">
            <v>15448519</v>
          </cell>
        </row>
        <row r="4">
          <cell r="W4">
            <v>7578500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topLeftCell="A7" workbookViewId="0">
      <selection activeCell="D7" sqref="D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2" t="s">
        <v>132</v>
      </c>
    </row>
    <row r="4" spans="1:6" ht="15.75" thickBot="1" x14ac:dyDescent="0.3"/>
    <row r="5" spans="1:6" ht="38.25" thickTop="1" x14ac:dyDescent="0.3">
      <c r="A5" s="33" t="s">
        <v>70</v>
      </c>
      <c r="B5" s="34" t="s">
        <v>71</v>
      </c>
      <c r="C5" s="35" t="s">
        <v>72</v>
      </c>
      <c r="D5" s="35" t="s">
        <v>73</v>
      </c>
      <c r="E5" s="36" t="s">
        <v>74</v>
      </c>
    </row>
    <row r="6" spans="1:6" x14ac:dyDescent="0.25">
      <c r="A6" s="37"/>
      <c r="B6" s="19"/>
      <c r="C6" s="19"/>
      <c r="D6" s="19"/>
      <c r="E6" s="24"/>
    </row>
    <row r="7" spans="1:6" x14ac:dyDescent="0.25">
      <c r="A7" s="10" t="s">
        <v>133</v>
      </c>
      <c r="B7" s="12">
        <f>[4]TRAVAUXINVENTAIRE!D54</f>
        <v>3525236</v>
      </c>
      <c r="C7" s="12">
        <f>[4]TRAVAUXINVENTAIRE!R54+C17</f>
        <v>6051809</v>
      </c>
      <c r="D7" s="12">
        <f>[4]EPARGNE!D17+[4]TRAVAUXINVENTAIRE!L54</f>
        <v>3142500</v>
      </c>
      <c r="E7" s="38">
        <f>B7+C7-D7</f>
        <v>6434545</v>
      </c>
      <c r="F7" s="39"/>
    </row>
    <row r="8" spans="1:6" x14ac:dyDescent="0.25">
      <c r="A8" s="10" t="s">
        <v>7</v>
      </c>
      <c r="B8" s="12">
        <f>[4]TRAVAUXINVENTAIRE!C54</f>
        <v>14428521</v>
      </c>
      <c r="C8" s="12">
        <f>[4]TRAVAUXINVENTAIRE!M54</f>
        <v>1050000</v>
      </c>
      <c r="D8" s="12"/>
      <c r="E8" s="38">
        <f>B8+C8-D8</f>
        <v>15478521</v>
      </c>
      <c r="F8" s="39"/>
    </row>
    <row r="9" spans="1:6" x14ac:dyDescent="0.25">
      <c r="A9" s="10" t="s">
        <v>10</v>
      </c>
      <c r="B9" s="12"/>
      <c r="C9" s="12">
        <f>[4]TRAVAUXINVENTAIRE!S54</f>
        <v>250500</v>
      </c>
      <c r="D9" s="12">
        <f>[4]TRAVAUXINVENTAIREDEC!B5</f>
        <v>0</v>
      </c>
      <c r="E9" s="38">
        <f t="shared" ref="E9:E12" si="0">B9+C9-D9</f>
        <v>250500</v>
      </c>
      <c r="F9" s="39"/>
    </row>
    <row r="10" spans="1:6" x14ac:dyDescent="0.25">
      <c r="A10" s="10" t="s">
        <v>75</v>
      </c>
      <c r="B10" s="12"/>
      <c r="C10" s="12">
        <f>[4]TRAVAUXINVENTAIRE!T54</f>
        <v>501000</v>
      </c>
      <c r="D10" s="12">
        <f>[4]TRAVAUXINVENTAIREDEC!B6</f>
        <v>1100000</v>
      </c>
      <c r="E10" s="38">
        <f t="shared" si="0"/>
        <v>-599000</v>
      </c>
      <c r="F10" s="39"/>
    </row>
    <row r="11" spans="1:6" x14ac:dyDescent="0.25">
      <c r="A11" s="10" t="s">
        <v>12</v>
      </c>
      <c r="B11" s="12"/>
      <c r="C11" s="12">
        <f>[4]TRAVAUXINVENTAIRE!U54</f>
        <v>1252500</v>
      </c>
      <c r="D11" s="12">
        <f>[4]TRAVAUXINVENTAIREDEC!B7</f>
        <v>1260000</v>
      </c>
      <c r="E11" s="38">
        <f t="shared" si="0"/>
        <v>-7500</v>
      </c>
      <c r="F11" s="39"/>
    </row>
    <row r="12" spans="1:6" x14ac:dyDescent="0.25">
      <c r="A12" s="10" t="s">
        <v>76</v>
      </c>
      <c r="B12" s="12"/>
      <c r="C12" s="12">
        <f>[4]TRAVAUXINVENTAIRE!V54+[4]TRAVAUXINVENTAIRE!O54</f>
        <v>1954860</v>
      </c>
      <c r="D12" s="12">
        <f>[4]TRAVAUXINVENTAIREDEC!B8</f>
        <v>2595000</v>
      </c>
      <c r="E12" s="38">
        <f t="shared" si="0"/>
        <v>-640140</v>
      </c>
      <c r="F12" s="39"/>
    </row>
    <row r="13" spans="1:6" x14ac:dyDescent="0.25">
      <c r="A13" s="10"/>
      <c r="B13" s="12"/>
      <c r="C13" s="12"/>
      <c r="D13" s="12"/>
      <c r="E13" s="38"/>
      <c r="F13" s="39"/>
    </row>
    <row r="14" spans="1:6" x14ac:dyDescent="0.25">
      <c r="A14" s="10" t="s">
        <v>77</v>
      </c>
      <c r="B14" s="12"/>
      <c r="C14" s="12"/>
      <c r="D14" s="12"/>
      <c r="E14" s="38"/>
      <c r="F14" s="39"/>
    </row>
    <row r="15" spans="1:6" x14ac:dyDescent="0.25">
      <c r="A15" s="10" t="s">
        <v>78</v>
      </c>
      <c r="B15" s="40"/>
      <c r="C15" s="12">
        <f>320750+16500</f>
        <v>337250</v>
      </c>
      <c r="D15" s="40"/>
      <c r="E15" s="41"/>
      <c r="F15" s="42">
        <v>1711250</v>
      </c>
    </row>
    <row r="16" spans="1:6" x14ac:dyDescent="0.25">
      <c r="A16" s="10" t="s">
        <v>79</v>
      </c>
      <c r="B16" s="40"/>
      <c r="C16" s="40"/>
      <c r="D16" s="40"/>
      <c r="E16" s="41"/>
      <c r="F16" s="39"/>
    </row>
    <row r="17" spans="1:6" x14ac:dyDescent="0.25">
      <c r="A17" s="10" t="s">
        <v>80</v>
      </c>
      <c r="B17" s="40"/>
      <c r="C17" s="12">
        <f>[4]TRAVAUXINVENTAIRE!G54</f>
        <v>2230668</v>
      </c>
      <c r="D17" s="40"/>
      <c r="E17" s="38">
        <f t="shared" ref="E17" si="1">B17+C17-D17</f>
        <v>2230668</v>
      </c>
      <c r="F17" s="39"/>
    </row>
    <row r="18" spans="1:6" x14ac:dyDescent="0.25">
      <c r="A18" s="10"/>
      <c r="B18" s="40"/>
      <c r="C18" s="12"/>
      <c r="D18" s="40"/>
      <c r="E18" s="38"/>
      <c r="F18" s="39"/>
    </row>
    <row r="19" spans="1:6" x14ac:dyDescent="0.25">
      <c r="A19" s="10" t="s">
        <v>81</v>
      </c>
      <c r="B19" s="40"/>
      <c r="C19" s="19"/>
      <c r="D19" s="12">
        <f>[4]EMPRUNT!AP52</f>
        <v>0</v>
      </c>
      <c r="E19" s="38">
        <f>[4]EMPRUNT!AP52</f>
        <v>0</v>
      </c>
      <c r="F19" s="39"/>
    </row>
    <row r="20" spans="1:6" x14ac:dyDescent="0.25">
      <c r="A20" s="10"/>
      <c r="B20" s="40"/>
      <c r="C20" s="12"/>
      <c r="D20" s="40"/>
      <c r="E20" s="38"/>
      <c r="F20" s="39"/>
    </row>
    <row r="21" spans="1:6" x14ac:dyDescent="0.25">
      <c r="A21" s="10" t="s">
        <v>8</v>
      </c>
      <c r="B21" s="40"/>
      <c r="C21" s="12">
        <f>[4]TRAVAUXINVENTAIRE!E54</f>
        <v>3212114</v>
      </c>
      <c r="D21" s="40"/>
      <c r="E21" s="38"/>
      <c r="F21" s="39"/>
    </row>
    <row r="22" spans="1:6" x14ac:dyDescent="0.25">
      <c r="A22" s="10"/>
      <c r="B22" s="40"/>
      <c r="C22" s="12"/>
      <c r="D22" s="40"/>
      <c r="E22" s="41"/>
      <c r="F22" s="39"/>
    </row>
    <row r="23" spans="1:6" x14ac:dyDescent="0.25">
      <c r="A23" s="10"/>
      <c r="B23" s="40"/>
      <c r="C23" s="12"/>
      <c r="D23" s="40"/>
      <c r="E23" s="41"/>
      <c r="F23" s="39"/>
    </row>
    <row r="24" spans="1:6" x14ac:dyDescent="0.25">
      <c r="A24" s="10" t="s">
        <v>82</v>
      </c>
      <c r="B24" s="40"/>
      <c r="C24" s="12">
        <v>19683000</v>
      </c>
      <c r="D24" s="12">
        <v>18428363</v>
      </c>
      <c r="E24" s="38">
        <f>C24-D24</f>
        <v>1254637</v>
      </c>
      <c r="F24" s="39"/>
    </row>
    <row r="25" spans="1:6" x14ac:dyDescent="0.25">
      <c r="A25" s="10" t="s">
        <v>83</v>
      </c>
      <c r="B25" s="40"/>
      <c r="C25" s="19"/>
      <c r="D25" s="19"/>
      <c r="E25" s="38">
        <v>4369987</v>
      </c>
      <c r="F25" s="39"/>
    </row>
    <row r="26" spans="1:6" x14ac:dyDescent="0.25">
      <c r="A26" s="10" t="s">
        <v>84</v>
      </c>
      <c r="B26" s="40"/>
      <c r="C26" s="12">
        <v>614769</v>
      </c>
      <c r="D26" s="40"/>
      <c r="E26" s="38">
        <f t="shared" ref="E26:E29" si="2">C26-D26</f>
        <v>614769</v>
      </c>
      <c r="F26" s="39"/>
    </row>
    <row r="27" spans="1:6" x14ac:dyDescent="0.25">
      <c r="A27" s="10" t="s">
        <v>85</v>
      </c>
      <c r="B27" s="40"/>
      <c r="C27" s="12">
        <v>353000</v>
      </c>
      <c r="D27" s="40"/>
      <c r="E27" s="38">
        <f t="shared" si="2"/>
        <v>353000</v>
      </c>
      <c r="F27" s="39"/>
    </row>
    <row r="28" spans="1:6" x14ac:dyDescent="0.25">
      <c r="A28" s="10"/>
      <c r="B28" s="40"/>
      <c r="C28" s="12"/>
      <c r="D28" s="40"/>
      <c r="E28" s="38"/>
      <c r="F28" s="39"/>
    </row>
    <row r="29" spans="1:6" x14ac:dyDescent="0.25">
      <c r="A29" s="10" t="s">
        <v>86</v>
      </c>
      <c r="B29" s="40"/>
      <c r="C29" s="12">
        <v>8000000</v>
      </c>
      <c r="D29" s="40"/>
      <c r="E29" s="38">
        <f t="shared" si="2"/>
        <v>8000000</v>
      </c>
      <c r="F29" s="39"/>
    </row>
    <row r="30" spans="1:6" x14ac:dyDescent="0.25">
      <c r="A30" s="10"/>
      <c r="B30" s="40"/>
      <c r="C30" s="12"/>
      <c r="D30" s="40"/>
      <c r="E30" s="38"/>
      <c r="F30" s="39"/>
    </row>
    <row r="31" spans="1:6" x14ac:dyDescent="0.25">
      <c r="A31" s="10" t="s">
        <v>134</v>
      </c>
      <c r="B31" s="19"/>
      <c r="C31" s="19"/>
      <c r="D31" s="19"/>
      <c r="E31" s="38">
        <f>SUM(E24:E29)</f>
        <v>14592393</v>
      </c>
    </row>
    <row r="32" spans="1:6" x14ac:dyDescent="0.25">
      <c r="A32" s="37"/>
      <c r="B32" s="19"/>
      <c r="C32" s="19"/>
      <c r="D32" s="19"/>
      <c r="E32" s="24"/>
    </row>
    <row r="33" spans="1:5" ht="15.75" thickBot="1" x14ac:dyDescent="0.3">
      <c r="A33" s="25" t="s">
        <v>87</v>
      </c>
      <c r="B33" s="29"/>
      <c r="C33" s="29"/>
      <c r="D33" s="29"/>
      <c r="E33" s="43">
        <f>E19+E31</f>
        <v>14592393</v>
      </c>
    </row>
    <row r="34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topLeftCell="A7" workbookViewId="0">
      <selection activeCell="C7" sqref="C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2" t="s">
        <v>91</v>
      </c>
    </row>
    <row r="4" spans="1:6" ht="15.75" thickBot="1" x14ac:dyDescent="0.3"/>
    <row r="5" spans="1:6" ht="38.25" thickTop="1" x14ac:dyDescent="0.3">
      <c r="A5" s="33" t="s">
        <v>70</v>
      </c>
      <c r="B5" s="34" t="s">
        <v>71</v>
      </c>
      <c r="C5" s="35" t="s">
        <v>72</v>
      </c>
      <c r="D5" s="35" t="s">
        <v>73</v>
      </c>
      <c r="E5" s="36" t="s">
        <v>74</v>
      </c>
    </row>
    <row r="6" spans="1:6" x14ac:dyDescent="0.25">
      <c r="A6" s="37"/>
      <c r="B6" s="19"/>
      <c r="C6" s="19"/>
      <c r="D6" s="19"/>
      <c r="E6" s="24"/>
    </row>
    <row r="7" spans="1:6" x14ac:dyDescent="0.25">
      <c r="A7" s="10" t="s">
        <v>89</v>
      </c>
      <c r="B7" s="12" t="e">
        <f>BILANFINAOUT2017!D56</f>
        <v>#REF!</v>
      </c>
      <c r="C7" s="12">
        <f>BILANFINAOUT2017!E56</f>
        <v>3963693</v>
      </c>
      <c r="D7" s="12"/>
      <c r="E7" s="38"/>
      <c r="F7" s="39"/>
    </row>
    <row r="8" spans="1:6" x14ac:dyDescent="0.25">
      <c r="A8" s="10" t="s">
        <v>7</v>
      </c>
      <c r="B8" s="12">
        <v>14398519</v>
      </c>
      <c r="C8" s="12">
        <f>BILANFINAOUT2017!C56</f>
        <v>16310819</v>
      </c>
      <c r="D8" s="12"/>
      <c r="E8" s="38"/>
      <c r="F8" s="39"/>
    </row>
    <row r="9" spans="1:6" x14ac:dyDescent="0.25">
      <c r="A9" s="10" t="s">
        <v>10</v>
      </c>
      <c r="B9" s="12">
        <f>BILANFINAOUT2017!F5</f>
        <v>250500</v>
      </c>
      <c r="C9" s="12">
        <f>BILANFINAOUT2017!F56</f>
        <v>182000</v>
      </c>
      <c r="D9" s="12"/>
      <c r="E9" s="38"/>
      <c r="F9" s="39"/>
    </row>
    <row r="10" spans="1:6" x14ac:dyDescent="0.25">
      <c r="A10" s="10" t="s">
        <v>75</v>
      </c>
      <c r="B10" s="12">
        <f>BILANFINAOUT2017!G5</f>
        <v>-599000</v>
      </c>
      <c r="C10" s="12">
        <f>BILANFINAOUT2017!G56</f>
        <v>364000</v>
      </c>
      <c r="D10" s="12"/>
      <c r="E10" s="38"/>
      <c r="F10" s="39"/>
    </row>
    <row r="11" spans="1:6" x14ac:dyDescent="0.25">
      <c r="A11" s="10" t="s">
        <v>12</v>
      </c>
      <c r="B11" s="12">
        <f>BILANFINAOUT2017!H5</f>
        <v>-7500</v>
      </c>
      <c r="C11" s="12">
        <f>BILANFINAOUT2017!H56</f>
        <v>910000</v>
      </c>
      <c r="D11" s="12"/>
      <c r="E11" s="38"/>
      <c r="F11" s="39"/>
    </row>
    <row r="12" spans="1:6" x14ac:dyDescent="0.25">
      <c r="A12" s="10" t="s">
        <v>76</v>
      </c>
      <c r="B12" s="12">
        <f>BILANFINAOUT2017!I5</f>
        <v>-640140</v>
      </c>
      <c r="C12" s="12">
        <f>BILANFINAOUT2017!I56</f>
        <v>2009927</v>
      </c>
      <c r="D12" s="12"/>
      <c r="E12" s="38"/>
      <c r="F12" s="39"/>
    </row>
    <row r="13" spans="1:6" x14ac:dyDescent="0.25">
      <c r="A13" s="10" t="s">
        <v>90</v>
      </c>
      <c r="B13" s="12"/>
      <c r="C13" s="12">
        <f>BILANFINAOUT2017!R56</f>
        <v>125000</v>
      </c>
      <c r="D13" s="12"/>
      <c r="E13" s="38"/>
      <c r="F13" s="39"/>
    </row>
    <row r="14" spans="1:6" x14ac:dyDescent="0.25">
      <c r="A14" s="10" t="s">
        <v>14</v>
      </c>
      <c r="B14" s="12"/>
      <c r="C14" s="12">
        <f>+BILANFINAOUT2017!J56</f>
        <v>0</v>
      </c>
      <c r="D14" s="12"/>
      <c r="E14" s="38"/>
      <c r="F14" s="39"/>
    </row>
    <row r="15" spans="1:6" x14ac:dyDescent="0.25">
      <c r="A15" s="10"/>
      <c r="B15" s="12"/>
      <c r="C15" s="12"/>
      <c r="D15" s="12"/>
      <c r="E15" s="38"/>
      <c r="F15" s="39"/>
    </row>
    <row r="16" spans="1:6" x14ac:dyDescent="0.25">
      <c r="A16" s="10" t="s">
        <v>77</v>
      </c>
      <c r="B16" s="12"/>
      <c r="C16" s="12"/>
      <c r="D16" s="12"/>
      <c r="E16" s="38"/>
      <c r="F16" s="39"/>
    </row>
    <row r="17" spans="1:6" x14ac:dyDescent="0.25">
      <c r="A17" s="10" t="s">
        <v>78</v>
      </c>
      <c r="B17" s="40"/>
      <c r="C17" s="12"/>
      <c r="D17" s="40"/>
      <c r="E17" s="41"/>
      <c r="F17" s="42"/>
    </row>
    <row r="18" spans="1:6" x14ac:dyDescent="0.25">
      <c r="A18" s="10" t="s">
        <v>79</v>
      </c>
      <c r="B18" s="40"/>
      <c r="C18" s="40"/>
      <c r="D18" s="40"/>
      <c r="E18" s="41"/>
      <c r="F18" s="39"/>
    </row>
    <row r="19" spans="1:6" x14ac:dyDescent="0.25">
      <c r="A19" s="10" t="s">
        <v>80</v>
      </c>
      <c r="B19" s="40"/>
      <c r="C19" s="12"/>
      <c r="D19" s="40"/>
      <c r="E19" s="38"/>
      <c r="F19" s="39"/>
    </row>
    <row r="20" spans="1:6" x14ac:dyDescent="0.25">
      <c r="A20" s="10"/>
      <c r="B20" s="40"/>
      <c r="C20" s="12"/>
      <c r="D20" s="40"/>
      <c r="E20" s="38"/>
      <c r="F20" s="39"/>
    </row>
    <row r="21" spans="1:6" x14ac:dyDescent="0.25">
      <c r="A21" s="10" t="s">
        <v>81</v>
      </c>
      <c r="B21" s="40"/>
      <c r="C21" s="19"/>
      <c r="D21" s="12"/>
      <c r="E21" s="38"/>
      <c r="F21" s="39"/>
    </row>
    <row r="22" spans="1:6" x14ac:dyDescent="0.25">
      <c r="A22" s="10"/>
      <c r="B22" s="40"/>
      <c r="C22" s="12"/>
      <c r="D22" s="40"/>
      <c r="E22" s="38"/>
      <c r="F22" s="39"/>
    </row>
    <row r="23" spans="1:6" x14ac:dyDescent="0.25">
      <c r="A23" s="10" t="s">
        <v>8</v>
      </c>
      <c r="B23" s="40"/>
      <c r="C23" s="12"/>
      <c r="D23" s="40"/>
      <c r="E23" s="38"/>
      <c r="F23" s="39"/>
    </row>
    <row r="24" spans="1:6" x14ac:dyDescent="0.25">
      <c r="A24" s="10"/>
      <c r="B24" s="40"/>
      <c r="C24" s="12"/>
      <c r="D24" s="40"/>
      <c r="E24" s="41"/>
      <c r="F24" s="39"/>
    </row>
    <row r="25" spans="1:6" x14ac:dyDescent="0.25">
      <c r="A25" s="10"/>
      <c r="B25" s="40"/>
      <c r="C25" s="12"/>
      <c r="D25" s="40"/>
      <c r="E25" s="41"/>
      <c r="F25" s="39"/>
    </row>
    <row r="26" spans="1:6" x14ac:dyDescent="0.25">
      <c r="A26" s="10" t="s">
        <v>82</v>
      </c>
      <c r="B26" s="40"/>
      <c r="C26" s="12"/>
      <c r="D26" s="12"/>
      <c r="E26" s="38"/>
      <c r="F26" s="39"/>
    </row>
    <row r="27" spans="1:6" x14ac:dyDescent="0.25">
      <c r="A27" s="10" t="s">
        <v>83</v>
      </c>
      <c r="B27" s="40"/>
      <c r="C27" s="19"/>
      <c r="D27" s="19"/>
      <c r="E27" s="38"/>
      <c r="F27" s="39"/>
    </row>
    <row r="28" spans="1:6" x14ac:dyDescent="0.25">
      <c r="A28" s="10" t="s">
        <v>84</v>
      </c>
      <c r="B28" s="40"/>
      <c r="C28" s="12"/>
      <c r="D28" s="40"/>
      <c r="E28" s="38"/>
      <c r="F28" s="39"/>
    </row>
    <row r="29" spans="1:6" x14ac:dyDescent="0.25">
      <c r="A29" s="10" t="s">
        <v>85</v>
      </c>
      <c r="B29" s="40"/>
      <c r="C29" s="12"/>
      <c r="D29" s="40"/>
      <c r="E29" s="38"/>
      <c r="F29" s="39"/>
    </row>
    <row r="30" spans="1:6" x14ac:dyDescent="0.25">
      <c r="A30" s="10"/>
      <c r="B30" s="40"/>
      <c r="C30" s="12"/>
      <c r="D30" s="40"/>
      <c r="E30" s="38"/>
      <c r="F30" s="39"/>
    </row>
    <row r="31" spans="1:6" x14ac:dyDescent="0.25">
      <c r="A31" s="10" t="s">
        <v>86</v>
      </c>
      <c r="B31" s="40"/>
      <c r="C31" s="12"/>
      <c r="D31" s="40"/>
      <c r="E31" s="38"/>
      <c r="F31" s="39"/>
    </row>
    <row r="32" spans="1:6" x14ac:dyDescent="0.25">
      <c r="A32" s="10"/>
      <c r="B32" s="40"/>
      <c r="C32" s="12"/>
      <c r="D32" s="40"/>
      <c r="E32" s="38"/>
      <c r="F32" s="39"/>
    </row>
    <row r="33" spans="1:5" x14ac:dyDescent="0.25">
      <c r="A33" s="37"/>
      <c r="B33" s="19"/>
      <c r="C33" s="19"/>
      <c r="D33" s="19"/>
      <c r="E33" s="38"/>
    </row>
    <row r="34" spans="1:5" x14ac:dyDescent="0.25">
      <c r="A34" s="37"/>
      <c r="B34" s="19"/>
      <c r="C34" s="19"/>
      <c r="D34" s="19"/>
      <c r="E34" s="24"/>
    </row>
    <row r="35" spans="1:5" ht="15.75" thickBot="1" x14ac:dyDescent="0.3">
      <c r="A35" s="25" t="s">
        <v>87</v>
      </c>
      <c r="B35" s="29"/>
      <c r="C35" s="29"/>
      <c r="D35" s="29"/>
      <c r="E35" s="43">
        <f>E21+E33</f>
        <v>0</v>
      </c>
    </row>
    <row r="36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workbookViewId="0">
      <pane xSplit="2" ySplit="4" topLeftCell="H44" activePane="bottomRight" state="frozen"/>
      <selection activeCell="B22" sqref="B22"/>
      <selection pane="topRight" activeCell="B22" sqref="B22"/>
      <selection pane="bottomLeft" activeCell="B22" sqref="B22"/>
      <selection pane="bottomRight" activeCell="R54" sqref="R54:R55"/>
    </sheetView>
  </sheetViews>
  <sheetFormatPr baseColWidth="10" defaultRowHeight="15" x14ac:dyDescent="0.25"/>
  <cols>
    <col min="1" max="1" width="12.42578125" customWidth="1"/>
    <col min="2" max="2" width="26.28515625" customWidth="1"/>
    <col min="3" max="3" width="14.5703125" customWidth="1"/>
    <col min="4" max="4" width="14.7109375" customWidth="1"/>
    <col min="5" max="7" width="13.7109375" customWidth="1"/>
    <col min="8" max="8" width="14.28515625" bestFit="1" customWidth="1"/>
    <col min="9" max="9" width="13.7109375" bestFit="1" customWidth="1"/>
    <col min="10" max="10" width="9.85546875" customWidth="1"/>
    <col min="11" max="11" width="13.28515625" customWidth="1"/>
    <col min="12" max="12" width="9.85546875" customWidth="1"/>
    <col min="13" max="14" width="14.85546875" customWidth="1"/>
    <col min="15" max="15" width="13" style="31" customWidth="1"/>
    <col min="17" max="17" width="13.7109375" bestFit="1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8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8" ht="15.75" thickBot="1" x14ac:dyDescent="0.3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8" ht="45.75" customHeight="1" thickTop="1" thickBot="1" x14ac:dyDescent="0.3">
      <c r="A4" s="3" t="s">
        <v>5</v>
      </c>
      <c r="B4" s="4" t="s">
        <v>6</v>
      </c>
      <c r="C4" s="5" t="s">
        <v>7</v>
      </c>
      <c r="D4" s="5" t="s">
        <v>8</v>
      </c>
      <c r="E4" s="6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6" t="s">
        <v>14</v>
      </c>
      <c r="K4" s="6" t="s">
        <v>15</v>
      </c>
      <c r="L4" s="6" t="s">
        <v>16</v>
      </c>
      <c r="M4" s="7" t="s">
        <v>17</v>
      </c>
      <c r="N4" s="7" t="s">
        <v>18</v>
      </c>
      <c r="O4" s="8" t="s">
        <v>19</v>
      </c>
      <c r="P4" s="9" t="s">
        <v>20</v>
      </c>
      <c r="Q4" s="9" t="s">
        <v>21</v>
      </c>
      <c r="R4" s="49" t="s">
        <v>88</v>
      </c>
    </row>
    <row r="5" spans="1:18" ht="45.75" customHeight="1" thickTop="1" x14ac:dyDescent="0.25">
      <c r="A5" s="10"/>
      <c r="B5" s="11" t="s">
        <v>22</v>
      </c>
      <c r="C5" s="44"/>
      <c r="D5" s="44"/>
      <c r="E5" s="45"/>
      <c r="F5" s="44">
        <f>'[5]BILAN 2016'!$E$9</f>
        <v>250500</v>
      </c>
      <c r="G5" s="44">
        <f>'[5]BILAN 2016'!$E$10</f>
        <v>-599000</v>
      </c>
      <c r="H5" s="44">
        <f>'[5]BILAN 2016'!$E$11</f>
        <v>-7500</v>
      </c>
      <c r="I5" s="44">
        <f>'[5]BILAN 2016'!$E$12</f>
        <v>-640140</v>
      </c>
      <c r="J5" s="45"/>
      <c r="K5" s="45"/>
      <c r="L5" s="45"/>
      <c r="M5" s="46"/>
      <c r="N5" s="46"/>
      <c r="O5" s="47"/>
      <c r="P5" s="48"/>
      <c r="Q5" s="48"/>
      <c r="R5" s="50"/>
    </row>
    <row r="6" spans="1:18" x14ac:dyDescent="0.25">
      <c r="A6" s="10" t="s">
        <v>23</v>
      </c>
      <c r="B6" s="11" t="e">
        <f>VLOOKUP(A6,[3]LISTADHERENT!A$5:H$52,2,0)</f>
        <v>#N/A</v>
      </c>
      <c r="C6" s="12">
        <f>[3]FONDSDECAISSE!O5</f>
        <v>0</v>
      </c>
      <c r="D6" s="12">
        <f>[3]TONT20000DEC2016!D5</f>
        <v>355097</v>
      </c>
      <c r="E6" s="12">
        <v>0</v>
      </c>
      <c r="F6" s="12"/>
      <c r="G6" s="12"/>
      <c r="H6" s="12"/>
      <c r="I6" s="12">
        <v>0</v>
      </c>
      <c r="J6" s="13"/>
      <c r="K6" s="12">
        <f>[3]TONT20000ANNUELLE!C5</f>
        <v>23675.873462402647</v>
      </c>
      <c r="L6" s="13"/>
      <c r="M6" s="14"/>
      <c r="N6" s="14"/>
      <c r="O6" s="15"/>
      <c r="P6" s="16"/>
      <c r="Q6" s="14">
        <f>[5]EMPRUNT!AU5</f>
        <v>0</v>
      </c>
      <c r="R6" s="24"/>
    </row>
    <row r="7" spans="1:18" x14ac:dyDescent="0.25">
      <c r="A7" s="10" t="s">
        <v>24</v>
      </c>
      <c r="B7" s="11" t="str">
        <f>VLOOKUP(A7,[3]LISTADHERENT!A$5:H$52,2,0)</f>
        <v>BAKOP ACHILLE</v>
      </c>
      <c r="C7" s="12">
        <f>[3]FONDSDECAISSE!O6</f>
        <v>420000</v>
      </c>
      <c r="D7" s="12">
        <f>[3]TONT20000DEC2016!D6</f>
        <v>51993</v>
      </c>
      <c r="E7" s="12">
        <f>[3]TONT20000ANNUELLE!J6</f>
        <v>30000</v>
      </c>
      <c r="F7" s="12">
        <f>[3]TONT20000ANNUELLE!K6</f>
        <v>5000</v>
      </c>
      <c r="G7" s="12">
        <f>[3]TONT20000ANNUELLE!L6</f>
        <v>10000</v>
      </c>
      <c r="H7" s="12">
        <f>[3]TONT20000ANNUELLE!M6</f>
        <v>25000</v>
      </c>
      <c r="I7" s="12">
        <f>[3]TONT20000ANNUELLE!N6</f>
        <v>50000</v>
      </c>
      <c r="J7" s="13"/>
      <c r="K7" s="12">
        <f>[3]TONT20000ANNUELLE!C6</f>
        <v>31473.444135790131</v>
      </c>
      <c r="L7" s="13"/>
      <c r="M7" s="14">
        <f>[5]EMPRUNT!$AP6</f>
        <v>588000</v>
      </c>
      <c r="N7" s="14">
        <f>[5]EMPRUNT!$AS6</f>
        <v>60000</v>
      </c>
      <c r="O7" s="15">
        <f>[5]EMPRUNT!$AR6</f>
        <v>42948</v>
      </c>
      <c r="P7" s="18" t="str">
        <f>[5]EMPRUNT!AT6</f>
        <v>ECHEC</v>
      </c>
      <c r="Q7" s="14">
        <f>[5]EMPRUNT!AU6</f>
        <v>0</v>
      </c>
      <c r="R7" s="17">
        <f>[3]TONT20000ANNUELLE!$G6</f>
        <v>2000</v>
      </c>
    </row>
    <row r="8" spans="1:18" x14ac:dyDescent="0.25">
      <c r="A8" s="10" t="s">
        <v>25</v>
      </c>
      <c r="B8" s="11" t="str">
        <f>VLOOKUP(A8,[3]LISTADHERENT!A$5:H$51,2)</f>
        <v>BOUTCHOUANG WILLIAM</v>
      </c>
      <c r="C8" s="12">
        <f>[3]FONDSDECAISSE!O7</f>
        <v>420000</v>
      </c>
      <c r="D8" s="12">
        <f>[3]TONT20000DEC2016!D7</f>
        <v>2720</v>
      </c>
      <c r="E8" s="12">
        <f>[3]TONT20000ANNUELLE!J7</f>
        <v>27000</v>
      </c>
      <c r="F8" s="12">
        <f>[3]TONT20000ANNUELLE!K7</f>
        <v>4500</v>
      </c>
      <c r="G8" s="12">
        <f>[3]TONT20000ANNUELLE!L7</f>
        <v>9000</v>
      </c>
      <c r="H8" s="12">
        <f>[3]TONT20000ANNUELLE!M7</f>
        <v>22500</v>
      </c>
      <c r="I8" s="12">
        <f>[3]TONT20000ANNUELLE!N7</f>
        <v>50000</v>
      </c>
      <c r="J8" s="13"/>
      <c r="K8" s="12">
        <f>[3]TONT20000ANNUELLE!C7</f>
        <v>29249.869645344585</v>
      </c>
      <c r="L8" s="13"/>
      <c r="M8" s="14">
        <f>[5]EMPRUNT!$AP7</f>
        <v>784000</v>
      </c>
      <c r="N8" s="14">
        <f>[5]EMPRUNT!$AS7</f>
        <v>63090</v>
      </c>
      <c r="O8" s="15">
        <f>[5]EMPRUNT!$AR7</f>
        <v>43040</v>
      </c>
      <c r="P8" s="16"/>
      <c r="Q8" s="14">
        <f>[5]EMPRUNT!AU7</f>
        <v>0</v>
      </c>
      <c r="R8" s="17">
        <f>[3]TONT20000ANNUELLE!$G7</f>
        <v>8000</v>
      </c>
    </row>
    <row r="9" spans="1:18" x14ac:dyDescent="0.25">
      <c r="A9" s="10" t="s">
        <v>26</v>
      </c>
      <c r="B9" s="11" t="str">
        <f>VLOOKUP(A9,[3]LISTADHERENT!A$5:H$51,2)</f>
        <v>CHINGUE FABRICE</v>
      </c>
      <c r="C9" s="12">
        <f>[3]FONDSDECAISSE!O8</f>
        <v>420000</v>
      </c>
      <c r="D9" s="12">
        <f>[3]TONT20000DEC2016!D8</f>
        <v>5874</v>
      </c>
      <c r="E9" s="12">
        <f>[3]TONT20000ANNUELLE!J8</f>
        <v>27000</v>
      </c>
      <c r="F9" s="12">
        <f>[3]TONT20000ANNUELLE!K8</f>
        <v>4500</v>
      </c>
      <c r="G9" s="12">
        <f>[3]TONT20000ANNUELLE!L8</f>
        <v>9000</v>
      </c>
      <c r="H9" s="12">
        <f>[3]TONT20000ANNUELLE!M8</f>
        <v>22500</v>
      </c>
      <c r="I9" s="12">
        <f>[3]TONT20000ANNUELLE!N8</f>
        <v>50000</v>
      </c>
      <c r="J9" s="13"/>
      <c r="K9" s="12">
        <f>[3]TONT20000ANNUELLE!C8</f>
        <v>29460.160650057158</v>
      </c>
      <c r="L9" s="13"/>
      <c r="M9" s="14">
        <f>[5]EMPRUNT!$AP8</f>
        <v>1293600</v>
      </c>
      <c r="N9" s="14">
        <f>[5]EMPRUNT!$AS8</f>
        <v>140140</v>
      </c>
      <c r="O9" s="15">
        <f>[5]EMPRUNT!$AR8</f>
        <v>42887</v>
      </c>
      <c r="P9" s="18" t="str">
        <f>[5]EMPRUNT!AT8</f>
        <v>ECHEC</v>
      </c>
      <c r="Q9" s="14">
        <f>[5]EMPRUNT!AU8</f>
        <v>0</v>
      </c>
      <c r="R9" s="17">
        <f>[3]TONT20000ANNUELLE!$G8</f>
        <v>7000</v>
      </c>
    </row>
    <row r="10" spans="1:18" x14ac:dyDescent="0.25">
      <c r="A10" s="10" t="s">
        <v>27</v>
      </c>
      <c r="B10" s="11" t="str">
        <f>VLOOKUP(A10,[3]LISTADHERENT!A$5:H$51,2)</f>
        <v xml:space="preserve">DJOMO JEAN PAUL </v>
      </c>
      <c r="C10" s="12">
        <f>[3]FONDSDECAISSE!O9</f>
        <v>420000</v>
      </c>
      <c r="D10" s="12">
        <f>[3]TONT20000DEC2016!D9</f>
        <v>2570</v>
      </c>
      <c r="E10" s="12">
        <f>[3]TONT20000ANNUELLE!J9</f>
        <v>37500</v>
      </c>
      <c r="F10" s="12">
        <f>[3]TONT20000ANNUELLE!K9</f>
        <v>4500</v>
      </c>
      <c r="G10" s="12">
        <f>[3]TONT20000ANNUELLE!L9</f>
        <v>9000</v>
      </c>
      <c r="H10" s="12">
        <f>[3]TONT20000ANNUELLE!M9</f>
        <v>22500</v>
      </c>
      <c r="I10" s="12">
        <f>[3]TONT20000ANNUELLE!N9</f>
        <v>50000</v>
      </c>
      <c r="J10" s="13"/>
      <c r="K10" s="12">
        <f>[3]TONT20000ANNUELLE!C9</f>
        <v>29704.875239627068</v>
      </c>
      <c r="L10" s="13"/>
      <c r="M10" s="14">
        <f>[5]EMPRUNT!$AP9</f>
        <v>-3000</v>
      </c>
      <c r="N10" s="14">
        <f>[5]EMPRUNT!$AS9</f>
        <v>70000</v>
      </c>
      <c r="O10" s="15">
        <f>[5]EMPRUNT!$AR9</f>
        <v>43132</v>
      </c>
      <c r="P10" s="18"/>
      <c r="Q10" s="14">
        <f>[5]EMPRUNT!AU9</f>
        <v>60000</v>
      </c>
      <c r="R10" s="17">
        <f>[3]TONT20000ANNUELLE!$G9</f>
        <v>1000</v>
      </c>
    </row>
    <row r="11" spans="1:18" x14ac:dyDescent="0.25">
      <c r="A11" s="10" t="s">
        <v>28</v>
      </c>
      <c r="B11" s="11" t="str">
        <f>VLOOKUP(A11,[3]LISTADHERENT!A$5:H$51,2)</f>
        <v>DJOUKWE NANGUEN GUY BLAISE</v>
      </c>
      <c r="C11" s="12">
        <f>[3]FONDSDECAISSE!O10</f>
        <v>420000</v>
      </c>
      <c r="D11" s="12">
        <f>[3]TONT20000DEC2016!D10</f>
        <v>2697</v>
      </c>
      <c r="E11" s="12">
        <f>[3]TONT20000ANNUELLE!J10</f>
        <v>40000</v>
      </c>
      <c r="F11" s="12">
        <f>[3]TONT20000ANNUELLE!K10</f>
        <v>4500</v>
      </c>
      <c r="G11" s="12">
        <f>[3]TONT20000ANNUELLE!L10</f>
        <v>9000</v>
      </c>
      <c r="H11" s="12">
        <f>[3]TONT20000ANNUELLE!M10</f>
        <v>22500</v>
      </c>
      <c r="I11" s="12">
        <f>[3]TONT20000ANNUELLE!N10</f>
        <v>50000</v>
      </c>
      <c r="J11" s="13"/>
      <c r="K11" s="12">
        <f>[3]TONT20000ANNUELLE!C10</f>
        <v>29661.677050978691</v>
      </c>
      <c r="L11" s="13"/>
      <c r="M11" s="14">
        <f>[5]EMPRUNT!$AP10</f>
        <v>70000</v>
      </c>
      <c r="N11" s="14">
        <f>[5]EMPRUNT!$AS10</f>
        <v>20080</v>
      </c>
      <c r="O11" s="15">
        <f>[5]EMPRUNT!$AR10</f>
        <v>42767</v>
      </c>
      <c r="P11" s="18" t="s">
        <v>29</v>
      </c>
      <c r="Q11" s="14">
        <f>[5]EMPRUNT!AU10</f>
        <v>0</v>
      </c>
      <c r="R11" s="17">
        <f>[3]TONT20000ANNUELLE!$G10</f>
        <v>7000</v>
      </c>
    </row>
    <row r="12" spans="1:18" x14ac:dyDescent="0.25">
      <c r="A12" s="10"/>
      <c r="B12" s="11"/>
      <c r="C12" s="12">
        <f>[3]FONDSDECAISSE!O11</f>
        <v>0</v>
      </c>
      <c r="D12" s="12">
        <f>[3]TONT20000DEC2016!D11</f>
        <v>0</v>
      </c>
      <c r="E12" s="12">
        <f>[3]TONT20000ANNUELLE!J11</f>
        <v>0</v>
      </c>
      <c r="F12" s="12"/>
      <c r="G12" s="12">
        <f>[3]TONT20000ANNUELLE!L11</f>
        <v>0</v>
      </c>
      <c r="H12" s="12">
        <f>[3]TONT20000ANNUELLE!M11</f>
        <v>0</v>
      </c>
      <c r="I12" s="12">
        <f>[3]TONT20000ANNUELLE!N11</f>
        <v>0</v>
      </c>
      <c r="J12" s="13"/>
      <c r="K12" s="12">
        <f>[3]TONT20000ANNUELLE!C11</f>
        <v>0</v>
      </c>
      <c r="L12" s="13"/>
      <c r="M12" s="19"/>
      <c r="N12" s="19"/>
      <c r="O12" s="20"/>
      <c r="P12" s="19"/>
      <c r="Q12" s="14"/>
      <c r="R12" s="17">
        <f>[3]TONT20000ANNUELLE!$G11</f>
        <v>0</v>
      </c>
    </row>
    <row r="13" spans="1:18" x14ac:dyDescent="0.25">
      <c r="A13" s="10" t="s">
        <v>30</v>
      </c>
      <c r="B13" s="11" t="str">
        <f>VLOOKUP(A13,[3]LISTADHERENT!A$5:H$51,2)</f>
        <v>DJOUNKEP SAMUEL</v>
      </c>
      <c r="C13" s="12">
        <f>[3]FONDSDECAISSE!O12</f>
        <v>420000</v>
      </c>
      <c r="D13" s="12">
        <f>[3]TONT20000DEC2016!D12</f>
        <v>635540</v>
      </c>
      <c r="E13" s="12">
        <f>[3]TONT20000ANNUELLE!J12</f>
        <v>227000</v>
      </c>
      <c r="F13" s="12">
        <f>[3]TONT20000ANNUELLE!K12</f>
        <v>4500</v>
      </c>
      <c r="G13" s="12">
        <f>[3]TONT20000ANNUELLE!L12</f>
        <v>9000</v>
      </c>
      <c r="H13" s="12">
        <f>[3]TONT20000ANNUELLE!M12</f>
        <v>22500</v>
      </c>
      <c r="I13" s="12">
        <f>[3]TONT20000ANNUELLE!N12</f>
        <v>50000</v>
      </c>
      <c r="J13" s="13"/>
      <c r="K13" s="12">
        <f>[3]TONT20000ANNUELLE!C12</f>
        <v>71442.752841985624</v>
      </c>
      <c r="L13" s="13"/>
      <c r="M13" s="14">
        <f>[5]EMPRUNT!$AP11</f>
        <v>1120000</v>
      </c>
      <c r="N13" s="14">
        <f>[5]EMPRUNT!$AS11</f>
        <v>20000</v>
      </c>
      <c r="O13" s="15">
        <f>[5]EMPRUNT!$AR11</f>
        <v>43252</v>
      </c>
      <c r="P13" s="18"/>
      <c r="Q13" s="14">
        <f>[5]EMPRUNT!AU11</f>
        <v>20000</v>
      </c>
      <c r="R13" s="17">
        <f>[3]TONT20000ANNUELLE!$G12</f>
        <v>0</v>
      </c>
    </row>
    <row r="14" spans="1:18" x14ac:dyDescent="0.25">
      <c r="A14" s="10" t="s">
        <v>31</v>
      </c>
      <c r="B14" s="11" t="str">
        <f>VLOOKUP(A14,[3]LISTADHERENT!A$5:H$51,2)</f>
        <v>DJUOMBESSY ANTOINE</v>
      </c>
      <c r="C14" s="12">
        <f>[3]FONDSDECAISSE!O13</f>
        <v>420000</v>
      </c>
      <c r="D14" s="12">
        <f>[3]TONT20000DEC2016!D13</f>
        <v>2746</v>
      </c>
      <c r="E14" s="12">
        <f>[3]TONT20000ANNUELLE!J13</f>
        <v>27000</v>
      </c>
      <c r="F14" s="12">
        <f>[3]TONT20000ANNUELLE!K13</f>
        <v>4500</v>
      </c>
      <c r="G14" s="12">
        <f>[3]TONT20000ANNUELLE!L13</f>
        <v>9000</v>
      </c>
      <c r="H14" s="12">
        <f>[3]TONT20000ANNUELLE!M13</f>
        <v>22500</v>
      </c>
      <c r="I14" s="12">
        <f>[3]TONT20000ANNUELLE!N13</f>
        <v>50000</v>
      </c>
      <c r="J14" s="13"/>
      <c r="K14" s="12">
        <f>[3]TONT20000ANNUELLE!C13</f>
        <v>29251.603179308611</v>
      </c>
      <c r="L14" s="13"/>
      <c r="M14" s="14">
        <f>[5]EMPRUNT!$AP12</f>
        <v>784000</v>
      </c>
      <c r="N14" s="14">
        <f>[5]EMPRUNT!$AS12</f>
        <v>14000</v>
      </c>
      <c r="O14" s="15">
        <f>[5]EMPRUNT!$AR12</f>
        <v>43252</v>
      </c>
      <c r="P14" s="18"/>
      <c r="Q14" s="14">
        <f>[5]EMPRUNT!AU12</f>
        <v>14000</v>
      </c>
      <c r="R14" s="17">
        <f>[3]TONT20000ANNUELLE!$G13</f>
        <v>2000</v>
      </c>
    </row>
    <row r="15" spans="1:18" x14ac:dyDescent="0.25">
      <c r="A15" s="10" t="s">
        <v>32</v>
      </c>
      <c r="B15" s="11" t="str">
        <f>VLOOKUP(A15,[3]LISTADHERENT!A$5:H$51,2)</f>
        <v>DONHOU DAVID</v>
      </c>
      <c r="C15" s="12">
        <f>[3]FONDSDECAISSE!O14</f>
        <v>420000</v>
      </c>
      <c r="D15" s="12">
        <f>[3]TONT20000DEC2016!D14</f>
        <v>53748</v>
      </c>
      <c r="E15" s="12">
        <f>[3]TONT20000ANNUELLE!J14</f>
        <v>27000</v>
      </c>
      <c r="F15" s="12">
        <f>[3]TONT20000ANNUELLE!K14</f>
        <v>4500</v>
      </c>
      <c r="G15" s="12">
        <f>[3]TONT20000ANNUELLE!L14</f>
        <v>9000</v>
      </c>
      <c r="H15" s="12">
        <f>[3]TONT20000ANNUELLE!M14</f>
        <v>22500</v>
      </c>
      <c r="I15" s="12">
        <f>[3]TONT20000ANNUELLE!N14</f>
        <v>50000</v>
      </c>
      <c r="J15" s="13"/>
      <c r="K15" s="12">
        <f>[3]TONT20000ANNUELLE!C14</f>
        <v>32652.130072888282</v>
      </c>
      <c r="L15" s="13"/>
      <c r="M15" s="14">
        <f>[5]EMPRUNT!$AP13</f>
        <v>0</v>
      </c>
      <c r="N15" s="14">
        <f>[5]EMPRUNT!$AS13</f>
        <v>0</v>
      </c>
      <c r="O15" s="15"/>
      <c r="P15" s="18"/>
      <c r="Q15" s="14">
        <f>[5]EMPRUNT!AU13</f>
        <v>0</v>
      </c>
      <c r="R15" s="17">
        <f>[3]TONT20000ANNUELLE!$G14</f>
        <v>3000</v>
      </c>
    </row>
    <row r="16" spans="1:18" x14ac:dyDescent="0.25">
      <c r="A16" s="10" t="s">
        <v>33</v>
      </c>
      <c r="B16" s="11" t="str">
        <f>VLOOKUP(A16,[3]LISTADHERENT!A$5:H$51,2)</f>
        <v>FOTSO THOMAS</v>
      </c>
      <c r="C16" s="12">
        <f>[3]FONDSDECAISSE!O15</f>
        <v>420000</v>
      </c>
      <c r="D16" s="12">
        <f>[3]TONT20000DEC2016!D15</f>
        <v>2522</v>
      </c>
      <c r="E16" s="12">
        <f>[3]TONT20000ANNUELLE!J15</f>
        <v>27000</v>
      </c>
      <c r="F16" s="12">
        <f>[3]TONT20000ANNUELLE!K15</f>
        <v>4500</v>
      </c>
      <c r="G16" s="12">
        <f>[3]TONT20000ANNUELLE!L15</f>
        <v>9000</v>
      </c>
      <c r="H16" s="12">
        <f>[3]TONT20000ANNUELLE!M15</f>
        <v>22500</v>
      </c>
      <c r="I16" s="12">
        <f>[3]TONT20000ANNUELLE!N15</f>
        <v>50000</v>
      </c>
      <c r="J16" s="13"/>
      <c r="K16" s="12">
        <f>[3]TONT20000ANNUELLE!C15</f>
        <v>29236.668117464727</v>
      </c>
      <c r="L16" s="13"/>
      <c r="M16" s="14">
        <f>[5]EMPRUNT!$AP14</f>
        <v>967600</v>
      </c>
      <c r="N16" s="14">
        <f>[5]EMPRUNT!$AS14</f>
        <v>170170</v>
      </c>
      <c r="O16" s="15">
        <f>[5]EMPRUNT!$AR14</f>
        <v>43313</v>
      </c>
      <c r="P16" s="18" t="str">
        <f>[5]EMPRUNT!AT14</f>
        <v>ECHEC</v>
      </c>
      <c r="Q16" s="14">
        <f>[5]EMPRUNT!AU14</f>
        <v>0</v>
      </c>
      <c r="R16" s="17">
        <f>[3]TONT20000ANNUELLE!$G15</f>
        <v>7000</v>
      </c>
    </row>
    <row r="17" spans="1:18" x14ac:dyDescent="0.25">
      <c r="A17" s="10" t="s">
        <v>34</v>
      </c>
      <c r="B17" s="11" t="str">
        <f>VLOOKUP(A17,[3]LISTADHERENT!A$5:H$51,2)</f>
        <v>HENGUE PAUL OMER</v>
      </c>
      <c r="C17" s="12">
        <f>[3]FONDSDECAISSE!O16</f>
        <v>420000</v>
      </c>
      <c r="D17" s="12" t="e">
        <f>[3]TONT20000DEC2016!D16</f>
        <v>#REF!</v>
      </c>
      <c r="E17" s="12">
        <f>[3]TONT20000ANNUELLE!J16</f>
        <v>93000</v>
      </c>
      <c r="F17" s="12">
        <f>[3]TONT20000ANNUELLE!K16</f>
        <v>5500</v>
      </c>
      <c r="G17" s="12">
        <f>[3]TONT20000ANNUELLE!L16</f>
        <v>11000</v>
      </c>
      <c r="H17" s="12">
        <f>[3]TONT20000ANNUELLE!M16</f>
        <v>27500</v>
      </c>
      <c r="I17" s="12">
        <f>[3]TONT20000ANNUELLE!N16</f>
        <v>50000</v>
      </c>
      <c r="J17" s="13"/>
      <c r="K17" s="12">
        <f>[3]TONT20000ANNUELLE!C16</f>
        <v>33469.024616242226</v>
      </c>
      <c r="L17" s="13"/>
      <c r="M17" s="14">
        <f>[5]EMPRUNT!$AP15</f>
        <v>0</v>
      </c>
      <c r="N17" s="14">
        <f>[5]EMPRUNT!$AS15</f>
        <v>0</v>
      </c>
      <c r="O17" s="15">
        <f>[5]EMPRUNT!$AR15</f>
        <v>0</v>
      </c>
      <c r="P17" s="18"/>
      <c r="Q17" s="14">
        <f>[5]EMPRUNT!AU15</f>
        <v>0</v>
      </c>
      <c r="R17" s="17">
        <f>[3]TONT20000ANNUELLE!$G16</f>
        <v>1000</v>
      </c>
    </row>
    <row r="18" spans="1:18" x14ac:dyDescent="0.25">
      <c r="A18" s="10" t="s">
        <v>35</v>
      </c>
      <c r="B18" s="11" t="str">
        <f>VLOOKUP(A18,[3]LISTADHERENT!A$5:H$51,2)</f>
        <v>HODIEP JULES</v>
      </c>
      <c r="C18" s="12">
        <f>[3]FONDSDECAISSE!O17</f>
        <v>50000</v>
      </c>
      <c r="D18" s="12">
        <f>[3]TONT20000DEC2016!D17</f>
        <v>260</v>
      </c>
      <c r="E18" s="12">
        <f>[3]TONT20000ANNUELLE!J17</f>
        <v>0</v>
      </c>
      <c r="F18" s="12">
        <f>[3]TONT20000ANNUELLE!K17</f>
        <v>0</v>
      </c>
      <c r="G18" s="12">
        <f>[3]TONT20000ANNUELLE!L17</f>
        <v>0</v>
      </c>
      <c r="H18" s="12">
        <f>[3]TONT20000ANNUELLE!M17</f>
        <v>0</v>
      </c>
      <c r="I18" s="12">
        <f>[3]TONT20000ANNUELLE!N17</f>
        <v>14092</v>
      </c>
      <c r="J18" s="13"/>
      <c r="K18" s="12">
        <f>[3]TONT20000ANNUELLE!C17</f>
        <v>3351.054501221799</v>
      </c>
      <c r="L18" s="13"/>
      <c r="M18" s="14">
        <f>[5]EMPRUNT!$AP16</f>
        <v>0</v>
      </c>
      <c r="N18" s="14">
        <f>[5]EMPRUNT!$AS16</f>
        <v>0</v>
      </c>
      <c r="O18" s="15"/>
      <c r="P18" s="18"/>
      <c r="Q18" s="14">
        <f>[5]EMPRUNT!AU16</f>
        <v>0</v>
      </c>
      <c r="R18" s="17">
        <f>[3]TONT20000ANNUELLE!$G17</f>
        <v>0</v>
      </c>
    </row>
    <row r="19" spans="1:18" x14ac:dyDescent="0.25">
      <c r="A19" s="10" t="s">
        <v>36</v>
      </c>
      <c r="B19" s="11" t="str">
        <f>VLOOKUP(A19,[3]LISTADHERENT!A$5:H$51,2)</f>
        <v>HOTCHO BENJAMIN</v>
      </c>
      <c r="C19" s="12">
        <f>[3]FONDSDECAISSE!O18</f>
        <v>420000</v>
      </c>
      <c r="D19" s="12">
        <f>[3]TONT20000DEC2016!D18</f>
        <v>112685</v>
      </c>
      <c r="E19" s="12">
        <f>[3]TONT20000ANNUELLE!J18</f>
        <v>27000</v>
      </c>
      <c r="F19" s="12">
        <f>[3]TONT20000ANNUELLE!K18</f>
        <v>4500</v>
      </c>
      <c r="G19" s="12">
        <f>[3]TONT20000ANNUELLE!L18</f>
        <v>9000</v>
      </c>
      <c r="H19" s="12">
        <f>[3]TONT20000ANNUELLE!M18</f>
        <v>22500</v>
      </c>
      <c r="I19" s="12">
        <f>[3]TONT20000ANNUELLE!N18</f>
        <v>50000</v>
      </c>
      <c r="J19" s="13"/>
      <c r="K19" s="12">
        <f>[3]TONT20000ANNUELLE!C18</f>
        <v>36581.718197410933</v>
      </c>
      <c r="L19" s="13"/>
      <c r="M19" s="14">
        <f>[5]EMPRUNT!$AP17</f>
        <v>684000</v>
      </c>
      <c r="N19" s="14">
        <f>[5]EMPRUNT!$AS17</f>
        <v>14000</v>
      </c>
      <c r="O19" s="15">
        <f>[5]EMPRUNT!$AR17</f>
        <v>43252</v>
      </c>
      <c r="P19" s="18"/>
      <c r="Q19" s="14">
        <f>[5]EMPRUNT!AU17</f>
        <v>14000</v>
      </c>
      <c r="R19" s="17">
        <f>[3]TONT20000ANNUELLE!$G18</f>
        <v>0</v>
      </c>
    </row>
    <row r="20" spans="1:18" x14ac:dyDescent="0.25">
      <c r="A20" s="10" t="s">
        <v>37</v>
      </c>
      <c r="B20" s="11" t="str">
        <f>VLOOKUP(A20,[3]LISTADHERENT!A$5:H$51,2)</f>
        <v>NKEHE DAVID</v>
      </c>
      <c r="C20" s="12">
        <f>[3]FONDSDECAISSE!O19</f>
        <v>357000</v>
      </c>
      <c r="D20" s="12">
        <f>[3]TONT20000DEC2016!D19</f>
        <v>177</v>
      </c>
      <c r="E20" s="12">
        <f>[3]TONT20000ANNUELLE!J19</f>
        <v>24000</v>
      </c>
      <c r="F20" s="12">
        <f>[3]TONT20000ANNUELLE!K19</f>
        <v>4000</v>
      </c>
      <c r="G20" s="12">
        <f>[3]TONT20000ANNUELLE!L19</f>
        <v>8000</v>
      </c>
      <c r="H20" s="12">
        <f>[3]TONT20000ANNUELLE!M19</f>
        <v>20000</v>
      </c>
      <c r="I20" s="12">
        <f>[3]TONT20000ANNUELLE!N19</f>
        <v>21829</v>
      </c>
      <c r="J20" s="13"/>
      <c r="K20" s="12">
        <f>[3]TONT20000ANNUELLE!C19</f>
        <v>24879.4703480795</v>
      </c>
      <c r="L20" s="13"/>
      <c r="M20" s="14">
        <f>[5]EMPRUNT!$AP18</f>
        <v>0</v>
      </c>
      <c r="N20" s="14">
        <f>[5]EMPRUNT!$AS18</f>
        <v>0</v>
      </c>
      <c r="O20" s="15"/>
      <c r="P20" s="18"/>
      <c r="Q20" s="14">
        <f>[5]EMPRUNT!AU18</f>
        <v>0</v>
      </c>
      <c r="R20" s="17">
        <f>[3]TONT20000ANNUELLE!$G19</f>
        <v>2000</v>
      </c>
    </row>
    <row r="21" spans="1:18" x14ac:dyDescent="0.25">
      <c r="A21" s="10" t="s">
        <v>38</v>
      </c>
      <c r="B21" s="11" t="str">
        <f>VLOOKUP(A21,[3]LISTADHERENT!A$5:H$51,2)</f>
        <v>KEPSEU FRANCIS</v>
      </c>
      <c r="C21" s="12">
        <f>[3]FONDSDECAISSE!O20</f>
        <v>420000</v>
      </c>
      <c r="D21" s="12">
        <f>[3]TONT20000DEC2016!D20</f>
        <v>705425</v>
      </c>
      <c r="E21" s="12">
        <f>[3]TONT20000ANNUELLE!J20</f>
        <v>2054000</v>
      </c>
      <c r="F21" s="12">
        <f>[3]TONT20000ANNUELLE!K20</f>
        <v>4500</v>
      </c>
      <c r="G21" s="12">
        <f>[3]TONT20000ANNUELLE!L20</f>
        <v>9000</v>
      </c>
      <c r="H21" s="12">
        <f>[3]TONT20000ANNUELLE!M20</f>
        <v>22500</v>
      </c>
      <c r="I21" s="12">
        <f>[3]TONT20000ANNUELLE!N20</f>
        <v>50000</v>
      </c>
      <c r="J21" s="13"/>
      <c r="K21" s="12">
        <f>[3]TONT20000ANNUELLE!C20</f>
        <v>160404.20740748342</v>
      </c>
      <c r="L21" s="13"/>
      <c r="M21" s="14">
        <f>[5]EMPRUNT!$AP19</f>
        <v>0</v>
      </c>
      <c r="N21" s="14">
        <f>[5]EMPRUNT!$AS19</f>
        <v>0</v>
      </c>
      <c r="O21" s="15"/>
      <c r="P21" s="18"/>
      <c r="Q21" s="14">
        <f>[5]EMPRUNT!AU19</f>
        <v>0</v>
      </c>
      <c r="R21" s="17">
        <f>[3]TONT20000ANNUELLE!$G20</f>
        <v>0</v>
      </c>
    </row>
    <row r="22" spans="1:18" x14ac:dyDescent="0.25">
      <c r="A22" s="10" t="s">
        <v>39</v>
      </c>
      <c r="B22" s="11" t="str">
        <f>VLOOKUP(A22,[3]LISTADHERENT!A$5:H$51,2)</f>
        <v>KOUAMOU EMMANUEL</v>
      </c>
      <c r="C22" s="12">
        <f>[3]FONDSDECAISSE!O21</f>
        <v>420000</v>
      </c>
      <c r="D22" s="12">
        <f>[3]TONT20000DEC2016!D21</f>
        <v>2357</v>
      </c>
      <c r="E22" s="12">
        <f>[3]TONT20000ANNUELLE!J21</f>
        <v>27000</v>
      </c>
      <c r="F22" s="12">
        <f>[3]TONT20000ANNUELLE!K21</f>
        <v>4500</v>
      </c>
      <c r="G22" s="12">
        <f>[3]TONT20000ANNUELLE!L21</f>
        <v>9000</v>
      </c>
      <c r="H22" s="12">
        <f>[3]TONT20000ANNUELLE!M21</f>
        <v>22500</v>
      </c>
      <c r="I22" s="12">
        <f>[3]TONT20000ANNUELLE!N21</f>
        <v>50000</v>
      </c>
      <c r="J22" s="13"/>
      <c r="K22" s="12">
        <f>[3]TONT20000ANNUELLE!C21</f>
        <v>29225.666844231506</v>
      </c>
      <c r="L22" s="13"/>
      <c r="M22" s="14">
        <f>[5]EMPRUNT!$AP20</f>
        <v>450000</v>
      </c>
      <c r="N22" s="14">
        <f>[5]EMPRUNT!$AS20</f>
        <v>270000</v>
      </c>
      <c r="O22" s="15">
        <f>[5]EMPRUNT!$AR20</f>
        <v>42917</v>
      </c>
      <c r="P22" s="18"/>
      <c r="Q22" s="14">
        <f>[5]EMPRUNT!AU20</f>
        <v>150000</v>
      </c>
      <c r="R22" s="17">
        <f>[3]TONT20000ANNUELLE!$G21</f>
        <v>6000</v>
      </c>
    </row>
    <row r="23" spans="1:18" x14ac:dyDescent="0.25">
      <c r="A23" s="10" t="s">
        <v>40</v>
      </c>
      <c r="B23" s="11" t="str">
        <f>VLOOKUP(A23,[3]LISTADHERENT!A$5:H$51,2)</f>
        <v>KOUAMOU MOISE</v>
      </c>
      <c r="C23" s="12">
        <f>[3]FONDSDECAISSE!O22</f>
        <v>420000</v>
      </c>
      <c r="D23" s="12">
        <f>[3]TONT20000DEC2016!D22</f>
        <v>3048</v>
      </c>
      <c r="E23" s="12">
        <f>[3]TONT20000ANNUELLE!J22</f>
        <v>27000</v>
      </c>
      <c r="F23" s="12">
        <f>[3]TONT20000ANNUELLE!K22</f>
        <v>4000</v>
      </c>
      <c r="G23" s="12">
        <f>[3]TONT20000ANNUELLE!L22</f>
        <v>8000</v>
      </c>
      <c r="H23" s="12">
        <f>[3]TONT20000ANNUELLE!M22</f>
        <v>20000</v>
      </c>
      <c r="I23" s="12">
        <f>[3]TONT20000ANNUELLE!N22</f>
        <v>50000</v>
      </c>
      <c r="J23" s="13"/>
      <c r="K23" s="12">
        <f>[3]TONT20000ANNUELLE!C22</f>
        <v>29204.095709582361</v>
      </c>
      <c r="L23" s="13"/>
      <c r="M23" s="14">
        <f>[5]EMPRUNT!$AP21</f>
        <v>592000</v>
      </c>
      <c r="N23" s="14">
        <f>[5]EMPRUNT!$AS21</f>
        <v>25000</v>
      </c>
      <c r="O23" s="15">
        <f>[5]EMPRUNT!$AR21</f>
        <v>43160</v>
      </c>
      <c r="P23" s="18"/>
      <c r="Q23" s="14">
        <f>[5]EMPRUNT!AU21</f>
        <v>15000</v>
      </c>
      <c r="R23" s="17">
        <f>[3]TONT20000ANNUELLE!$G22</f>
        <v>1000</v>
      </c>
    </row>
    <row r="24" spans="1:18" x14ac:dyDescent="0.25">
      <c r="A24" s="10" t="s">
        <v>41</v>
      </c>
      <c r="B24" s="11" t="str">
        <f>VLOOKUP(A24,[3]LISTADHERENT!A$5:H$51,2)</f>
        <v>KOUAMO VICTOR PEGUY</v>
      </c>
      <c r="C24" s="12">
        <f>[3]FONDSDECAISSE!O23</f>
        <v>420000</v>
      </c>
      <c r="D24" s="12">
        <f>[3]TONT20000DEC2016!D23</f>
        <v>2686</v>
      </c>
      <c r="E24" s="12">
        <f>[3]TONT20000ANNUELLE!J23</f>
        <v>27000</v>
      </c>
      <c r="F24" s="12">
        <f>[3]TONT20000ANNUELLE!K23</f>
        <v>4500</v>
      </c>
      <c r="G24" s="12">
        <f>[3]TONT20000ANNUELLE!L23</f>
        <v>9000</v>
      </c>
      <c r="H24" s="12">
        <f>[3]TONT20000ANNUELLE!M23</f>
        <v>22500</v>
      </c>
      <c r="I24" s="12">
        <f>[3]TONT20000ANNUELLE!N23</f>
        <v>50000</v>
      </c>
      <c r="J24" s="13"/>
      <c r="K24" s="12">
        <f>[3]TONT20000ANNUELLE!C23</f>
        <v>29247.602716314712</v>
      </c>
      <c r="L24" s="13"/>
      <c r="M24" s="14">
        <f>[5]EMPRUNT!$AP22</f>
        <v>980000</v>
      </c>
      <c r="N24" s="14">
        <f>[5]EMPRUNT!$AS22</f>
        <v>72000</v>
      </c>
      <c r="O24" s="15">
        <f>[5]EMPRUNT!$AR22</f>
        <v>43374</v>
      </c>
      <c r="P24" s="18"/>
      <c r="Q24" s="14">
        <f>[5]EMPRUNT!AU22</f>
        <v>0</v>
      </c>
      <c r="R24" s="17">
        <f>[3]TONT20000ANNUELLE!$G23</f>
        <v>5000</v>
      </c>
    </row>
    <row r="25" spans="1:18" x14ac:dyDescent="0.25">
      <c r="A25" s="10" t="s">
        <v>42</v>
      </c>
      <c r="B25" s="11" t="str">
        <f>VLOOKUP(A25,[3]LISTADHERENT!A$5:H$51,2)</f>
        <v>KOUATCHO MESSACK</v>
      </c>
      <c r="C25" s="12">
        <f>[3]FONDSDECAISSE!O24</f>
        <v>420000</v>
      </c>
      <c r="D25" s="12">
        <f>[3]TONT20000DEC2016!D24</f>
        <v>3818</v>
      </c>
      <c r="E25" s="12">
        <f>[3]TONT20000ANNUELLE!J24</f>
        <v>27000</v>
      </c>
      <c r="F25" s="12">
        <f>[3]TONT20000ANNUELLE!K24</f>
        <v>4500</v>
      </c>
      <c r="G25" s="12">
        <f>[3]TONT20000ANNUELLE!L24</f>
        <v>9000</v>
      </c>
      <c r="H25" s="12">
        <f>[3]TONT20000ANNUELLE!M24</f>
        <v>22500</v>
      </c>
      <c r="I25" s="12">
        <f>[3]TONT20000ANNUELLE!N24</f>
        <v>50000</v>
      </c>
      <c r="J25" s="13"/>
      <c r="K25" s="12">
        <f>[3]TONT20000ANNUELLE!C24</f>
        <v>29323.078118132915</v>
      </c>
      <c r="L25" s="13"/>
      <c r="M25" s="14">
        <f>[5]EMPRUNT!$AP23</f>
        <v>1120000</v>
      </c>
      <c r="N25" s="14">
        <f>[5]EMPRUNT!$AS23</f>
        <v>40000</v>
      </c>
      <c r="O25" s="15">
        <f>[5]EMPRUNT!$AR23</f>
        <v>43191</v>
      </c>
      <c r="P25" s="18"/>
      <c r="Q25" s="14">
        <f>[5]EMPRUNT!AU23</f>
        <v>40000</v>
      </c>
      <c r="R25" s="17">
        <f>[3]TONT20000ANNUELLE!$G24</f>
        <v>3000</v>
      </c>
    </row>
    <row r="26" spans="1:18" x14ac:dyDescent="0.25">
      <c r="A26" s="10" t="s">
        <v>43</v>
      </c>
      <c r="B26" s="11" t="str">
        <f>VLOOKUP(A26,[3]LISTADHERENT!A$5:H$51,2)</f>
        <v>LOWE JEAN</v>
      </c>
      <c r="C26" s="12">
        <f>[3]FONDSDECAISSE!O25</f>
        <v>420000</v>
      </c>
      <c r="D26" s="12">
        <f>[3]TONT20000DEC2016!D25</f>
        <v>2652</v>
      </c>
      <c r="E26" s="12">
        <f>[3]TONT20000ANNUELLE!J25</f>
        <v>24000</v>
      </c>
      <c r="F26" s="12">
        <f>[3]TONT20000ANNUELLE!K25</f>
        <v>4000</v>
      </c>
      <c r="G26" s="12">
        <f>[3]TONT20000ANNUELLE!L25</f>
        <v>8000</v>
      </c>
      <c r="H26" s="12">
        <f>[3]TONT20000ANNUELLE!M25</f>
        <v>20000</v>
      </c>
      <c r="I26" s="12">
        <f>[3]TONT20000ANNUELLE!N25</f>
        <v>50000</v>
      </c>
      <c r="J26" s="13"/>
      <c r="K26" s="12">
        <f>[3]TONT20000ANNUELLE!C25</f>
        <v>29195.647933605331</v>
      </c>
      <c r="L26" s="13"/>
      <c r="M26" s="14">
        <f>[5]EMPRUNT!$AP24</f>
        <v>154500</v>
      </c>
      <c r="N26" s="14">
        <f>[5]EMPRUNT!$AS24</f>
        <v>1600</v>
      </c>
      <c r="O26" s="15">
        <f>[5]EMPRUNT!$AR24</f>
        <v>42979</v>
      </c>
      <c r="P26" s="18">
        <f>[5]EMPRUNT!AT24</f>
        <v>0</v>
      </c>
      <c r="Q26" s="14">
        <f>[5]EMPRUNT!AU24</f>
        <v>1500</v>
      </c>
      <c r="R26" s="17">
        <f>[3]TONT20000ANNUELLE!$G25</f>
        <v>1000</v>
      </c>
    </row>
    <row r="27" spans="1:18" x14ac:dyDescent="0.25">
      <c r="A27" s="10" t="s">
        <v>44</v>
      </c>
      <c r="B27" s="11" t="str">
        <f>VLOOKUP(A27,[3]LISTADHERENT!A$5:H$51,2)</f>
        <v>LOWE JEAN</v>
      </c>
      <c r="C27" s="12">
        <f>[3]FONDSDECAISSE!O26</f>
        <v>420000</v>
      </c>
      <c r="D27" s="12">
        <f>[3]TONT20000DEC2016!D26</f>
        <v>2741</v>
      </c>
      <c r="E27" s="12">
        <f>[3]TONT20000ANNUELLE!J26</f>
        <v>27000</v>
      </c>
      <c r="F27" s="12">
        <f>[3]TONT20000ANNUELLE!K26</f>
        <v>4500</v>
      </c>
      <c r="G27" s="12">
        <f>[3]TONT20000ANNUELLE!L26</f>
        <v>9000</v>
      </c>
      <c r="H27" s="12">
        <f>[3]TONT20000ANNUELLE!M26</f>
        <v>22500</v>
      </c>
      <c r="I27" s="12">
        <f>[3]TONT20000ANNUELLE!N26</f>
        <v>50000</v>
      </c>
      <c r="J27" s="13"/>
      <c r="K27" s="12">
        <f>[3]TONT20000ANNUELLE!C26</f>
        <v>29251.269807392451</v>
      </c>
      <c r="L27" s="13"/>
      <c r="M27" s="14">
        <f>[5]EMPRUNT!$AP25</f>
        <v>0</v>
      </c>
      <c r="N27" s="14">
        <f>[5]EMPRUNT!$AS25</f>
        <v>140000</v>
      </c>
      <c r="O27" s="15">
        <f>[5]EMPRUNT!$AR25</f>
        <v>42917</v>
      </c>
      <c r="P27" s="18">
        <f>[5]EMPRUNT!AT25</f>
        <v>0</v>
      </c>
      <c r="Q27" s="14">
        <f>[5]EMPRUNT!AU25</f>
        <v>0</v>
      </c>
      <c r="R27" s="17">
        <f>[3]TONT20000ANNUELLE!$G26</f>
        <v>1000</v>
      </c>
    </row>
    <row r="28" spans="1:18" x14ac:dyDescent="0.25">
      <c r="A28" s="10" t="s">
        <v>45</v>
      </c>
      <c r="B28" s="11" t="str">
        <f>VLOOKUP(A28,[3]LISTADHERENT!A$5:H$51,2)</f>
        <v>NDJOMO ETIENNE</v>
      </c>
      <c r="C28" s="12">
        <f>[3]FONDSDECAISSE!O27</f>
        <v>420000</v>
      </c>
      <c r="D28" s="12">
        <f>[3]TONT20000DEC2016!D27</f>
        <v>2818</v>
      </c>
      <c r="E28" s="12">
        <f>[3]TONT20000ANNUELLE!J27</f>
        <v>72000</v>
      </c>
      <c r="F28" s="12">
        <f>[3]TONT20000ANNUELLE!K27</f>
        <v>4500</v>
      </c>
      <c r="G28" s="12">
        <f>[3]TONT20000ANNUELLE!L27</f>
        <v>9000</v>
      </c>
      <c r="H28" s="12">
        <f>[3]TONT20000ANNUELLE!M27</f>
        <v>22500</v>
      </c>
      <c r="I28" s="12">
        <f>[3]TONT20000ANNUELLE!N27</f>
        <v>50000</v>
      </c>
      <c r="J28" s="13"/>
      <c r="K28" s="12">
        <f>[3]TONT20000ANNUELLE!C27</f>
        <v>31031.260682493044</v>
      </c>
      <c r="L28" s="13"/>
      <c r="M28" s="14">
        <f>[5]EMPRUNT!$AP26</f>
        <v>672000</v>
      </c>
      <c r="N28" s="14">
        <f>[5]EMPRUNT!$AS26</f>
        <v>30000</v>
      </c>
      <c r="O28" s="15">
        <f>[5]EMPRUNT!$AR26</f>
        <v>43160</v>
      </c>
      <c r="P28" s="18"/>
      <c r="Q28" s="14">
        <f>[5]EMPRUNT!AU26</f>
        <v>42000</v>
      </c>
      <c r="R28" s="17">
        <f>[3]TONT20000ANNUELLE!$G27</f>
        <v>1000</v>
      </c>
    </row>
    <row r="29" spans="1:18" x14ac:dyDescent="0.25">
      <c r="A29" s="21" t="s">
        <v>46</v>
      </c>
      <c r="B29" s="11" t="str">
        <f>VLOOKUP(A29,[3]LISTADHERENT!A$5:H$51,2)</f>
        <v>NDOMBOU JEAN CLAUDE</v>
      </c>
      <c r="C29" s="12">
        <f>[3]FONDSDECAISSE!O28</f>
        <v>420000</v>
      </c>
      <c r="D29" s="12">
        <f>[3]TONT20000DEC2016!D28</f>
        <v>0</v>
      </c>
      <c r="E29" s="12">
        <f>[3]TONT20000ANNUELLE!J28</f>
        <v>3000</v>
      </c>
      <c r="F29" s="12">
        <f>[3]TONT20000ANNUELLE!K28</f>
        <v>500</v>
      </c>
      <c r="G29" s="12">
        <f>[3]TONT20000ANNUELLE!L28</f>
        <v>1000</v>
      </c>
      <c r="H29" s="12">
        <f>[3]TONT20000ANNUELLE!M28</f>
        <v>2500</v>
      </c>
      <c r="I29" s="12">
        <f>[3]TONT20000ANNUELLE!N28</f>
        <v>50000</v>
      </c>
      <c r="J29" s="13"/>
      <c r="K29" s="12">
        <f>[3]TONT20000ANNUELLE!C28</f>
        <v>28003.601154399497</v>
      </c>
      <c r="L29" s="13"/>
      <c r="M29" s="14">
        <f>[5]EMPRUNT!$AP27</f>
        <v>0</v>
      </c>
      <c r="N29" s="14">
        <f>[5]EMPRUNT!$AS27</f>
        <v>0</v>
      </c>
      <c r="O29" s="15"/>
      <c r="P29" s="18"/>
      <c r="Q29" s="14">
        <f>[5]EMPRUNT!AU27</f>
        <v>0</v>
      </c>
      <c r="R29" s="17">
        <f>[3]TONT20000ANNUELLE!$G28</f>
        <v>0</v>
      </c>
    </row>
    <row r="30" spans="1:18" x14ac:dyDescent="0.25">
      <c r="A30" s="10" t="s">
        <v>47</v>
      </c>
      <c r="B30" s="11" t="str">
        <f>VLOOKUP(A30,[3]LISTADHERENT!A$5:H$51,2)</f>
        <v>NGONDIEP CLAUDE</v>
      </c>
      <c r="C30" s="12">
        <f>[3]FONDSDECAISSE!O29</f>
        <v>420000</v>
      </c>
      <c r="D30" s="12">
        <f>[3]TONT20000DEC2016!D29</f>
        <v>3250</v>
      </c>
      <c r="E30" s="12">
        <f>[3]TONT20000ANNUELLE!J29</f>
        <v>36000</v>
      </c>
      <c r="F30" s="12">
        <f>[3]TONT20000ANNUELLE!K29</f>
        <v>4500</v>
      </c>
      <c r="G30" s="12">
        <f>[3]TONT20000ANNUELLE!L29</f>
        <v>9000</v>
      </c>
      <c r="H30" s="12">
        <f>[3]TONT20000ANNUELLE!M29</f>
        <v>22500</v>
      </c>
      <c r="I30" s="12">
        <f>[3]TONT20000ANNUELLE!N29</f>
        <v>50000</v>
      </c>
      <c r="J30" s="13"/>
      <c r="K30" s="12">
        <f>[3]TONT20000ANNUELLE!C29</f>
        <v>29879.831118129652</v>
      </c>
      <c r="L30" s="13"/>
      <c r="M30" s="14">
        <f>[5]EMPRUNT!$AP28</f>
        <v>1020000</v>
      </c>
      <c r="N30" s="14">
        <f>[5]EMPRUNT!$AS28</f>
        <v>20020</v>
      </c>
      <c r="O30" s="15">
        <f>[5]EMPRUNT!$AR28</f>
        <v>43252</v>
      </c>
      <c r="P30" s="18"/>
      <c r="Q30" s="14">
        <f>[5]EMPRUNT!AU28</f>
        <v>20000</v>
      </c>
      <c r="R30" s="17">
        <f>[3]TONT20000ANNUELLE!$G29</f>
        <v>1000</v>
      </c>
    </row>
    <row r="31" spans="1:18" x14ac:dyDescent="0.25">
      <c r="A31" s="10" t="s">
        <v>48</v>
      </c>
      <c r="B31" s="11" t="str">
        <f>VLOOKUP(A31,[3]LISTADHERENT!A$5:H$51,2)</f>
        <v>NGONGANG JEAN THEODORE</v>
      </c>
      <c r="C31" s="12">
        <f>[3]FONDSDECAISSE!O30</f>
        <v>0</v>
      </c>
      <c r="D31" s="12">
        <f>[3]TONT20000DEC2016!D30</f>
        <v>106</v>
      </c>
      <c r="E31" s="12">
        <f>[3]TONT20000ANNUELLE!J30</f>
        <v>16193</v>
      </c>
      <c r="F31" s="12">
        <f>[3]TONT20000ANNUELLE!K30</f>
        <v>4000</v>
      </c>
      <c r="G31" s="12">
        <f>[3]TONT20000ANNUELLE!L30</f>
        <v>8000</v>
      </c>
      <c r="H31" s="12">
        <f>[3]TONT20000ANNUELLE!M30</f>
        <v>20000</v>
      </c>
      <c r="I31" s="12">
        <f>[3]TONT20000ANNUELLE!N30</f>
        <v>50000</v>
      </c>
      <c r="J31" s="13"/>
      <c r="K31" s="12">
        <f>[3]TONT20000ANNUELLE!C30</f>
        <v>982.09060748933393</v>
      </c>
      <c r="L31" s="13"/>
      <c r="M31" s="14">
        <f>[5]EMPRUNT!$AP29</f>
        <v>0</v>
      </c>
      <c r="N31" s="14">
        <f>[5]EMPRUNT!$AS29</f>
        <v>0</v>
      </c>
      <c r="O31" s="15"/>
      <c r="P31" s="18"/>
      <c r="Q31" s="14">
        <f>[5]EMPRUNT!AU29</f>
        <v>0</v>
      </c>
      <c r="R31" s="17">
        <f>[3]TONT20000ANNUELLE!$G30</f>
        <v>3000</v>
      </c>
    </row>
    <row r="32" spans="1:18" x14ac:dyDescent="0.25">
      <c r="A32" s="10" t="s">
        <v>49</v>
      </c>
      <c r="B32" s="11" t="str">
        <f>VLOOKUP(A32,[3]LISTADHERENT!A$5:H$51,2)</f>
        <v>NGUIEMEGNI MATHIEU BLAISE</v>
      </c>
      <c r="C32" s="12">
        <f>[3]FONDSDECAISSE!O31</f>
        <v>420000</v>
      </c>
      <c r="D32" s="12">
        <f>[3]TONT20000DEC2016!D31</f>
        <v>40133</v>
      </c>
      <c r="E32" s="12">
        <f>[3]TONT20000ANNUELLE!J31</f>
        <v>27000</v>
      </c>
      <c r="F32" s="12">
        <f>[3]TONT20000ANNUELLE!K31</f>
        <v>4500</v>
      </c>
      <c r="G32" s="12">
        <f>[3]TONT20000ANNUELLE!L31</f>
        <v>9000</v>
      </c>
      <c r="H32" s="12">
        <f>[3]TONT20000ANNUELLE!M31</f>
        <v>22500</v>
      </c>
      <c r="I32" s="12">
        <f>[3]TONT20000ANNUELLE!N31</f>
        <v>50000</v>
      </c>
      <c r="J32" s="13"/>
      <c r="K32" s="12">
        <f>[3]TONT20000ANNUELLE!C31</f>
        <v>31746.159330760962</v>
      </c>
      <c r="L32" s="13"/>
      <c r="M32" s="14">
        <f>[5]EMPRUNT!$AP30</f>
        <v>0</v>
      </c>
      <c r="N32" s="14">
        <f>[5]EMPRUNT!$AS30</f>
        <v>0</v>
      </c>
      <c r="O32" s="15"/>
      <c r="P32" s="18"/>
      <c r="Q32" s="14">
        <f>[5]EMPRUNT!AU30</f>
        <v>0</v>
      </c>
      <c r="R32" s="17">
        <f>[3]TONT20000ANNUELLE!$G31</f>
        <v>2000</v>
      </c>
    </row>
    <row r="33" spans="1:18" x14ac:dyDescent="0.25">
      <c r="A33" s="10" t="s">
        <v>50</v>
      </c>
      <c r="B33" s="11" t="str">
        <f>VLOOKUP(A33,[3]LISTADHERENT!A$5:H$51,2)</f>
        <v>NJEPDJIO MBOUKAM DELUXE</v>
      </c>
      <c r="C33" s="12">
        <f>[3]FONDSDECAISSE!O32</f>
        <v>420000</v>
      </c>
      <c r="D33" s="12">
        <f>[3]TONT20000DEC2016!D32</f>
        <v>2773</v>
      </c>
      <c r="E33" s="12">
        <f>[3]TONT20000ANNUELLE!J32</f>
        <v>32000</v>
      </c>
      <c r="F33" s="12">
        <f>[3]TONT20000ANNUELLE!K32</f>
        <v>4500</v>
      </c>
      <c r="G33" s="12">
        <f>[3]TONT20000ANNUELLE!L32</f>
        <v>9000</v>
      </c>
      <c r="H33" s="12">
        <f>[3]TONT20000ANNUELLE!M32</f>
        <v>22500</v>
      </c>
      <c r="I33" s="12">
        <f>[3]TONT20000ANNUELLE!N32</f>
        <v>50000</v>
      </c>
      <c r="J33" s="13"/>
      <c r="K33" s="12">
        <f>[3]TONT20000ANNUELLE!C32</f>
        <v>29585.5510674896</v>
      </c>
      <c r="L33" s="13"/>
      <c r="M33" s="14">
        <f>[5]EMPRUNT!$AP31</f>
        <v>896000</v>
      </c>
      <c r="N33" s="14">
        <f>[5]EMPRUNT!$AS31</f>
        <v>24000</v>
      </c>
      <c r="O33" s="15">
        <f>[5]EMPRUNT!$AR31</f>
        <v>43221</v>
      </c>
      <c r="P33" s="18"/>
      <c r="Q33" s="14">
        <f>[5]EMPRUNT!AU31</f>
        <v>24000</v>
      </c>
      <c r="R33" s="17">
        <f>[3]TONT20000ANNUELLE!$G32</f>
        <v>7000</v>
      </c>
    </row>
    <row r="34" spans="1:18" x14ac:dyDescent="0.25">
      <c r="A34" s="10" t="s">
        <v>51</v>
      </c>
      <c r="B34" s="11" t="str">
        <f>VLOOKUP(A34,[3]LISTADHERENT!A$5:H$51,2)</f>
        <v>NKAMGANG JUSTIN DEJOLIE</v>
      </c>
      <c r="C34" s="12">
        <f>[3]FONDSDECAISSE!O33</f>
        <v>420000</v>
      </c>
      <c r="D34" s="12">
        <f>[3]TONT20000DEC2016!D33</f>
        <v>69808</v>
      </c>
      <c r="E34" s="12">
        <f>[3]TONT20000ANNUELLE!J33</f>
        <v>56000</v>
      </c>
      <c r="F34" s="12">
        <f>[3]TONT20000ANNUELLE!K33</f>
        <v>4500</v>
      </c>
      <c r="G34" s="12">
        <f>[3]TONT20000ANNUELLE!L33</f>
        <v>9000</v>
      </c>
      <c r="H34" s="12">
        <f>[3]TONT20000ANNUELLE!M33</f>
        <v>22500</v>
      </c>
      <c r="I34" s="12">
        <f>[3]TONT20000ANNUELLE!N33</f>
        <v>50000</v>
      </c>
      <c r="J34" s="13"/>
      <c r="K34" s="12">
        <f>[3]TONT20000ANNUELLE!C33</f>
        <v>34923.93568210525</v>
      </c>
      <c r="L34" s="13"/>
      <c r="M34" s="14">
        <f>[5]EMPRUNT!$AP32</f>
        <v>1120000</v>
      </c>
      <c r="N34" s="14">
        <f>[5]EMPRUNT!$AS32</f>
        <v>90090</v>
      </c>
      <c r="O34" s="15">
        <f>[5]EMPRUNT!$AR32</f>
        <v>43040</v>
      </c>
      <c r="P34" s="18"/>
      <c r="Q34" s="14">
        <f>[5]EMPRUNT!AU32</f>
        <v>0</v>
      </c>
      <c r="R34" s="17">
        <f>[3]TONT20000ANNUELLE!$G33</f>
        <v>7000</v>
      </c>
    </row>
    <row r="35" spans="1:18" s="22" customFormat="1" x14ac:dyDescent="0.25">
      <c r="A35" s="10" t="s">
        <v>52</v>
      </c>
      <c r="B35" s="11" t="str">
        <f>VLOOKUP(A35,[3]LISTADHERENT!A$5:H$51,2)</f>
        <v>NKEPSEU DIEUDONNE</v>
      </c>
      <c r="C35" s="12">
        <f>[3]FONDSDECAISSE!O34</f>
        <v>420000</v>
      </c>
      <c r="D35" s="12">
        <f>[3]TONT20000DEC2016!D34</f>
        <v>2772</v>
      </c>
      <c r="E35" s="12">
        <f>[3]TONT20000ANNUELLE!J34</f>
        <v>172000</v>
      </c>
      <c r="F35" s="12">
        <f>[3]TONT20000ANNUELLE!K34</f>
        <v>4500</v>
      </c>
      <c r="G35" s="12">
        <f>[3]TONT20000ANNUELLE!L34</f>
        <v>9000</v>
      </c>
      <c r="H35" s="12">
        <f>[3]TONT20000ANNUELLE!M34</f>
        <v>22500</v>
      </c>
      <c r="I35" s="12">
        <f>[3]TONT20000ANNUELLE!N34</f>
        <v>50000</v>
      </c>
      <c r="J35" s="13"/>
      <c r="K35" s="12">
        <f>[3]TONT20000ANNUELLE!C34</f>
        <v>37701.034940741571</v>
      </c>
      <c r="L35" s="13"/>
      <c r="M35" s="14">
        <f>[5]EMPRUNT!$AP33</f>
        <v>532000</v>
      </c>
      <c r="N35" s="14">
        <f>[5]EMPRUNT!$AS33</f>
        <v>60100</v>
      </c>
      <c r="O35" s="15">
        <f>[5]EMPRUNT!$AR33</f>
        <v>43009</v>
      </c>
      <c r="P35" s="18"/>
      <c r="Q35" s="14">
        <f>[5]EMPRUNT!AU33</f>
        <v>0</v>
      </c>
      <c r="R35" s="17">
        <f>[3]TONT20000ANNUELLE!$G34</f>
        <v>7000</v>
      </c>
    </row>
    <row r="36" spans="1:18" s="22" customFormat="1" x14ac:dyDescent="0.25">
      <c r="A36" s="10"/>
      <c r="B36" s="11"/>
      <c r="C36" s="12">
        <f>[3]FONDSDECAISSE!O35</f>
        <v>0</v>
      </c>
      <c r="D36" s="12">
        <f>[3]TONT20000DEC2016!D35</f>
        <v>0</v>
      </c>
      <c r="E36" s="12">
        <f>[3]TONT20000ANNUELLE!J35</f>
        <v>0</v>
      </c>
      <c r="F36" s="12">
        <f>[3]TONT20000ANNUELLE!K35</f>
        <v>0</v>
      </c>
      <c r="G36" s="12">
        <f>[3]TONT20000ANNUELLE!L35</f>
        <v>0</v>
      </c>
      <c r="H36" s="12">
        <f>[3]TONT20000ANNUELLE!M35</f>
        <v>0</v>
      </c>
      <c r="I36" s="12">
        <f>[3]TONT20000ANNUELLE!N35</f>
        <v>0</v>
      </c>
      <c r="J36" s="13"/>
      <c r="K36" s="12">
        <f>[3]TONT20000ANNUELLE!C35</f>
        <v>0</v>
      </c>
      <c r="L36" s="13"/>
      <c r="M36" s="23"/>
      <c r="N36" s="23"/>
      <c r="O36" s="23"/>
      <c r="P36" s="23"/>
      <c r="Q36" s="14">
        <f>[5]EMPRUNT!AU34</f>
        <v>0</v>
      </c>
      <c r="R36" s="17">
        <f>[3]TONT20000ANNUELLE!$G35</f>
        <v>0</v>
      </c>
    </row>
    <row r="37" spans="1:18" x14ac:dyDescent="0.25">
      <c r="A37" s="10" t="s">
        <v>53</v>
      </c>
      <c r="B37" s="11" t="str">
        <f>VLOOKUP(A37,[3]LISTADHERENT!A$5:H$51,2)</f>
        <v>NTEPDIE TUEMAC MZ</v>
      </c>
      <c r="C37" s="12">
        <f>[3]FONDSDECAISSE!O36</f>
        <v>0</v>
      </c>
      <c r="D37" s="12" t="e">
        <f>[3]TONT20000DEC2016!D36</f>
        <v>#REF!</v>
      </c>
      <c r="E37" s="12">
        <f>[3]TONT20000ANNUELLE!J36</f>
        <v>0</v>
      </c>
      <c r="F37" s="12">
        <f>[3]TONT20000ANNUELLE!K36</f>
        <v>0</v>
      </c>
      <c r="G37" s="12">
        <f>[3]TONT20000ANNUELLE!L36</f>
        <v>0</v>
      </c>
      <c r="H37" s="12">
        <f>[3]TONT20000ANNUELLE!M36</f>
        <v>0</v>
      </c>
      <c r="I37" s="12">
        <f>[3]TONT20000ANNUELLE!N36</f>
        <v>0</v>
      </c>
      <c r="J37" s="13"/>
      <c r="K37" s="12">
        <f>[3]TONT20000ANNUELLE!C36</f>
        <v>0</v>
      </c>
      <c r="L37" s="13"/>
      <c r="M37" s="14">
        <f>[5]EMPRUNT!$AP34</f>
        <v>0</v>
      </c>
      <c r="N37" s="14">
        <f>[5]EMPRUNT!$AS34</f>
        <v>0</v>
      </c>
      <c r="O37" s="15"/>
      <c r="P37" s="18"/>
      <c r="Q37" s="14">
        <f>[5]EMPRUNT!AU35</f>
        <v>0</v>
      </c>
      <c r="R37" s="17">
        <f>[3]TONT20000ANNUELLE!$G36</f>
        <v>0</v>
      </c>
    </row>
    <row r="38" spans="1:18" x14ac:dyDescent="0.25">
      <c r="A38" s="10"/>
      <c r="B38" s="11"/>
      <c r="C38" s="12">
        <f>[3]FONDSDECAISSE!O37</f>
        <v>0</v>
      </c>
      <c r="D38" s="12">
        <f>[3]TONT20000DEC2016!D37</f>
        <v>0</v>
      </c>
      <c r="E38" s="12">
        <f>[3]TONT20000ANNUELLE!J37</f>
        <v>0</v>
      </c>
      <c r="F38" s="12">
        <f>[3]TONT20000ANNUELLE!K37</f>
        <v>0</v>
      </c>
      <c r="G38" s="12">
        <f>[3]TONT20000ANNUELLE!L37</f>
        <v>0</v>
      </c>
      <c r="H38" s="12">
        <f>[3]TONT20000ANNUELLE!M37</f>
        <v>0</v>
      </c>
      <c r="I38" s="12">
        <f>[3]TONT20000ANNUELLE!N37</f>
        <v>0</v>
      </c>
      <c r="J38" s="13"/>
      <c r="K38" s="12">
        <f>[3]TONT20000ANNUELLE!C37</f>
        <v>0</v>
      </c>
      <c r="L38" s="13"/>
      <c r="M38" s="14">
        <f>[5]EMPRUNT!$AP35</f>
        <v>0</v>
      </c>
      <c r="N38" s="14">
        <f>[5]EMPRUNT!$AS35</f>
        <v>0</v>
      </c>
      <c r="O38" s="15"/>
      <c r="P38" s="18"/>
      <c r="Q38" s="14">
        <f>[5]EMPRUNT!AU36</f>
        <v>0</v>
      </c>
      <c r="R38" s="17">
        <f>[3]TONT20000ANNUELLE!$G37</f>
        <v>0</v>
      </c>
    </row>
    <row r="39" spans="1:18" x14ac:dyDescent="0.25">
      <c r="A39" s="10" t="s">
        <v>54</v>
      </c>
      <c r="B39" s="11" t="str">
        <f>VLOOKUP(A39,[3]LISTADHERENT!A$5:H$51,2)</f>
        <v>PATEGO NJOSSU GUSTAVE</v>
      </c>
      <c r="C39" s="12">
        <f>[3]FONDSDECAISSE!O38</f>
        <v>420000</v>
      </c>
      <c r="D39" s="12">
        <f>[3]TONT20000DEC2016!D38</f>
        <v>2474</v>
      </c>
      <c r="E39" s="12">
        <f>[3]TONT20000ANNUELLE!J38</f>
        <v>27000</v>
      </c>
      <c r="F39" s="12">
        <f>[3]TONT20000ANNUELLE!K38</f>
        <v>4500</v>
      </c>
      <c r="G39" s="12">
        <f>[3]TONT20000ANNUELLE!L38</f>
        <v>9000</v>
      </c>
      <c r="H39" s="12">
        <f>[3]TONT20000ANNUELLE!M38</f>
        <v>22500</v>
      </c>
      <c r="I39" s="12">
        <f>[3]TONT20000ANNUELLE!N38</f>
        <v>50000</v>
      </c>
      <c r="J39" s="13"/>
      <c r="K39" s="12">
        <f>[3]TONT20000ANNUELLE!C38</f>
        <v>29235.26873264095</v>
      </c>
      <c r="L39" s="13"/>
      <c r="M39" s="14">
        <f>[5]EMPRUNT!$AP35</f>
        <v>0</v>
      </c>
      <c r="N39" s="14">
        <f>[5]EMPRUNT!$AS35</f>
        <v>0</v>
      </c>
      <c r="O39" s="15"/>
      <c r="P39" s="18"/>
      <c r="Q39" s="14"/>
      <c r="R39" s="17">
        <f>[3]TONT20000ANNUELLE!$G38</f>
        <v>0</v>
      </c>
    </row>
    <row r="40" spans="1:18" x14ac:dyDescent="0.25">
      <c r="A40" s="10" t="s">
        <v>55</v>
      </c>
      <c r="B40" s="11" t="str">
        <f>VLOOKUP(A40,[3]LISTADHERENT!A$5:H$51,2)</f>
        <v>SEUNOU RICHELOT</v>
      </c>
      <c r="C40" s="12">
        <f>[3]FONDSDECAISSE!O39</f>
        <v>420000</v>
      </c>
      <c r="D40" s="12">
        <f>[3]TONT20000DEC2016!D39</f>
        <v>6756</v>
      </c>
      <c r="E40" s="12">
        <f>[3]TONT20000ANNUELLE!J39</f>
        <v>27000</v>
      </c>
      <c r="F40" s="12">
        <f>[3]TONT20000ANNUELLE!K39</f>
        <v>4500</v>
      </c>
      <c r="G40" s="12">
        <f>[3]TONT20000ANNUELLE!L39</f>
        <v>9000</v>
      </c>
      <c r="H40" s="12">
        <f>[3]TONT20000ANNUELLE!M39</f>
        <v>22500</v>
      </c>
      <c r="I40" s="12">
        <f>[3]TONT20000ANNUELLE!N39</f>
        <v>50000</v>
      </c>
      <c r="J40" s="13"/>
      <c r="K40" s="12">
        <f>[3]TONT20000ANNUELLE!C39</f>
        <v>29520.7684416388</v>
      </c>
      <c r="L40" s="13"/>
      <c r="M40" s="14">
        <f>[5]EMPRUNT!$AP36</f>
        <v>1120000</v>
      </c>
      <c r="N40" s="14">
        <f>[5]EMPRUNT!$AS36</f>
        <v>100100</v>
      </c>
      <c r="O40" s="15">
        <f>[5]EMPRUNT!$AR36</f>
        <v>43009</v>
      </c>
      <c r="P40" s="18"/>
      <c r="Q40" s="14">
        <f>[5]EMPRUNT!AU36</f>
        <v>0</v>
      </c>
      <c r="R40" s="17">
        <f>[3]TONT20000ANNUELLE!$G39</f>
        <v>8000</v>
      </c>
    </row>
    <row r="41" spans="1:18" x14ac:dyDescent="0.25">
      <c r="A41" s="10" t="s">
        <v>56</v>
      </c>
      <c r="B41" s="11" t="str">
        <f>VLOOKUP(A41,[3]LISTADHERENT!A$5:H$51,2)</f>
        <v>SIME ABEL</v>
      </c>
      <c r="C41" s="12">
        <f>[3]FONDSDECAISSE!O40</f>
        <v>390000</v>
      </c>
      <c r="D41" s="12">
        <f>[3]TONT20000DEC2016!D40</f>
        <v>488</v>
      </c>
      <c r="E41" s="12">
        <f>[3]TONT20000ANNUELLE!J40</f>
        <v>24000</v>
      </c>
      <c r="F41" s="12">
        <f>[3]TONT20000ANNUELLE!K40</f>
        <v>4000</v>
      </c>
      <c r="G41" s="12">
        <f>[3]TONT20000ANNUELLE!L40</f>
        <v>8000</v>
      </c>
      <c r="H41" s="12">
        <f>[3]TONT20000ANNUELLE!M40</f>
        <v>20000</v>
      </c>
      <c r="I41" s="12">
        <f>[3]TONT20000ANNUELLE!N40</f>
        <v>24006</v>
      </c>
      <c r="J41" s="13"/>
      <c r="K41" s="12">
        <f>[3]TONT20000ANNUELLE!C40</f>
        <v>26966.57331610264</v>
      </c>
      <c r="L41" s="13"/>
      <c r="M41" s="14">
        <f>[5]EMPRUNT!$AP37</f>
        <v>904000</v>
      </c>
      <c r="N41" s="14">
        <f>[5]EMPRUNT!$AS37</f>
        <v>21030</v>
      </c>
      <c r="O41" s="15">
        <f>[5]EMPRUNT!$AR37</f>
        <v>43221</v>
      </c>
      <c r="P41" s="18"/>
      <c r="Q41" s="14">
        <f>[5]EMPRUNT!AU37</f>
        <v>21000</v>
      </c>
      <c r="R41" s="17">
        <f>[3]TONT20000ANNUELLE!$G40</f>
        <v>7000</v>
      </c>
    </row>
    <row r="42" spans="1:18" x14ac:dyDescent="0.25">
      <c r="A42" s="10" t="s">
        <v>57</v>
      </c>
      <c r="B42" s="11" t="str">
        <f>VLOOKUP(A42,[3]LISTADHERENT!A$5:H$51,2)</f>
        <v>SIME FONGANG ERIC</v>
      </c>
      <c r="C42" s="12">
        <f>[3]FONDSDECAISSE!O41</f>
        <v>420000</v>
      </c>
      <c r="D42" s="12">
        <f>[3]TONT20000DEC2016!D41</f>
        <v>4914</v>
      </c>
      <c r="E42" s="12">
        <f>[3]TONT20000ANNUELLE!J41</f>
        <v>27000</v>
      </c>
      <c r="F42" s="12">
        <f>[3]TONT20000ANNUELLE!K41</f>
        <v>4500</v>
      </c>
      <c r="G42" s="12">
        <f>[3]TONT20000ANNUELLE!L41</f>
        <v>9000</v>
      </c>
      <c r="H42" s="12">
        <f>[3]TONT20000ANNUELLE!M41</f>
        <v>22500</v>
      </c>
      <c r="I42" s="12">
        <f>[3]TONT20000ANNUELLE!N41</f>
        <v>50000</v>
      </c>
      <c r="J42" s="13"/>
      <c r="K42" s="12">
        <f>[3]TONT20000ANNUELLE!C41</f>
        <v>29397.954227726128</v>
      </c>
      <c r="L42" s="13"/>
      <c r="M42" s="14">
        <f>[5]EMPRUNT!$AP38</f>
        <v>1120000</v>
      </c>
      <c r="N42" s="14">
        <f>[5]EMPRUNT!$AS38</f>
        <v>30000</v>
      </c>
      <c r="O42" s="15">
        <f>[5]EMPRUNT!$AR38</f>
        <v>43221</v>
      </c>
      <c r="P42" s="18"/>
      <c r="Q42" s="14">
        <f>[5]EMPRUNT!AU38</f>
        <v>30000</v>
      </c>
      <c r="R42" s="17">
        <f>[3]TONT20000ANNUELLE!$G41</f>
        <v>3000</v>
      </c>
    </row>
    <row r="43" spans="1:18" x14ac:dyDescent="0.25">
      <c r="A43" s="10" t="s">
        <v>58</v>
      </c>
      <c r="B43" s="11" t="str">
        <f>VLOOKUP(A43,[3]LISTADHERENT!A$5:H$51,2)</f>
        <v>SIME MATHIEU</v>
      </c>
      <c r="C43" s="12">
        <f>[3]FONDSDECAISSE!O42</f>
        <v>420000</v>
      </c>
      <c r="D43" s="12">
        <f>[3]TONT20000DEC2016!D42</f>
        <v>4528</v>
      </c>
      <c r="E43" s="12">
        <f>[3]TONT20000ANNUELLE!J42</f>
        <v>27000</v>
      </c>
      <c r="F43" s="12">
        <f>[3]TONT20000ANNUELLE!K42</f>
        <v>4500</v>
      </c>
      <c r="G43" s="12">
        <f>[3]TONT20000ANNUELLE!L42</f>
        <v>9000</v>
      </c>
      <c r="H43" s="12">
        <f>[3]TONT20000ANNUELLE!M42</f>
        <v>22500</v>
      </c>
      <c r="I43" s="12">
        <f>[3]TONT20000ANNUELLE!N42</f>
        <v>50000</v>
      </c>
      <c r="J43" s="13"/>
      <c r="K43" s="12">
        <f>[3]TONT20000ANNUELLE!C42</f>
        <v>29372.217915798727</v>
      </c>
      <c r="L43" s="13"/>
      <c r="M43" s="14">
        <f>[5]EMPRUNT!$AP39</f>
        <v>963000</v>
      </c>
      <c r="N43" s="14">
        <f>[5]EMPRUNT!$AS39</f>
        <v>50000</v>
      </c>
      <c r="O43" s="15">
        <f>[5]EMPRUNT!$AR39</f>
        <v>43160</v>
      </c>
      <c r="P43" s="18"/>
      <c r="Q43" s="14">
        <f>[5]EMPRUNT!AU39</f>
        <v>50000</v>
      </c>
      <c r="R43" s="17">
        <f>[3]TONT20000ANNUELLE!$G42</f>
        <v>1000</v>
      </c>
    </row>
    <row r="44" spans="1:18" x14ac:dyDescent="0.25">
      <c r="A44" s="10" t="s">
        <v>59</v>
      </c>
      <c r="B44" s="11" t="str">
        <f>VLOOKUP(A44,[3]LISTADHERENT!A$5:H$51,2)</f>
        <v>SIME PIERRE</v>
      </c>
      <c r="C44" s="12">
        <f>[3]FONDSDECAISSE!O43</f>
        <v>420000</v>
      </c>
      <c r="D44" s="12">
        <f>[3]TONT20000DEC2016!D43</f>
        <v>105975</v>
      </c>
      <c r="E44" s="12">
        <f>[3]TONT20000ANNUELLE!J43</f>
        <v>87000</v>
      </c>
      <c r="F44" s="12">
        <f>[3]TONT20000ANNUELLE!K43</f>
        <v>4500</v>
      </c>
      <c r="G44" s="12">
        <f>[3]TONT20000ANNUELLE!L43</f>
        <v>9000</v>
      </c>
      <c r="H44" s="12">
        <f>[3]TONT20000ANNUELLE!M43</f>
        <v>22500</v>
      </c>
      <c r="I44" s="12">
        <f>[3]TONT20000ANNUELLE!N43</f>
        <v>50000</v>
      </c>
      <c r="J44" s="13"/>
      <c r="K44" s="12">
        <f>[3]TONT20000ANNUELLE!C43</f>
        <v>38878.559670585193</v>
      </c>
      <c r="L44" s="13"/>
      <c r="M44" s="14">
        <f>[5]EMPRUNT!$AP40</f>
        <v>182200</v>
      </c>
      <c r="N44" s="14">
        <f>[5]EMPRUNT!$AS40</f>
        <v>8000</v>
      </c>
      <c r="O44" s="15">
        <f>[5]EMPRUNT!$AR40</f>
        <v>43252</v>
      </c>
      <c r="P44" s="18"/>
      <c r="Q44" s="14">
        <f>[5]EMPRUNT!AU40</f>
        <v>8000</v>
      </c>
      <c r="R44" s="17">
        <f>[3]TONT20000ANNUELLE!$G43</f>
        <v>0</v>
      </c>
    </row>
    <row r="45" spans="1:18" x14ac:dyDescent="0.25">
      <c r="A45" s="10" t="s">
        <v>60</v>
      </c>
      <c r="B45" s="11" t="str">
        <f>VLOOKUP(A45,[3]LISTADHERENT!A$5:H$51,2)</f>
        <v>TAGNE NANGUEN MARTIN</v>
      </c>
      <c r="C45" s="12">
        <f>[3]FONDSDECAISSE!O44</f>
        <v>390000</v>
      </c>
      <c r="D45" s="12">
        <f>[3]TONT20000DEC2016!D44</f>
        <v>1621</v>
      </c>
      <c r="E45" s="12">
        <f>[3]TONT20000ANNUELLE!J44</f>
        <v>27000</v>
      </c>
      <c r="F45" s="12">
        <f>[3]TONT20000ANNUELLE!K44</f>
        <v>4500</v>
      </c>
      <c r="G45" s="12">
        <f>[3]TONT20000ANNUELLE!L44</f>
        <v>9000</v>
      </c>
      <c r="H45" s="12">
        <f>[3]TONT20000ANNUELLE!M44</f>
        <v>22500</v>
      </c>
      <c r="I45" s="12">
        <f>[3]TONT20000ANNUELLE!N44</f>
        <v>50000</v>
      </c>
      <c r="J45" s="13"/>
      <c r="K45" s="12">
        <f>[3]TONT20000ANNUELLE!C44</f>
        <v>27178.163986795425</v>
      </c>
      <c r="L45" s="13"/>
      <c r="M45" s="14">
        <f>[5]EMPRUNT!$AP41</f>
        <v>0</v>
      </c>
      <c r="N45" s="14">
        <f>[5]EMPRUNT!$AS41</f>
        <v>0</v>
      </c>
      <c r="O45" s="15"/>
      <c r="P45" s="18"/>
      <c r="Q45" s="14">
        <f>[5]EMPRUNT!AU41</f>
        <v>0</v>
      </c>
      <c r="R45" s="17">
        <f>[3]TONT20000ANNUELLE!$G44</f>
        <v>0</v>
      </c>
    </row>
    <row r="46" spans="1:18" x14ac:dyDescent="0.25">
      <c r="A46" s="10" t="s">
        <v>61</v>
      </c>
      <c r="B46" s="11" t="str">
        <f>VLOOKUP(A46,[3]LISTADHERENT!A$5:H$51,2)</f>
        <v>TCHOUAMOU JEAN PAUL</v>
      </c>
      <c r="C46" s="12">
        <f>[3]FONDSDECAISSE!O45</f>
        <v>20000</v>
      </c>
      <c r="D46" s="12">
        <f>[3]TONT20000DEC2016!D45</f>
        <v>14843</v>
      </c>
      <c r="E46" s="12">
        <f>[3]TONT20000ANNUELLE!J45</f>
        <v>24000</v>
      </c>
      <c r="F46" s="12">
        <f>[3]TONT20000ANNUELLE!K45</f>
        <v>4000</v>
      </c>
      <c r="G46" s="12">
        <f>[3]TONT20000ANNUELLE!L45</f>
        <v>8000</v>
      </c>
      <c r="H46" s="12">
        <f>[3]TONT20000ANNUELLE!M45</f>
        <v>20000</v>
      </c>
      <c r="I46" s="12">
        <f>[3]TONT20000ANNUELLE!N45</f>
        <v>50000</v>
      </c>
      <c r="J46" s="13"/>
      <c r="K46" s="12">
        <f>[3]TONT20000ANNUELLE!C45</f>
        <v>3388.0497034947907</v>
      </c>
      <c r="L46" s="13"/>
      <c r="M46" s="14">
        <f>[5]EMPRUNT!$AP42</f>
        <v>0</v>
      </c>
      <c r="N46" s="14">
        <f>[5]EMPRUNT!$AS42</f>
        <v>0</v>
      </c>
      <c r="O46" s="15"/>
      <c r="P46" s="18"/>
      <c r="Q46" s="14">
        <f>[5]EMPRUNT!AU42</f>
        <v>0</v>
      </c>
      <c r="R46" s="17">
        <f>[3]TONT20000ANNUELLE!$G45</f>
        <v>0</v>
      </c>
    </row>
    <row r="47" spans="1:18" x14ac:dyDescent="0.25">
      <c r="A47" s="10" t="s">
        <v>62</v>
      </c>
      <c r="B47" s="11" t="str">
        <f>VLOOKUP(A47,[3]LISTADHERENT!A$5:H$51,2)</f>
        <v>TCHOUAMOU MATHIEU</v>
      </c>
      <c r="C47" s="12">
        <f>[3]FONDSDECAISSE!O46</f>
        <v>420000</v>
      </c>
      <c r="D47" s="12">
        <f>[3]TONT20000DEC2016!D46</f>
        <v>2654</v>
      </c>
      <c r="E47" s="12">
        <f>[3]TONT20000ANNUELLE!J46</f>
        <v>27000</v>
      </c>
      <c r="F47" s="12">
        <f>[3]TONT20000ANNUELLE!K46</f>
        <v>4500</v>
      </c>
      <c r="G47" s="12">
        <f>[3]TONT20000ANNUELLE!L46</f>
        <v>9000</v>
      </c>
      <c r="H47" s="12">
        <f>[3]TONT20000ANNUELLE!M46</f>
        <v>22500</v>
      </c>
      <c r="I47" s="12">
        <f>[3]TONT20000ANNUELLE!N46</f>
        <v>50000</v>
      </c>
      <c r="J47" s="13"/>
      <c r="K47" s="12">
        <f>[3]TONT20000ANNUELLE!C46</f>
        <v>29247.270121622645</v>
      </c>
      <c r="L47" s="13"/>
      <c r="M47" s="14">
        <f>[5]EMPRUNT!$AP43</f>
        <v>0</v>
      </c>
      <c r="N47" s="14">
        <f>[5]EMPRUNT!$AS43</f>
        <v>70000</v>
      </c>
      <c r="O47" s="15">
        <f>[5]EMPRUNT!$AR43</f>
        <v>42887</v>
      </c>
      <c r="P47" s="18" t="str">
        <f>[5]EMPRUNT!AT43</f>
        <v>ECHEC</v>
      </c>
      <c r="Q47" s="14">
        <f>[5]EMPRUNT!AU43</f>
        <v>0</v>
      </c>
      <c r="R47" s="17">
        <f>[3]TONT20000ANNUELLE!$G46</f>
        <v>1000</v>
      </c>
    </row>
    <row r="48" spans="1:18" x14ac:dyDescent="0.25">
      <c r="A48" s="10" t="s">
        <v>63</v>
      </c>
      <c r="B48" s="11" t="str">
        <f>VLOOKUP(A48,[3]LISTADHERENT!A$5:H$51,2)</f>
        <v>TCHOUANTE FRANCOIS</v>
      </c>
      <c r="C48" s="12">
        <f>[3]FONDSDECAISSE!O47</f>
        <v>403819</v>
      </c>
      <c r="D48" s="12">
        <f>[3]TONT20000DEC2016!D47</f>
        <v>25832</v>
      </c>
      <c r="E48" s="12">
        <f>[3]TONT20000ANNUELLE!J47</f>
        <v>84000</v>
      </c>
      <c r="F48" s="12">
        <f>[3]TONT20000ANNUELLE!K47</f>
        <v>4500</v>
      </c>
      <c r="G48" s="12">
        <f>[3]TONT20000ANNUELLE!L47</f>
        <v>9000</v>
      </c>
      <c r="H48" s="12">
        <f>[3]TONT20000ANNUELLE!M47</f>
        <v>22500</v>
      </c>
      <c r="I48" s="12">
        <f>[3]TONT20000ANNUELLE!N47</f>
        <v>50000</v>
      </c>
      <c r="J48" s="13"/>
      <c r="K48" s="12">
        <f>[3]TONT20000ANNUELLE!C47</f>
        <v>33021.439928996493</v>
      </c>
      <c r="L48" s="13"/>
      <c r="M48" s="14">
        <f>[5]EMPRUNT!$AP44</f>
        <v>851500</v>
      </c>
      <c r="N48" s="14">
        <f>[5]EMPRUNT!$AS44</f>
        <v>14000</v>
      </c>
      <c r="O48" s="15">
        <f>[5]EMPRUNT!$AR44</f>
        <v>43252</v>
      </c>
      <c r="P48" s="18"/>
      <c r="Q48" s="14">
        <f>[5]EMPRUNT!AU44</f>
        <v>21000</v>
      </c>
      <c r="R48" s="17">
        <f>[3]TONT20000ANNUELLE!$G47</f>
        <v>7000</v>
      </c>
    </row>
    <row r="49" spans="1:18" x14ac:dyDescent="0.25">
      <c r="A49" s="10" t="s">
        <v>64</v>
      </c>
      <c r="B49" s="11" t="str">
        <f>VLOOKUP(A49,[3]LISTADHERENT!A$5:H$51,2)</f>
        <v>TCHOUTOU NANA CLAUDE</v>
      </c>
      <c r="C49" s="12">
        <f>[3]FONDSDECAISSE!O48</f>
        <v>0</v>
      </c>
      <c r="D49" s="12" t="e">
        <f>[3]TONT20000DEC2016!D48</f>
        <v>#REF!</v>
      </c>
      <c r="E49" s="12">
        <f>[3]TONT20000ANNUELLE!J48</f>
        <v>6000</v>
      </c>
      <c r="F49" s="12">
        <f>[3]TONT20000ANNUELLE!K48</f>
        <v>4000</v>
      </c>
      <c r="G49" s="12">
        <f>[3]TONT20000ANNUELLE!L48</f>
        <v>8000</v>
      </c>
      <c r="H49" s="12">
        <f>[3]TONT20000ANNUELLE!M48</f>
        <v>20000</v>
      </c>
      <c r="I49" s="12">
        <f>[3]TONT20000ANNUELLE!N48</f>
        <v>0</v>
      </c>
      <c r="J49" s="13"/>
      <c r="K49" s="12">
        <f>[3]TONT20000ANNUELLE!C48</f>
        <v>360.92824570480371</v>
      </c>
      <c r="L49" s="13"/>
      <c r="M49" s="14"/>
      <c r="N49" s="14">
        <f>[5]EMPRUNT!$AS45</f>
        <v>0</v>
      </c>
      <c r="O49" s="15"/>
      <c r="P49" s="18"/>
      <c r="Q49" s="14">
        <f>[5]EMPRUNT!AU45</f>
        <v>0</v>
      </c>
      <c r="R49" s="17">
        <f>[3]TONT20000ANNUELLE!$G48</f>
        <v>2000</v>
      </c>
    </row>
    <row r="50" spans="1:18" x14ac:dyDescent="0.25">
      <c r="A50" s="10" t="s">
        <v>65</v>
      </c>
      <c r="B50" s="11" t="str">
        <f>VLOOKUP(A50,[3]LISTADHERENT!A$5:H$51,2)</f>
        <v>TIEYAM ERNEST</v>
      </c>
      <c r="C50" s="12">
        <f>[3]FONDSDECAISSE!O49</f>
        <v>420000</v>
      </c>
      <c r="D50" s="12">
        <f>[3]TONT20000DEC2016!D49</f>
        <v>2593</v>
      </c>
      <c r="E50" s="12">
        <f>[3]TONT20000ANNUELLE!J49</f>
        <v>61000</v>
      </c>
      <c r="F50" s="12">
        <f>[3]TONT20000ANNUELLE!K49</f>
        <v>4500</v>
      </c>
      <c r="G50" s="12">
        <f>[3]TONT20000ANNUELLE!L49</f>
        <v>9000</v>
      </c>
      <c r="H50" s="12">
        <f>[3]TONT20000ANNUELLE!M49</f>
        <v>22500</v>
      </c>
      <c r="I50" s="12">
        <f>[3]TONT20000ANNUELLE!N49</f>
        <v>50000</v>
      </c>
      <c r="J50" s="13"/>
      <c r="K50" s="12">
        <f>[3]TONT20000ANNUELLE!C49</f>
        <v>30866.21145724431</v>
      </c>
      <c r="L50" s="13"/>
      <c r="M50" s="14">
        <f>[5]EMPRUNT!$AP46</f>
        <v>1064000</v>
      </c>
      <c r="N50" s="14">
        <f>[5]EMPRUNT!$AS46</f>
        <v>120060</v>
      </c>
      <c r="O50" s="15">
        <f>[5]EMPRUNT!$AR46</f>
        <v>43132</v>
      </c>
      <c r="P50" s="18"/>
      <c r="Q50" s="14">
        <f>[5]EMPRUNT!AU46</f>
        <v>60000</v>
      </c>
      <c r="R50" s="17">
        <f>[3]TONT20000ANNUELLE!$G49</f>
        <v>2000</v>
      </c>
    </row>
    <row r="51" spans="1:18" x14ac:dyDescent="0.25">
      <c r="A51" s="10" t="s">
        <v>66</v>
      </c>
      <c r="B51" s="11" t="str">
        <f>VLOOKUP(A51,[3]LISTADHERENT!A$5:H$51,2)</f>
        <v>TUGMA PIERRE LOTI</v>
      </c>
      <c r="C51" s="12">
        <f>[3]FONDSDECAISSE!O50</f>
        <v>420000</v>
      </c>
      <c r="D51" s="12">
        <f>[3]TONT20000DEC2016!D50</f>
        <v>2503</v>
      </c>
      <c r="E51" s="12">
        <f>[3]TONT20000ANNUELLE!J50</f>
        <v>21000</v>
      </c>
      <c r="F51" s="12">
        <f>[3]TONT20000ANNUELLE!K50</f>
        <v>3500</v>
      </c>
      <c r="G51" s="12">
        <f>[3]TONT20000ANNUELLE!L50</f>
        <v>7000</v>
      </c>
      <c r="H51" s="12">
        <f>[3]TONT20000ANNUELLE!M50</f>
        <v>17500</v>
      </c>
      <c r="I51" s="12">
        <f>[3]TONT20000ANNUELLE!N50</f>
        <v>50000</v>
      </c>
      <c r="J51" s="13"/>
      <c r="K51" s="12">
        <f>[3]TONT20000ANNUELLE!C50</f>
        <v>29232.87992438344</v>
      </c>
      <c r="L51" s="13"/>
      <c r="M51" s="14">
        <f>[5]EMPRUNT!$AP47</f>
        <v>1120000</v>
      </c>
      <c r="N51" s="14">
        <f>[5]EMPRUNT!$AS47</f>
        <v>30000</v>
      </c>
      <c r="O51" s="15">
        <f>[5]EMPRUNT!$AR47</f>
        <v>43221</v>
      </c>
      <c r="P51" s="18"/>
      <c r="Q51" s="14">
        <f>[5]EMPRUNT!AU47</f>
        <v>30000</v>
      </c>
      <c r="R51" s="17">
        <f>[3]TONT20000ANNUELLE!$G50</f>
        <v>0</v>
      </c>
    </row>
    <row r="52" spans="1:18" x14ac:dyDescent="0.25">
      <c r="A52" s="10" t="s">
        <v>67</v>
      </c>
      <c r="B52" s="11" t="str">
        <f>VLOOKUP(A52,[3]LISTADHERENT!A$5:H$51,2)</f>
        <v>TUGMA PIERRE LOTI</v>
      </c>
      <c r="C52" s="12">
        <f>[3]FONDSDECAISSE!O51</f>
        <v>420000</v>
      </c>
      <c r="D52" s="12">
        <f>[3]TONT20000DEC2016!D51</f>
        <v>393982</v>
      </c>
      <c r="E52" s="12">
        <f>[3]TONT20000ANNUELLE!J51</f>
        <v>27000</v>
      </c>
      <c r="F52" s="12">
        <f>[3]TONT20000ANNUELLE!K51</f>
        <v>4500</v>
      </c>
      <c r="G52" s="12">
        <f>[3]TONT20000ANNUELLE!L51</f>
        <v>9000</v>
      </c>
      <c r="H52" s="12">
        <f>[3]TONT20000ANNUELLE!M51</f>
        <v>22500</v>
      </c>
      <c r="I52" s="12">
        <f>[3]TONT20000ANNUELLE!N51</f>
        <v>50000</v>
      </c>
      <c r="J52" s="13"/>
      <c r="K52" s="12">
        <f>[3]TONT20000ANNUELLE!C51</f>
        <v>55338.823162890541</v>
      </c>
      <c r="L52" s="13"/>
      <c r="M52" s="14">
        <f>[5]EMPRUNT!$AP48</f>
        <v>0</v>
      </c>
      <c r="N52" s="14">
        <f>[5]EMPRUNT!$AS48</f>
        <v>0</v>
      </c>
      <c r="O52" s="15"/>
      <c r="P52" s="18"/>
      <c r="Q52" s="14">
        <f>[5]EMPRUNT!AU48</f>
        <v>0</v>
      </c>
      <c r="R52" s="17">
        <f>[3]TONT20000ANNUELLE!$G51</f>
        <v>7000</v>
      </c>
    </row>
    <row r="53" spans="1:18" x14ac:dyDescent="0.25">
      <c r="A53" s="10" t="s">
        <v>68</v>
      </c>
      <c r="B53" s="11" t="str">
        <f>VLOOKUP(A53,[3]LISTADHERENT!A$5:H$51,2)</f>
        <v>TUGMA PIERRE LOTI</v>
      </c>
      <c r="C53" s="12">
        <f>[3]FONDSDECAISSE!O52</f>
        <v>420000</v>
      </c>
      <c r="D53" s="12">
        <f>[3]TONT20000DEC2016!D52</f>
        <v>883628</v>
      </c>
      <c r="E53" s="12">
        <f>[3]TONT20000ANNUELLE!J52</f>
        <v>227000</v>
      </c>
      <c r="F53" s="12">
        <f>[3]TONT20000ANNUELLE!K52</f>
        <v>4500</v>
      </c>
      <c r="G53" s="12">
        <f>[3]TONT20000ANNUELLE!L52</f>
        <v>9000</v>
      </c>
      <c r="H53" s="12">
        <f>[3]TONT20000ANNUELLE!M52</f>
        <v>22500</v>
      </c>
      <c r="I53" s="12">
        <f>[3]TONT20000ANNUELLE!N52</f>
        <v>50000</v>
      </c>
      <c r="J53" s="13"/>
      <c r="K53" s="12">
        <f>[3]TONT20000ANNUELLE!C52</f>
        <v>101199.53598522153</v>
      </c>
      <c r="L53" s="13"/>
      <c r="M53" s="14">
        <f>[5]EMPRUNT!$AP49</f>
        <v>0</v>
      </c>
      <c r="N53" s="14">
        <f>[5]EMPRUNT!$AS49</f>
        <v>0</v>
      </c>
      <c r="O53" s="15"/>
      <c r="P53" s="18"/>
      <c r="Q53" s="14">
        <f>[5]EMPRUNT!AU49</f>
        <v>0</v>
      </c>
      <c r="R53" s="17">
        <f>[3]TONT20000ANNUELLE!$G52</f>
        <v>2000</v>
      </c>
    </row>
    <row r="54" spans="1:18" x14ac:dyDescent="0.25">
      <c r="A54" s="10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4"/>
      <c r="N54" s="14"/>
      <c r="O54" s="15"/>
      <c r="P54" s="18"/>
      <c r="Q54" s="19"/>
      <c r="R54" s="17"/>
    </row>
    <row r="55" spans="1:18" x14ac:dyDescent="0.25">
      <c r="A55" s="10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4"/>
      <c r="N55" s="14"/>
      <c r="O55" s="15"/>
      <c r="P55" s="18"/>
      <c r="Q55" s="19"/>
      <c r="R55" s="17"/>
    </row>
    <row r="56" spans="1:18" ht="16.5" thickBot="1" x14ac:dyDescent="0.3">
      <c r="A56" s="25" t="s">
        <v>69</v>
      </c>
      <c r="B56" s="26"/>
      <c r="C56" s="27">
        <f t="shared" ref="C56:K56" si="0">SUM(C6:C53)</f>
        <v>16310819</v>
      </c>
      <c r="D56" s="27" t="e">
        <f t="shared" si="0"/>
        <v>#REF!</v>
      </c>
      <c r="E56" s="27">
        <f t="shared" si="0"/>
        <v>3963693</v>
      </c>
      <c r="F56" s="27">
        <f t="shared" si="0"/>
        <v>182000</v>
      </c>
      <c r="G56" s="27">
        <f t="shared" si="0"/>
        <v>364000</v>
      </c>
      <c r="H56" s="27">
        <f t="shared" si="0"/>
        <v>910000</v>
      </c>
      <c r="I56" s="27">
        <f t="shared" si="0"/>
        <v>2009927</v>
      </c>
      <c r="J56" s="27">
        <f t="shared" si="0"/>
        <v>0</v>
      </c>
      <c r="K56" s="27">
        <f t="shared" si="0"/>
        <v>1487000.0000000005</v>
      </c>
      <c r="L56" s="27"/>
      <c r="M56" s="27">
        <f>SUM(M6:M55)</f>
        <v>21149400</v>
      </c>
      <c r="N56" s="27">
        <f>SUM(N6:N55)</f>
        <v>1787480</v>
      </c>
      <c r="O56" s="28"/>
      <c r="P56" s="29"/>
      <c r="Q56" s="27">
        <f>SUM(Q6:Q55)</f>
        <v>620500</v>
      </c>
      <c r="R56" s="30">
        <f>SUM(R6:R55)</f>
        <v>125000</v>
      </c>
    </row>
    <row r="57" spans="1:18" ht="15.75" thickTop="1" x14ac:dyDescent="0.25"/>
    <row r="58" spans="1:18" ht="21" x14ac:dyDescent="0.35">
      <c r="A58" s="32" t="s">
        <v>74</v>
      </c>
      <c r="F58" s="51">
        <f>F5+F56</f>
        <v>432500</v>
      </c>
      <c r="G58" s="51">
        <f t="shared" ref="G58:I58" si="1">G5+G56</f>
        <v>-235000</v>
      </c>
      <c r="H58" s="51">
        <f t="shared" si="1"/>
        <v>902500</v>
      </c>
      <c r="I58" s="51">
        <f t="shared" si="1"/>
        <v>1369787</v>
      </c>
    </row>
    <row r="60" spans="1:18" x14ac:dyDescent="0.25">
      <c r="I60" s="12"/>
    </row>
  </sheetData>
  <autoFilter ref="A4:R56"/>
  <pageMargins left="0.11811023622047245" right="0.11811023622047245" top="0.35433070866141736" bottom="0.35433070866141736" header="0.31496062992125984" footer="0.31496062992125984"/>
  <pageSetup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3" sqref="V3:V15"/>
    </sheetView>
  </sheetViews>
  <sheetFormatPr baseColWidth="10" defaultRowHeight="15" x14ac:dyDescent="0.25"/>
  <cols>
    <col min="1" max="1" width="27" bestFit="1" customWidth="1"/>
    <col min="2" max="2" width="19.85546875" bestFit="1" customWidth="1"/>
    <col min="3" max="9" width="11.42578125" style="39"/>
  </cols>
  <sheetData>
    <row r="1" spans="1:26" x14ac:dyDescent="0.25">
      <c r="B1" t="s">
        <v>94</v>
      </c>
      <c r="C1" s="39" t="s">
        <v>102</v>
      </c>
      <c r="E1" s="75" t="s">
        <v>99</v>
      </c>
      <c r="F1" s="76"/>
      <c r="G1" s="75" t="s">
        <v>100</v>
      </c>
      <c r="H1" s="76"/>
      <c r="I1" s="75" t="s">
        <v>101</v>
      </c>
      <c r="J1" s="76"/>
      <c r="K1" s="75" t="s">
        <v>104</v>
      </c>
      <c r="L1" s="76"/>
      <c r="M1" s="75" t="s">
        <v>105</v>
      </c>
      <c r="N1" s="76"/>
      <c r="O1" s="75" t="s">
        <v>106</v>
      </c>
      <c r="P1" s="76"/>
      <c r="Q1" s="75" t="s">
        <v>108</v>
      </c>
      <c r="R1" s="76"/>
      <c r="S1" s="75" t="s">
        <v>109</v>
      </c>
      <c r="T1" s="76"/>
      <c r="U1" s="75" t="s">
        <v>69</v>
      </c>
      <c r="V1" s="76"/>
      <c r="W1" s="75" t="s">
        <v>74</v>
      </c>
      <c r="X1" s="76"/>
      <c r="Y1" t="s">
        <v>110</v>
      </c>
    </row>
    <row r="2" spans="1:26" x14ac:dyDescent="0.25">
      <c r="C2" s="39" t="s">
        <v>95</v>
      </c>
      <c r="D2" s="39" t="s">
        <v>96</v>
      </c>
      <c r="E2" s="39" t="s">
        <v>95</v>
      </c>
      <c r="F2" s="39" t="s">
        <v>96</v>
      </c>
      <c r="G2" s="39" t="s">
        <v>95</v>
      </c>
      <c r="H2" s="39" t="s">
        <v>96</v>
      </c>
      <c r="I2" s="39" t="s">
        <v>95</v>
      </c>
      <c r="J2" s="39" t="s">
        <v>96</v>
      </c>
      <c r="K2" s="39" t="s">
        <v>95</v>
      </c>
      <c r="L2" s="39" t="s">
        <v>96</v>
      </c>
      <c r="M2" s="39" t="s">
        <v>95</v>
      </c>
      <c r="N2" s="39" t="s">
        <v>96</v>
      </c>
      <c r="O2" s="39" t="s">
        <v>95</v>
      </c>
      <c r="P2" s="39" t="s">
        <v>96</v>
      </c>
      <c r="Q2" s="39" t="s">
        <v>95</v>
      </c>
      <c r="R2" s="39" t="s">
        <v>96</v>
      </c>
      <c r="S2" s="39" t="s">
        <v>95</v>
      </c>
      <c r="T2" s="39" t="s">
        <v>96</v>
      </c>
      <c r="U2" s="39" t="s">
        <v>95</v>
      </c>
      <c r="V2" s="39" t="s">
        <v>96</v>
      </c>
      <c r="W2" s="39" t="s">
        <v>95</v>
      </c>
      <c r="X2" s="39" t="s">
        <v>96</v>
      </c>
      <c r="Y2" s="39" t="s">
        <v>95</v>
      </c>
      <c r="Z2" s="39" t="s">
        <v>96</v>
      </c>
    </row>
    <row r="3" spans="1:26" x14ac:dyDescent="0.25">
      <c r="A3" t="s">
        <v>7</v>
      </c>
      <c r="B3" s="39">
        <f>'BILAN 2016'!B8</f>
        <v>14398519</v>
      </c>
      <c r="C3" s="39">
        <v>1307000</v>
      </c>
      <c r="D3" s="39">
        <v>400000</v>
      </c>
      <c r="E3" s="39">
        <v>407000</v>
      </c>
      <c r="G3" s="39">
        <v>163000</v>
      </c>
      <c r="H3" s="39">
        <v>2000000</v>
      </c>
      <c r="I3" s="39">
        <v>604000</v>
      </c>
      <c r="J3" s="39">
        <v>1600000</v>
      </c>
      <c r="K3" s="39">
        <v>153000</v>
      </c>
      <c r="L3" s="39">
        <v>1500000</v>
      </c>
      <c r="M3" s="39">
        <v>164000</v>
      </c>
      <c r="N3" s="39">
        <v>4200000</v>
      </c>
      <c r="O3" s="39">
        <v>1156000</v>
      </c>
      <c r="P3" s="39">
        <v>3800000</v>
      </c>
      <c r="Q3" s="39">
        <f>141500+39000</f>
        <v>180500</v>
      </c>
      <c r="R3" s="39"/>
      <c r="S3" s="39">
        <v>389000</v>
      </c>
      <c r="T3" s="39">
        <v>150000</v>
      </c>
      <c r="U3" s="39">
        <f>C3+E3+G3+I3+K3+M3+O3+Q3+S3</f>
        <v>4523500</v>
      </c>
      <c r="V3" s="39">
        <f>D3+F3+H3+J3+L3+N3+P3+R3+T3</f>
        <v>13650000</v>
      </c>
      <c r="W3" s="39">
        <f>B3+U3-V3</f>
        <v>5272019</v>
      </c>
      <c r="X3" s="39"/>
      <c r="Y3" s="39" t="e">
        <f>BILANFINAOUT2017!C56+BILANFINAOUT2017!D56</f>
        <v>#REF!</v>
      </c>
    </row>
    <row r="4" spans="1:26" x14ac:dyDescent="0.25">
      <c r="A4" t="s">
        <v>9</v>
      </c>
      <c r="B4" s="39" t="e">
        <f>BILANFINAOUT2017!D56</f>
        <v>#REF!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>
        <f t="shared" ref="U4:V13" si="0">C4+E4+G4+I4+K4+M4+O4+Q4+S4</f>
        <v>0</v>
      </c>
      <c r="V4" s="39">
        <f t="shared" si="0"/>
        <v>0</v>
      </c>
      <c r="W4" s="39" t="e">
        <f t="shared" ref="W4:W13" si="1">B4+U4-V4</f>
        <v>#REF!</v>
      </c>
      <c r="X4" s="39"/>
      <c r="Y4" s="39">
        <f>+BILANFINAOUT2017!E56</f>
        <v>3963693</v>
      </c>
    </row>
    <row r="5" spans="1:26" x14ac:dyDescent="0.25">
      <c r="A5" t="s">
        <v>12</v>
      </c>
      <c r="B5" s="39">
        <f>'BILAN 2016'!B11</f>
        <v>-7500</v>
      </c>
      <c r="C5" s="39">
        <v>105000</v>
      </c>
      <c r="D5" s="39">
        <v>100000</v>
      </c>
      <c r="E5" s="39">
        <v>95000</v>
      </c>
      <c r="F5" s="39">
        <v>110000</v>
      </c>
      <c r="G5" s="39">
        <v>105000</v>
      </c>
      <c r="H5" s="39">
        <v>100000</v>
      </c>
      <c r="I5" s="39">
        <v>130350</v>
      </c>
      <c r="J5" s="39">
        <v>100000</v>
      </c>
      <c r="K5" s="39">
        <v>97500</v>
      </c>
      <c r="L5" s="39">
        <v>100000</v>
      </c>
      <c r="M5" s="39">
        <v>97500</v>
      </c>
      <c r="N5" s="39">
        <v>100000</v>
      </c>
      <c r="O5" s="39">
        <v>100000</v>
      </c>
      <c r="P5" s="39">
        <v>100000</v>
      </c>
      <c r="Q5" s="39">
        <v>97500</v>
      </c>
      <c r="R5" s="39">
        <v>100000</v>
      </c>
      <c r="S5" s="39">
        <v>115000</v>
      </c>
      <c r="T5" s="39">
        <v>100000</v>
      </c>
      <c r="U5" s="39">
        <f t="shared" si="0"/>
        <v>942850</v>
      </c>
      <c r="V5" s="39">
        <f t="shared" si="0"/>
        <v>910000</v>
      </c>
      <c r="W5" s="39">
        <f t="shared" si="1"/>
        <v>25350</v>
      </c>
      <c r="X5" s="39"/>
      <c r="Y5" s="39">
        <f>BILANFINAOUT2017!H56</f>
        <v>910000</v>
      </c>
    </row>
    <row r="6" spans="1:26" x14ac:dyDescent="0.25">
      <c r="A6" t="s">
        <v>103</v>
      </c>
      <c r="B6" s="39">
        <f>'BILAN 2016'!B9</f>
        <v>250500</v>
      </c>
      <c r="C6" s="39">
        <v>21000</v>
      </c>
      <c r="D6" s="39">
        <v>87000</v>
      </c>
      <c r="E6" s="39">
        <v>19000</v>
      </c>
      <c r="F6" s="39">
        <v>84000</v>
      </c>
      <c r="G6" s="39">
        <v>21000</v>
      </c>
      <c r="H6" s="39">
        <f>200000+12000</f>
        <v>212000</v>
      </c>
      <c r="I6" s="39">
        <v>20000</v>
      </c>
      <c r="J6" s="39">
        <v>10000</v>
      </c>
      <c r="K6" s="39">
        <v>19500</v>
      </c>
      <c r="L6" s="39">
        <v>6000</v>
      </c>
      <c r="M6" s="39">
        <v>19500</v>
      </c>
      <c r="N6" s="39"/>
      <c r="O6" s="39">
        <v>20000</v>
      </c>
      <c r="P6" s="39">
        <f>33000+15000</f>
        <v>48000</v>
      </c>
      <c r="Q6" s="39">
        <v>19500</v>
      </c>
      <c r="R6" s="39">
        <v>13000</v>
      </c>
      <c r="S6" s="39">
        <v>23000</v>
      </c>
      <c r="T6" s="39">
        <v>5000</v>
      </c>
      <c r="U6" s="39">
        <f t="shared" si="0"/>
        <v>182500</v>
      </c>
      <c r="V6" s="39">
        <f t="shared" si="0"/>
        <v>465000</v>
      </c>
      <c r="W6" s="39">
        <f t="shared" si="1"/>
        <v>-32000</v>
      </c>
      <c r="X6" s="39"/>
      <c r="Y6" s="39">
        <f>BILANFINAOUT2017!F56</f>
        <v>182000</v>
      </c>
    </row>
    <row r="7" spans="1:26" x14ac:dyDescent="0.25">
      <c r="A7" t="s">
        <v>92</v>
      </c>
      <c r="B7" s="39">
        <f>'BILAN 2016'!B10</f>
        <v>-599000</v>
      </c>
      <c r="C7" s="39">
        <v>42000</v>
      </c>
      <c r="E7" s="39">
        <v>38000</v>
      </c>
      <c r="G7" s="39">
        <v>42000</v>
      </c>
      <c r="I7" s="39">
        <v>40000</v>
      </c>
      <c r="K7" s="39">
        <v>39000</v>
      </c>
      <c r="L7" s="39"/>
      <c r="M7" s="39">
        <v>39000</v>
      </c>
      <c r="N7" s="39"/>
      <c r="O7" s="39">
        <v>40000</v>
      </c>
      <c r="P7" s="39"/>
      <c r="Q7" s="39">
        <v>39000</v>
      </c>
      <c r="R7" s="39">
        <v>345000</v>
      </c>
      <c r="S7" s="39">
        <v>46000</v>
      </c>
      <c r="T7" s="39"/>
      <c r="U7" s="39">
        <f t="shared" si="0"/>
        <v>365000</v>
      </c>
      <c r="V7" s="39">
        <f t="shared" si="0"/>
        <v>345000</v>
      </c>
      <c r="W7" s="39">
        <f t="shared" si="1"/>
        <v>-579000</v>
      </c>
      <c r="X7" s="39"/>
      <c r="Y7" s="39">
        <f>BILANFINAOUT2017!G56</f>
        <v>364000</v>
      </c>
    </row>
    <row r="8" spans="1:26" x14ac:dyDescent="0.25">
      <c r="A8" t="s">
        <v>13</v>
      </c>
      <c r="B8" s="39">
        <f>+'BILAN 2016'!B12</f>
        <v>-640140</v>
      </c>
      <c r="C8" s="39">
        <f>+[6]TRAVAUXINVENTAIRE!$O$54</f>
        <v>1930123</v>
      </c>
      <c r="F8" s="39">
        <v>200000</v>
      </c>
      <c r="I8" s="39">
        <v>50000</v>
      </c>
      <c r="K8" s="39"/>
      <c r="L8" s="39"/>
      <c r="M8" s="39"/>
      <c r="N8" s="39">
        <v>100000</v>
      </c>
      <c r="O8" s="39"/>
      <c r="P8" s="39"/>
      <c r="Q8" s="39"/>
      <c r="R8" s="39">
        <v>640000</v>
      </c>
      <c r="S8" s="39"/>
      <c r="T8" s="39"/>
      <c r="U8" s="39">
        <f t="shared" si="0"/>
        <v>1980123</v>
      </c>
      <c r="V8" s="39">
        <f t="shared" si="0"/>
        <v>940000</v>
      </c>
      <c r="W8" s="39">
        <f t="shared" si="1"/>
        <v>399983</v>
      </c>
      <c r="X8" s="39"/>
      <c r="Y8" s="39">
        <f>BILANFINAOUT2017!I56</f>
        <v>2009927</v>
      </c>
    </row>
    <row r="9" spans="1:26" x14ac:dyDescent="0.25">
      <c r="A9" t="s">
        <v>93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>
        <f t="shared" si="0"/>
        <v>0</v>
      </c>
      <c r="V9" s="39">
        <f t="shared" si="0"/>
        <v>0</v>
      </c>
      <c r="W9" s="39">
        <f t="shared" si="1"/>
        <v>0</v>
      </c>
      <c r="X9" s="39"/>
    </row>
    <row r="10" spans="1:26" x14ac:dyDescent="0.25">
      <c r="A10" t="s">
        <v>97</v>
      </c>
      <c r="C10" s="39">
        <v>10000</v>
      </c>
      <c r="E10" s="39">
        <v>36000</v>
      </c>
      <c r="G10" s="39">
        <v>15000</v>
      </c>
      <c r="I10" s="39">
        <v>16000</v>
      </c>
      <c r="K10" s="39">
        <v>18000</v>
      </c>
      <c r="L10" s="39"/>
      <c r="M10" s="39">
        <v>15000</v>
      </c>
      <c r="N10" s="39"/>
      <c r="O10" s="39">
        <v>15000</v>
      </c>
      <c r="P10" s="39"/>
      <c r="Q10" s="39">
        <v>15000</v>
      </c>
      <c r="R10" s="39"/>
      <c r="S10" s="39">
        <f>31000+22000</f>
        <v>53000</v>
      </c>
      <c r="T10" s="39"/>
      <c r="U10" s="39">
        <f t="shared" si="0"/>
        <v>193000</v>
      </c>
      <c r="V10" s="39">
        <f t="shared" si="0"/>
        <v>0</v>
      </c>
      <c r="W10" s="39">
        <f t="shared" si="1"/>
        <v>193000</v>
      </c>
      <c r="X10" s="39"/>
      <c r="Y10" s="39">
        <f>'BILAN 2016'!C13</f>
        <v>125000</v>
      </c>
    </row>
    <row r="11" spans="1:26" x14ac:dyDescent="0.25">
      <c r="A11" t="s">
        <v>98</v>
      </c>
      <c r="C11" s="39">
        <v>574400</v>
      </c>
      <c r="E11" s="39">
        <v>309000</v>
      </c>
      <c r="G11" s="39">
        <f>1969000+70000</f>
        <v>2039000</v>
      </c>
      <c r="I11" s="39">
        <v>1939000</v>
      </c>
      <c r="K11" s="39">
        <v>1600000</v>
      </c>
      <c r="L11" s="39"/>
      <c r="M11" s="39">
        <v>4271800</v>
      </c>
      <c r="N11" s="39"/>
      <c r="O11" s="39">
        <v>1094000</v>
      </c>
      <c r="P11" s="39"/>
      <c r="Q11" s="39">
        <f>805000-39000</f>
        <v>766000</v>
      </c>
      <c r="R11" s="39"/>
      <c r="S11" s="39">
        <v>511000</v>
      </c>
      <c r="T11" s="39"/>
      <c r="U11" s="39">
        <f t="shared" si="0"/>
        <v>13104200</v>
      </c>
      <c r="V11" s="39">
        <f t="shared" si="0"/>
        <v>0</v>
      </c>
      <c r="W11" s="39">
        <f t="shared" si="1"/>
        <v>13104200</v>
      </c>
      <c r="X11" s="39"/>
      <c r="Z11" s="39">
        <f>BILANFINAOUT2017!M56</f>
        <v>21149400</v>
      </c>
    </row>
    <row r="12" spans="1:26" x14ac:dyDescent="0.25">
      <c r="A12" t="s">
        <v>77</v>
      </c>
      <c r="G12" s="39">
        <f>320375+31875</f>
        <v>352250</v>
      </c>
      <c r="I12" s="39">
        <v>100000</v>
      </c>
      <c r="K12" s="39">
        <v>99500</v>
      </c>
      <c r="L12" s="39"/>
      <c r="M12" s="39"/>
      <c r="N12" s="39"/>
      <c r="O12" s="39"/>
      <c r="P12" s="39"/>
      <c r="Q12" s="39"/>
      <c r="R12" s="39"/>
      <c r="S12" s="39"/>
      <c r="T12" s="39"/>
      <c r="U12" s="39">
        <f t="shared" si="0"/>
        <v>551750</v>
      </c>
      <c r="V12" s="39">
        <f t="shared" si="0"/>
        <v>0</v>
      </c>
      <c r="W12" s="39">
        <f t="shared" si="1"/>
        <v>551750</v>
      </c>
      <c r="X12" s="39"/>
    </row>
    <row r="13" spans="1:26" x14ac:dyDescent="0.25">
      <c r="A13" t="s">
        <v>107</v>
      </c>
      <c r="O13" s="39">
        <v>300000</v>
      </c>
      <c r="Q13" s="39"/>
      <c r="R13" s="39"/>
      <c r="S13" s="39"/>
      <c r="T13" s="39"/>
      <c r="U13" s="39">
        <f t="shared" si="0"/>
        <v>300000</v>
      </c>
      <c r="V13" s="39">
        <f t="shared" si="0"/>
        <v>0</v>
      </c>
      <c r="W13" s="39">
        <f t="shared" si="1"/>
        <v>300000</v>
      </c>
      <c r="X13" s="39"/>
    </row>
    <row r="14" spans="1:26" x14ac:dyDescent="0.25">
      <c r="Q14" s="39"/>
      <c r="R14" s="39"/>
      <c r="S14" s="39"/>
      <c r="T14" s="39"/>
      <c r="U14" s="39"/>
      <c r="V14" s="39"/>
      <c r="W14" s="39"/>
      <c r="X14" s="39"/>
    </row>
    <row r="15" spans="1:26" x14ac:dyDescent="0.25">
      <c r="A15" t="s">
        <v>69</v>
      </c>
      <c r="B15" s="39" t="e">
        <f>SUM(B3:B14)</f>
        <v>#REF!</v>
      </c>
      <c r="C15" s="39">
        <f t="shared" ref="C15:W15" si="2">SUM(C3:C14)</f>
        <v>3989523</v>
      </c>
      <c r="D15" s="39">
        <f t="shared" si="2"/>
        <v>587000</v>
      </c>
      <c r="E15" s="39">
        <f t="shared" si="2"/>
        <v>904000</v>
      </c>
      <c r="F15" s="39">
        <f t="shared" si="2"/>
        <v>394000</v>
      </c>
      <c r="G15" s="39">
        <f t="shared" si="2"/>
        <v>2737250</v>
      </c>
      <c r="H15" s="39">
        <f t="shared" si="2"/>
        <v>2312000</v>
      </c>
      <c r="I15" s="39">
        <f t="shared" si="2"/>
        <v>2899350</v>
      </c>
      <c r="J15" s="39">
        <f t="shared" si="2"/>
        <v>1710000</v>
      </c>
      <c r="K15" s="39">
        <f t="shared" si="2"/>
        <v>2026500</v>
      </c>
      <c r="L15" s="39">
        <f t="shared" si="2"/>
        <v>1606000</v>
      </c>
      <c r="M15" s="39">
        <f t="shared" si="2"/>
        <v>4606800</v>
      </c>
      <c r="N15" s="39">
        <f t="shared" si="2"/>
        <v>4400000</v>
      </c>
      <c r="O15" s="39">
        <f t="shared" si="2"/>
        <v>2725000</v>
      </c>
      <c r="P15" s="39">
        <f t="shared" si="2"/>
        <v>3948000</v>
      </c>
      <c r="Q15" s="39">
        <f t="shared" si="2"/>
        <v>1117500</v>
      </c>
      <c r="R15" s="39">
        <f t="shared" si="2"/>
        <v>1098000</v>
      </c>
      <c r="S15" s="39">
        <f t="shared" si="2"/>
        <v>1137000</v>
      </c>
      <c r="T15" s="39">
        <f t="shared" si="2"/>
        <v>255000</v>
      </c>
      <c r="U15" s="39">
        <f t="shared" si="2"/>
        <v>22142923</v>
      </c>
      <c r="V15" s="39">
        <f t="shared" si="2"/>
        <v>16310000</v>
      </c>
      <c r="W15" s="39" t="e">
        <f t="shared" si="2"/>
        <v>#REF!</v>
      </c>
      <c r="X15" s="39"/>
    </row>
  </sheetData>
  <mergeCells count="10">
    <mergeCell ref="W1:X1"/>
    <mergeCell ref="Q1:R1"/>
    <mergeCell ref="S1:T1"/>
    <mergeCell ref="U1:V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Z17" sqref="Z17"/>
    </sheetView>
  </sheetViews>
  <sheetFormatPr baseColWidth="10" defaultRowHeight="15" x14ac:dyDescent="0.25"/>
  <cols>
    <col min="1" max="1" width="27" bestFit="1" customWidth="1"/>
    <col min="2" max="2" width="19.85546875" bestFit="1" customWidth="1"/>
    <col min="3" max="9" width="11.42578125" style="39"/>
  </cols>
  <sheetData>
    <row r="1" spans="1:26" x14ac:dyDescent="0.25">
      <c r="B1" t="s">
        <v>94</v>
      </c>
      <c r="C1" s="39" t="s">
        <v>102</v>
      </c>
      <c r="E1" s="75" t="s">
        <v>99</v>
      </c>
      <c r="F1" s="76"/>
      <c r="G1" s="75" t="s">
        <v>100</v>
      </c>
      <c r="H1" s="76"/>
      <c r="I1" s="75" t="s">
        <v>101</v>
      </c>
      <c r="J1" s="76"/>
      <c r="K1" s="75" t="s">
        <v>104</v>
      </c>
      <c r="L1" s="76"/>
      <c r="M1" s="75" t="s">
        <v>105</v>
      </c>
      <c r="N1" s="76"/>
      <c r="O1" s="75" t="s">
        <v>106</v>
      </c>
      <c r="P1" s="76"/>
      <c r="Q1" s="75" t="s">
        <v>108</v>
      </c>
      <c r="R1" s="76"/>
      <c r="S1" s="75" t="s">
        <v>109</v>
      </c>
      <c r="T1" s="76"/>
      <c r="U1" s="75" t="s">
        <v>69</v>
      </c>
      <c r="V1" s="76"/>
      <c r="W1" s="75" t="s">
        <v>74</v>
      </c>
      <c r="X1" s="76"/>
      <c r="Y1" t="s">
        <v>117</v>
      </c>
    </row>
    <row r="2" spans="1:26" x14ac:dyDescent="0.25">
      <c r="C2" s="39" t="s">
        <v>95</v>
      </c>
      <c r="D2" s="39" t="s">
        <v>96</v>
      </c>
      <c r="E2" s="39" t="s">
        <v>95</v>
      </c>
      <c r="F2" s="39" t="s">
        <v>96</v>
      </c>
      <c r="G2" s="39" t="s">
        <v>95</v>
      </c>
      <c r="H2" s="39" t="s">
        <v>96</v>
      </c>
      <c r="I2" s="39" t="s">
        <v>95</v>
      </c>
      <c r="J2" s="39" t="s">
        <v>96</v>
      </c>
      <c r="K2" s="39" t="s">
        <v>95</v>
      </c>
      <c r="L2" s="39" t="s">
        <v>96</v>
      </c>
      <c r="M2" s="39" t="s">
        <v>95</v>
      </c>
      <c r="N2" s="39" t="s">
        <v>96</v>
      </c>
      <c r="O2" s="39" t="s">
        <v>95</v>
      </c>
      <c r="P2" s="39" t="s">
        <v>96</v>
      </c>
      <c r="Q2" s="39" t="s">
        <v>95</v>
      </c>
      <c r="R2" s="39" t="s">
        <v>96</v>
      </c>
      <c r="S2" s="39" t="s">
        <v>95</v>
      </c>
      <c r="T2" s="39" t="s">
        <v>96</v>
      </c>
      <c r="U2" s="39" t="s">
        <v>95</v>
      </c>
      <c r="V2" s="39" t="s">
        <v>96</v>
      </c>
      <c r="W2" s="39"/>
      <c r="X2" s="39"/>
      <c r="Y2" s="39" t="s">
        <v>95</v>
      </c>
      <c r="Z2" s="39" t="s">
        <v>96</v>
      </c>
    </row>
    <row r="3" spans="1:26" x14ac:dyDescent="0.25">
      <c r="A3" t="s">
        <v>7</v>
      </c>
      <c r="B3" s="39">
        <f>'BILAN 2016'!B8</f>
        <v>14398519</v>
      </c>
      <c r="C3" s="39">
        <f>+[6]TRAVAUXINVENTAIRE!$M$54</f>
        <v>1050000</v>
      </c>
      <c r="D3" s="39">
        <f>[6]TONT20000DEC2016!$Q$56+[6]TONT20000DEC2016!$R$56</f>
        <v>412000</v>
      </c>
      <c r="F3" s="39">
        <f>[6]TONT20000JANV2017!$O$56+[6]TONT20000JANV2017!$P$56</f>
        <v>0</v>
      </c>
      <c r="H3" s="39">
        <f>[6]TONT20000FEV2017!$O$56+[6]TONT20000FEV2017!$P$56</f>
        <v>2120000</v>
      </c>
      <c r="J3" s="39">
        <f>[6]TONT20000MARS2017!$O$56+[6]TONT20000MARS2017!$P$56</f>
        <v>1680000</v>
      </c>
      <c r="K3" s="39"/>
      <c r="L3" s="39">
        <f>[6]TONT20000AVRIL2017!$O$56+[6]TONT20000AVRIL2017!$P$56</f>
        <v>1565000</v>
      </c>
      <c r="M3" s="39"/>
      <c r="N3" s="39">
        <f>[6]TONT20000MAI2017!$O$56+[6]TONT20000MAI2017!$P$56</f>
        <v>4326000</v>
      </c>
      <c r="O3" s="39"/>
      <c r="P3" s="39">
        <f>[6]TONT20000JUIN2017!$O$56+[6]TONT20000JUIN2017!$P$56</f>
        <v>3880000</v>
      </c>
      <c r="Q3" s="39"/>
      <c r="R3" s="39">
        <f>[6]TONT20000JUIL2017!$O$56+[6]TONT20000JUIL2017!$P$56</f>
        <v>0</v>
      </c>
      <c r="S3" s="39"/>
      <c r="T3" s="39">
        <f>[7]MVTAOUT2017!$M$53+[7]MVTAOUT2017!$N$53</f>
        <v>154500</v>
      </c>
      <c r="U3" s="39">
        <f>C3+E3+G3+I3+K3+M3+O3+Q3+S3</f>
        <v>1050000</v>
      </c>
      <c r="V3" s="39">
        <f>D3+F3+H3+J3+L3+N3+P3+R3+T3</f>
        <v>14137500</v>
      </c>
      <c r="W3" s="39">
        <f>+B3+U3</f>
        <v>15448519</v>
      </c>
      <c r="X3" s="39"/>
      <c r="Y3" s="39">
        <f>BILANUPDATE!U3</f>
        <v>4523500</v>
      </c>
    </row>
    <row r="4" spans="1:26" x14ac:dyDescent="0.25">
      <c r="A4" t="s">
        <v>118</v>
      </c>
      <c r="B4" s="39" t="e">
        <f>BILANFINAOUT2017!D56</f>
        <v>#REF!</v>
      </c>
      <c r="C4" s="39">
        <f>+[6]TONT20000DEC2016!$L$56</f>
        <v>1307000</v>
      </c>
      <c r="D4" s="54">
        <f>+BILANUPDATE!D4</f>
        <v>0</v>
      </c>
      <c r="E4" s="39">
        <f>[6]TONT20000JANV2017!$J$56</f>
        <v>407000</v>
      </c>
      <c r="F4" s="54">
        <f>+BILANUPDATE!F4</f>
        <v>0</v>
      </c>
      <c r="G4" s="39">
        <f>[6]TONT20000FEV2017!$J$56</f>
        <v>163000</v>
      </c>
      <c r="H4" s="54">
        <f>+BILANUPDATE!H4</f>
        <v>0</v>
      </c>
      <c r="I4" s="39">
        <f>[6]TONT20000MARS2017!$J$56</f>
        <v>604000</v>
      </c>
      <c r="J4" s="54">
        <f>+BILANUPDATE!J4</f>
        <v>0</v>
      </c>
      <c r="K4" s="39">
        <f>[6]TONT20000AVRIL2017!$J$56</f>
        <v>153000</v>
      </c>
      <c r="L4" s="54">
        <f>+BILANUPDATE!L4</f>
        <v>0</v>
      </c>
      <c r="M4" s="39">
        <f>[6]TONT20000MAI2017!$J$56</f>
        <v>164000</v>
      </c>
      <c r="N4" s="54">
        <f>+BILANUPDATE!N4</f>
        <v>0</v>
      </c>
      <c r="O4" s="39">
        <f>[6]TONT20000JUIN2017!$J$56</f>
        <v>1156000</v>
      </c>
      <c r="P4" s="54">
        <f>+BILANUPDATE!P4</f>
        <v>0</v>
      </c>
      <c r="Q4" s="39">
        <f>[6]TONT20000JUIL2017!$J$56</f>
        <v>141500</v>
      </c>
      <c r="R4" s="54">
        <f>+BILANUPDATE!R4</f>
        <v>0</v>
      </c>
      <c r="S4" s="39">
        <f>[7]MVTAOUT2017!$H$53</f>
        <v>359000</v>
      </c>
      <c r="T4" s="54">
        <f>+BILANUPDATE!T4</f>
        <v>0</v>
      </c>
      <c r="U4" s="39">
        <f t="shared" ref="U4:U14" si="0">C4+E4+G4+I4+K4+M4+O4+Q4+S4</f>
        <v>4454500</v>
      </c>
      <c r="V4" s="39">
        <f t="shared" ref="V4:V14" si="1">D4+F4+H4+J4+L4+N4+P4+R4+T4</f>
        <v>0</v>
      </c>
      <c r="W4" s="39" t="e">
        <f>+B4+U4</f>
        <v>#REF!</v>
      </c>
      <c r="X4" s="39"/>
      <c r="Y4" s="39"/>
    </row>
    <row r="5" spans="1:26" x14ac:dyDescent="0.25">
      <c r="A5" t="s">
        <v>12</v>
      </c>
      <c r="B5" s="39">
        <f>'BILAN 2016'!B11</f>
        <v>-7500</v>
      </c>
      <c r="C5" s="39">
        <f>+[6]TONT20000DEC2016!$O$56</f>
        <v>105000</v>
      </c>
      <c r="D5" s="54">
        <f>+BILANUPDATE!D5</f>
        <v>100000</v>
      </c>
      <c r="E5" s="39">
        <f>[6]TONT20000JANV2017!$M$56</f>
        <v>95000</v>
      </c>
      <c r="F5" s="54">
        <f>+BILANUPDATE!F5</f>
        <v>110000</v>
      </c>
      <c r="G5" s="39">
        <f>[6]TONT20000FEV2017!$M$56</f>
        <v>105000</v>
      </c>
      <c r="H5" s="54">
        <f>+BILANUPDATE!H5</f>
        <v>100000</v>
      </c>
      <c r="I5" s="39">
        <f>[6]TONT20000MARS2017!$M$56</f>
        <v>130350</v>
      </c>
      <c r="J5" s="54">
        <f>+BILANUPDATE!J5</f>
        <v>100000</v>
      </c>
      <c r="K5" s="39">
        <f>[6]TONT20000AVRIL2017!$M$56</f>
        <v>97500</v>
      </c>
      <c r="L5" s="54">
        <f>+BILANUPDATE!L5</f>
        <v>100000</v>
      </c>
      <c r="M5" s="39">
        <f>[6]TONT20000MAI2017!$M$56</f>
        <v>97500</v>
      </c>
      <c r="N5" s="54">
        <f>+BILANUPDATE!N5</f>
        <v>100000</v>
      </c>
      <c r="O5" s="39">
        <f>[6]TONT20000JUIN2017!$M$56</f>
        <v>97500</v>
      </c>
      <c r="P5" s="54">
        <f>+BILANUPDATE!P5</f>
        <v>100000</v>
      </c>
      <c r="Q5" s="39">
        <f>[6]TONT20000JUIL2017!$M$56</f>
        <v>97500</v>
      </c>
      <c r="R5" s="54">
        <f>+BILANUPDATE!R5</f>
        <v>100000</v>
      </c>
      <c r="S5" s="39">
        <f>[7]MVTAOUT2017!$K$53</f>
        <v>115000</v>
      </c>
      <c r="T5" s="54">
        <f>+BILANUPDATE!T5</f>
        <v>100000</v>
      </c>
      <c r="U5" s="39">
        <f t="shared" si="0"/>
        <v>940350</v>
      </c>
      <c r="V5" s="39">
        <f t="shared" si="1"/>
        <v>910000</v>
      </c>
      <c r="W5" s="39">
        <f t="shared" ref="W5:W14" si="2">+B5+U5-V5</f>
        <v>22850</v>
      </c>
      <c r="X5" s="39"/>
      <c r="Y5" s="39">
        <f>BILANUPDATE!U5</f>
        <v>942850</v>
      </c>
    </row>
    <row r="6" spans="1:26" x14ac:dyDescent="0.25">
      <c r="A6" t="s">
        <v>103</v>
      </c>
      <c r="B6" s="39">
        <f>'BILAN 2016'!B9</f>
        <v>250500</v>
      </c>
      <c r="C6" s="39">
        <f>+[6]TONT20000DEC2016!$M$56</f>
        <v>21000</v>
      </c>
      <c r="D6" s="54">
        <f>+BILANUPDATE!D6</f>
        <v>87000</v>
      </c>
      <c r="E6" s="39">
        <f>[6]TONT20000JANV2017!$K$56</f>
        <v>19000</v>
      </c>
      <c r="F6" s="54">
        <f>+BILANUPDATE!F6</f>
        <v>84000</v>
      </c>
      <c r="G6" s="39">
        <f>[6]TONT20000FEV2017!$K$56</f>
        <v>21000</v>
      </c>
      <c r="H6" s="54">
        <f>+BILANUPDATE!H6</f>
        <v>212000</v>
      </c>
      <c r="I6" s="39">
        <f>[6]TONT20000MARS2017!$K$56</f>
        <v>20000</v>
      </c>
      <c r="J6" s="54">
        <f>+BILANUPDATE!J6</f>
        <v>10000</v>
      </c>
      <c r="K6" s="39">
        <f>[6]TONT20000AVRIL2017!$K$56</f>
        <v>19500</v>
      </c>
      <c r="L6" s="54">
        <f>+BILANUPDATE!L6</f>
        <v>6000</v>
      </c>
      <c r="M6" s="39">
        <f>[6]TONT20000MAI2017!$K$56</f>
        <v>19500</v>
      </c>
      <c r="N6" s="54">
        <f>+BILANUPDATE!N6</f>
        <v>0</v>
      </c>
      <c r="O6" s="39">
        <f>[6]TONT20000JUIN2017!$K$56</f>
        <v>19500</v>
      </c>
      <c r="P6" s="54">
        <f>+BILANUPDATE!P6</f>
        <v>48000</v>
      </c>
      <c r="Q6" s="39">
        <f>[6]TONT20000JUIL2017!$K$56</f>
        <v>19500</v>
      </c>
      <c r="R6" s="54">
        <f>+BILANUPDATE!R6</f>
        <v>13000</v>
      </c>
      <c r="S6" s="39">
        <f>[7]MVTAOUT2017!$I$53</f>
        <v>23000</v>
      </c>
      <c r="T6" s="54">
        <f>+BILANUPDATE!T6</f>
        <v>5000</v>
      </c>
      <c r="U6" s="39">
        <f t="shared" si="0"/>
        <v>182000</v>
      </c>
      <c r="V6" s="39">
        <f t="shared" si="1"/>
        <v>465000</v>
      </c>
      <c r="W6" s="39">
        <f t="shared" si="2"/>
        <v>-32500</v>
      </c>
      <c r="X6" s="39"/>
      <c r="Y6" s="39">
        <f>BILANUPDATE!U6</f>
        <v>182500</v>
      </c>
    </row>
    <row r="7" spans="1:26" x14ac:dyDescent="0.25">
      <c r="A7" t="s">
        <v>92</v>
      </c>
      <c r="B7" s="39">
        <f>'BILAN 2016'!B10</f>
        <v>-599000</v>
      </c>
      <c r="C7" s="39">
        <f>+[6]TONT20000DEC2016!$N$56</f>
        <v>42000</v>
      </c>
      <c r="D7" s="54">
        <f>+BILANUPDATE!D7</f>
        <v>0</v>
      </c>
      <c r="E7" s="39">
        <f>[6]TONT20000JANV2017!$L$56</f>
        <v>38000</v>
      </c>
      <c r="F7" s="54">
        <f>+BILANUPDATE!F7</f>
        <v>0</v>
      </c>
      <c r="G7" s="39">
        <f>[6]TONT20000FEV2017!$L$56</f>
        <v>42000</v>
      </c>
      <c r="H7" s="54">
        <f>+BILANUPDATE!H7</f>
        <v>0</v>
      </c>
      <c r="I7" s="39">
        <f>[6]TONT20000MARS2017!$L$56</f>
        <v>40000</v>
      </c>
      <c r="J7" s="54">
        <f>+BILANUPDATE!J7</f>
        <v>0</v>
      </c>
      <c r="K7" s="39">
        <f>[6]TONT20000AVRIL2017!$L$56</f>
        <v>39000</v>
      </c>
      <c r="L7" s="54">
        <f>+BILANUPDATE!L7</f>
        <v>0</v>
      </c>
      <c r="M7" s="39">
        <f>[6]TONT20000MAI2017!$L$56</f>
        <v>39000</v>
      </c>
      <c r="N7" s="54">
        <f>+BILANUPDATE!N7</f>
        <v>0</v>
      </c>
      <c r="O7" s="39">
        <f>[6]TONT20000JUIN2017!$L$56</f>
        <v>39000</v>
      </c>
      <c r="P7" s="54">
        <f>+BILANUPDATE!P7</f>
        <v>0</v>
      </c>
      <c r="Q7" s="39">
        <f>[6]TONT20000JUIL2017!$L$56</f>
        <v>39000</v>
      </c>
      <c r="R7" s="54">
        <f>+BILANUPDATE!R7</f>
        <v>345000</v>
      </c>
      <c r="S7" s="39">
        <f>[7]MVTAOUT2017!$J$53</f>
        <v>46000</v>
      </c>
      <c r="T7" s="54">
        <f>+BILANUPDATE!T7</f>
        <v>0</v>
      </c>
      <c r="U7" s="39">
        <f t="shared" si="0"/>
        <v>364000</v>
      </c>
      <c r="V7" s="39">
        <f t="shared" si="1"/>
        <v>345000</v>
      </c>
      <c r="W7" s="39">
        <f t="shared" si="2"/>
        <v>-580000</v>
      </c>
      <c r="X7" s="39"/>
      <c r="Y7" s="39">
        <f>BILANUPDATE!U7</f>
        <v>365000</v>
      </c>
    </row>
    <row r="8" spans="1:26" x14ac:dyDescent="0.25">
      <c r="A8" t="s">
        <v>13</v>
      </c>
      <c r="B8" s="39">
        <f>+'BILAN 2016'!B12</f>
        <v>-640140</v>
      </c>
      <c r="C8" s="39">
        <f>+[6]TRAVAUXINVENTAIRE!$O$54</f>
        <v>1930123</v>
      </c>
      <c r="D8" s="54">
        <f>+BILANUPDATE!D8</f>
        <v>0</v>
      </c>
      <c r="E8" s="39">
        <f>[6]TONT20000JANV2017!$N$56</f>
        <v>0</v>
      </c>
      <c r="F8" s="54">
        <f>+BILANUPDATE!F8</f>
        <v>200000</v>
      </c>
      <c r="G8" s="39">
        <f>[6]TONT20000FEV2017!$N$56</f>
        <v>0</v>
      </c>
      <c r="H8" s="54">
        <f>+BILANUPDATE!H8</f>
        <v>0</v>
      </c>
      <c r="I8" s="39">
        <f>[6]TONT20000MARS2017!$N$56</f>
        <v>50000</v>
      </c>
      <c r="J8" s="54">
        <f>+BILANUPDATE!J8</f>
        <v>0</v>
      </c>
      <c r="K8" s="39">
        <f>[6]TONT20000AVRIL2017!$N$56</f>
        <v>0</v>
      </c>
      <c r="L8" s="54">
        <f>+BILANUPDATE!L8</f>
        <v>0</v>
      </c>
      <c r="M8" s="39">
        <f>[6]TONT20000MAI2017!$N$56</f>
        <v>0</v>
      </c>
      <c r="N8" s="54">
        <f>+BILANUPDATE!N8</f>
        <v>100000</v>
      </c>
      <c r="O8" s="39">
        <f>[6]TONT20000JUIN2017!$N$56</f>
        <v>0</v>
      </c>
      <c r="P8" s="54">
        <f>+BILANUPDATE!P8</f>
        <v>0</v>
      </c>
      <c r="Q8" s="39">
        <f>[6]TONT20000JUIL2017!$N$56</f>
        <v>0</v>
      </c>
      <c r="R8" s="54">
        <f>+BILANUPDATE!R8</f>
        <v>640000</v>
      </c>
      <c r="S8" s="39">
        <f>[7]MVTAOUT2017!$L$53</f>
        <v>30000</v>
      </c>
      <c r="T8" s="54">
        <f>+BILANUPDATE!T8</f>
        <v>0</v>
      </c>
      <c r="U8" s="39">
        <f t="shared" si="0"/>
        <v>2010123</v>
      </c>
      <c r="V8" s="39">
        <f t="shared" si="1"/>
        <v>940000</v>
      </c>
      <c r="W8" s="39">
        <f t="shared" si="2"/>
        <v>429983</v>
      </c>
      <c r="X8" s="39"/>
      <c r="Y8" s="39">
        <f>BILANUPDATE!U8</f>
        <v>1980123</v>
      </c>
    </row>
    <row r="9" spans="1:26" x14ac:dyDescent="0.25">
      <c r="A9" t="s">
        <v>93</v>
      </c>
      <c r="D9" s="54">
        <f>+BILANUPDATE!D9</f>
        <v>0</v>
      </c>
      <c r="F9" s="54">
        <f>+BILANUPDATE!F9</f>
        <v>0</v>
      </c>
      <c r="H9" s="54">
        <f>+BILANUPDATE!H9</f>
        <v>0</v>
      </c>
      <c r="J9" s="54">
        <f>+BILANUPDATE!J9</f>
        <v>0</v>
      </c>
      <c r="K9" s="39"/>
      <c r="L9" s="54">
        <f>+BILANUPDATE!L9</f>
        <v>0</v>
      </c>
      <c r="M9" s="39"/>
      <c r="N9" s="54">
        <f>+BILANUPDATE!N9</f>
        <v>0</v>
      </c>
      <c r="O9" s="39"/>
      <c r="P9" s="54">
        <f>+BILANUPDATE!P9</f>
        <v>0</v>
      </c>
      <c r="Q9" s="39"/>
      <c r="R9" s="54">
        <f>+BILANUPDATE!R9</f>
        <v>0</v>
      </c>
      <c r="S9" s="39"/>
      <c r="T9" s="54">
        <f>+BILANUPDATE!T9</f>
        <v>0</v>
      </c>
      <c r="U9" s="39">
        <f t="shared" si="0"/>
        <v>0</v>
      </c>
      <c r="V9" s="39">
        <f t="shared" si="1"/>
        <v>0</v>
      </c>
      <c r="W9" s="39">
        <f t="shared" si="2"/>
        <v>0</v>
      </c>
      <c r="X9" s="39"/>
    </row>
    <row r="10" spans="1:26" x14ac:dyDescent="0.25">
      <c r="A10" t="s">
        <v>97</v>
      </c>
      <c r="C10" s="55">
        <f>+BILANUPDATE!C10</f>
        <v>10000</v>
      </c>
      <c r="D10" s="54">
        <f>+BILANUPDATE!D10</f>
        <v>0</v>
      </c>
      <c r="E10" s="55">
        <f>+BILANUPDATE!E10</f>
        <v>36000</v>
      </c>
      <c r="F10" s="54">
        <f>+BILANUPDATE!F10</f>
        <v>0</v>
      </c>
      <c r="G10" s="55">
        <f>+BILANUPDATE!G10</f>
        <v>15000</v>
      </c>
      <c r="H10" s="54">
        <f>+BILANUPDATE!H10</f>
        <v>0</v>
      </c>
      <c r="I10" s="55">
        <f>+BILANUPDATE!I10</f>
        <v>16000</v>
      </c>
      <c r="J10" s="54">
        <f>+BILANUPDATE!J10</f>
        <v>0</v>
      </c>
      <c r="K10" s="55">
        <f>+BILANUPDATE!K10</f>
        <v>18000</v>
      </c>
      <c r="L10" s="54">
        <f>+BILANUPDATE!L10</f>
        <v>0</v>
      </c>
      <c r="M10" s="55">
        <f>+BILANUPDATE!M10</f>
        <v>15000</v>
      </c>
      <c r="N10" s="54">
        <f>+BILANUPDATE!N10</f>
        <v>0</v>
      </c>
      <c r="O10" s="55">
        <f>+BILANUPDATE!O10</f>
        <v>15000</v>
      </c>
      <c r="P10" s="54">
        <f>+BILANUPDATE!P10</f>
        <v>0</v>
      </c>
      <c r="Q10" s="55">
        <f>+BILANUPDATE!Q10</f>
        <v>15000</v>
      </c>
      <c r="R10" s="54">
        <f>+BILANUPDATE!R10</f>
        <v>0</v>
      </c>
      <c r="S10" s="55">
        <f>+BILANUPDATE!S10</f>
        <v>53000</v>
      </c>
      <c r="T10" s="54">
        <f>+BILANUPDATE!T10</f>
        <v>0</v>
      </c>
      <c r="U10" s="39">
        <f t="shared" si="0"/>
        <v>193000</v>
      </c>
      <c r="V10" s="39">
        <f t="shared" si="1"/>
        <v>0</v>
      </c>
      <c r="W10" s="39">
        <f t="shared" si="2"/>
        <v>193000</v>
      </c>
      <c r="X10" s="39"/>
      <c r="Y10" s="39">
        <f>BILANUPDATE!U10</f>
        <v>193000</v>
      </c>
    </row>
    <row r="11" spans="1:26" x14ac:dyDescent="0.25">
      <c r="A11" t="s">
        <v>116</v>
      </c>
      <c r="C11" s="39">
        <f>+[6]TONT20000DEC2016!$I$56</f>
        <v>10000</v>
      </c>
      <c r="D11" s="54">
        <f>+BILANUPDATE!D11</f>
        <v>0</v>
      </c>
      <c r="E11" s="39">
        <f>[6]TONT20000JANV2017!$G$56</f>
        <v>36000</v>
      </c>
      <c r="F11" s="54">
        <f>+BILANUPDATE!F11</f>
        <v>0</v>
      </c>
      <c r="G11" s="39">
        <f>[6]TONT20000FEV2017!$G$56</f>
        <v>14000</v>
      </c>
      <c r="H11" s="54">
        <f>+BILANUPDATE!H11</f>
        <v>0</v>
      </c>
      <c r="I11" s="39">
        <f>[6]TONT20000MARS2017!$G$56</f>
        <v>16000</v>
      </c>
      <c r="J11" s="54">
        <f>+BILANUPDATE!J11</f>
        <v>0</v>
      </c>
      <c r="K11" s="39">
        <f>[6]TONT20000AVRIL2017!$G$56</f>
        <v>18000</v>
      </c>
      <c r="L11" s="54">
        <f>+BILANUPDATE!L11</f>
        <v>0</v>
      </c>
      <c r="M11" s="39">
        <f>[6]TONT20000MAI2017!$G$56</f>
        <v>15000</v>
      </c>
      <c r="N11" s="54">
        <f>+BILANUPDATE!N11</f>
        <v>0</v>
      </c>
      <c r="O11" s="39">
        <f>[6]TONT20000JUIN2017!$G$56</f>
        <v>15000</v>
      </c>
      <c r="P11" s="54">
        <f>+BILANUPDATE!P11</f>
        <v>0</v>
      </c>
      <c r="Q11" s="39">
        <f>[6]TONT20000JUIL2017!$G$56</f>
        <v>15000</v>
      </c>
      <c r="R11" s="54">
        <f>+BILANUPDATE!R11</f>
        <v>0</v>
      </c>
      <c r="S11" s="39">
        <f>[8]TONTAOUT!$F$52</f>
        <v>0</v>
      </c>
      <c r="T11" s="54">
        <f>+BILANUPDATE!T11</f>
        <v>0</v>
      </c>
      <c r="U11" s="39">
        <f t="shared" si="0"/>
        <v>139000</v>
      </c>
      <c r="V11" s="39">
        <f t="shared" si="1"/>
        <v>0</v>
      </c>
      <c r="W11" s="39">
        <f t="shared" si="2"/>
        <v>139000</v>
      </c>
      <c r="X11" s="39"/>
    </row>
    <row r="12" spans="1:26" x14ac:dyDescent="0.25">
      <c r="A12" t="s">
        <v>98</v>
      </c>
      <c r="B12" s="39"/>
      <c r="C12" s="39">
        <f>+[6]TONT20000DEC2016!$S$56</f>
        <v>494400</v>
      </c>
      <c r="D12" s="54">
        <f>+BILANUPDATE!D12</f>
        <v>0</v>
      </c>
      <c r="E12" s="39">
        <f>+[6]TONT20000JANV2017!$Q$56</f>
        <v>309000</v>
      </c>
      <c r="F12" s="54">
        <f>+BILANUPDATE!F12</f>
        <v>0</v>
      </c>
      <c r="G12" s="39">
        <f>+[6]TONT20000FEV2017!$Q$56</f>
        <v>2039000</v>
      </c>
      <c r="H12" s="54">
        <f>+BILANUPDATE!H12</f>
        <v>0</v>
      </c>
      <c r="I12" s="39">
        <f>+[6]TONT20000MARS2017!$Q$56</f>
        <v>1939000</v>
      </c>
      <c r="J12" s="54">
        <f>+BILANUPDATE!J12</f>
        <v>0</v>
      </c>
      <c r="K12" s="39">
        <f>+[6]TONT20000AVRIL2017!$Q$56</f>
        <v>1300000</v>
      </c>
      <c r="L12" s="54">
        <f>+BILANUPDATE!L12</f>
        <v>0</v>
      </c>
      <c r="M12" s="39">
        <f>+[6]TONT20000MAI2017!$Q$56</f>
        <v>4271800</v>
      </c>
      <c r="N12" s="54">
        <f>+BILANUPDATE!N12</f>
        <v>0</v>
      </c>
      <c r="O12" s="39">
        <f>+[6]TONT20000JUIN2017!$Q$56</f>
        <v>1094000</v>
      </c>
      <c r="P12" s="54">
        <f>+BILANUPDATE!P12</f>
        <v>0</v>
      </c>
      <c r="Q12" s="39">
        <f>+[6]TONT20000JUIL2017!$Q$56</f>
        <v>805000</v>
      </c>
      <c r="R12" s="54">
        <f>+BILANUPDATE!R12</f>
        <v>0</v>
      </c>
      <c r="S12" s="39">
        <f>[7]MVTAOUT2017!$O$53</f>
        <v>391000</v>
      </c>
      <c r="T12" s="54">
        <f>+BILANUPDATE!T12</f>
        <v>0</v>
      </c>
      <c r="U12" s="39">
        <f t="shared" si="0"/>
        <v>12643200</v>
      </c>
      <c r="V12" s="39"/>
      <c r="W12" s="39">
        <f t="shared" si="2"/>
        <v>12643200</v>
      </c>
      <c r="X12" s="39"/>
      <c r="Y12" s="39">
        <f>BILANUPDATE!U11</f>
        <v>13104200</v>
      </c>
      <c r="Z12" s="39"/>
    </row>
    <row r="13" spans="1:26" x14ac:dyDescent="0.25">
      <c r="A13" t="s">
        <v>77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>
        <f t="shared" si="0"/>
        <v>0</v>
      </c>
      <c r="V13" s="39">
        <f t="shared" si="1"/>
        <v>0</v>
      </c>
      <c r="W13" s="39">
        <f t="shared" si="2"/>
        <v>0</v>
      </c>
      <c r="X13" s="39"/>
      <c r="Y13" s="39">
        <f>BILANUPDATE!U12</f>
        <v>551750</v>
      </c>
    </row>
    <row r="14" spans="1:26" x14ac:dyDescent="0.25">
      <c r="A14" t="s">
        <v>107</v>
      </c>
      <c r="O14" s="39"/>
      <c r="Q14" s="39"/>
      <c r="R14" s="39"/>
      <c r="S14" s="39"/>
      <c r="T14" s="39"/>
      <c r="U14" s="39">
        <f t="shared" si="0"/>
        <v>0</v>
      </c>
      <c r="V14" s="39">
        <f t="shared" si="1"/>
        <v>0</v>
      </c>
      <c r="W14" s="39">
        <f t="shared" si="2"/>
        <v>0</v>
      </c>
      <c r="X14" s="39"/>
      <c r="Y14" s="39">
        <f>BILANUPDATE!U13</f>
        <v>300000</v>
      </c>
    </row>
    <row r="15" spans="1:26" x14ac:dyDescent="0.25">
      <c r="Q15" s="39"/>
      <c r="R15" s="39"/>
      <c r="S15" s="39"/>
      <c r="T15" s="39"/>
      <c r="U15" s="39"/>
      <c r="V15" s="39"/>
      <c r="W15" s="39"/>
      <c r="X15" s="39"/>
    </row>
    <row r="16" spans="1:26" x14ac:dyDescent="0.25">
      <c r="A16" t="s">
        <v>69</v>
      </c>
      <c r="B16" s="39" t="e">
        <f>SUM(B3:B15)</f>
        <v>#REF!</v>
      </c>
      <c r="C16" s="39">
        <f t="shared" ref="C16:W16" si="3">SUM(C3:C15)</f>
        <v>4969523</v>
      </c>
      <c r="D16" s="39">
        <f>SUM(D3:D15)</f>
        <v>599000</v>
      </c>
      <c r="E16" s="39">
        <f t="shared" si="3"/>
        <v>940000</v>
      </c>
      <c r="F16" s="39">
        <f>SUM(F3:F15)</f>
        <v>394000</v>
      </c>
      <c r="G16" s="39">
        <f t="shared" si="3"/>
        <v>2399000</v>
      </c>
      <c r="H16" s="39">
        <f>SUM(H3:H15)</f>
        <v>2432000</v>
      </c>
      <c r="I16" s="39">
        <f t="shared" si="3"/>
        <v>2815350</v>
      </c>
      <c r="J16" s="39">
        <f>SUM(J3:J15)</f>
        <v>1790000</v>
      </c>
      <c r="K16" s="39">
        <f t="shared" si="3"/>
        <v>1645000</v>
      </c>
      <c r="L16" s="39">
        <f>SUM(L3:L15)</f>
        <v>1671000</v>
      </c>
      <c r="M16" s="39">
        <f t="shared" si="3"/>
        <v>4621800</v>
      </c>
      <c r="N16" s="39">
        <f>SUM(N3:N15)</f>
        <v>4526000</v>
      </c>
      <c r="O16" s="39">
        <f t="shared" si="3"/>
        <v>2436000</v>
      </c>
      <c r="P16" s="39">
        <f>SUM(P3:P15)</f>
        <v>4028000</v>
      </c>
      <c r="Q16" s="39">
        <f t="shared" si="3"/>
        <v>1132500</v>
      </c>
      <c r="R16" s="39">
        <f>SUM(R3:R15)</f>
        <v>1098000</v>
      </c>
      <c r="S16" s="39">
        <f t="shared" si="3"/>
        <v>1017000</v>
      </c>
      <c r="T16" s="39">
        <f>SUM(T3:T15)</f>
        <v>259500</v>
      </c>
      <c r="U16" s="39">
        <f t="shared" si="3"/>
        <v>21976173</v>
      </c>
      <c r="V16" s="39">
        <f t="shared" si="3"/>
        <v>16797500</v>
      </c>
      <c r="W16" s="39" t="e">
        <f t="shared" si="3"/>
        <v>#REF!</v>
      </c>
      <c r="X16" s="39"/>
    </row>
  </sheetData>
  <mergeCells count="10">
    <mergeCell ref="Q1:R1"/>
    <mergeCell ref="S1:T1"/>
    <mergeCell ref="U1:V1"/>
    <mergeCell ref="W1:X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selection activeCell="X3" sqref="X3:Y3"/>
    </sheetView>
  </sheetViews>
  <sheetFormatPr baseColWidth="10" defaultRowHeight="15" x14ac:dyDescent="0.25"/>
  <cols>
    <col min="1" max="1" width="20.85546875" customWidth="1"/>
    <col min="2" max="2" width="16.42578125" bestFit="1" customWidth="1"/>
    <col min="3" max="3" width="16.42578125" customWidth="1"/>
    <col min="4" max="4" width="9.28515625" bestFit="1" customWidth="1"/>
    <col min="5" max="5" width="9.28515625" customWidth="1"/>
    <col min="6" max="6" width="11" bestFit="1" customWidth="1"/>
    <col min="7" max="7" width="11" customWidth="1"/>
    <col min="8" max="8" width="21.85546875" bestFit="1" customWidth="1"/>
    <col min="9" max="9" width="21.85546875" customWidth="1"/>
    <col min="10" max="10" width="21.7109375" bestFit="1" customWidth="1"/>
    <col min="11" max="11" width="21.7109375" customWidth="1"/>
    <col min="12" max="12" width="10" bestFit="1" customWidth="1"/>
    <col min="13" max="13" width="10" customWidth="1"/>
    <col min="14" max="14" width="12.42578125" bestFit="1" customWidth="1"/>
    <col min="15" max="15" width="12.42578125" customWidth="1"/>
    <col min="16" max="16" width="9.28515625" bestFit="1" customWidth="1"/>
    <col min="17" max="17" width="9.28515625" customWidth="1"/>
    <col min="18" max="18" width="17.140625" bestFit="1" customWidth="1"/>
    <col min="19" max="19" width="17.140625" customWidth="1"/>
    <col min="20" max="20" width="6.5703125" bestFit="1" customWidth="1"/>
    <col min="21" max="21" width="6.5703125" customWidth="1"/>
    <col min="22" max="22" width="14.5703125" bestFit="1" customWidth="1"/>
  </cols>
  <sheetData>
    <row r="1" spans="1:25" x14ac:dyDescent="0.25">
      <c r="A1" t="s">
        <v>111</v>
      </c>
      <c r="B1" s="76" t="s">
        <v>7</v>
      </c>
      <c r="C1" s="76"/>
      <c r="D1" s="76" t="s">
        <v>9</v>
      </c>
      <c r="E1" s="76"/>
      <c r="F1" s="76" t="s">
        <v>12</v>
      </c>
      <c r="G1" s="76"/>
      <c r="H1" s="76" t="s">
        <v>103</v>
      </c>
      <c r="I1" s="76"/>
      <c r="J1" s="76" t="s">
        <v>92</v>
      </c>
      <c r="K1" s="76"/>
      <c r="L1" s="76" t="s">
        <v>13</v>
      </c>
      <c r="M1" s="76"/>
      <c r="N1" s="76" t="s">
        <v>93</v>
      </c>
      <c r="O1" s="76"/>
      <c r="P1" s="76" t="s">
        <v>97</v>
      </c>
      <c r="Q1" s="76"/>
      <c r="R1" s="76" t="s">
        <v>98</v>
      </c>
      <c r="S1" s="76"/>
      <c r="T1" s="76" t="s">
        <v>77</v>
      </c>
      <c r="U1" s="76"/>
      <c r="V1" s="76" t="s">
        <v>107</v>
      </c>
      <c r="W1" s="76"/>
      <c r="X1" s="76" t="s">
        <v>69</v>
      </c>
      <c r="Y1" s="76"/>
    </row>
    <row r="2" spans="1:25" x14ac:dyDescent="0.25">
      <c r="B2" s="52" t="s">
        <v>95</v>
      </c>
      <c r="C2" s="52" t="s">
        <v>96</v>
      </c>
      <c r="D2" s="52" t="s">
        <v>95</v>
      </c>
      <c r="E2" s="52" t="s">
        <v>96</v>
      </c>
      <c r="F2" s="52" t="s">
        <v>95</v>
      </c>
      <c r="G2" s="52" t="s">
        <v>96</v>
      </c>
      <c r="H2" s="52" t="s">
        <v>95</v>
      </c>
      <c r="I2" s="52" t="s">
        <v>96</v>
      </c>
      <c r="J2" s="52" t="s">
        <v>95</v>
      </c>
      <c r="K2" s="52" t="s">
        <v>96</v>
      </c>
      <c r="L2" s="52" t="s">
        <v>95</v>
      </c>
      <c r="M2" s="52" t="s">
        <v>96</v>
      </c>
      <c r="N2" s="52" t="s">
        <v>95</v>
      </c>
      <c r="O2" s="52" t="s">
        <v>96</v>
      </c>
      <c r="P2" s="52" t="s">
        <v>95</v>
      </c>
      <c r="Q2" s="52" t="s">
        <v>96</v>
      </c>
      <c r="R2" s="52" t="s">
        <v>95</v>
      </c>
      <c r="S2" s="52" t="s">
        <v>96</v>
      </c>
      <c r="T2" s="52" t="s">
        <v>95</v>
      </c>
      <c r="U2" s="52" t="s">
        <v>96</v>
      </c>
      <c r="V2" s="52" t="s">
        <v>95</v>
      </c>
      <c r="W2" s="52" t="s">
        <v>96</v>
      </c>
      <c r="X2" s="52" t="s">
        <v>95</v>
      </c>
      <c r="Y2" s="52" t="s">
        <v>96</v>
      </c>
    </row>
    <row r="3" spans="1:25" ht="45" x14ac:dyDescent="0.25">
      <c r="A3" s="53" t="s">
        <v>114</v>
      </c>
      <c r="B3" s="39">
        <f>+BILANUPDATE!B3</f>
        <v>14398519</v>
      </c>
      <c r="D3" s="39" t="e">
        <f>+BILANUPDATE!B4</f>
        <v>#REF!</v>
      </c>
      <c r="F3" s="39">
        <f>+BILANUPDATE!B5</f>
        <v>-7500</v>
      </c>
      <c r="H3" s="39">
        <f>+BILANUPDATE!B6</f>
        <v>250500</v>
      </c>
      <c r="J3" s="39">
        <f>+BILANUPDATE!B7</f>
        <v>-599000</v>
      </c>
      <c r="L3" s="39">
        <f>+BILANUPDATE!B8</f>
        <v>-640140</v>
      </c>
      <c r="X3" s="39" t="e">
        <f>B3+D3+F3+H3+J3+L3+N3+P3+R3+T3+V3</f>
        <v>#REF!</v>
      </c>
      <c r="Y3" s="39">
        <f>C3+E3+G3+I3+K3+M3+O3+Q3+S3+U3+W3</f>
        <v>0</v>
      </c>
    </row>
    <row r="4" spans="1:25" x14ac:dyDescent="0.25">
      <c r="A4" t="s">
        <v>115</v>
      </c>
    </row>
    <row r="5" spans="1:25" x14ac:dyDescent="0.25">
      <c r="A5" t="s">
        <v>112</v>
      </c>
    </row>
    <row r="6" spans="1:25" x14ac:dyDescent="0.25">
      <c r="A6" t="s">
        <v>101</v>
      </c>
    </row>
    <row r="7" spans="1:25" x14ac:dyDescent="0.25">
      <c r="A7" t="s">
        <v>104</v>
      </c>
    </row>
    <row r="8" spans="1:25" x14ac:dyDescent="0.25">
      <c r="A8" t="s">
        <v>105</v>
      </c>
    </row>
    <row r="9" spans="1:25" x14ac:dyDescent="0.25">
      <c r="A9" t="s">
        <v>106</v>
      </c>
    </row>
    <row r="10" spans="1:25" x14ac:dyDescent="0.25">
      <c r="A10" t="s">
        <v>108</v>
      </c>
    </row>
    <row r="11" spans="1:25" x14ac:dyDescent="0.25">
      <c r="A11" t="s">
        <v>113</v>
      </c>
    </row>
  </sheetData>
  <mergeCells count="12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B10" sqref="B10"/>
    </sheetView>
  </sheetViews>
  <sheetFormatPr baseColWidth="10" defaultRowHeight="15" x14ac:dyDescent="0.25"/>
  <cols>
    <col min="1" max="1" width="48.7109375" bestFit="1" customWidth="1"/>
    <col min="2" max="2" width="29.140625" customWidth="1"/>
    <col min="3" max="3" width="12.7109375" bestFit="1" customWidth="1"/>
    <col min="4" max="4" width="14.140625" bestFit="1" customWidth="1"/>
    <col min="5" max="5" width="15" bestFit="1" customWidth="1"/>
  </cols>
  <sheetData>
    <row r="1" spans="1:5" ht="18.75" x14ac:dyDescent="0.3">
      <c r="A1" s="62" t="s">
        <v>119</v>
      </c>
    </row>
    <row r="2" spans="1:5" ht="15.75" thickBot="1" x14ac:dyDescent="0.3"/>
    <row r="3" spans="1:5" ht="21.75" thickTop="1" x14ac:dyDescent="0.35">
      <c r="A3" s="65" t="s">
        <v>120</v>
      </c>
      <c r="B3" s="66" t="s">
        <v>74</v>
      </c>
    </row>
    <row r="4" spans="1:5" x14ac:dyDescent="0.25">
      <c r="A4" s="37"/>
      <c r="B4" s="24"/>
    </row>
    <row r="5" spans="1:5" ht="18.75" x14ac:dyDescent="0.3">
      <c r="A5" s="37" t="s">
        <v>121</v>
      </c>
      <c r="B5" s="63">
        <v>4477474</v>
      </c>
    </row>
    <row r="6" spans="1:5" ht="18.75" x14ac:dyDescent="0.3">
      <c r="A6" s="37" t="s">
        <v>122</v>
      </c>
      <c r="B6" s="63">
        <v>4817411</v>
      </c>
    </row>
    <row r="7" spans="1:5" ht="18.75" x14ac:dyDescent="0.3">
      <c r="A7" s="37" t="s">
        <v>123</v>
      </c>
      <c r="B7" s="63">
        <v>630006</v>
      </c>
    </row>
    <row r="8" spans="1:5" ht="18.75" x14ac:dyDescent="0.3">
      <c r="A8" s="37"/>
      <c r="B8" s="64"/>
    </row>
    <row r="9" spans="1:5" ht="18.75" x14ac:dyDescent="0.3">
      <c r="A9" s="58" t="s">
        <v>128</v>
      </c>
      <c r="B9" s="59">
        <f>SUM(B5:B8)</f>
        <v>9924891</v>
      </c>
    </row>
    <row r="10" spans="1:5" ht="18.75" x14ac:dyDescent="0.3">
      <c r="A10" s="37"/>
      <c r="B10" s="64"/>
    </row>
    <row r="11" spans="1:5" ht="18.75" x14ac:dyDescent="0.3">
      <c r="A11" s="58" t="s">
        <v>124</v>
      </c>
      <c r="B11" s="59">
        <f>+[4]EMPRUNT!$C$52</f>
        <v>0</v>
      </c>
    </row>
    <row r="12" spans="1:5" ht="18.75" x14ac:dyDescent="0.3">
      <c r="A12" s="58"/>
      <c r="B12" s="60"/>
    </row>
    <row r="13" spans="1:5" ht="18.75" x14ac:dyDescent="0.3">
      <c r="A13" s="58" t="s">
        <v>125</v>
      </c>
      <c r="B13" s="59">
        <f>B9+B11</f>
        <v>9924891</v>
      </c>
    </row>
    <row r="14" spans="1:5" ht="15.75" thickBot="1" x14ac:dyDescent="0.3">
      <c r="A14" s="56"/>
      <c r="B14" s="57"/>
    </row>
    <row r="15" spans="1:5" ht="16.5" thickTop="1" thickBot="1" x14ac:dyDescent="0.3"/>
    <row r="16" spans="1:5" ht="21.75" thickTop="1" x14ac:dyDescent="0.35">
      <c r="A16" s="65" t="s">
        <v>127</v>
      </c>
      <c r="B16" s="67" t="s">
        <v>129</v>
      </c>
      <c r="C16" s="67" t="s">
        <v>95</v>
      </c>
      <c r="D16" s="67" t="s">
        <v>96</v>
      </c>
      <c r="E16" s="66" t="s">
        <v>126</v>
      </c>
    </row>
    <row r="17" spans="1:8" ht="18.75" x14ac:dyDescent="0.3">
      <c r="A17" s="37" t="s">
        <v>130</v>
      </c>
      <c r="B17" s="40">
        <v>17924326</v>
      </c>
      <c r="C17" s="40">
        <v>5087693</v>
      </c>
      <c r="D17" s="40">
        <f>+B11</f>
        <v>0</v>
      </c>
      <c r="E17" s="63">
        <f>+B17+C17-D17</f>
        <v>23012019</v>
      </c>
      <c r="G17" s="39"/>
      <c r="H17" s="39"/>
    </row>
    <row r="18" spans="1:8" ht="18.75" x14ac:dyDescent="0.3">
      <c r="A18" s="37" t="s">
        <v>12</v>
      </c>
      <c r="B18" s="40">
        <f>+BILANUPDATEDPA!B5</f>
        <v>-7500</v>
      </c>
      <c r="C18" s="40">
        <f>+BILANUPDATE!U5</f>
        <v>942850</v>
      </c>
      <c r="D18" s="40">
        <f>+BILANUPDATE!V5</f>
        <v>910000</v>
      </c>
      <c r="E18" s="63">
        <f t="shared" ref="E18:E27" si="0">+B18+C18-D18</f>
        <v>25350</v>
      </c>
    </row>
    <row r="19" spans="1:8" ht="18.75" x14ac:dyDescent="0.3">
      <c r="A19" s="37" t="s">
        <v>103</v>
      </c>
      <c r="B19" s="40">
        <f>+BILANUPDATEDPA!B6</f>
        <v>250500</v>
      </c>
      <c r="C19" s="40">
        <f>+BILANUPDATE!U6</f>
        <v>182500</v>
      </c>
      <c r="D19" s="40">
        <f>+BILANUPDATE!V6</f>
        <v>465000</v>
      </c>
      <c r="E19" s="63">
        <f t="shared" si="0"/>
        <v>-32000</v>
      </c>
    </row>
    <row r="20" spans="1:8" ht="18.75" x14ac:dyDescent="0.3">
      <c r="A20" s="37" t="s">
        <v>92</v>
      </c>
      <c r="B20" s="40">
        <f>+BILANUPDATEDPA!B7</f>
        <v>-599000</v>
      </c>
      <c r="C20" s="40">
        <f>+BILANUPDATE!U7</f>
        <v>365000</v>
      </c>
      <c r="D20" s="40">
        <f>+BILANUPDATE!V7</f>
        <v>345000</v>
      </c>
      <c r="E20" s="63">
        <f t="shared" si="0"/>
        <v>-579000</v>
      </c>
    </row>
    <row r="21" spans="1:8" ht="18.75" x14ac:dyDescent="0.3">
      <c r="A21" s="37" t="s">
        <v>13</v>
      </c>
      <c r="B21" s="40">
        <f>+BILANUPDATEDPA!B8</f>
        <v>-640140</v>
      </c>
      <c r="C21" s="40">
        <f>+BILANUPDATE!U8</f>
        <v>1980123</v>
      </c>
      <c r="D21" s="40">
        <f>+BILANUPDATE!V8</f>
        <v>940000</v>
      </c>
      <c r="E21" s="63">
        <f t="shared" si="0"/>
        <v>399983</v>
      </c>
    </row>
    <row r="22" spans="1:8" ht="18.75" x14ac:dyDescent="0.3">
      <c r="A22" s="37" t="s">
        <v>93</v>
      </c>
      <c r="B22" s="40">
        <f>+BILANUPDATEDPA!B9</f>
        <v>0</v>
      </c>
      <c r="C22" s="40">
        <f>+BILANUPDATE!U9</f>
        <v>0</v>
      </c>
      <c r="D22" s="40">
        <f>+BILANUPDATE!V9</f>
        <v>0</v>
      </c>
      <c r="E22" s="63">
        <f t="shared" si="0"/>
        <v>0</v>
      </c>
    </row>
    <row r="23" spans="1:8" ht="18.75" x14ac:dyDescent="0.3">
      <c r="A23" s="37" t="s">
        <v>97</v>
      </c>
      <c r="B23" s="40">
        <f>+BILANUPDATEDPA!B10</f>
        <v>0</v>
      </c>
      <c r="C23" s="40">
        <f>+BILANUPDATE!U10</f>
        <v>193000</v>
      </c>
      <c r="D23" s="40">
        <f>+BILANUPDATE!V10</f>
        <v>0</v>
      </c>
      <c r="E23" s="63">
        <f t="shared" si="0"/>
        <v>193000</v>
      </c>
    </row>
    <row r="24" spans="1:8" ht="18.75" x14ac:dyDescent="0.3">
      <c r="A24" s="37" t="s">
        <v>77</v>
      </c>
      <c r="B24" s="40">
        <f>+BILANUPDATEDPA!B11</f>
        <v>0</v>
      </c>
      <c r="C24" s="40">
        <f>+BILANUPDATE!W12</f>
        <v>551750</v>
      </c>
      <c r="D24" s="40">
        <f>+BILANUPDATE!V11</f>
        <v>0</v>
      </c>
      <c r="E24" s="63">
        <f t="shared" si="0"/>
        <v>551750</v>
      </c>
    </row>
    <row r="25" spans="1:8" ht="18.75" x14ac:dyDescent="0.3">
      <c r="A25" s="37" t="s">
        <v>107</v>
      </c>
      <c r="B25" s="40">
        <f>+BILANUPDATEDPA!B12</f>
        <v>0</v>
      </c>
      <c r="C25" s="40">
        <f>+BILANUPDATE!W13</f>
        <v>300000</v>
      </c>
      <c r="D25" s="40">
        <f>+BILANUPDATE!V12</f>
        <v>0</v>
      </c>
      <c r="E25" s="63">
        <f t="shared" si="0"/>
        <v>300000</v>
      </c>
    </row>
    <row r="26" spans="1:8" x14ac:dyDescent="0.25">
      <c r="A26" s="37"/>
      <c r="B26" s="19"/>
      <c r="C26" s="19"/>
      <c r="D26" s="19"/>
      <c r="E26" s="24"/>
    </row>
    <row r="27" spans="1:8" ht="19.5" thickBot="1" x14ac:dyDescent="0.35">
      <c r="A27" s="61" t="s">
        <v>69</v>
      </c>
      <c r="B27" s="68">
        <f>SUM(B17:B26)</f>
        <v>16928186</v>
      </c>
      <c r="C27" s="68">
        <f t="shared" ref="C27:D27" si="1">SUM(C17:C26)</f>
        <v>9602916</v>
      </c>
      <c r="D27" s="68">
        <f t="shared" si="1"/>
        <v>2660000</v>
      </c>
      <c r="E27" s="69">
        <f t="shared" si="0"/>
        <v>23871102</v>
      </c>
    </row>
    <row r="28" spans="1:8" ht="15.75" thickTop="1" x14ac:dyDescent="0.25"/>
  </sheetData>
  <pageMargins left="0.7" right="0.7" top="0.75" bottom="0.75" header="0.3" footer="0.3"/>
  <pageSetup paperSize="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workbookViewId="0">
      <selection activeCell="F11" sqref="F11"/>
    </sheetView>
  </sheetViews>
  <sheetFormatPr baseColWidth="10" defaultRowHeight="15" x14ac:dyDescent="0.25"/>
  <cols>
    <col min="1" max="1" width="48.7109375" bestFit="1" customWidth="1"/>
    <col min="2" max="2" width="17.5703125" customWidth="1"/>
  </cols>
  <sheetData>
    <row r="2" spans="1:2" ht="18.75" x14ac:dyDescent="0.3">
      <c r="A2" s="62" t="s">
        <v>119</v>
      </c>
    </row>
    <row r="3" spans="1:2" ht="15.75" thickBot="1" x14ac:dyDescent="0.3"/>
    <row r="4" spans="1:2" ht="15.75" thickTop="1" x14ac:dyDescent="0.25">
      <c r="A4" s="70" t="s">
        <v>120</v>
      </c>
      <c r="B4" s="71" t="s">
        <v>74</v>
      </c>
    </row>
    <row r="5" spans="1:2" x14ac:dyDescent="0.25">
      <c r="A5" s="37"/>
      <c r="B5" s="24"/>
    </row>
    <row r="6" spans="1:2" x14ac:dyDescent="0.25">
      <c r="A6" s="37" t="s">
        <v>121</v>
      </c>
      <c r="B6" s="41">
        <v>4477474</v>
      </c>
    </row>
    <row r="7" spans="1:2" x14ac:dyDescent="0.25">
      <c r="A7" s="37" t="s">
        <v>122</v>
      </c>
      <c r="B7" s="41">
        <v>4817411</v>
      </c>
    </row>
    <row r="8" spans="1:2" x14ac:dyDescent="0.25">
      <c r="A8" s="37" t="s">
        <v>123</v>
      </c>
      <c r="B8" s="41">
        <v>630005</v>
      </c>
    </row>
    <row r="9" spans="1:2" x14ac:dyDescent="0.25">
      <c r="A9" s="37"/>
      <c r="B9" s="24"/>
    </row>
    <row r="10" spans="1:2" x14ac:dyDescent="0.25">
      <c r="A10" s="37"/>
      <c r="B10" s="41">
        <f>SUM(B6:B9)</f>
        <v>9924890</v>
      </c>
    </row>
    <row r="11" spans="1:2" x14ac:dyDescent="0.25">
      <c r="A11" s="37"/>
      <c r="B11" s="24"/>
    </row>
    <row r="12" spans="1:2" ht="18.75" x14ac:dyDescent="0.3">
      <c r="A12" s="58" t="s">
        <v>124</v>
      </c>
      <c r="B12" s="59">
        <f>+[4]EMPRUNT!$C$52</f>
        <v>0</v>
      </c>
    </row>
    <row r="13" spans="1:2" ht="18.75" x14ac:dyDescent="0.3">
      <c r="A13" s="58"/>
      <c r="B13" s="60"/>
    </row>
    <row r="14" spans="1:2" ht="18.75" x14ac:dyDescent="0.3">
      <c r="A14" s="58" t="s">
        <v>125</v>
      </c>
      <c r="B14" s="59">
        <f>B10+B12</f>
        <v>9924890</v>
      </c>
    </row>
    <row r="15" spans="1:2" ht="15.75" thickBot="1" x14ac:dyDescent="0.3">
      <c r="A15" s="56"/>
      <c r="B15" s="57"/>
    </row>
    <row r="16" spans="1:2" ht="15.75" thickTop="1" x14ac:dyDescent="0.25"/>
    <row r="17" spans="1:2" ht="15.75" thickBot="1" x14ac:dyDescent="0.3"/>
    <row r="18" spans="1:2" ht="19.5" thickTop="1" x14ac:dyDescent="0.3">
      <c r="A18" s="72" t="s">
        <v>127</v>
      </c>
      <c r="B18" s="73" t="s">
        <v>126</v>
      </c>
    </row>
    <row r="19" spans="1:2" x14ac:dyDescent="0.25">
      <c r="A19" s="37" t="s">
        <v>7</v>
      </c>
      <c r="B19" s="41">
        <f>+[9]BILANUPDATEDPA!W3</f>
        <v>15448519</v>
      </c>
    </row>
    <row r="20" spans="1:2" x14ac:dyDescent="0.25">
      <c r="A20" s="37" t="s">
        <v>9</v>
      </c>
      <c r="B20" s="41">
        <f>+[9]BILANUPDATEDPA!W4</f>
        <v>7578500</v>
      </c>
    </row>
    <row r="21" spans="1:2" x14ac:dyDescent="0.25">
      <c r="A21" s="37" t="s">
        <v>12</v>
      </c>
      <c r="B21" s="41">
        <f>+[9]BILANUPDATE!W5</f>
        <v>25350</v>
      </c>
    </row>
    <row r="22" spans="1:2" x14ac:dyDescent="0.25">
      <c r="A22" s="37" t="s">
        <v>103</v>
      </c>
      <c r="B22" s="41">
        <f>+[9]BILANUPDATE!W6</f>
        <v>-32000</v>
      </c>
    </row>
    <row r="23" spans="1:2" x14ac:dyDescent="0.25">
      <c r="A23" s="37" t="s">
        <v>92</v>
      </c>
      <c r="B23" s="41">
        <f>+[9]BILANUPDATE!W7</f>
        <v>-579000</v>
      </c>
    </row>
    <row r="24" spans="1:2" x14ac:dyDescent="0.25">
      <c r="A24" s="37" t="s">
        <v>13</v>
      </c>
      <c r="B24" s="41">
        <f>+[9]BILANUPDATE!W8</f>
        <v>399983</v>
      </c>
    </row>
    <row r="25" spans="1:2" x14ac:dyDescent="0.25">
      <c r="A25" s="37" t="s">
        <v>93</v>
      </c>
      <c r="B25" s="41">
        <f>+[9]BILANUPDATE!W9</f>
        <v>0</v>
      </c>
    </row>
    <row r="26" spans="1:2" x14ac:dyDescent="0.25">
      <c r="A26" s="37" t="s">
        <v>97</v>
      </c>
      <c r="B26" s="41">
        <f>+[9]BILANUPDATE!W10</f>
        <v>193000</v>
      </c>
    </row>
    <row r="27" spans="1:2" x14ac:dyDescent="0.25">
      <c r="A27" s="37" t="s">
        <v>77</v>
      </c>
      <c r="B27" s="41">
        <f>+[9]BILANUPDATE!W12</f>
        <v>551750</v>
      </c>
    </row>
    <row r="28" spans="1:2" x14ac:dyDescent="0.25">
      <c r="A28" s="37" t="s">
        <v>107</v>
      </c>
      <c r="B28" s="41">
        <f>+[9]BILANUPDATE!W13</f>
        <v>300000</v>
      </c>
    </row>
    <row r="29" spans="1:2" x14ac:dyDescent="0.25">
      <c r="A29" s="37"/>
      <c r="B29" s="24"/>
    </row>
    <row r="30" spans="1:2" ht="18.75" x14ac:dyDescent="0.3">
      <c r="A30" s="58" t="s">
        <v>69</v>
      </c>
      <c r="B30" s="59">
        <f>SUM(B19:B29)</f>
        <v>23886102</v>
      </c>
    </row>
    <row r="31" spans="1:2" ht="18.75" x14ac:dyDescent="0.3">
      <c r="A31" s="58"/>
      <c r="B31" s="60"/>
    </row>
    <row r="32" spans="1:2" ht="19.5" thickBot="1" x14ac:dyDescent="0.35">
      <c r="A32" s="61" t="s">
        <v>131</v>
      </c>
      <c r="B32" s="74">
        <f>B30-B14</f>
        <v>13961212</v>
      </c>
    </row>
    <row r="33" ht="15.75" thickTop="1" x14ac:dyDescent="0.25"/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BILAN 2016 (2)</vt:lpstr>
      <vt:lpstr>BILAN 2016</vt:lpstr>
      <vt:lpstr>BILANFINAOUT2017</vt:lpstr>
      <vt:lpstr>BILANUPDATE</vt:lpstr>
      <vt:lpstr>BILANUPDATEDPA</vt:lpstr>
      <vt:lpstr>Feuil1</vt:lpstr>
      <vt:lpstr>Feuil2</vt:lpstr>
      <vt:lpstr>Feuil2 (2)</vt:lpstr>
      <vt:lpstr>BILANFINAOUT2017!Impression_des_titres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cp:lastPrinted>2018-01-19T07:25:07Z</cp:lastPrinted>
  <dcterms:created xsi:type="dcterms:W3CDTF">2017-09-03T07:52:09Z</dcterms:created>
  <dcterms:modified xsi:type="dcterms:W3CDTF">2020-10-23T07:28:05Z</dcterms:modified>
</cp:coreProperties>
</file>