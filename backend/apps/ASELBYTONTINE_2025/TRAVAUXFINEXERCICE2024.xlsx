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E:\ASELBYTONTINE_2025\"/>
    </mc:Choice>
  </mc:AlternateContent>
  <xr:revisionPtr revIDLastSave="0" documentId="13_ncr:1_{670E0F5E-6C0A-47BB-BA9E-BED79FB1FACC}" xr6:coauthVersionLast="37" xr6:coauthVersionMax="37" xr10:uidLastSave="{00000000-0000-0000-0000-000000000000}"/>
  <bookViews>
    <workbookView xWindow="0" yWindow="0" windowWidth="20490" windowHeight="7620" firstSheet="4" activeTab="7" xr2:uid="{00000000-000D-0000-FFFF-FFFF00000000}"/>
  </bookViews>
  <sheets>
    <sheet name="BILAN 2016" sheetId="4" r:id="rId1"/>
    <sheet name="BILAN 2017" sheetId="7" r:id="rId2"/>
    <sheet name="BILAN 2022" sheetId="22" r:id="rId3"/>
    <sheet name="BILAN 2024" sheetId="21" r:id="rId4"/>
    <sheet name="ENTREE" sheetId="1" r:id="rId5"/>
    <sheet name="SORTIE" sheetId="2" r:id="rId6"/>
    <sheet name="SYNTHESECOMPTE" sheetId="33" r:id="rId7"/>
    <sheet name="DETAILFICHECASSATION" sheetId="20" r:id="rId8"/>
    <sheet name="DISPOFONDS" sheetId="34" r:id="rId9"/>
    <sheet name="DETAILFPNDSROULT" sheetId="24" r:id="rId10"/>
    <sheet name="DETAILFRAISEXCEPTIONNEL" sheetId="25" r:id="rId11"/>
    <sheet name="DETAILCOLLATION" sheetId="28" r:id="rId12"/>
    <sheet name="DETAILFONDSMUTUEL" sheetId="26" r:id="rId13"/>
    <sheet name="DETAILPENALITES" sheetId="35" r:id="rId14"/>
    <sheet name="DETAILFOYER" sheetId="23" r:id="rId15"/>
    <sheet name="DETAIL PRETENCIRCULATION" sheetId="29" r:id="rId16"/>
    <sheet name="DETAILLISTEROUGE" sheetId="30" r:id="rId17"/>
    <sheet name="DETAILINSCRIPTION" sheetId="36" r:id="rId18"/>
    <sheet name="DETAIL INTERETTONTINE" sheetId="37" r:id="rId19"/>
    <sheet name="DETAILAGIOS" sheetId="38" r:id="rId20"/>
    <sheet name="DETAILAUTREDEPENSE" sheetId="39" r:id="rId21"/>
    <sheet name="DETAIL PRETENCIRCULATION (2)" sheetId="40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xlnm._FilterDatabase" localSheetId="7" hidden="1">DETAILFICHECASSATION!$A$5:$Q$46</definedName>
    <definedName name="BANQUE" localSheetId="2">#REF!</definedName>
    <definedName name="BANQUE" localSheetId="3">#REF!</definedName>
    <definedName name="BANQUE" localSheetId="15">#REF!</definedName>
    <definedName name="BANQUE" localSheetId="21">#REF!</definedName>
    <definedName name="BANQUE" localSheetId="19">#REF!</definedName>
    <definedName name="BANQUE" localSheetId="20">#REF!</definedName>
    <definedName name="BANQUE" localSheetId="11">#REF!</definedName>
    <definedName name="BANQUE" localSheetId="7">#REF!</definedName>
    <definedName name="BANQUE" localSheetId="12">#REF!</definedName>
    <definedName name="BANQUE" localSheetId="9">#REF!</definedName>
    <definedName name="BANQUE" localSheetId="16">#REF!</definedName>
    <definedName name="BANQUE" localSheetId="13">#REF!</definedName>
    <definedName name="BANQUE" localSheetId="8">#REF!</definedName>
    <definedName name="BANQUE" localSheetId="6">#REF!</definedName>
    <definedName name="BANQUE">#REF!</definedName>
    <definedName name="MODEET30000">[1]MODEVERSEMENT!$A$1:$A$3</definedName>
    <definedName name="MODEPAID" localSheetId="1">[2]Feuil2!$A$1:$A$3</definedName>
    <definedName name="MODEPAID" localSheetId="2">[2]Feuil2!$A$1:$A$3</definedName>
    <definedName name="MODEPAID" localSheetId="3">[2]Feuil2!$A$1:$A$3</definedName>
    <definedName name="MODEPAID" localSheetId="7">[3]Feuil2!$A$1:$A$3</definedName>
    <definedName name="MODEPAID">[4]Feuil2!$A$1:$A$3</definedName>
    <definedName name="MODEPAID30000" localSheetId="7">DETAILFICHECASSATION!#REF!</definedName>
    <definedName name="MODEPAIDOK" localSheetId="2">[5]MODEVERSEMENT!$A$1:$A$4</definedName>
    <definedName name="MODEPAIDOK">[5]MODEVERSEMENT!$A$1:$A$4</definedName>
    <definedName name="MODEPAIDS">[1]MODEVERSEMENT!$A$1:$A$3</definedName>
    <definedName name="MODET25000">[6]MODEVERSEMENT!$A$1:$A$3</definedName>
    <definedName name="MODET3000">[1]MODEVERSEMENT!$A$1:$A$3</definedName>
    <definedName name="MODET30000" localSheetId="7">DETAILFICHECASSATION!#REF!</definedName>
    <definedName name="MODEVERSEMENT" localSheetId="2">#REF!</definedName>
    <definedName name="MODEVERSEMENT" localSheetId="3">#REF!</definedName>
    <definedName name="MODEVERSEMENT" localSheetId="15">#REF!</definedName>
    <definedName name="MODEVERSEMENT" localSheetId="21">#REF!</definedName>
    <definedName name="MODEVERSEMENT" localSheetId="19">#REF!</definedName>
    <definedName name="MODEVERSEMENT" localSheetId="20">#REF!</definedName>
    <definedName name="MODEVERSEMENT" localSheetId="11">#REF!</definedName>
    <definedName name="MODEVERSEMENT" localSheetId="7">#REF!</definedName>
    <definedName name="MODEVERSEMENT" localSheetId="12">#REF!</definedName>
    <definedName name="MODEVERSEMENT" localSheetId="9">#REF!</definedName>
    <definedName name="MODEVERSEMENT" localSheetId="16">#REF!</definedName>
    <definedName name="MODEVERSEMENT" localSheetId="13">#REF!</definedName>
    <definedName name="MODEVERSEMENT" localSheetId="8">#REF!</definedName>
    <definedName name="MODEVERSEMENT" localSheetId="6">#REF!</definedName>
    <definedName name="MODEVERSEMENT">#REF!</definedName>
    <definedName name="MODEVERSEMENTS">[7]MODEVERSEMENT!$A$1:$A$3</definedName>
    <definedName name="MODPAID" localSheetId="7">DETAILFICHECASSATION!#REF!</definedName>
    <definedName name="VALMODEPAID">[8]MODEPAID!$A$1:$A$3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2" i="20" l="1"/>
  <c r="S28" i="20" l="1"/>
  <c r="B18" i="21" l="1"/>
  <c r="B17" i="21"/>
  <c r="C20" i="33" l="1"/>
  <c r="F17" i="33"/>
  <c r="C35" i="33"/>
  <c r="D30" i="33"/>
  <c r="D32" i="33"/>
  <c r="D35" i="33"/>
  <c r="D28" i="33"/>
  <c r="C29" i="33"/>
  <c r="C30" i="33"/>
  <c r="C31" i="33"/>
  <c r="D31" i="33" s="1"/>
  <c r="C32" i="33"/>
  <c r="C33" i="33"/>
  <c r="D33" i="33" s="1"/>
  <c r="C34" i="33"/>
  <c r="C28" i="33"/>
  <c r="E18" i="21"/>
  <c r="E17" i="21" s="1"/>
  <c r="D18" i="21"/>
  <c r="E8" i="21"/>
  <c r="D8" i="21"/>
  <c r="C9" i="21"/>
  <c r="C10" i="21"/>
  <c r="C11" i="21"/>
  <c r="C12" i="21"/>
  <c r="C13" i="21"/>
  <c r="C14" i="21"/>
  <c r="C15" i="21"/>
  <c r="C16" i="21"/>
  <c r="F16" i="21" s="1"/>
  <c r="C17" i="21"/>
  <c r="C18" i="21"/>
  <c r="F18" i="21" s="1"/>
  <c r="C19" i="21"/>
  <c r="F19" i="21" s="1"/>
  <c r="C8" i="21"/>
  <c r="F8" i="21" s="1"/>
  <c r="F16" i="33"/>
  <c r="E5" i="33"/>
  <c r="D5" i="33"/>
  <c r="C21" i="23"/>
  <c r="B46" i="29"/>
  <c r="B47" i="29"/>
  <c r="B48" i="29"/>
  <c r="B49" i="29"/>
  <c r="B50" i="29"/>
  <c r="A47" i="29"/>
  <c r="A48" i="29"/>
  <c r="A49" i="29"/>
  <c r="A50" i="29"/>
  <c r="A52" i="29"/>
  <c r="A46" i="29"/>
  <c r="D40" i="29"/>
  <c r="D38" i="29"/>
  <c r="D35" i="29"/>
  <c r="D22" i="29"/>
  <c r="D21" i="29"/>
  <c r="D20" i="29"/>
  <c r="C20" i="29"/>
  <c r="E20" i="29" s="1"/>
  <c r="E7" i="29"/>
  <c r="D34" i="21"/>
  <c r="D29" i="33" s="1"/>
  <c r="C8" i="34"/>
  <c r="P33" i="20"/>
  <c r="P31" i="20"/>
  <c r="P30" i="20"/>
  <c r="P26" i="20"/>
  <c r="P22" i="20"/>
  <c r="P21" i="20"/>
  <c r="P20" i="20"/>
  <c r="P16" i="20"/>
  <c r="P15" i="20"/>
  <c r="P10" i="20"/>
  <c r="C38" i="33" l="1"/>
  <c r="C27" i="21"/>
  <c r="D17" i="21"/>
  <c r="F17" i="21" s="1"/>
  <c r="P11" i="20"/>
  <c r="P7" i="20"/>
  <c r="P35" i="20"/>
  <c r="D35" i="20"/>
  <c r="D40" i="40" l="1"/>
  <c r="B40" i="40"/>
  <c r="B39" i="40"/>
  <c r="D38" i="40"/>
  <c r="B38" i="40"/>
  <c r="B37" i="40"/>
  <c r="B36" i="40"/>
  <c r="D35" i="40"/>
  <c r="B35" i="40"/>
  <c r="B34" i="40"/>
  <c r="B33" i="40"/>
  <c r="B32" i="40"/>
  <c r="B31" i="40"/>
  <c r="B30" i="40"/>
  <c r="B29" i="40"/>
  <c r="B28" i="40"/>
  <c r="B27" i="40"/>
  <c r="B26" i="40"/>
  <c r="B25" i="40"/>
  <c r="B24" i="40"/>
  <c r="B23" i="40"/>
  <c r="D22" i="40"/>
  <c r="B22" i="40"/>
  <c r="D21" i="40"/>
  <c r="B21" i="40"/>
  <c r="D20" i="40"/>
  <c r="C20" i="40"/>
  <c r="E20" i="40" s="1"/>
  <c r="B20" i="40"/>
  <c r="B19" i="40"/>
  <c r="B18" i="40"/>
  <c r="B17" i="40"/>
  <c r="B16" i="40"/>
  <c r="B15" i="40"/>
  <c r="B14" i="40"/>
  <c r="B13" i="40"/>
  <c r="B12" i="40"/>
  <c r="B11" i="40"/>
  <c r="B10" i="40"/>
  <c r="B9" i="40"/>
  <c r="B8" i="40"/>
  <c r="E7" i="40"/>
  <c r="B7" i="40"/>
  <c r="E14" i="30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8" i="26"/>
  <c r="F13" i="25"/>
  <c r="F12" i="25"/>
  <c r="F14" i="25"/>
  <c r="F28" i="24"/>
  <c r="F27" i="24"/>
  <c r="C7" i="20" l="1"/>
  <c r="C19" i="20"/>
  <c r="C20" i="20"/>
  <c r="C28" i="20"/>
  <c r="C36" i="20"/>
  <c r="C38" i="20"/>
  <c r="D8" i="20"/>
  <c r="D9" i="20"/>
  <c r="D10" i="20"/>
  <c r="D11" i="20"/>
  <c r="D12" i="20"/>
  <c r="D13" i="20"/>
  <c r="D14" i="20"/>
  <c r="D15" i="20"/>
  <c r="D16" i="20"/>
  <c r="D17" i="20"/>
  <c r="D18" i="20"/>
  <c r="D20" i="20"/>
  <c r="D21" i="20"/>
  <c r="D22" i="20"/>
  <c r="D23" i="20"/>
  <c r="D24" i="20"/>
  <c r="D25" i="20"/>
  <c r="D26" i="20"/>
  <c r="D27" i="20"/>
  <c r="D29" i="20"/>
  <c r="D30" i="20"/>
  <c r="D31" i="20"/>
  <c r="D32" i="20"/>
  <c r="D33" i="20"/>
  <c r="D34" i="20"/>
  <c r="D37" i="20"/>
  <c r="D38" i="20"/>
  <c r="D39" i="20"/>
  <c r="F19" i="20"/>
  <c r="L28" i="20" l="1"/>
  <c r="H9" i="26" l="1"/>
  <c r="C10" i="39" l="1"/>
  <c r="F26" i="24"/>
  <c r="F25" i="24"/>
  <c r="F24" i="24"/>
  <c r="F22" i="24" l="1"/>
  <c r="F23" i="24"/>
  <c r="F21" i="24"/>
  <c r="F11" i="25" l="1"/>
  <c r="C21" i="26" l="1"/>
  <c r="C14" i="38"/>
  <c r="C21" i="38" s="1"/>
  <c r="C9" i="39" l="1"/>
  <c r="C8" i="39"/>
  <c r="B31" i="39" l="1"/>
  <c r="C31" i="39"/>
  <c r="F20" i="24" l="1"/>
  <c r="F17" i="24"/>
  <c r="F18" i="24"/>
  <c r="F19" i="24"/>
  <c r="F16" i="24"/>
  <c r="F10" i="24"/>
  <c r="F11" i="24"/>
  <c r="F12" i="24"/>
  <c r="F13" i="24"/>
  <c r="F14" i="24"/>
  <c r="F15" i="24"/>
  <c r="F10" i="25"/>
  <c r="D8" i="30" l="1"/>
  <c r="D15" i="30"/>
  <c r="D13" i="30"/>
  <c r="D12" i="30"/>
  <c r="D11" i="30"/>
  <c r="D10" i="30"/>
  <c r="D9" i="30"/>
  <c r="D7" i="30"/>
  <c r="C15" i="30"/>
  <c r="C13" i="30"/>
  <c r="C12" i="30"/>
  <c r="C11" i="30"/>
  <c r="C10" i="30"/>
  <c r="C9" i="30"/>
  <c r="C8" i="30"/>
  <c r="C7" i="30"/>
  <c r="H8" i="26" l="1"/>
  <c r="F13" i="33"/>
  <c r="F10" i="28"/>
  <c r="F9" i="28"/>
  <c r="F8" i="28"/>
  <c r="C21" i="36" l="1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C21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D21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C21" i="25"/>
  <c r="E43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F9" i="25"/>
  <c r="F8" i="25"/>
  <c r="F9" i="24"/>
  <c r="F8" i="24"/>
  <c r="C21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J19" i="20"/>
  <c r="N19" i="20" s="1"/>
  <c r="G42" i="20"/>
  <c r="H42" i="20"/>
  <c r="K42" i="20"/>
  <c r="L42" i="20"/>
  <c r="P42" i="20"/>
  <c r="R20" i="20"/>
  <c r="R38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C6" i="20"/>
  <c r="C21" i="35"/>
  <c r="E21" i="35" l="1"/>
  <c r="F43" i="25"/>
  <c r="E7" i="30" l="1"/>
  <c r="C46" i="29" s="1"/>
  <c r="E13" i="30"/>
  <c r="C50" i="29" s="1"/>
  <c r="E12" i="30"/>
  <c r="C49" i="29" s="1"/>
  <c r="F43" i="36"/>
  <c r="E43" i="36"/>
  <c r="H43" i="35"/>
  <c r="G43" i="35"/>
  <c r="G43" i="26"/>
  <c r="E43" i="24"/>
  <c r="H43" i="26" l="1"/>
  <c r="C17" i="30"/>
  <c r="E11" i="30"/>
  <c r="C48" i="29" s="1"/>
  <c r="E43" i="28"/>
  <c r="E43" i="23" l="1"/>
  <c r="B15" i="33" l="1"/>
  <c r="D15" i="33"/>
  <c r="A9" i="34"/>
  <c r="B9" i="34"/>
  <c r="C9" i="34"/>
  <c r="D9" i="34"/>
  <c r="A10" i="34"/>
  <c r="B10" i="34"/>
  <c r="C10" i="34"/>
  <c r="D10" i="34"/>
  <c r="A11" i="34"/>
  <c r="B11" i="34"/>
  <c r="C11" i="34"/>
  <c r="D11" i="34"/>
  <c r="A12" i="34"/>
  <c r="B12" i="34"/>
  <c r="C12" i="34"/>
  <c r="D12" i="34"/>
  <c r="A13" i="34"/>
  <c r="B13" i="34"/>
  <c r="C13" i="34"/>
  <c r="D13" i="34"/>
  <c r="A14" i="34"/>
  <c r="B14" i="34"/>
  <c r="C14" i="34"/>
  <c r="A15" i="34"/>
  <c r="B15" i="34"/>
  <c r="C15" i="34"/>
  <c r="D15" i="34"/>
  <c r="B8" i="34"/>
  <c r="D8" i="34"/>
  <c r="A8" i="34"/>
  <c r="E15" i="33"/>
  <c r="C17" i="34" l="1"/>
  <c r="F15" i="33"/>
  <c r="K22" i="2"/>
  <c r="C42" i="21"/>
  <c r="C22" i="2"/>
  <c r="B22" i="2"/>
  <c r="H22" i="2"/>
  <c r="D25" i="22"/>
  <c r="F11" i="22"/>
  <c r="F25" i="22" s="1"/>
  <c r="P56" i="20" l="1"/>
  <c r="C50" i="20"/>
  <c r="R50" i="20" s="1"/>
  <c r="B50" i="20"/>
  <c r="C49" i="20"/>
  <c r="R49" i="20" s="1"/>
  <c r="B49" i="20"/>
  <c r="C48" i="20"/>
  <c r="R48" i="20" s="1"/>
  <c r="B48" i="20"/>
  <c r="C47" i="20"/>
  <c r="R47" i="20" s="1"/>
  <c r="B47" i="20"/>
  <c r="L56" i="20" l="1"/>
  <c r="H56" i="20"/>
  <c r="K56" i="20"/>
  <c r="G56" i="20" l="1"/>
  <c r="E25" i="7" l="1"/>
  <c r="E19" i="7"/>
  <c r="E20" i="7"/>
  <c r="E29" i="7"/>
  <c r="E8" i="4"/>
  <c r="E29" i="4"/>
  <c r="C7" i="4"/>
  <c r="E20" i="4"/>
  <c r="E13" i="4"/>
  <c r="E14" i="4"/>
  <c r="E15" i="4"/>
  <c r="E16" i="4"/>
  <c r="E17" i="4"/>
  <c r="E19" i="4"/>
  <c r="D9" i="4"/>
  <c r="B18" i="7" l="1"/>
  <c r="E18" i="7" s="1"/>
  <c r="B17" i="7"/>
  <c r="E17" i="7" s="1"/>
  <c r="B15" i="7"/>
  <c r="E15" i="7" s="1"/>
  <c r="B16" i="7"/>
  <c r="E16" i="7" s="1"/>
  <c r="B12" i="4"/>
  <c r="B37" i="4" s="1"/>
  <c r="D12" i="7" l="1"/>
  <c r="D11" i="7"/>
  <c r="D10" i="7"/>
  <c r="D9" i="7"/>
  <c r="D39" i="7" s="1"/>
  <c r="C14" i="7" l="1"/>
  <c r="C18" i="4" l="1"/>
  <c r="E18" i="4" s="1"/>
  <c r="B21" i="7" s="1"/>
  <c r="E21" i="7" s="1"/>
  <c r="D12" i="4"/>
  <c r="C12" i="4"/>
  <c r="D11" i="4"/>
  <c r="C11" i="4"/>
  <c r="D10" i="4"/>
  <c r="C10" i="4"/>
  <c r="C9" i="4"/>
  <c r="E10" i="4" l="1"/>
  <c r="B10" i="7" s="1"/>
  <c r="E12" i="4"/>
  <c r="B12" i="7" s="1"/>
  <c r="E9" i="4"/>
  <c r="B9" i="7" s="1"/>
  <c r="C37" i="4"/>
  <c r="D37" i="4"/>
  <c r="E11" i="4"/>
  <c r="B11" i="7" s="1"/>
  <c r="E7" i="4"/>
  <c r="B7" i="7" s="1"/>
  <c r="E37" i="4" l="1"/>
  <c r="C12" i="7" l="1"/>
  <c r="E12" i="7" s="1"/>
  <c r="C8" i="7"/>
  <c r="C13" i="7"/>
  <c r="E13" i="7" s="1"/>
  <c r="C11" i="7"/>
  <c r="E11" i="7" s="1"/>
  <c r="C7" i="7"/>
  <c r="C10" i="7"/>
  <c r="E10" i="7" s="1"/>
  <c r="C9" i="7"/>
  <c r="E9" i="7" s="1"/>
  <c r="B39" i="7"/>
  <c r="B8" i="7"/>
  <c r="E8" i="7" l="1"/>
  <c r="C39" i="7"/>
  <c r="E39" i="7" s="1"/>
  <c r="E7" i="7"/>
  <c r="C21" i="1" l="1"/>
  <c r="B21" i="1" l="1"/>
  <c r="F43" i="28" l="1"/>
  <c r="F10" i="30" l="1"/>
  <c r="R44" i="20" l="1"/>
  <c r="E9" i="30"/>
  <c r="C47" i="29" s="1"/>
  <c r="C52" i="29" s="1"/>
  <c r="E8" i="30" l="1"/>
  <c r="F43" i="24" l="1"/>
  <c r="D43" i="26" l="1"/>
  <c r="E21" i="26" l="1"/>
  <c r="E17" i="30" l="1"/>
  <c r="D17" i="30"/>
  <c r="O19" i="1" l="1"/>
  <c r="O21" i="1" s="1"/>
  <c r="L22" i="2" l="1"/>
  <c r="F43" i="23" l="1"/>
  <c r="E18" i="33" s="1"/>
  <c r="E14" i="33" l="1"/>
  <c r="F5" i="33" l="1"/>
  <c r="C7" i="1" l="1"/>
  <c r="B7" i="1" l="1"/>
  <c r="B17" i="38" l="1"/>
  <c r="B15" i="38"/>
  <c r="B13" i="38"/>
  <c r="B12" i="38"/>
  <c r="B11" i="38"/>
  <c r="B10" i="38"/>
  <c r="B9" i="38"/>
  <c r="B8" i="38" l="1"/>
  <c r="B16" i="38" l="1"/>
  <c r="B14" i="38"/>
  <c r="G19" i="2" l="1"/>
  <c r="G18" i="2"/>
  <c r="G17" i="2"/>
  <c r="G16" i="2"/>
  <c r="G15" i="2"/>
  <c r="G14" i="2"/>
  <c r="G13" i="2" l="1"/>
  <c r="G12" i="2"/>
  <c r="G11" i="2"/>
  <c r="G10" i="2"/>
  <c r="G9" i="2"/>
  <c r="G8" i="2" l="1"/>
  <c r="G22" i="2" s="1"/>
  <c r="B18" i="38" l="1"/>
  <c r="D7" i="1" l="1"/>
  <c r="J7" i="2"/>
  <c r="D6" i="20" l="1"/>
  <c r="R19" i="20" l="1"/>
  <c r="B19" i="38" l="1"/>
  <c r="B21" i="38" s="1"/>
  <c r="C34" i="20" l="1"/>
  <c r="R34" i="20" s="1"/>
  <c r="C39" i="20" l="1"/>
  <c r="R39" i="20" s="1"/>
  <c r="C37" i="20"/>
  <c r="R37" i="20" s="1"/>
  <c r="C35" i="20"/>
  <c r="C11" i="20" l="1"/>
  <c r="R11" i="20" s="1"/>
  <c r="C27" i="20"/>
  <c r="R27" i="20" s="1"/>
  <c r="C18" i="20"/>
  <c r="R18" i="20" s="1"/>
  <c r="C10" i="20"/>
  <c r="R10" i="20" s="1"/>
  <c r="C33" i="20"/>
  <c r="R33" i="20" s="1"/>
  <c r="C25" i="20"/>
  <c r="R25" i="20" s="1"/>
  <c r="C16" i="20"/>
  <c r="R16" i="20" s="1"/>
  <c r="C8" i="20"/>
  <c r="C32" i="20"/>
  <c r="R32" i="20" s="1"/>
  <c r="C24" i="20"/>
  <c r="R24" i="20" s="1"/>
  <c r="C15" i="20"/>
  <c r="R15" i="20" s="1"/>
  <c r="C31" i="20"/>
  <c r="R31" i="20" s="1"/>
  <c r="C23" i="20"/>
  <c r="R23" i="20" s="1"/>
  <c r="C14" i="20"/>
  <c r="R14" i="20" s="1"/>
  <c r="C26" i="20"/>
  <c r="R26" i="20" s="1"/>
  <c r="C9" i="20"/>
  <c r="R9" i="20" s="1"/>
  <c r="C30" i="20"/>
  <c r="R30" i="20" s="1"/>
  <c r="C22" i="20"/>
  <c r="R22" i="20" s="1"/>
  <c r="C13" i="20"/>
  <c r="R13" i="20" s="1"/>
  <c r="C17" i="20"/>
  <c r="R17" i="20" s="1"/>
  <c r="C29" i="20"/>
  <c r="R29" i="20" s="1"/>
  <c r="C21" i="20"/>
  <c r="R21" i="20" s="1"/>
  <c r="C12" i="20"/>
  <c r="R12" i="20" s="1"/>
  <c r="R8" i="20" l="1"/>
  <c r="C42" i="20"/>
  <c r="C56" i="20" s="1"/>
  <c r="R42" i="20" l="1"/>
  <c r="R56" i="20" s="1"/>
  <c r="M42" i="20"/>
  <c r="C40" i="40" l="1"/>
  <c r="E40" i="40" s="1"/>
  <c r="C40" i="29"/>
  <c r="E40" i="29" s="1"/>
  <c r="C21" i="40"/>
  <c r="E21" i="40" s="1"/>
  <c r="C21" i="29"/>
  <c r="E21" i="29" s="1"/>
  <c r="C22" i="40"/>
  <c r="E22" i="40" s="1"/>
  <c r="C22" i="29"/>
  <c r="E22" i="29" s="1"/>
  <c r="C38" i="40"/>
  <c r="E38" i="40" s="1"/>
  <c r="C38" i="29"/>
  <c r="E38" i="29" s="1"/>
  <c r="C35" i="40"/>
  <c r="E35" i="40" s="1"/>
  <c r="C35" i="29"/>
  <c r="E35" i="29" s="1"/>
  <c r="D28" i="20" l="1"/>
  <c r="D36" i="20"/>
  <c r="D7" i="20"/>
  <c r="D42" i="20" l="1"/>
  <c r="D56" i="20" s="1"/>
  <c r="D8" i="2" l="1"/>
  <c r="F8" i="2"/>
  <c r="N8" i="1"/>
  <c r="N21" i="1" s="1"/>
  <c r="M8" i="1"/>
  <c r="M21" i="1" s="1"/>
  <c r="I8" i="2"/>
  <c r="K8" i="1"/>
  <c r="K21" i="1" s="1"/>
  <c r="D8" i="1"/>
  <c r="J8" i="1"/>
  <c r="J21" i="1" s="1"/>
  <c r="L8" i="1" l="1"/>
  <c r="L21" i="1" s="1"/>
  <c r="J8" i="2"/>
  <c r="J22" i="2" s="1"/>
  <c r="D14" i="33"/>
  <c r="F14" i="33" l="1"/>
  <c r="E8" i="2" l="1"/>
  <c r="M8" i="2" s="1"/>
  <c r="D21" i="1" l="1"/>
  <c r="D22" i="2" l="1"/>
  <c r="B6" i="37" l="1"/>
  <c r="C6" i="37" l="1"/>
  <c r="B5" i="37" l="1"/>
  <c r="C5" i="37" l="1"/>
  <c r="B4" i="37" l="1"/>
  <c r="B8" i="37" s="1"/>
  <c r="C4" i="37" l="1"/>
  <c r="I8" i="1" l="1"/>
  <c r="G8" i="1" l="1"/>
  <c r="F8" i="1"/>
  <c r="H8" i="1"/>
  <c r="E8" i="1" l="1"/>
  <c r="P8" i="1" l="1"/>
  <c r="E21" i="1" l="1"/>
  <c r="B14" i="33" l="1"/>
  <c r="M19" i="1" l="1"/>
  <c r="D10" i="29" l="1"/>
  <c r="D10" i="40"/>
  <c r="D19" i="2"/>
  <c r="M19" i="2" s="1"/>
  <c r="M22" i="2" s="1"/>
  <c r="D19" i="1"/>
  <c r="D8" i="40"/>
  <c r="D8" i="29"/>
  <c r="C11" i="40"/>
  <c r="E11" i="40" s="1"/>
  <c r="C11" i="29"/>
  <c r="E11" i="29" s="1"/>
  <c r="C17" i="40"/>
  <c r="E17" i="40" s="1"/>
  <c r="C17" i="29"/>
  <c r="E17" i="29" s="1"/>
  <c r="C24" i="40"/>
  <c r="E24" i="40" s="1"/>
  <c r="C24" i="29"/>
  <c r="E24" i="29" s="1"/>
  <c r="C28" i="29"/>
  <c r="E28" i="29" s="1"/>
  <c r="C28" i="40"/>
  <c r="E28" i="40" s="1"/>
  <c r="D32" i="29"/>
  <c r="D32" i="40"/>
  <c r="D34" i="29"/>
  <c r="D34" i="40"/>
  <c r="D37" i="29"/>
  <c r="D37" i="40"/>
  <c r="C39" i="29"/>
  <c r="E39" i="29" s="1"/>
  <c r="C39" i="40"/>
  <c r="E39" i="40" s="1"/>
  <c r="E19" i="2"/>
  <c r="C12" i="29"/>
  <c r="E12" i="29" s="1"/>
  <c r="C12" i="40"/>
  <c r="E12" i="40" s="1"/>
  <c r="C15" i="40"/>
  <c r="E15" i="40" s="1"/>
  <c r="C15" i="29"/>
  <c r="E15" i="29" s="1"/>
  <c r="D17" i="29"/>
  <c r="D17" i="40"/>
  <c r="D24" i="29"/>
  <c r="D24" i="40"/>
  <c r="C25" i="40"/>
  <c r="E25" i="40" s="1"/>
  <c r="C25" i="29"/>
  <c r="E25" i="29" s="1"/>
  <c r="D28" i="29"/>
  <c r="D28" i="40"/>
  <c r="D39" i="29"/>
  <c r="D39" i="40"/>
  <c r="C37" i="40"/>
  <c r="E37" i="40" s="1"/>
  <c r="C37" i="29"/>
  <c r="E37" i="29" s="1"/>
  <c r="D11" i="29"/>
  <c r="D11" i="40"/>
  <c r="I19" i="2"/>
  <c r="N19" i="1"/>
  <c r="C9" i="29"/>
  <c r="E9" i="29" s="1"/>
  <c r="C9" i="40"/>
  <c r="E9" i="40" s="1"/>
  <c r="D12" i="29"/>
  <c r="D12" i="40"/>
  <c r="D15" i="29"/>
  <c r="D15" i="40"/>
  <c r="C18" i="40"/>
  <c r="E18" i="40" s="1"/>
  <c r="C18" i="29"/>
  <c r="E18" i="29" s="1"/>
  <c r="D25" i="29"/>
  <c r="D25" i="40"/>
  <c r="C33" i="40"/>
  <c r="E33" i="40" s="1"/>
  <c r="C33" i="29"/>
  <c r="E33" i="29" s="1"/>
  <c r="C8" i="40"/>
  <c r="C8" i="29"/>
  <c r="F19" i="2"/>
  <c r="D9" i="29"/>
  <c r="D9" i="40"/>
  <c r="C13" i="40"/>
  <c r="E13" i="40" s="1"/>
  <c r="C13" i="29"/>
  <c r="E13" i="29" s="1"/>
  <c r="D18" i="29"/>
  <c r="D18" i="40"/>
  <c r="C26" i="40"/>
  <c r="E26" i="40" s="1"/>
  <c r="C26" i="29"/>
  <c r="E26" i="29" s="1"/>
  <c r="C29" i="40"/>
  <c r="E29" i="40" s="1"/>
  <c r="C29" i="29"/>
  <c r="E29" i="29" s="1"/>
  <c r="D33" i="29"/>
  <c r="D33" i="40"/>
  <c r="C36" i="40"/>
  <c r="E36" i="40" s="1"/>
  <c r="C36" i="29"/>
  <c r="E36" i="29" s="1"/>
  <c r="D23" i="40"/>
  <c r="D23" i="29"/>
  <c r="C34" i="40"/>
  <c r="E34" i="40" s="1"/>
  <c r="C34" i="29"/>
  <c r="E34" i="29" s="1"/>
  <c r="I19" i="1"/>
  <c r="D13" i="29"/>
  <c r="D13" i="40"/>
  <c r="C16" i="29"/>
  <c r="E16" i="29" s="1"/>
  <c r="C16" i="40"/>
  <c r="E16" i="40" s="1"/>
  <c r="C19" i="40"/>
  <c r="E19" i="40" s="1"/>
  <c r="C19" i="29"/>
  <c r="E19" i="29" s="1"/>
  <c r="D26" i="29"/>
  <c r="D26" i="40"/>
  <c r="D29" i="40"/>
  <c r="D29" i="29"/>
  <c r="C30" i="29"/>
  <c r="E30" i="29" s="1"/>
  <c r="C30" i="40"/>
  <c r="E30" i="40" s="1"/>
  <c r="D36" i="29"/>
  <c r="D36" i="40"/>
  <c r="C32" i="40"/>
  <c r="E32" i="40" s="1"/>
  <c r="C32" i="29"/>
  <c r="E32" i="29" s="1"/>
  <c r="J19" i="1"/>
  <c r="C14" i="40"/>
  <c r="E14" i="40" s="1"/>
  <c r="C14" i="29"/>
  <c r="E14" i="29" s="1"/>
  <c r="D16" i="29"/>
  <c r="D16" i="40"/>
  <c r="D19" i="29"/>
  <c r="D19" i="40"/>
  <c r="C27" i="40"/>
  <c r="E27" i="40" s="1"/>
  <c r="C27" i="29"/>
  <c r="E27" i="29" s="1"/>
  <c r="D30" i="29"/>
  <c r="D30" i="40"/>
  <c r="C31" i="29"/>
  <c r="E31" i="29" s="1"/>
  <c r="C31" i="40"/>
  <c r="E31" i="40" s="1"/>
  <c r="K19" i="1"/>
  <c r="C10" i="40"/>
  <c r="E10" i="40" s="1"/>
  <c r="C10" i="29"/>
  <c r="E10" i="29" s="1"/>
  <c r="D14" i="29"/>
  <c r="D14" i="40"/>
  <c r="C23" i="29"/>
  <c r="E23" i="29" s="1"/>
  <c r="C23" i="40"/>
  <c r="E23" i="40" s="1"/>
  <c r="D27" i="29"/>
  <c r="D27" i="40"/>
  <c r="D31" i="29"/>
  <c r="D31" i="40"/>
  <c r="E8" i="40" l="1"/>
  <c r="C42" i="40"/>
  <c r="D42" i="29"/>
  <c r="D42" i="40"/>
  <c r="C42" i="29"/>
  <c r="D39" i="21" s="1"/>
  <c r="E8" i="29"/>
  <c r="G19" i="1"/>
  <c r="J19" i="2"/>
  <c r="L19" i="1"/>
  <c r="H19" i="1"/>
  <c r="F19" i="1"/>
  <c r="D34" i="33" l="1"/>
  <c r="D38" i="33" s="1"/>
  <c r="D14" i="34"/>
  <c r="D17" i="34" s="1"/>
  <c r="D42" i="21"/>
  <c r="E19" i="1"/>
  <c r="P19" i="1" s="1"/>
  <c r="K15" i="1" l="1"/>
  <c r="N15" i="1"/>
  <c r="F15" i="2"/>
  <c r="D14" i="1"/>
  <c r="J14" i="1"/>
  <c r="K14" i="1"/>
  <c r="N14" i="1"/>
  <c r="N16" i="1"/>
  <c r="K17" i="1"/>
  <c r="J18" i="1"/>
  <c r="I18" i="2"/>
  <c r="K18" i="1"/>
  <c r="F16" i="2"/>
  <c r="J15" i="1"/>
  <c r="I15" i="2"/>
  <c r="M15" i="1"/>
  <c r="D15" i="2"/>
  <c r="N18" i="1"/>
  <c r="F18" i="2"/>
  <c r="M18" i="1"/>
  <c r="D18" i="2"/>
  <c r="D18" i="1"/>
  <c r="E18" i="2"/>
  <c r="M17" i="1"/>
  <c r="J17" i="1"/>
  <c r="N17" i="1"/>
  <c r="K16" i="1"/>
  <c r="E16" i="2"/>
  <c r="J16" i="1"/>
  <c r="I16" i="2"/>
  <c r="M16" i="1"/>
  <c r="D15" i="1"/>
  <c r="E15" i="2"/>
  <c r="M14" i="1"/>
  <c r="I14" i="2"/>
  <c r="D14" i="2"/>
  <c r="J16" i="2" l="1"/>
  <c r="L16" i="1"/>
  <c r="L14" i="1"/>
  <c r="J14" i="2"/>
  <c r="L17" i="1"/>
  <c r="J17" i="2"/>
  <c r="J15" i="2"/>
  <c r="M15" i="2" s="1"/>
  <c r="L15" i="1"/>
  <c r="J18" i="2"/>
  <c r="M18" i="2" s="1"/>
  <c r="L18" i="1"/>
  <c r="C8" i="36"/>
  <c r="C8" i="26"/>
  <c r="C8" i="23"/>
  <c r="J12" i="1"/>
  <c r="F13" i="2"/>
  <c r="D12" i="2"/>
  <c r="D12" i="1"/>
  <c r="E12" i="2"/>
  <c r="E13" i="2"/>
  <c r="M13" i="1"/>
  <c r="N13" i="1"/>
  <c r="J13" i="1"/>
  <c r="I13" i="2"/>
  <c r="K13" i="1"/>
  <c r="D13" i="2"/>
  <c r="D13" i="1"/>
  <c r="M12" i="1"/>
  <c r="K12" i="1"/>
  <c r="N12" i="1"/>
  <c r="F12" i="2"/>
  <c r="I12" i="2"/>
  <c r="I10" i="2"/>
  <c r="D10" i="2"/>
  <c r="F9" i="2"/>
  <c r="M10" i="1"/>
  <c r="K10" i="1"/>
  <c r="J11" i="1"/>
  <c r="I11" i="2"/>
  <c r="M11" i="1"/>
  <c r="K11" i="1"/>
  <c r="N11" i="1"/>
  <c r="F11" i="2"/>
  <c r="D11" i="2"/>
  <c r="E11" i="2"/>
  <c r="E10" i="2"/>
  <c r="J10" i="1"/>
  <c r="N10" i="1"/>
  <c r="F10" i="2"/>
  <c r="D9" i="2"/>
  <c r="M9" i="1"/>
  <c r="E9" i="2"/>
  <c r="J9" i="1"/>
  <c r="I9" i="2"/>
  <c r="K9" i="1"/>
  <c r="N9" i="1"/>
  <c r="J10" i="2" l="1"/>
  <c r="M10" i="2" s="1"/>
  <c r="L10" i="1"/>
  <c r="D8" i="35"/>
  <c r="J6" i="20"/>
  <c r="J12" i="2"/>
  <c r="M12" i="2" s="1"/>
  <c r="L12" i="1"/>
  <c r="E8" i="26"/>
  <c r="J13" i="2"/>
  <c r="M13" i="2" s="1"/>
  <c r="L13" i="1"/>
  <c r="L9" i="1"/>
  <c r="J9" i="2"/>
  <c r="M9" i="2" s="1"/>
  <c r="L11" i="1"/>
  <c r="J11" i="2"/>
  <c r="M11" i="2" s="1"/>
  <c r="F6" i="20"/>
  <c r="C8" i="25"/>
  <c r="C8" i="24"/>
  <c r="C8" i="28"/>
  <c r="N6" i="20" l="1"/>
  <c r="D11" i="1"/>
  <c r="D10" i="1" l="1"/>
  <c r="D9" i="1" l="1"/>
  <c r="D22" i="35" l="1"/>
  <c r="J20" i="20"/>
  <c r="N20" i="20" s="1"/>
  <c r="C22" i="36"/>
  <c r="C22" i="26"/>
  <c r="E22" i="26" s="1"/>
  <c r="C22" i="23"/>
  <c r="J34" i="20" l="1"/>
  <c r="N34" i="20" s="1"/>
  <c r="D36" i="35"/>
  <c r="C41" i="26"/>
  <c r="E41" i="26" s="1"/>
  <c r="C33" i="26"/>
  <c r="E33" i="26" s="1"/>
  <c r="C25" i="26"/>
  <c r="E25" i="26" s="1"/>
  <c r="C15" i="26"/>
  <c r="E15" i="26" s="1"/>
  <c r="C40" i="36"/>
  <c r="C32" i="36"/>
  <c r="C24" i="36"/>
  <c r="C14" i="36"/>
  <c r="C40" i="23"/>
  <c r="C40" i="26"/>
  <c r="E40" i="26" s="1"/>
  <c r="C32" i="26"/>
  <c r="E32" i="26" s="1"/>
  <c r="C24" i="26"/>
  <c r="E24" i="26" s="1"/>
  <c r="C14" i="26"/>
  <c r="E14" i="26" s="1"/>
  <c r="C39" i="36"/>
  <c r="C31" i="36"/>
  <c r="C23" i="36"/>
  <c r="C13" i="36"/>
  <c r="C39" i="26"/>
  <c r="E39" i="26" s="1"/>
  <c r="C31" i="26"/>
  <c r="E31" i="26" s="1"/>
  <c r="C23" i="26"/>
  <c r="E23" i="26" s="1"/>
  <c r="C13" i="26"/>
  <c r="E13" i="26" s="1"/>
  <c r="C38" i="36"/>
  <c r="C30" i="36"/>
  <c r="C20" i="36"/>
  <c r="C12" i="36"/>
  <c r="C38" i="26"/>
  <c r="E38" i="26" s="1"/>
  <c r="C30" i="26"/>
  <c r="E30" i="26" s="1"/>
  <c r="C20" i="26"/>
  <c r="E20" i="26" s="1"/>
  <c r="C12" i="26"/>
  <c r="E12" i="26" s="1"/>
  <c r="C37" i="36"/>
  <c r="C29" i="36"/>
  <c r="C19" i="36"/>
  <c r="C11" i="36"/>
  <c r="C37" i="26"/>
  <c r="E37" i="26" s="1"/>
  <c r="C29" i="26"/>
  <c r="E29" i="26" s="1"/>
  <c r="C19" i="26"/>
  <c r="E19" i="26" s="1"/>
  <c r="C11" i="26"/>
  <c r="E11" i="26" s="1"/>
  <c r="C36" i="36"/>
  <c r="C28" i="36"/>
  <c r="C18" i="36"/>
  <c r="C10" i="36"/>
  <c r="C36" i="26"/>
  <c r="E36" i="26" s="1"/>
  <c r="C28" i="26"/>
  <c r="E28" i="26" s="1"/>
  <c r="C18" i="26"/>
  <c r="E18" i="26" s="1"/>
  <c r="C10" i="26"/>
  <c r="E10" i="26" s="1"/>
  <c r="C35" i="36"/>
  <c r="C27" i="36"/>
  <c r="C17" i="36"/>
  <c r="C36" i="23"/>
  <c r="C35" i="26"/>
  <c r="E35" i="26" s="1"/>
  <c r="C27" i="26"/>
  <c r="E27" i="26" s="1"/>
  <c r="C17" i="26"/>
  <c r="E17" i="26" s="1"/>
  <c r="C9" i="36"/>
  <c r="C34" i="36"/>
  <c r="C26" i="36"/>
  <c r="C16" i="36"/>
  <c r="C34" i="26"/>
  <c r="E34" i="26" s="1"/>
  <c r="C26" i="26"/>
  <c r="E26" i="26" s="1"/>
  <c r="C16" i="26"/>
  <c r="E16" i="26" s="1"/>
  <c r="C41" i="36"/>
  <c r="C33" i="36"/>
  <c r="C25" i="36"/>
  <c r="C15" i="36"/>
  <c r="D33" i="35" l="1"/>
  <c r="J31" i="20"/>
  <c r="N31" i="20" s="1"/>
  <c r="D25" i="35"/>
  <c r="J23" i="20"/>
  <c r="N23" i="20" s="1"/>
  <c r="J13" i="20"/>
  <c r="N13" i="20" s="1"/>
  <c r="D15" i="35"/>
  <c r="D40" i="35"/>
  <c r="J38" i="20"/>
  <c r="N38" i="20" s="1"/>
  <c r="J25" i="20"/>
  <c r="N25" i="20" s="1"/>
  <c r="D27" i="35"/>
  <c r="J28" i="20"/>
  <c r="N28" i="20" s="1"/>
  <c r="D30" i="35"/>
  <c r="J18" i="20"/>
  <c r="N18" i="20" s="1"/>
  <c r="D20" i="35"/>
  <c r="D12" i="35"/>
  <c r="J10" i="20"/>
  <c r="N10" i="20" s="1"/>
  <c r="J30" i="20"/>
  <c r="N30" i="20" s="1"/>
  <c r="D32" i="35"/>
  <c r="D24" i="35"/>
  <c r="J22" i="20"/>
  <c r="N22" i="20" s="1"/>
  <c r="D14" i="35"/>
  <c r="J12" i="20"/>
  <c r="N12" i="20" s="1"/>
  <c r="D38" i="35"/>
  <c r="J36" i="20"/>
  <c r="N36" i="20" s="1"/>
  <c r="J27" i="20"/>
  <c r="N27" i="20" s="1"/>
  <c r="D29" i="35"/>
  <c r="D19" i="35"/>
  <c r="J17" i="20"/>
  <c r="N17" i="20" s="1"/>
  <c r="D11" i="35"/>
  <c r="J9" i="20"/>
  <c r="N9" i="20" s="1"/>
  <c r="C43" i="36"/>
  <c r="J7" i="20"/>
  <c r="D9" i="35"/>
  <c r="J32" i="20"/>
  <c r="N32" i="20" s="1"/>
  <c r="D34" i="35"/>
  <c r="D26" i="35"/>
  <c r="J24" i="20"/>
  <c r="N24" i="20" s="1"/>
  <c r="D16" i="35"/>
  <c r="J14" i="20"/>
  <c r="N14" i="20" s="1"/>
  <c r="J29" i="20"/>
  <c r="N29" i="20" s="1"/>
  <c r="D31" i="35"/>
  <c r="D23" i="35"/>
  <c r="J21" i="20"/>
  <c r="N21" i="20" s="1"/>
  <c r="D13" i="35"/>
  <c r="J11" i="20"/>
  <c r="N11" i="20" s="1"/>
  <c r="D35" i="35"/>
  <c r="J33" i="20"/>
  <c r="N33" i="20" s="1"/>
  <c r="J15" i="20"/>
  <c r="N15" i="20" s="1"/>
  <c r="D17" i="35"/>
  <c r="D37" i="35"/>
  <c r="J35" i="20"/>
  <c r="N35" i="20" s="1"/>
  <c r="J26" i="20"/>
  <c r="N26" i="20" s="1"/>
  <c r="D28" i="35"/>
  <c r="J16" i="20"/>
  <c r="N16" i="20" s="1"/>
  <c r="D18" i="35"/>
  <c r="J8" i="20"/>
  <c r="N8" i="20" s="1"/>
  <c r="D10" i="35"/>
  <c r="C39" i="23"/>
  <c r="C30" i="23"/>
  <c r="C20" i="23"/>
  <c r="C12" i="23"/>
  <c r="C35" i="23"/>
  <c r="C27" i="23"/>
  <c r="C17" i="23"/>
  <c r="C9" i="23"/>
  <c r="C32" i="23"/>
  <c r="C24" i="23"/>
  <c r="C14" i="23"/>
  <c r="C9" i="26"/>
  <c r="C38" i="23"/>
  <c r="C29" i="23"/>
  <c r="C19" i="23"/>
  <c r="C11" i="23"/>
  <c r="C34" i="23"/>
  <c r="C26" i="23"/>
  <c r="C16" i="23"/>
  <c r="C41" i="23"/>
  <c r="C31" i="23"/>
  <c r="C23" i="23"/>
  <c r="C13" i="23"/>
  <c r="C37" i="23"/>
  <c r="C28" i="23"/>
  <c r="C18" i="23"/>
  <c r="C10" i="23"/>
  <c r="C33" i="23"/>
  <c r="C25" i="23"/>
  <c r="C15" i="23"/>
  <c r="N7" i="20" l="1"/>
  <c r="D41" i="35"/>
  <c r="J39" i="20"/>
  <c r="N39" i="20" s="1"/>
  <c r="J37" i="20"/>
  <c r="N37" i="20" s="1"/>
  <c r="D39" i="35"/>
  <c r="C43" i="23"/>
  <c r="D18" i="33" s="1"/>
  <c r="F18" i="33" s="1"/>
  <c r="E9" i="26"/>
  <c r="E43" i="26" s="1"/>
  <c r="C43" i="26"/>
  <c r="D43" i="35" l="1"/>
  <c r="J42" i="20"/>
  <c r="J56" i="20" s="1"/>
  <c r="N42" i="20"/>
  <c r="N56" i="20" s="1"/>
  <c r="E14" i="2" l="1"/>
  <c r="F14" i="2" l="1"/>
  <c r="M14" i="2" s="1"/>
  <c r="D16" i="1" l="1"/>
  <c r="D16" i="2" l="1"/>
  <c r="M16" i="2" s="1"/>
  <c r="D17" i="1" l="1"/>
  <c r="I17" i="2" l="1"/>
  <c r="I22" i="2" s="1"/>
  <c r="D17" i="2"/>
  <c r="F17" i="2"/>
  <c r="F22" i="2" s="1"/>
  <c r="E17" i="2"/>
  <c r="E22" i="2" s="1"/>
  <c r="M17" i="2" l="1"/>
  <c r="I16" i="1" l="1"/>
  <c r="I15" i="1"/>
  <c r="I13" i="1"/>
  <c r="I17" i="1"/>
  <c r="E15" i="1"/>
  <c r="I11" i="1"/>
  <c r="I18" i="1"/>
  <c r="I12" i="1"/>
  <c r="E18" i="1"/>
  <c r="E11" i="1"/>
  <c r="G12" i="1"/>
  <c r="H18" i="1"/>
  <c r="H11" i="1"/>
  <c r="H15" i="1"/>
  <c r="G18" i="1"/>
  <c r="F17" i="1"/>
  <c r="H16" i="1"/>
  <c r="F11" i="1"/>
  <c r="H12" i="1"/>
  <c r="F18" i="1"/>
  <c r="G16" i="1"/>
  <c r="F15" i="1"/>
  <c r="H17" i="1"/>
  <c r="F16" i="1"/>
  <c r="G11" i="1"/>
  <c r="G15" i="1"/>
  <c r="G17" i="1"/>
  <c r="G13" i="1"/>
  <c r="F13" i="1"/>
  <c r="F12" i="1"/>
  <c r="H13" i="1"/>
  <c r="P15" i="1" l="1"/>
  <c r="P11" i="1"/>
  <c r="P18" i="1"/>
  <c r="E16" i="1"/>
  <c r="P16" i="1" s="1"/>
  <c r="E17" i="1"/>
  <c r="P17" i="1" s="1"/>
  <c r="E13" i="1"/>
  <c r="P13" i="1" s="1"/>
  <c r="E12" i="1"/>
  <c r="P12" i="1" s="1"/>
  <c r="C9" i="35" l="1"/>
  <c r="E9" i="35" s="1"/>
  <c r="E10" i="1" l="1"/>
  <c r="I10" i="1"/>
  <c r="G10" i="1"/>
  <c r="H10" i="1"/>
  <c r="F10" i="1"/>
  <c r="P10" i="1" l="1"/>
  <c r="C36" i="35"/>
  <c r="E36" i="35" s="1"/>
  <c r="C36" i="24"/>
  <c r="C36" i="25" l="1"/>
  <c r="C36" i="28"/>
  <c r="C32" i="35"/>
  <c r="E32" i="35" s="1"/>
  <c r="C32" i="28"/>
  <c r="C32" i="25"/>
  <c r="C32" i="24"/>
  <c r="I9" i="1" l="1"/>
  <c r="G9" i="1"/>
  <c r="F30" i="20"/>
  <c r="C22" i="35"/>
  <c r="E22" i="35" s="1"/>
  <c r="H9" i="1"/>
  <c r="F9" i="1"/>
  <c r="F34" i="20"/>
  <c r="E9" i="1" l="1"/>
  <c r="P9" i="1" s="1"/>
  <c r="C37" i="35"/>
  <c r="E37" i="35" s="1"/>
  <c r="C40" i="35"/>
  <c r="E40" i="35" s="1"/>
  <c r="C34" i="25"/>
  <c r="C34" i="28"/>
  <c r="C34" i="24"/>
  <c r="C34" i="35"/>
  <c r="E34" i="35" s="1"/>
  <c r="C30" i="35" l="1"/>
  <c r="E30" i="35" s="1"/>
  <c r="C35" i="25"/>
  <c r="C35" i="24"/>
  <c r="C35" i="28"/>
  <c r="C11" i="35"/>
  <c r="E11" i="35" s="1"/>
  <c r="C38" i="35"/>
  <c r="E38" i="35" s="1"/>
  <c r="C15" i="24"/>
  <c r="C15" i="28"/>
  <c r="C15" i="25"/>
  <c r="C10" i="35"/>
  <c r="E10" i="35" s="1"/>
  <c r="C16" i="25"/>
  <c r="C16" i="24"/>
  <c r="C16" i="28"/>
  <c r="C17" i="35"/>
  <c r="E17" i="35" s="1"/>
  <c r="C31" i="35"/>
  <c r="E31" i="35" s="1"/>
  <c r="C38" i="25"/>
  <c r="C38" i="24"/>
  <c r="C38" i="28"/>
  <c r="C28" i="35"/>
  <c r="E28" i="35" s="1"/>
  <c r="C29" i="35"/>
  <c r="E29" i="35" s="1"/>
  <c r="C35" i="35"/>
  <c r="E35" i="35" s="1"/>
  <c r="C27" i="35"/>
  <c r="E27" i="35" s="1"/>
  <c r="C31" i="28"/>
  <c r="C31" i="24"/>
  <c r="C31" i="25"/>
  <c r="C25" i="24"/>
  <c r="C25" i="28"/>
  <c r="C25" i="25"/>
  <c r="C23" i="35"/>
  <c r="E23" i="35" s="1"/>
  <c r="C19" i="25"/>
  <c r="C19" i="28"/>
  <c r="C19" i="24"/>
  <c r="C39" i="35"/>
  <c r="E39" i="35" s="1"/>
  <c r="C33" i="35"/>
  <c r="E33" i="35" s="1"/>
  <c r="C18" i="35"/>
  <c r="E18" i="35" s="1"/>
  <c r="C13" i="35"/>
  <c r="E13" i="35" s="1"/>
  <c r="C25" i="35"/>
  <c r="E25" i="35" s="1"/>
  <c r="C19" i="35"/>
  <c r="E19" i="35" s="1"/>
  <c r="C14" i="35"/>
  <c r="E14" i="35" s="1"/>
  <c r="C41" i="35"/>
  <c r="E41" i="35" s="1"/>
  <c r="C8" i="35"/>
  <c r="C30" i="25"/>
  <c r="C30" i="24"/>
  <c r="C30" i="28"/>
  <c r="C16" i="35"/>
  <c r="E16" i="35" s="1"/>
  <c r="C24" i="35"/>
  <c r="E24" i="35" s="1"/>
  <c r="C26" i="35"/>
  <c r="E26" i="35" s="1"/>
  <c r="C12" i="35"/>
  <c r="E12" i="35" s="1"/>
  <c r="C15" i="35"/>
  <c r="E15" i="35" s="1"/>
  <c r="C41" i="24"/>
  <c r="C41" i="25"/>
  <c r="C41" i="28"/>
  <c r="E8" i="35" l="1"/>
  <c r="F32" i="20"/>
  <c r="C28" i="24"/>
  <c r="C28" i="25"/>
  <c r="C28" i="28"/>
  <c r="F39" i="20"/>
  <c r="F14" i="20" l="1"/>
  <c r="F28" i="20"/>
  <c r="F13" i="20"/>
  <c r="F17" i="20"/>
  <c r="F33" i="20"/>
  <c r="F29" i="20"/>
  <c r="F23" i="20"/>
  <c r="F36" i="20"/>
  <c r="F26" i="20" l="1"/>
  <c r="C18" i="28" l="1"/>
  <c r="C18" i="24"/>
  <c r="C18" i="25"/>
  <c r="F16" i="20"/>
  <c r="C26" i="24"/>
  <c r="C26" i="25"/>
  <c r="C26" i="28"/>
  <c r="C10" i="24"/>
  <c r="C10" i="25"/>
  <c r="C10" i="28"/>
  <c r="C27" i="25"/>
  <c r="C27" i="28"/>
  <c r="C27" i="24"/>
  <c r="C14" i="25"/>
  <c r="C14" i="28"/>
  <c r="C14" i="24"/>
  <c r="C23" i="28"/>
  <c r="C23" i="25"/>
  <c r="C23" i="24"/>
  <c r="F8" i="20" l="1"/>
  <c r="F25" i="20"/>
  <c r="F12" i="20"/>
  <c r="C33" i="25"/>
  <c r="C33" i="28"/>
  <c r="C33" i="24"/>
  <c r="F21" i="20"/>
  <c r="C22" i="28"/>
  <c r="C22" i="25"/>
  <c r="C22" i="24"/>
  <c r="C11" i="24"/>
  <c r="C11" i="25"/>
  <c r="C11" i="28"/>
  <c r="F24" i="20"/>
  <c r="F9" i="20" l="1"/>
  <c r="F20" i="20"/>
  <c r="F31" i="20"/>
  <c r="C17" i="25" l="1"/>
  <c r="C17" i="28"/>
  <c r="C17" i="24"/>
  <c r="C13" i="28"/>
  <c r="C13" i="24"/>
  <c r="C13" i="25"/>
  <c r="C12" i="24"/>
  <c r="C12" i="25"/>
  <c r="C12" i="28"/>
  <c r="C40" i="25"/>
  <c r="C40" i="28"/>
  <c r="C40" i="24"/>
  <c r="F15" i="20" l="1"/>
  <c r="F10" i="20"/>
  <c r="F11" i="20"/>
  <c r="C9" i="25"/>
  <c r="C24" i="25"/>
  <c r="C24" i="24"/>
  <c r="C24" i="28"/>
  <c r="C9" i="28"/>
  <c r="F38" i="20"/>
  <c r="C39" i="25"/>
  <c r="C39" i="24"/>
  <c r="C39" i="28"/>
  <c r="C29" i="28"/>
  <c r="C29" i="25"/>
  <c r="C29" i="24"/>
  <c r="F7" i="20"/>
  <c r="C37" i="28"/>
  <c r="C37" i="25"/>
  <c r="C37" i="24"/>
  <c r="C9" i="24"/>
  <c r="F22" i="20" l="1"/>
  <c r="F35" i="20"/>
  <c r="F37" i="20"/>
  <c r="F27" i="20" l="1"/>
  <c r="C20" i="35" l="1"/>
  <c r="I14" i="1"/>
  <c r="I21" i="1" s="1"/>
  <c r="E20" i="35" l="1"/>
  <c r="E43" i="35" s="1"/>
  <c r="C43" i="35"/>
  <c r="E14" i="1"/>
  <c r="F18" i="20"/>
  <c r="F42" i="20" s="1"/>
  <c r="F56" i="20" s="1"/>
  <c r="H14" i="1"/>
  <c r="H21" i="1" s="1"/>
  <c r="C20" i="28"/>
  <c r="C43" i="28" s="1"/>
  <c r="G14" i="1"/>
  <c r="G21" i="1" s="1"/>
  <c r="C20" i="25"/>
  <c r="C43" i="25" s="1"/>
  <c r="F14" i="1"/>
  <c r="F21" i="1" s="1"/>
  <c r="C20" i="24"/>
  <c r="C43" i="24" s="1"/>
  <c r="P14" i="1" l="1"/>
  <c r="P21" i="1" s="1"/>
  <c r="E6" i="20" l="1"/>
  <c r="E28" i="20" l="1"/>
  <c r="I28" i="20" s="1"/>
  <c r="O28" i="20" s="1"/>
  <c r="E26" i="20"/>
  <c r="I26" i="20" s="1"/>
  <c r="O26" i="20" s="1"/>
  <c r="E19" i="20"/>
  <c r="I19" i="20" s="1"/>
  <c r="O19" i="20" s="1"/>
  <c r="E12" i="20"/>
  <c r="I12" i="20" s="1"/>
  <c r="O12" i="20" s="1"/>
  <c r="E7" i="20"/>
  <c r="I7" i="20" s="1"/>
  <c r="O7" i="20" s="1"/>
  <c r="E24" i="20"/>
  <c r="I24" i="20" s="1"/>
  <c r="O24" i="20" s="1"/>
  <c r="E20" i="20"/>
  <c r="I20" i="20" s="1"/>
  <c r="O20" i="20" s="1"/>
  <c r="S20" i="20" s="1"/>
  <c r="E38" i="20"/>
  <c r="I38" i="20" s="1"/>
  <c r="O38" i="20" s="1"/>
  <c r="I6" i="20"/>
  <c r="E37" i="20"/>
  <c r="I37" i="20" s="1"/>
  <c r="O37" i="20" s="1"/>
  <c r="E33" i="20"/>
  <c r="I33" i="20" s="1"/>
  <c r="O33" i="20" s="1"/>
  <c r="E27" i="20"/>
  <c r="I27" i="20" s="1"/>
  <c r="O27" i="20" s="1"/>
  <c r="E13" i="20"/>
  <c r="I13" i="20" s="1"/>
  <c r="O13" i="20" s="1"/>
  <c r="E29" i="20"/>
  <c r="I29" i="20" s="1"/>
  <c r="O29" i="20" s="1"/>
  <c r="E30" i="20"/>
  <c r="I30" i="20" s="1"/>
  <c r="O30" i="20" s="1"/>
  <c r="E32" i="20"/>
  <c r="I32" i="20" s="1"/>
  <c r="O32" i="20" s="1"/>
  <c r="E8" i="20"/>
  <c r="I8" i="20" s="1"/>
  <c r="O8" i="20" s="1"/>
  <c r="E22" i="20"/>
  <c r="I22" i="20" s="1"/>
  <c r="O22" i="20" s="1"/>
  <c r="E17" i="20"/>
  <c r="I17" i="20" s="1"/>
  <c r="O17" i="20" s="1"/>
  <c r="E18" i="20"/>
  <c r="I18" i="20" s="1"/>
  <c r="O18" i="20" s="1"/>
  <c r="E34" i="20"/>
  <c r="I34" i="20" s="1"/>
  <c r="O34" i="20" s="1"/>
  <c r="E39" i="20"/>
  <c r="I39" i="20" s="1"/>
  <c r="O39" i="20" s="1"/>
  <c r="E10" i="20"/>
  <c r="I10" i="20" s="1"/>
  <c r="O10" i="20" s="1"/>
  <c r="E21" i="20"/>
  <c r="I21" i="20" s="1"/>
  <c r="O21" i="20" s="1"/>
  <c r="E11" i="20"/>
  <c r="I11" i="20" s="1"/>
  <c r="O11" i="20" s="1"/>
  <c r="E9" i="20"/>
  <c r="I9" i="20" s="1"/>
  <c r="O9" i="20" s="1"/>
  <c r="E35" i="20"/>
  <c r="I35" i="20" s="1"/>
  <c r="O35" i="20" s="1"/>
  <c r="E36" i="20"/>
  <c r="I36" i="20" s="1"/>
  <c r="O36" i="20" s="1"/>
  <c r="E15" i="20"/>
  <c r="I15" i="20" s="1"/>
  <c r="O15" i="20" s="1"/>
  <c r="E31" i="20"/>
  <c r="I31" i="20" s="1"/>
  <c r="O31" i="20" s="1"/>
  <c r="E16" i="20"/>
  <c r="I16" i="20" s="1"/>
  <c r="O16" i="20" s="1"/>
  <c r="E23" i="20"/>
  <c r="I23" i="20" s="1"/>
  <c r="O23" i="20" s="1"/>
  <c r="E25" i="20"/>
  <c r="I25" i="20" s="1"/>
  <c r="O25" i="20" s="1"/>
  <c r="E14" i="20"/>
  <c r="I14" i="20" s="1"/>
  <c r="O14" i="20" s="1"/>
  <c r="Q56" i="20" l="1"/>
  <c r="E42" i="20"/>
  <c r="E56" i="20" s="1"/>
  <c r="I42" i="20"/>
  <c r="I56" i="20" s="1"/>
  <c r="O6" i="20"/>
  <c r="O42" i="20" s="1"/>
  <c r="O56" i="20" s="1"/>
  <c r="B8" i="21" l="1"/>
  <c r="B5" i="33"/>
  <c r="A18" i="21"/>
  <c r="A15" i="33"/>
  <c r="E11" i="21"/>
  <c r="E8" i="33"/>
  <c r="A13" i="33"/>
  <c r="A16" i="21"/>
  <c r="F14" i="21"/>
  <c r="A15" i="21"/>
  <c r="A12" i="33"/>
  <c r="B8" i="33"/>
  <c r="B11" i="21"/>
  <c r="B9" i="21"/>
  <c r="B6" i="33"/>
  <c r="A9" i="21"/>
  <c r="A6" i="33"/>
  <c r="F15" i="21"/>
  <c r="F11" i="21"/>
  <c r="E9" i="21"/>
  <c r="E6" i="33"/>
  <c r="E20" i="33"/>
  <c r="B12" i="33"/>
  <c r="B15" i="21"/>
  <c r="A17" i="21"/>
  <c r="A14" i="33"/>
  <c r="D15" i="21"/>
  <c r="D12" i="33"/>
  <c r="F12" i="33"/>
  <c r="F13" i="21"/>
  <c r="E11" i="33"/>
  <c r="E14" i="21"/>
  <c r="F12" i="21"/>
  <c r="A8" i="21"/>
  <c r="A5" i="33"/>
  <c r="F6" i="33"/>
  <c r="D20" i="33"/>
  <c r="D14" i="21"/>
  <c r="D11" i="33"/>
  <c r="F11" i="33"/>
  <c r="B9" i="33"/>
  <c r="B12" i="21"/>
  <c r="A13" i="21"/>
  <c r="A10" i="33"/>
  <c r="F10" i="21"/>
  <c r="E10" i="33"/>
  <c r="E13" i="21"/>
  <c r="F9" i="21"/>
  <c r="D6" i="33"/>
  <c r="D9" i="21"/>
  <c r="D27" i="21"/>
  <c r="B7" i="33"/>
  <c r="B10" i="21"/>
  <c r="E7" i="33"/>
  <c r="E10" i="21"/>
  <c r="E15" i="21"/>
  <c r="E12" i="33"/>
  <c r="D11" i="21"/>
  <c r="D8" i="33"/>
  <c r="F8" i="33"/>
  <c r="B13" i="21"/>
  <c r="B10" i="33"/>
  <c r="A11" i="33"/>
  <c r="A14" i="21"/>
  <c r="A12" i="21"/>
  <c r="A9" i="33"/>
  <c r="A7" i="33"/>
  <c r="A10" i="21"/>
  <c r="E12" i="21"/>
  <c r="E9" i="33"/>
  <c r="A11" i="21"/>
  <c r="A8" i="33"/>
  <c r="D13" i="21"/>
  <c r="D10" i="33"/>
  <c r="F10" i="33"/>
  <c r="D12" i="21"/>
  <c r="D9" i="33"/>
  <c r="F9" i="33"/>
  <c r="D10" i="21"/>
  <c r="D7" i="33"/>
  <c r="F7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D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4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35" authorId="0" shapeId="0" xr:uid="{5D362621-289D-4D37-9159-55FBA69DD79D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7" authorId="0" shapeId="0" xr:uid="{E46BB4C8-56C9-4605-8AAE-6A5F8904D50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P8" authorId="0" shapeId="0" xr:uid="{7D76168F-D147-452B-A9CF-5E2BC703F09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 LAGWE</t>
        </r>
      </text>
    </comment>
    <comment ref="P9" authorId="0" shapeId="0" xr:uid="{C7338438-BC2B-4A9D-98EF-25B185153BC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COPLEMENT REMBOURSEMENT 200 000
PERCU 14 000</t>
        </r>
      </text>
    </comment>
    <comment ref="P10" authorId="0" shapeId="0" xr:uid="{036C23C3-1159-47B7-A58A-2A53A457E6C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LAGWE</t>
        </r>
      </text>
    </comment>
    <comment ref="P11" authorId="0" shapeId="0" xr:uid="{B271DA19-C3AC-4358-AA5E-A473BC53226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LAGWE 100 000</t>
        </r>
      </text>
    </comment>
    <comment ref="P33" authorId="0" shapeId="0" xr:uid="{6B7F84B2-47C5-4C67-A961-586C77153B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PAIEMENT 1 000 000
AVANCE TERRAIN  TCHOUAMOU</t>
        </r>
      </text>
    </comment>
    <comment ref="D35" authorId="0" shapeId="0" xr:uid="{D6FA4A82-D27C-4A9D-9C02-E0ECD1EE0B2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 103 000
SURPLUS DETTE ENTRIEURE 76 000</t>
        </r>
      </text>
    </comment>
    <comment ref="P35" authorId="0" shapeId="0" xr:uid="{25B187B4-FF36-4D59-BE58-C5170AC1823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P37" authorId="0" shapeId="0" xr:uid="{37DAD2DE-15D3-40CC-AA51-6A39141589A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RE?BOURSEMENT DETTE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F10" authorId="0" shapeId="0" xr:uid="{C9EB78EB-E5F3-4E81-9440-37EECF17A86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</t>
        </r>
      </text>
    </comment>
    <comment ref="E14" authorId="0" shapeId="0" xr:uid="{8EF5AA4C-A792-40EC-963D-7EF91D2A24E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26 7500
TONTINE T25 DEC 2024
EPARGNE 516 250</t>
        </r>
      </text>
    </comment>
    <comment ref="F15" authorId="0" shapeId="0" xr:uid="{092DAE72-D73C-4FF4-A484-7B8EB81A1E6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</t>
        </r>
      </text>
    </comment>
  </commentList>
</comments>
</file>

<file path=xl/sharedStrings.xml><?xml version="1.0" encoding="utf-8"?>
<sst xmlns="http://schemas.openxmlformats.org/spreadsheetml/2006/main" count="824" uniqueCount="210">
  <si>
    <t>ENTREE DES DIFFERENTES RUBRIQUES</t>
  </si>
  <si>
    <t>EPARGNE</t>
  </si>
  <si>
    <t>FONDS DE ROULEMENT</t>
  </si>
  <si>
    <t>FRAIS EXCEPTIONNEL</t>
  </si>
  <si>
    <t>COLLATION</t>
  </si>
  <si>
    <t>PENALITE VST ESPECES</t>
  </si>
  <si>
    <t>INSCRIPTION</t>
  </si>
  <si>
    <t>MUTUELLE</t>
  </si>
  <si>
    <t>MOIS</t>
  </si>
  <si>
    <t>REPORT</t>
  </si>
  <si>
    <t>ANNEE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</si>
  <si>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</si>
  <si>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</si>
  <si>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</si>
  <si>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</si>
  <si>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</si>
  <si>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</si>
  <si>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</si>
  <si>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</si>
  <si>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</si>
  <si>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</si>
  <si>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</si>
  <si>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</si>
  <si>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</t>
  </si>
  <si>
    <t>SORTIE DES DIFFERENTES RUBRIQUES</t>
  </si>
  <si>
    <t>BILAN ALLANT DE LA PERIODE  DU 01 DECEMBRE 2015 AU 30 NOVEMBRE 2016</t>
  </si>
  <si>
    <t>RUBRIQUE</t>
  </si>
  <si>
    <t>REPORT A NOUVEAU</t>
  </si>
  <si>
    <t>ENTREES</t>
  </si>
  <si>
    <t>SORTIES</t>
  </si>
  <si>
    <t>SOLDE</t>
  </si>
  <si>
    <t>EPARGNE\RELIQUAT2015</t>
  </si>
  <si>
    <t>FONDS DE CAISSE</t>
  </si>
  <si>
    <t>FRAIS EXCEPTIONNELS</t>
  </si>
  <si>
    <t>MUTUELLE\COMPLEMENT MUTUEL</t>
  </si>
  <si>
    <t>FOYER</t>
  </si>
  <si>
    <t>RECOUVREMENT POUR LAGWEU GENERAL</t>
  </si>
  <si>
    <t>AUTRES</t>
  </si>
  <si>
    <t>INTERET EMPRUNT</t>
  </si>
  <si>
    <t>EMPRUNT</t>
  </si>
  <si>
    <t>RELIQUAT 2016</t>
  </si>
  <si>
    <t>COMPTE CCA</t>
  </si>
  <si>
    <t>COMPTE AFRILAND</t>
  </si>
  <si>
    <t>COMPTE MC2</t>
  </si>
  <si>
    <t>ASELBY CAISSE(NDJOMO ETIENNE)</t>
  </si>
  <si>
    <t>RETRAIT DISTRIBUTION EPARGNE</t>
  </si>
  <si>
    <t>SOUS TOTAL</t>
  </si>
  <si>
    <t>MONTANT DISPONIBLE</t>
  </si>
  <si>
    <t>BILAN ALLANT DE LA PERIODE  DU 01 DECEMBRE 2016 AU 30 AOUT 2017</t>
  </si>
  <si>
    <t>EPARGNE\RELIQUAT2016</t>
  </si>
  <si>
    <t>PENALITE VERSEMENT EN ESPECES</t>
  </si>
  <si>
    <t>SANCTION</t>
  </si>
  <si>
    <t>NOM ET PRENOM</t>
  </si>
  <si>
    <t>RELIQUAT</t>
  </si>
  <si>
    <t>NOUVEAU FONDS</t>
  </si>
  <si>
    <t>COMPLEMENT FONDS</t>
  </si>
  <si>
    <t>COMPLEMENT MUTUELLE</t>
  </si>
  <si>
    <t>PENALITE</t>
  </si>
  <si>
    <t>FONDS GELE</t>
  </si>
  <si>
    <t>CHAISE</t>
  </si>
  <si>
    <t>TENUE</t>
  </si>
  <si>
    <t>INTERET BQUE AFRILAND</t>
  </si>
  <si>
    <t>AS201601</t>
  </si>
  <si>
    <t>AS201602</t>
  </si>
  <si>
    <t>AS201604</t>
  </si>
  <si>
    <t>AS201605</t>
  </si>
  <si>
    <t>AS201608</t>
  </si>
  <si>
    <t>AS201609</t>
  </si>
  <si>
    <t>AS201611</t>
  </si>
  <si>
    <t>AS201613</t>
  </si>
  <si>
    <t>AS201617</t>
  </si>
  <si>
    <t>AS201619</t>
  </si>
  <si>
    <t>AS201620</t>
  </si>
  <si>
    <t>AS201621</t>
  </si>
  <si>
    <t>AS201622</t>
  </si>
  <si>
    <t>AS201624</t>
  </si>
  <si>
    <t>AS201625</t>
  </si>
  <si>
    <t>AS201626</t>
  </si>
  <si>
    <t>AS201628</t>
  </si>
  <si>
    <t>AS201633</t>
  </si>
  <si>
    <t>AS201638</t>
  </si>
  <si>
    <t>AS201639</t>
  </si>
  <si>
    <t>AS201641</t>
  </si>
  <si>
    <t>AS201643</t>
  </si>
  <si>
    <t>AS201646</t>
  </si>
  <si>
    <t>AS201647</t>
  </si>
  <si>
    <t>AS201649</t>
  </si>
  <si>
    <t>AS201651</t>
  </si>
  <si>
    <t>AS201652</t>
  </si>
  <si>
    <t>AS201653</t>
  </si>
  <si>
    <t>AS201648</t>
  </si>
  <si>
    <t>PRÊT</t>
  </si>
  <si>
    <t>INTERET</t>
  </si>
  <si>
    <t>REMBOURSEMENT</t>
  </si>
  <si>
    <t>ASSOCIATION</t>
  </si>
  <si>
    <t>ASELBY</t>
  </si>
  <si>
    <t>MATRICULE</t>
  </si>
  <si>
    <t>REPARTITION INTERET</t>
  </si>
  <si>
    <t>REPARTITION PENALITE REMBOURSEMENT PRÊT</t>
  </si>
  <si>
    <t>REPARTITION COLLATION</t>
  </si>
  <si>
    <t xml:space="preserve">TOTAL </t>
  </si>
  <si>
    <t>TOTAL RETENU</t>
  </si>
  <si>
    <t>TOTAL  A PERCEVOIR</t>
  </si>
  <si>
    <t>MONTANT PERCU</t>
  </si>
  <si>
    <t>AS201654</t>
  </si>
  <si>
    <t>AS201656</t>
  </si>
  <si>
    <t>AS201612</t>
  </si>
  <si>
    <t>AS201623</t>
  </si>
  <si>
    <t>SYNTHESE DES COMPTES</t>
  </si>
  <si>
    <t>NUMERO ORDRE</t>
  </si>
  <si>
    <t>FONDS DE CAISSE ET RELIQUAT</t>
  </si>
  <si>
    <t>PENALITES</t>
  </si>
  <si>
    <t>TONTINE DE PRESENCE</t>
  </si>
  <si>
    <t>RECOUVREMENT POUR LA'AGWEU</t>
  </si>
  <si>
    <t>CHAISES</t>
  </si>
  <si>
    <t>DIVERS</t>
  </si>
  <si>
    <t>TENUES</t>
  </si>
  <si>
    <t>FONDS GELES</t>
  </si>
  <si>
    <t>INTERETS ET AUTRES</t>
  </si>
  <si>
    <t>INTERET TONTINE 100</t>
  </si>
  <si>
    <t>DISPOSITION DES FONDS</t>
  </si>
  <si>
    <t>COMPTE CCA AU 30/12/2022</t>
  </si>
  <si>
    <t>COMPTE MC²(NON ACTUALISE)</t>
  </si>
  <si>
    <t>DETTE PREFINANCEMENT LA'AGWEU</t>
  </si>
  <si>
    <t>DETTE MR KOUATCHO</t>
  </si>
  <si>
    <t>RESTE A RECUPERE AU CONSEIL</t>
  </si>
  <si>
    <t>FONDS EN CIRCULATION</t>
  </si>
  <si>
    <t>DETTES TONTINES</t>
  </si>
  <si>
    <t>AS201657</t>
  </si>
  <si>
    <t>AS201658</t>
  </si>
  <si>
    <t>INTERET TONTINE</t>
  </si>
  <si>
    <t>MONTANT</t>
  </si>
  <si>
    <t>SORTIE</t>
  </si>
  <si>
    <t>DATE</t>
  </si>
  <si>
    <t>LIBELLE</t>
  </si>
  <si>
    <t>ENTREE</t>
  </si>
  <si>
    <t>VERSE DANS LE COMPTE CONSEIL</t>
  </si>
  <si>
    <t>FRAIS EXCEPTIONNELLE</t>
  </si>
  <si>
    <t>FONDS MUTUELLE</t>
  </si>
  <si>
    <t>ECHEANCE</t>
  </si>
  <si>
    <t>LISTE ROUGE</t>
  </si>
  <si>
    <t>PAIEMENT</t>
  </si>
  <si>
    <t>FOTSO THOMAS</t>
  </si>
  <si>
    <t>OBSERVATIONS</t>
  </si>
  <si>
    <t>NKEHE DAVID</t>
  </si>
  <si>
    <t>TYAM ERNEST</t>
  </si>
  <si>
    <t>SIMO FONGANG ERIC</t>
  </si>
  <si>
    <t>A REVERSER</t>
  </si>
  <si>
    <t>TCHOUANTE FRANCOIS</t>
  </si>
  <si>
    <t>CHINGUE FABRICE</t>
  </si>
  <si>
    <t>NJEPDIO MBOUKAM DELUXE</t>
  </si>
  <si>
    <t>YEPMOU JEAN JACQUES</t>
  </si>
  <si>
    <t>TCHOUTOU NANA CLAUDE</t>
  </si>
  <si>
    <t>RECONDUCTION</t>
  </si>
  <si>
    <t>RECONDUCTION 2024</t>
  </si>
  <si>
    <t>MONTANT PAIEMENT ESPECES</t>
  </si>
  <si>
    <t>MONTANT SANCTION</t>
  </si>
  <si>
    <t>COMPLEMENT</t>
  </si>
  <si>
    <t>T25</t>
  </si>
  <si>
    <t>T75</t>
  </si>
  <si>
    <t>T100</t>
  </si>
  <si>
    <t>TOTAL INTERET</t>
  </si>
  <si>
    <t>INTERET ADHERENT</t>
  </si>
  <si>
    <t>T0TAL</t>
  </si>
  <si>
    <t>2023/2024</t>
  </si>
  <si>
    <t>2023-2024</t>
  </si>
  <si>
    <t>AS201661</t>
  </si>
  <si>
    <t>AS201660</t>
  </si>
  <si>
    <t>AS201659</t>
  </si>
  <si>
    <t>ACHAT FOURNITURE</t>
  </si>
  <si>
    <t>OUVERTURE DE COMPTE</t>
  </si>
  <si>
    <t>GRATIFICATION 2023</t>
  </si>
  <si>
    <t>DOSSIER TECHNIQUE</t>
  </si>
  <si>
    <t>HOTCHO BENJAMIN</t>
  </si>
  <si>
    <t>KOUAMO MOISE</t>
  </si>
  <si>
    <t>NGONDIEP CLAUDE</t>
  </si>
  <si>
    <t>COMMISSION</t>
  </si>
  <si>
    <t>TAXI BANQUE JANV/FEV</t>
  </si>
  <si>
    <t>FUNERAILLES DJOSSUE JOSUE</t>
  </si>
  <si>
    <t>PRODUCTION RAPPORT</t>
  </si>
  <si>
    <t xml:space="preserve">TAXI BANQUE </t>
  </si>
  <si>
    <t>INTERET COMPTE AFRILAND</t>
  </si>
  <si>
    <t>TAXI BANQUE</t>
  </si>
  <si>
    <t>COMMISSION FERMETURE BANQUE</t>
  </si>
  <si>
    <t>YOUMBI EMMANUEL</t>
  </si>
  <si>
    <t>NDJOMO ETIENNE</t>
  </si>
  <si>
    <t>FONDS LIQUIDE</t>
  </si>
  <si>
    <t>AVANCE ACHAT TERRAIN</t>
  </si>
  <si>
    <t>INSTALLATION CHEF LA'AGWE</t>
  </si>
  <si>
    <t>FRAIS DOSSIER TECHNIQUE</t>
  </si>
  <si>
    <t>AGIOS</t>
  </si>
  <si>
    <t>FEVRIER</t>
  </si>
  <si>
    <t>AUTRES DEPENSES</t>
  </si>
  <si>
    <t>AGIO</t>
  </si>
  <si>
    <t>INTERET CREDITEUR</t>
  </si>
  <si>
    <t>REMBOURSEMENT DETTE HOTCHO NUIT DES ELITES</t>
  </si>
  <si>
    <t>REMBOURSEMENT DETTE NGONDIEP PLAQUETTE</t>
  </si>
  <si>
    <t>YEPMO JEAN JACQUES</t>
  </si>
  <si>
    <t>NOUBE ETIENNE</t>
  </si>
  <si>
    <t>YANTCHOU HERVE</t>
  </si>
  <si>
    <t>FUNERAILLES BEAU PÈRE MBOGNING GUY</t>
  </si>
  <si>
    <t>DETTE PRÊT FONDS</t>
  </si>
  <si>
    <t>SEUMO POLYCARPE</t>
  </si>
  <si>
    <t>ASCOBA 2023</t>
  </si>
  <si>
    <t>ASCOBA 2024</t>
  </si>
  <si>
    <t>CLIENTS DOUTEUX</t>
  </si>
  <si>
    <t>FONGANG ERIC</t>
  </si>
  <si>
    <t>TERRAIN</t>
  </si>
  <si>
    <t>CAISSE?BOGNING 60 000 DJOUKWE 90 000)</t>
  </si>
  <si>
    <t>INTERET EPARGNE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</si>
</sst>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\-mmm\-yy;@"/>
    <numFmt numFmtId="165" formatCode="[$-40C]mmm\-yy;@"/>
    <numFmt numFmtId="166" formatCode="#,##0_ ;[Red]\-#,##0\ "/>
  </numFmts>
  <fonts count="3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Britannic Bold"/>
      <family val="2"/>
    </font>
    <font>
      <sz val="11"/>
      <name val="Britannic Bold"/>
      <family val="2"/>
    </font>
    <font>
      <sz val="16"/>
      <color rgb="FF00B050"/>
      <name val="Britannic Bold"/>
      <family val="2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stellar"/>
      <family val="1"/>
    </font>
    <font>
      <b/>
      <sz val="14"/>
      <color theme="1"/>
      <name val="Britannic Bold"/>
      <family val="2"/>
    </font>
    <font>
      <b/>
      <sz val="20"/>
      <color theme="1"/>
      <name val="Calibri"/>
      <family val="2"/>
      <scheme val="minor"/>
    </font>
    <font>
      <sz val="14"/>
      <color theme="1"/>
      <name val="Britannic Bold"/>
      <family val="2"/>
    </font>
    <font>
      <sz val="11"/>
      <color theme="1"/>
      <name val="Arial"/>
      <family val="2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4"/>
      <color rgb="FFFF0000"/>
      <name val="Britannic Bold"/>
      <family val="2"/>
    </font>
    <font>
      <sz val="16"/>
      <color rgb="FFFF0000"/>
      <name val="Britannic Bold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rgb="FF00B05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4"/>
      <color rgb="FF0070C0"/>
      <name val="Britannic Bold"/>
      <family val="2"/>
    </font>
    <font>
      <b/>
      <sz val="12"/>
      <color theme="1"/>
      <name val="Calibri"/>
      <family val="2"/>
      <scheme val="minor"/>
    </font>
    <font>
      <sz val="11"/>
      <color theme="5"/>
      <name val="Britannic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hair">
        <color auto="1"/>
      </right>
      <top style="double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0" xfId="0" applyFont="1"/>
    <xf numFmtId="0" fontId="1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5" fillId="2" borderId="3" xfId="0" applyNumberFormat="1" applyFont="1" applyFill="1" applyBorder="1" applyAlignment="1">
      <alignment horizontal="center" wrapText="1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3" fontId="4" fillId="0" borderId="5" xfId="0" applyNumberFormat="1" applyFont="1" applyBorder="1"/>
    <xf numFmtId="3" fontId="5" fillId="0" borderId="6" xfId="0" applyNumberFormat="1" applyFont="1" applyBorder="1"/>
    <xf numFmtId="0" fontId="3" fillId="0" borderId="5" xfId="0" applyFont="1" applyBorder="1"/>
    <xf numFmtId="0" fontId="0" fillId="0" borderId="4" xfId="0" applyBorder="1"/>
    <xf numFmtId="0" fontId="9" fillId="0" borderId="0" xfId="0" applyFont="1"/>
    <xf numFmtId="0" fontId="10" fillId="3" borderId="1" xfId="0" applyFont="1" applyFill="1" applyBorder="1"/>
    <xf numFmtId="0" fontId="10" fillId="3" borderId="2" xfId="0" applyFont="1" applyFill="1" applyBorder="1" applyAlignment="1">
      <alignment wrapText="1"/>
    </xf>
    <xf numFmtId="0" fontId="10" fillId="3" borderId="2" xfId="0" applyFont="1" applyFill="1" applyBorder="1"/>
    <xf numFmtId="0" fontId="10" fillId="3" borderId="3" xfId="0" applyFont="1" applyFill="1" applyBorder="1"/>
    <xf numFmtId="3" fontId="2" fillId="0" borderId="5" xfId="0" applyNumberFormat="1" applyFont="1" applyBorder="1"/>
    <xf numFmtId="3" fontId="2" fillId="0" borderId="6" xfId="0" applyNumberFormat="1" applyFon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8" fillId="0" borderId="0" xfId="0" applyNumberFormat="1" applyFont="1"/>
    <xf numFmtId="0" fontId="2" fillId="0" borderId="7" xfId="0" applyFont="1" applyBorder="1"/>
    <xf numFmtId="3" fontId="2" fillId="0" borderId="9" xfId="0" applyNumberFormat="1" applyFont="1" applyBorder="1"/>
    <xf numFmtId="0" fontId="2" fillId="0" borderId="5" xfId="0" applyFont="1" applyBorder="1"/>
    <xf numFmtId="0" fontId="10" fillId="3" borderId="4" xfId="0" applyFont="1" applyFill="1" applyBorder="1"/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/>
    <xf numFmtId="0" fontId="10" fillId="3" borderId="6" xfId="0" applyFont="1" applyFill="1" applyBorder="1"/>
    <xf numFmtId="3" fontId="2" fillId="0" borderId="8" xfId="0" applyNumberFormat="1" applyFont="1" applyBorder="1"/>
    <xf numFmtId="0" fontId="1" fillId="0" borderId="5" xfId="0" applyFont="1" applyBorder="1"/>
    <xf numFmtId="3" fontId="3" fillId="0" borderId="5" xfId="0" applyNumberFormat="1" applyFont="1" applyBorder="1"/>
    <xf numFmtId="0" fontId="7" fillId="0" borderId="0" xfId="0" applyFont="1" applyAlignment="1">
      <alignment horizontal="center"/>
    </xf>
    <xf numFmtId="3" fontId="2" fillId="0" borderId="0" xfId="0" applyNumberFormat="1" applyFont="1"/>
    <xf numFmtId="3" fontId="2" fillId="2" borderId="11" xfId="0" applyNumberFormat="1" applyFont="1" applyFill="1" applyBorder="1" applyAlignment="1">
      <alignment horizontal="center" wrapText="1"/>
    </xf>
    <xf numFmtId="0" fontId="0" fillId="0" borderId="12" xfId="0" applyBorder="1"/>
    <xf numFmtId="3" fontId="4" fillId="0" borderId="12" xfId="0" applyNumberFormat="1" applyFont="1" applyBorder="1"/>
    <xf numFmtId="0" fontId="0" fillId="0" borderId="0" xfId="0" applyAlignment="1">
      <alignment horizontal="center"/>
    </xf>
    <xf numFmtId="17" fontId="1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3" fontId="2" fillId="3" borderId="2" xfId="0" applyNumberFormat="1" applyFont="1" applyFill="1" applyBorder="1" applyAlignment="1">
      <alignment wrapText="1"/>
    </xf>
    <xf numFmtId="3" fontId="2" fillId="3" borderId="3" xfId="0" applyNumberFormat="1" applyFont="1" applyFill="1" applyBorder="1" applyAlignment="1">
      <alignment wrapText="1"/>
    </xf>
    <xf numFmtId="3" fontId="13" fillId="0" borderId="5" xfId="0" applyNumberFormat="1" applyFont="1" applyBorder="1"/>
    <xf numFmtId="0" fontId="0" fillId="0" borderId="5" xfId="0" applyNumberFormat="1" applyBorder="1"/>
    <xf numFmtId="0" fontId="1" fillId="0" borderId="4" xfId="0" applyFont="1" applyBorder="1"/>
    <xf numFmtId="0" fontId="2" fillId="0" borderId="6" xfId="0" applyFont="1" applyBorder="1"/>
    <xf numFmtId="0" fontId="1" fillId="0" borderId="4" xfId="0" applyNumberFormat="1" applyFont="1" applyBorder="1"/>
    <xf numFmtId="0" fontId="2" fillId="0" borderId="8" xfId="0" applyFont="1" applyBorder="1"/>
    <xf numFmtId="3" fontId="16" fillId="0" borderId="8" xfId="0" applyNumberFormat="1" applyFont="1" applyBorder="1"/>
    <xf numFmtId="3" fontId="16" fillId="0" borderId="9" xfId="0" applyNumberFormat="1" applyFont="1" applyBorder="1"/>
    <xf numFmtId="0" fontId="7" fillId="0" borderId="0" xfId="0" applyFont="1" applyAlignment="1">
      <alignment horizontal="center"/>
    </xf>
    <xf numFmtId="3" fontId="17" fillId="0" borderId="5" xfId="0" applyNumberFormat="1" applyFont="1" applyBorder="1"/>
    <xf numFmtId="0" fontId="0" fillId="0" borderId="13" xfId="0" applyBorder="1"/>
    <xf numFmtId="0" fontId="2" fillId="0" borderId="14" xfId="0" applyFont="1" applyBorder="1"/>
    <xf numFmtId="3" fontId="2" fillId="0" borderId="14" xfId="0" applyNumberFormat="1" applyFont="1" applyBorder="1"/>
    <xf numFmtId="3" fontId="3" fillId="0" borderId="14" xfId="0" applyNumberFormat="1" applyFont="1" applyBorder="1"/>
    <xf numFmtId="3" fontId="2" fillId="0" borderId="15" xfId="0" applyNumberFormat="1" applyFont="1" applyBorder="1"/>
    <xf numFmtId="0" fontId="0" fillId="0" borderId="7" xfId="0" applyBorder="1"/>
    <xf numFmtId="0" fontId="18" fillId="0" borderId="8" xfId="0" applyFont="1" applyBorder="1"/>
    <xf numFmtId="3" fontId="18" fillId="0" borderId="8" xfId="0" applyNumberFormat="1" applyFont="1" applyBorder="1"/>
    <xf numFmtId="0" fontId="0" fillId="0" borderId="0" xfId="0" applyBorder="1"/>
    <xf numFmtId="0" fontId="2" fillId="0" borderId="0" xfId="0" applyFont="1" applyBorder="1"/>
    <xf numFmtId="3" fontId="2" fillId="0" borderId="0" xfId="0" applyNumberFormat="1" applyFont="1" applyBorder="1"/>
    <xf numFmtId="3" fontId="3" fillId="0" borderId="0" xfId="0" applyNumberFormat="1" applyFont="1" applyBorder="1"/>
    <xf numFmtId="0" fontId="0" fillId="0" borderId="1" xfId="0" applyBorder="1"/>
    <xf numFmtId="0" fontId="0" fillId="0" borderId="2" xfId="0" applyBorder="1"/>
    <xf numFmtId="3" fontId="17" fillId="0" borderId="2" xfId="0" applyNumberFormat="1" applyFont="1" applyBorder="1"/>
    <xf numFmtId="3" fontId="17" fillId="0" borderId="3" xfId="0" applyNumberFormat="1" applyFont="1" applyBorder="1"/>
    <xf numFmtId="3" fontId="17" fillId="0" borderId="6" xfId="0" applyNumberFormat="1" applyFont="1" applyBorder="1"/>
    <xf numFmtId="3" fontId="1" fillId="0" borderId="0" xfId="0" applyNumberFormat="1" applyFont="1" applyBorder="1"/>
    <xf numFmtId="3" fontId="0" fillId="0" borderId="0" xfId="0" applyNumberFormat="1" applyBorder="1"/>
    <xf numFmtId="0" fontId="1" fillId="0" borderId="0" xfId="0" applyFont="1" applyBorder="1"/>
    <xf numFmtId="3" fontId="14" fillId="0" borderId="0" xfId="0" applyNumberFormat="1" applyFont="1" applyBorder="1"/>
    <xf numFmtId="0" fontId="2" fillId="0" borderId="16" xfId="0" applyFont="1" applyBorder="1"/>
    <xf numFmtId="0" fontId="3" fillId="0" borderId="7" xfId="0" applyFont="1" applyBorder="1"/>
    <xf numFmtId="0" fontId="3" fillId="0" borderId="8" xfId="0" applyFont="1" applyBorder="1"/>
    <xf numFmtId="3" fontId="21" fillId="0" borderId="8" xfId="0" applyNumberFormat="1" applyFont="1" applyBorder="1"/>
    <xf numFmtId="3" fontId="18" fillId="0" borderId="9" xfId="0" applyNumberFormat="1" applyFont="1" applyBorder="1"/>
    <xf numFmtId="3" fontId="3" fillId="0" borderId="0" xfId="0" applyNumberFormat="1" applyFont="1"/>
    <xf numFmtId="0" fontId="1" fillId="0" borderId="12" xfId="0" applyFont="1" applyBorder="1"/>
    <xf numFmtId="3" fontId="3" fillId="0" borderId="12" xfId="0" applyNumberFormat="1" applyFont="1" applyBorder="1"/>
    <xf numFmtId="0" fontId="22" fillId="0" borderId="7" xfId="0" applyFont="1" applyBorder="1"/>
    <xf numFmtId="3" fontId="22" fillId="0" borderId="8" xfId="0" applyNumberFormat="1" applyFont="1" applyBorder="1"/>
    <xf numFmtId="3" fontId="22" fillId="0" borderId="9" xfId="0" applyNumberFormat="1" applyFont="1" applyBorder="1"/>
    <xf numFmtId="0" fontId="2" fillId="0" borderId="10" xfId="0" applyFont="1" applyBorder="1"/>
    <xf numFmtId="0" fontId="0" fillId="0" borderId="0" xfId="0" applyAlignment="1">
      <alignment horizontal="center" vertical="center"/>
    </xf>
    <xf numFmtId="0" fontId="23" fillId="0" borderId="5" xfId="0" applyFont="1" applyBorder="1"/>
    <xf numFmtId="3" fontId="24" fillId="0" borderId="5" xfId="0" applyNumberFormat="1" applyFont="1" applyBorder="1"/>
    <xf numFmtId="3" fontId="24" fillId="0" borderId="6" xfId="0" applyNumberFormat="1" applyFont="1" applyBorder="1"/>
    <xf numFmtId="3" fontId="18" fillId="0" borderId="5" xfId="0" applyNumberFormat="1" applyFont="1" applyBorder="1"/>
    <xf numFmtId="3" fontId="18" fillId="0" borderId="6" xfId="0" applyNumberFormat="1" applyFont="1" applyBorder="1"/>
    <xf numFmtId="3" fontId="2" fillId="0" borderId="2" xfId="0" applyNumberFormat="1" applyFont="1" applyBorder="1"/>
    <xf numFmtId="3" fontId="2" fillId="0" borderId="3" xfId="0" applyNumberFormat="1" applyFont="1" applyBorder="1"/>
    <xf numFmtId="0" fontId="23" fillId="0" borderId="4" xfId="0" applyFont="1" applyBorder="1"/>
    <xf numFmtId="3" fontId="18" fillId="0" borderId="17" xfId="0" applyNumberFormat="1" applyFont="1" applyBorder="1" applyAlignment="1">
      <alignment horizontal="center" vertical="center"/>
    </xf>
    <xf numFmtId="3" fontId="18" fillId="0" borderId="18" xfId="0" applyNumberFormat="1" applyFont="1" applyBorder="1" applyAlignment="1">
      <alignment horizontal="center" vertical="center"/>
    </xf>
    <xf numFmtId="3" fontId="18" fillId="0" borderId="2" xfId="0" applyNumberFormat="1" applyFont="1" applyBorder="1"/>
    <xf numFmtId="3" fontId="2" fillId="0" borderId="5" xfId="0" applyNumberFormat="1" applyFont="1" applyBorder="1" applyAlignment="1">
      <alignment horizontal="center" vertical="center"/>
    </xf>
    <xf numFmtId="3" fontId="25" fillId="0" borderId="5" xfId="0" applyNumberFormat="1" applyFont="1" applyBorder="1"/>
    <xf numFmtId="3" fontId="26" fillId="0" borderId="6" xfId="0" applyNumberFormat="1" applyFont="1" applyBorder="1"/>
    <xf numFmtId="165" fontId="0" fillId="0" borderId="5" xfId="0" applyNumberFormat="1" applyBorder="1"/>
    <xf numFmtId="3" fontId="18" fillId="0" borderId="2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65" fontId="27" fillId="0" borderId="6" xfId="0" applyNumberFormat="1" applyFont="1" applyBorder="1"/>
    <xf numFmtId="3" fontId="2" fillId="0" borderId="3" xfId="0" applyNumberFormat="1" applyFont="1" applyFill="1" applyBorder="1" applyAlignment="1">
      <alignment horizontal="center" vertical="center"/>
    </xf>
    <xf numFmtId="0" fontId="0" fillId="0" borderId="9" xfId="0" applyBorder="1"/>
    <xf numFmtId="3" fontId="21" fillId="0" borderId="5" xfId="0" applyNumberFormat="1" applyFont="1" applyBorder="1"/>
    <xf numFmtId="3" fontId="28" fillId="0" borderId="5" xfId="0" applyNumberFormat="1" applyFont="1" applyBorder="1"/>
    <xf numFmtId="3" fontId="2" fillId="0" borderId="11" xfId="0" applyNumberFormat="1" applyFont="1" applyBorder="1" applyAlignment="1">
      <alignment horizontal="center" vertical="center"/>
    </xf>
    <xf numFmtId="3" fontId="21" fillId="0" borderId="12" xfId="0" applyNumberFormat="1" applyFont="1" applyBorder="1"/>
    <xf numFmtId="3" fontId="25" fillId="0" borderId="12" xfId="0" applyNumberFormat="1" applyFont="1" applyBorder="1"/>
    <xf numFmtId="3" fontId="16" fillId="0" borderId="22" xfId="0" applyNumberFormat="1" applyFont="1" applyBorder="1"/>
    <xf numFmtId="3" fontId="16" fillId="0" borderId="5" xfId="0" applyNumberFormat="1" applyFont="1" applyBorder="1"/>
    <xf numFmtId="3" fontId="16" fillId="0" borderId="6" xfId="0" applyNumberFormat="1" applyFont="1" applyBorder="1"/>
    <xf numFmtId="0" fontId="0" fillId="0" borderId="8" xfId="0" applyBorder="1"/>
    <xf numFmtId="0" fontId="0" fillId="0" borderId="14" xfId="0" applyBorder="1"/>
    <xf numFmtId="3" fontId="25" fillId="0" borderId="14" xfId="0" applyNumberFormat="1" applyFont="1" applyBorder="1"/>
    <xf numFmtId="0" fontId="0" fillId="0" borderId="15" xfId="0" applyBorder="1"/>
    <xf numFmtId="0" fontId="29" fillId="0" borderId="0" xfId="0" applyFont="1"/>
    <xf numFmtId="3" fontId="30" fillId="0" borderId="5" xfId="0" applyNumberFormat="1" applyFont="1" applyBorder="1"/>
    <xf numFmtId="166" fontId="2" fillId="0" borderId="5" xfId="0" applyNumberFormat="1" applyFont="1" applyBorder="1"/>
    <xf numFmtId="3" fontId="27" fillId="0" borderId="5" xfId="0" applyNumberFormat="1" applyFont="1" applyBorder="1"/>
    <xf numFmtId="3" fontId="18" fillId="0" borderId="1" xfId="0" applyNumberFormat="1" applyFont="1" applyBorder="1" applyAlignment="1">
      <alignment horizontal="center" vertical="center" wrapText="1"/>
    </xf>
    <xf numFmtId="3" fontId="18" fillId="0" borderId="2" xfId="0" applyNumberFormat="1" applyFont="1" applyBorder="1" applyAlignment="1">
      <alignment horizontal="center" vertical="center"/>
    </xf>
    <xf numFmtId="3" fontId="2" fillId="3" borderId="23" xfId="0" applyNumberFormat="1" applyFont="1" applyFill="1" applyBorder="1" applyAlignment="1">
      <alignment wrapText="1"/>
    </xf>
    <xf numFmtId="166" fontId="0" fillId="0" borderId="0" xfId="0" applyNumberFormat="1"/>
    <xf numFmtId="3" fontId="17" fillId="0" borderId="16" xfId="0" applyNumberFormat="1" applyFont="1" applyBorder="1"/>
    <xf numFmtId="3" fontId="2" fillId="0" borderId="24" xfId="0" applyNumberFormat="1" applyFont="1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9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3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5" fillId="0" borderId="0" xfId="0" applyNumberFormat="1" applyFont="1" applyAlignment="1">
      <alignment horizontal="center"/>
    </xf>
    <xf numFmtId="3" fontId="18" fillId="0" borderId="21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18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18" fillId="0" borderId="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TONTASELB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AUTREMOUVEM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TONTINE25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TONTINE2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MOUVEMENT201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%20-%20BACKUP%202018\ASELBYMOUVEMENT201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17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24%20-%20Copi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AUTREMOUVEMEN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3TONTINE75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3TONTINE10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4LISTEADHEREN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ELBYTONTINE\ASELBYLISTEFONDSCAISS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4TONTINE5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4TONTINE75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4TONTINE10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4TABBORDAIDEDEPEN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 refreshError="1"/>
      <sheetData sheetId="1" refreshError="1"/>
      <sheetData sheetId="2" refreshError="1">
        <row r="54">
          <cell r="C54">
            <v>14428521</v>
          </cell>
          <cell r="O54">
            <v>1719860</v>
          </cell>
          <cell r="R54">
            <v>3821141</v>
          </cell>
          <cell r="S54">
            <v>250500</v>
          </cell>
          <cell r="T54">
            <v>501000</v>
          </cell>
          <cell r="U54">
            <v>1252500</v>
          </cell>
          <cell r="V54">
            <v>235000</v>
          </cell>
        </row>
      </sheetData>
      <sheetData sheetId="3" refreshError="1">
        <row r="5">
          <cell r="B5">
            <v>0</v>
          </cell>
        </row>
        <row r="6">
          <cell r="B6">
            <v>1100000</v>
          </cell>
        </row>
        <row r="7">
          <cell r="B7">
            <v>1260000</v>
          </cell>
        </row>
        <row r="8">
          <cell r="B8">
            <v>2595000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>
        <row r="9">
          <cell r="D9">
            <v>224500</v>
          </cell>
        </row>
      </sheetData>
      <sheetData sheetId="1"/>
      <sheetData sheetId="2">
        <row r="54">
          <cell r="C54">
            <v>14428521</v>
          </cell>
        </row>
      </sheetData>
      <sheetData sheetId="3">
        <row r="5">
          <cell r="B5">
            <v>0</v>
          </cell>
        </row>
      </sheetData>
      <sheetData sheetId="4">
        <row r="17">
          <cell r="D1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6">
          <cell r="D6">
            <v>588000</v>
          </cell>
        </row>
      </sheetData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 (2)"/>
      <sheetName val="BILAN 2016"/>
      <sheetName val="BILANFINAOUT2017"/>
      <sheetName val="BILANUPDATE"/>
      <sheetName val="BILANUPDATEDPA"/>
      <sheetName val="Feuil1"/>
      <sheetName val="Feuil2"/>
      <sheetName val="Feuil2 (2)"/>
    </sheetNames>
    <sheetDataSet>
      <sheetData sheetId="0"/>
      <sheetData sheetId="1"/>
      <sheetData sheetId="2">
        <row r="56">
          <cell r="C56">
            <v>16310819</v>
          </cell>
          <cell r="E56">
            <v>3963693</v>
          </cell>
          <cell r="F56">
            <v>182000</v>
          </cell>
          <cell r="G56">
            <v>364000</v>
          </cell>
          <cell r="H56">
            <v>910000</v>
          </cell>
          <cell r="I56">
            <v>2009927</v>
          </cell>
          <cell r="J56">
            <v>0</v>
          </cell>
          <cell r="R56">
            <v>125000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BILAN 2017"/>
      <sheetName val="BILAN 2022"/>
      <sheetName val="BILAN 2024"/>
      <sheetName val="ENTREE"/>
      <sheetName val="SORTIE"/>
      <sheetName val="SYNTHESECOMPTE"/>
      <sheetName val="DETAILFICHECASSATION"/>
      <sheetName val="DISPOFONDS"/>
      <sheetName val="DETAILFPNDSROULT"/>
      <sheetName val="DETAILFRAISEXCEPTIONNEL"/>
      <sheetName val="DETAILCOLLATION"/>
      <sheetName val="DETAILFONDSMUTUEL"/>
      <sheetName val="DETAILPENALITES"/>
      <sheetName val="DETAILFOYER"/>
      <sheetName val="DETAIL PRETENCIRCULATION"/>
      <sheetName val="DETAILLISTEROUGE"/>
      <sheetName val="DETAILINSCRIPTION"/>
      <sheetName val="DETAIL INTERETTONTINE"/>
      <sheetName val="DETAILAGIOS"/>
      <sheetName val="DETAILAUTREDEPENSE"/>
    </sheetNames>
    <sheetDataSet>
      <sheetData sheetId="0"/>
      <sheetData sheetId="1"/>
      <sheetData sheetId="2"/>
      <sheetData sheetId="3">
        <row r="18">
          <cell r="B18" t="str">
            <v>FOYER</v>
          </cell>
        </row>
        <row r="23">
          <cell r="B23" t="str">
            <v>INTERETS ET AUTRES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DEC23"/>
      <sheetName val="MVTJANV24"/>
      <sheetName val="MVTFEV24"/>
      <sheetName val="MVTMARS24"/>
      <sheetName val="MVTAVRIL24"/>
      <sheetName val="MVTMAI24"/>
      <sheetName val="MVTJUIN24"/>
      <sheetName val="MVTJUIL24"/>
      <sheetName val="MVTAOUT24"/>
      <sheetName val="MVTSEPT24"/>
      <sheetName val="MVTOCT24"/>
      <sheetName val="MVTNOV24"/>
      <sheetName val="MVTDEC24"/>
      <sheetName val="MVTRESUME24"/>
      <sheetName val="MVTRESUME24EDIT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  <sheetName val="MVTJANV25"/>
      <sheetName val="MVTDEC24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1">
          <cell r="S41">
            <v>15088500</v>
          </cell>
          <cell r="T41">
            <v>1168000</v>
          </cell>
        </row>
      </sheetData>
      <sheetData sheetId="6"/>
      <sheetData sheetId="7">
        <row r="41">
          <cell r="J41">
            <v>0</v>
          </cell>
          <cell r="L41">
            <v>720000</v>
          </cell>
          <cell r="M41">
            <v>32000</v>
          </cell>
          <cell r="N41">
            <v>32000</v>
          </cell>
          <cell r="O41">
            <v>128000</v>
          </cell>
          <cell r="P41">
            <v>9000</v>
          </cell>
          <cell r="Q41">
            <v>0</v>
          </cell>
          <cell r="R41">
            <v>0</v>
          </cell>
          <cell r="T41">
            <v>26000</v>
          </cell>
          <cell r="V41">
            <v>1000000</v>
          </cell>
          <cell r="AA41">
            <v>0</v>
          </cell>
          <cell r="AE41">
            <v>0</v>
          </cell>
          <cell r="AF41">
            <v>27000</v>
          </cell>
          <cell r="AG41">
            <v>0</v>
          </cell>
          <cell r="AH41">
            <v>100000</v>
          </cell>
          <cell r="AI41">
            <v>100000</v>
          </cell>
        </row>
      </sheetData>
      <sheetData sheetId="8">
        <row r="41">
          <cell r="J41">
            <v>0</v>
          </cell>
          <cell r="L41">
            <v>759000</v>
          </cell>
          <cell r="M41">
            <v>32000</v>
          </cell>
          <cell r="N41">
            <v>32000</v>
          </cell>
          <cell r="O41">
            <v>128000</v>
          </cell>
          <cell r="P41">
            <v>6000</v>
          </cell>
          <cell r="Q41">
            <v>0</v>
          </cell>
          <cell r="R41">
            <v>0</v>
          </cell>
          <cell r="T41">
            <v>92500</v>
          </cell>
          <cell r="V41">
            <v>750000</v>
          </cell>
          <cell r="AA41">
            <v>0</v>
          </cell>
          <cell r="AE41">
            <v>0</v>
          </cell>
          <cell r="AF41">
            <v>48000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9">
        <row r="41">
          <cell r="J41">
            <v>0</v>
          </cell>
          <cell r="L41">
            <v>778500</v>
          </cell>
          <cell r="M41">
            <v>32000</v>
          </cell>
          <cell r="N41">
            <v>32000</v>
          </cell>
          <cell r="O41">
            <v>128000</v>
          </cell>
          <cell r="P41">
            <v>12000</v>
          </cell>
          <cell r="Q41">
            <v>0</v>
          </cell>
          <cell r="R41">
            <v>0</v>
          </cell>
          <cell r="T41">
            <v>0</v>
          </cell>
          <cell r="V41">
            <v>0</v>
          </cell>
          <cell r="AA41">
            <v>0</v>
          </cell>
          <cell r="AE41">
            <v>0</v>
          </cell>
          <cell r="AF41">
            <v>21000</v>
          </cell>
          <cell r="AG41">
            <v>100000</v>
          </cell>
          <cell r="AH41">
            <v>0</v>
          </cell>
          <cell r="AI41">
            <v>100000</v>
          </cell>
        </row>
      </sheetData>
      <sheetData sheetId="10">
        <row r="41">
          <cell r="J41">
            <v>0</v>
          </cell>
          <cell r="L41">
            <v>725000</v>
          </cell>
          <cell r="M41">
            <v>32000</v>
          </cell>
          <cell r="N41">
            <v>32000</v>
          </cell>
          <cell r="O41">
            <v>128000</v>
          </cell>
          <cell r="P41">
            <v>9000</v>
          </cell>
          <cell r="Q41">
            <v>0</v>
          </cell>
          <cell r="R41">
            <v>0</v>
          </cell>
          <cell r="T41">
            <v>84000</v>
          </cell>
          <cell r="V41">
            <v>1500000</v>
          </cell>
          <cell r="AA41">
            <v>0</v>
          </cell>
          <cell r="AE41">
            <v>0</v>
          </cell>
          <cell r="AF41">
            <v>19000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1">
        <row r="41">
          <cell r="J41">
            <v>0</v>
          </cell>
          <cell r="L41">
            <v>724500</v>
          </cell>
          <cell r="M41">
            <v>32000</v>
          </cell>
          <cell r="N41">
            <v>32000</v>
          </cell>
          <cell r="O41">
            <v>128000</v>
          </cell>
          <cell r="P41">
            <v>6000</v>
          </cell>
          <cell r="Q41">
            <v>0</v>
          </cell>
          <cell r="R41">
            <v>0</v>
          </cell>
          <cell r="T41">
            <v>110000</v>
          </cell>
          <cell r="V41">
            <v>360000</v>
          </cell>
          <cell r="AA41">
            <v>0</v>
          </cell>
          <cell r="AE41">
            <v>0</v>
          </cell>
          <cell r="AF41">
            <v>12000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2">
        <row r="41">
          <cell r="J41">
            <v>0</v>
          </cell>
          <cell r="L41">
            <v>1698100</v>
          </cell>
          <cell r="M41">
            <v>32000</v>
          </cell>
          <cell r="N41">
            <v>32000</v>
          </cell>
          <cell r="O41">
            <v>128000</v>
          </cell>
          <cell r="P41">
            <v>12000</v>
          </cell>
          <cell r="Q41">
            <v>0</v>
          </cell>
          <cell r="R41">
            <v>0</v>
          </cell>
          <cell r="T41">
            <v>128400</v>
          </cell>
          <cell r="V41">
            <v>1738500</v>
          </cell>
          <cell r="AA41">
            <v>0</v>
          </cell>
          <cell r="AE41">
            <v>0</v>
          </cell>
          <cell r="AF41">
            <v>42000</v>
          </cell>
          <cell r="AG41">
            <v>288500</v>
          </cell>
          <cell r="AH41">
            <v>0</v>
          </cell>
          <cell r="AI41">
            <v>100000</v>
          </cell>
        </row>
      </sheetData>
      <sheetData sheetId="13">
        <row r="41">
          <cell r="J41">
            <v>0</v>
          </cell>
          <cell r="L41">
            <v>658500</v>
          </cell>
          <cell r="M41">
            <v>31000</v>
          </cell>
          <cell r="N41">
            <v>31000</v>
          </cell>
          <cell r="O41">
            <v>124000</v>
          </cell>
          <cell r="P41">
            <v>3000</v>
          </cell>
          <cell r="Q41">
            <v>0</v>
          </cell>
          <cell r="R41">
            <v>0</v>
          </cell>
          <cell r="T41">
            <v>20000</v>
          </cell>
          <cell r="V41">
            <v>0</v>
          </cell>
          <cell r="AA41">
            <v>0</v>
          </cell>
          <cell r="AE41">
            <v>0</v>
          </cell>
          <cell r="AF41">
            <v>6000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4">
        <row r="41">
          <cell r="J41">
            <v>0</v>
          </cell>
          <cell r="L41">
            <v>1585250</v>
          </cell>
          <cell r="M41">
            <v>33000</v>
          </cell>
          <cell r="N41">
            <v>33000</v>
          </cell>
          <cell r="O41">
            <v>132000</v>
          </cell>
          <cell r="P41">
            <v>18000</v>
          </cell>
          <cell r="Q41">
            <v>0</v>
          </cell>
          <cell r="R41">
            <v>120000</v>
          </cell>
          <cell r="T41">
            <v>20000</v>
          </cell>
          <cell r="V41">
            <v>0</v>
          </cell>
          <cell r="AA41">
            <v>0</v>
          </cell>
          <cell r="AE41">
            <v>380000</v>
          </cell>
          <cell r="AF41">
            <v>6000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5">
        <row r="41">
          <cell r="J41">
            <v>0</v>
          </cell>
          <cell r="L41">
            <v>734000</v>
          </cell>
          <cell r="M41">
            <v>32000</v>
          </cell>
          <cell r="N41">
            <v>32000</v>
          </cell>
          <cell r="O41">
            <v>128000</v>
          </cell>
          <cell r="P41">
            <v>6000</v>
          </cell>
          <cell r="Q41">
            <v>0</v>
          </cell>
          <cell r="R41">
            <v>0</v>
          </cell>
          <cell r="T41">
            <v>0</v>
          </cell>
          <cell r="V41">
            <v>100000</v>
          </cell>
          <cell r="AA41">
            <v>0</v>
          </cell>
          <cell r="AE41">
            <v>20000</v>
          </cell>
          <cell r="AF41">
            <v>6000</v>
          </cell>
          <cell r="AG41">
            <v>321500</v>
          </cell>
          <cell r="AH41">
            <v>0</v>
          </cell>
          <cell r="AI41">
            <v>100000</v>
          </cell>
        </row>
      </sheetData>
      <sheetData sheetId="16">
        <row r="41">
          <cell r="J41">
            <v>0</v>
          </cell>
          <cell r="L41">
            <v>678500</v>
          </cell>
          <cell r="M41">
            <v>32000</v>
          </cell>
          <cell r="N41">
            <v>32000</v>
          </cell>
          <cell r="O41">
            <v>128000</v>
          </cell>
          <cell r="P41">
            <v>15000</v>
          </cell>
          <cell r="Q41">
            <v>0</v>
          </cell>
          <cell r="R41">
            <v>0</v>
          </cell>
          <cell r="T41">
            <v>10000</v>
          </cell>
          <cell r="V41">
            <v>1190000</v>
          </cell>
          <cell r="AA41">
            <v>0</v>
          </cell>
          <cell r="AE41">
            <v>0</v>
          </cell>
          <cell r="AF41">
            <v>6000</v>
          </cell>
          <cell r="AG41">
            <v>50000</v>
          </cell>
          <cell r="AH41">
            <v>100000</v>
          </cell>
          <cell r="AI41">
            <v>106000</v>
          </cell>
        </row>
      </sheetData>
      <sheetData sheetId="17">
        <row r="7">
          <cell r="A7" t="str">
            <v>AS201601</v>
          </cell>
          <cell r="B7" t="str">
            <v>BAKOP ACHILLE</v>
          </cell>
          <cell r="C7">
            <v>800000</v>
          </cell>
          <cell r="D7"/>
          <cell r="E7">
            <v>0</v>
          </cell>
          <cell r="F7">
            <v>800000</v>
          </cell>
          <cell r="G7">
            <v>800000</v>
          </cell>
          <cell r="H7" t="e">
            <v>#N/A</v>
          </cell>
          <cell r="I7" t="e">
            <v>#N/A</v>
          </cell>
          <cell r="J7">
            <v>0</v>
          </cell>
          <cell r="K7">
            <v>15000</v>
          </cell>
          <cell r="L7">
            <v>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600000</v>
          </cell>
          <cell r="T7">
            <v>6000</v>
          </cell>
          <cell r="U7">
            <v>0</v>
          </cell>
          <cell r="V7">
            <v>600000</v>
          </cell>
          <cell r="W7" t="str">
            <v>BANQUE</v>
          </cell>
          <cell r="X7" t="str">
            <v>BANQUE</v>
          </cell>
          <cell r="Y7">
            <v>0</v>
          </cell>
          <cell r="Z7">
            <v>0</v>
          </cell>
          <cell r="AA7"/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700000</v>
          </cell>
        </row>
        <row r="8">
          <cell r="A8" t="str">
            <v>AS201602</v>
          </cell>
          <cell r="B8" t="str">
            <v>BOUTCHOUANG WILLIAM</v>
          </cell>
          <cell r="C8">
            <v>800000</v>
          </cell>
          <cell r="D8"/>
          <cell r="E8">
            <v>0</v>
          </cell>
          <cell r="F8">
            <v>800000</v>
          </cell>
          <cell r="G8">
            <v>800000</v>
          </cell>
          <cell r="H8" t="e">
            <v>#N/A</v>
          </cell>
          <cell r="I8" t="e">
            <v>#N/A</v>
          </cell>
          <cell r="J8">
            <v>19000</v>
          </cell>
          <cell r="K8">
            <v>15000</v>
          </cell>
          <cell r="L8">
            <v>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>
            <v>15000</v>
          </cell>
          <cell r="U8">
            <v>0</v>
          </cell>
          <cell r="V8">
            <v>0</v>
          </cell>
          <cell r="W8">
            <v>0</v>
          </cell>
          <cell r="X8" t="str">
            <v>BANQUE</v>
          </cell>
          <cell r="Y8">
            <v>0</v>
          </cell>
          <cell r="Z8">
            <v>0</v>
          </cell>
          <cell r="AA8"/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100000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800000</v>
          </cell>
          <cell r="D9"/>
          <cell r="E9">
            <v>0</v>
          </cell>
          <cell r="F9">
            <v>800000</v>
          </cell>
          <cell r="G9">
            <v>800000</v>
          </cell>
          <cell r="H9" t="e">
            <v>#N/A</v>
          </cell>
          <cell r="I9" t="e">
            <v>#N/A</v>
          </cell>
          <cell r="J9">
            <v>9000</v>
          </cell>
          <cell r="K9">
            <v>40000</v>
          </cell>
          <cell r="L9">
            <v>34000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1000000</v>
          </cell>
          <cell r="T9">
            <v>120000</v>
          </cell>
          <cell r="U9">
            <v>0</v>
          </cell>
          <cell r="V9">
            <v>1000000</v>
          </cell>
          <cell r="W9" t="str">
            <v>BANQUE</v>
          </cell>
          <cell r="X9" t="str">
            <v>BANQUE</v>
          </cell>
          <cell r="Y9">
            <v>0</v>
          </cell>
          <cell r="Z9">
            <v>0</v>
          </cell>
          <cell r="AA9"/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100000</v>
          </cell>
        </row>
        <row r="10">
          <cell r="A10" t="str">
            <v>AS201654</v>
          </cell>
          <cell r="B10" t="str">
            <v>DJOMOU TCHAPDA</v>
          </cell>
          <cell r="C10">
            <v>800000</v>
          </cell>
          <cell r="D10"/>
          <cell r="E10">
            <v>0</v>
          </cell>
          <cell r="F10">
            <v>800000</v>
          </cell>
          <cell r="G10">
            <v>800000</v>
          </cell>
          <cell r="H10" t="e">
            <v>#N/A</v>
          </cell>
          <cell r="I10" t="e">
            <v>#N/A</v>
          </cell>
          <cell r="J10">
            <v>22000</v>
          </cell>
          <cell r="K10">
            <v>15000</v>
          </cell>
          <cell r="L10">
            <v>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>
            <v>120000</v>
          </cell>
          <cell r="U10">
            <v>0</v>
          </cell>
          <cell r="V10">
            <v>0</v>
          </cell>
          <cell r="W10">
            <v>0</v>
          </cell>
          <cell r="X10" t="str">
            <v>BANQUE</v>
          </cell>
          <cell r="Y10">
            <v>0</v>
          </cell>
          <cell r="Z10">
            <v>0</v>
          </cell>
          <cell r="AA10"/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100000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800000</v>
          </cell>
          <cell r="D11"/>
          <cell r="E11">
            <v>0</v>
          </cell>
          <cell r="F11">
            <v>800000</v>
          </cell>
          <cell r="G11">
            <v>800000</v>
          </cell>
          <cell r="H11" t="e">
            <v>#N/A</v>
          </cell>
          <cell r="I11" t="e">
            <v>#N/A</v>
          </cell>
          <cell r="J11">
            <v>0</v>
          </cell>
          <cell r="K11">
            <v>15000</v>
          </cell>
          <cell r="L11">
            <v>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1000000</v>
          </cell>
          <cell r="T11">
            <v>20000</v>
          </cell>
          <cell r="U11">
            <v>0</v>
          </cell>
          <cell r="V11">
            <v>1000000</v>
          </cell>
          <cell r="W11" t="str">
            <v>BANQUE</v>
          </cell>
          <cell r="X11" t="str">
            <v>BANQUE</v>
          </cell>
          <cell r="Y11">
            <v>0</v>
          </cell>
          <cell r="Z11">
            <v>0</v>
          </cell>
          <cell r="AA11"/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100000</v>
          </cell>
        </row>
        <row r="12">
          <cell r="A12" t="str">
            <v>AS201608</v>
          </cell>
          <cell r="B12" t="str">
            <v>DJUOMBESSY ANTOINE</v>
          </cell>
          <cell r="C12">
            <v>800000</v>
          </cell>
          <cell r="D12"/>
          <cell r="E12">
            <v>0</v>
          </cell>
          <cell r="F12">
            <v>800000</v>
          </cell>
          <cell r="G12">
            <v>800000</v>
          </cell>
          <cell r="H12" t="e">
            <v>#N/A</v>
          </cell>
          <cell r="I12" t="e">
            <v>#N/A</v>
          </cell>
          <cell r="J12">
            <v>0</v>
          </cell>
          <cell r="K12">
            <v>20800</v>
          </cell>
          <cell r="L12">
            <v>14800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>
            <v>60000</v>
          </cell>
          <cell r="U12">
            <v>0</v>
          </cell>
          <cell r="V12">
            <v>719200</v>
          </cell>
          <cell r="W12" t="str">
            <v>BANQUE</v>
          </cell>
          <cell r="X12" t="str">
            <v>BANQUE</v>
          </cell>
          <cell r="Y12">
            <v>0</v>
          </cell>
          <cell r="Z12">
            <v>0</v>
          </cell>
          <cell r="AA12"/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100000</v>
          </cell>
        </row>
        <row r="13">
          <cell r="A13" t="str">
            <v>AS201651</v>
          </cell>
          <cell r="B13" t="str">
            <v>DOMOU FABIEN</v>
          </cell>
          <cell r="C13">
            <v>800000</v>
          </cell>
          <cell r="D13"/>
          <cell r="E13">
            <v>0</v>
          </cell>
          <cell r="F13">
            <v>800000</v>
          </cell>
          <cell r="G13">
            <v>800000</v>
          </cell>
          <cell r="H13" t="e">
            <v>#N/A</v>
          </cell>
          <cell r="I13" t="e">
            <v>#N/A</v>
          </cell>
          <cell r="J13">
            <v>0</v>
          </cell>
          <cell r="K13">
            <v>15000</v>
          </cell>
          <cell r="L13">
            <v>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T13">
            <v>120000</v>
          </cell>
          <cell r="U13">
            <v>0</v>
          </cell>
          <cell r="V13">
            <v>1000000</v>
          </cell>
          <cell r="W13" t="str">
            <v>BANQUE</v>
          </cell>
          <cell r="X13" t="str">
            <v>BANQUE</v>
          </cell>
          <cell r="Y13">
            <v>0</v>
          </cell>
          <cell r="Z13">
            <v>0</v>
          </cell>
          <cell r="AA13"/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100000</v>
          </cell>
        </row>
        <row r="14">
          <cell r="A14" t="str">
            <v>AS201609</v>
          </cell>
          <cell r="B14" t="str">
            <v>DONHOU DAVID</v>
          </cell>
          <cell r="C14">
            <v>800000</v>
          </cell>
          <cell r="D14"/>
          <cell r="E14">
            <v>0</v>
          </cell>
          <cell r="F14">
            <v>800000</v>
          </cell>
          <cell r="G14">
            <v>800000</v>
          </cell>
          <cell r="H14" t="e">
            <v>#N/A</v>
          </cell>
          <cell r="I14" t="e">
            <v>#N/A</v>
          </cell>
          <cell r="J14">
            <v>0</v>
          </cell>
          <cell r="K14">
            <v>15000</v>
          </cell>
          <cell r="L14">
            <v>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/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100000</v>
          </cell>
        </row>
        <row r="15">
          <cell r="A15" t="str">
            <v>AS201611</v>
          </cell>
          <cell r="B15" t="str">
            <v>HENGUE PAUL OMER</v>
          </cell>
          <cell r="C15">
            <v>800000</v>
          </cell>
          <cell r="D15"/>
          <cell r="E15">
            <v>0</v>
          </cell>
          <cell r="F15">
            <v>800000</v>
          </cell>
          <cell r="G15">
            <v>800000</v>
          </cell>
          <cell r="H15" t="e">
            <v>#N/A</v>
          </cell>
          <cell r="I15" t="e">
            <v>#N/A</v>
          </cell>
          <cell r="J15">
            <v>18000</v>
          </cell>
          <cell r="K15">
            <v>15000</v>
          </cell>
          <cell r="L15">
            <v>9000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/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100000</v>
          </cell>
        </row>
        <row r="16">
          <cell r="A16" t="str">
            <v>AS201613</v>
          </cell>
          <cell r="B16" t="str">
            <v>HOTCHO BENJAMIN</v>
          </cell>
          <cell r="C16">
            <v>800000</v>
          </cell>
          <cell r="D16"/>
          <cell r="E16">
            <v>0</v>
          </cell>
          <cell r="F16">
            <v>800000</v>
          </cell>
          <cell r="G16">
            <v>800000</v>
          </cell>
          <cell r="H16" t="e">
            <v>#N/A</v>
          </cell>
          <cell r="I16" t="e">
            <v>#N/A</v>
          </cell>
          <cell r="J16">
            <v>12000</v>
          </cell>
          <cell r="K16">
            <v>50000</v>
          </cell>
          <cell r="L16">
            <v>44000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238500</v>
          </cell>
          <cell r="T16">
            <v>0</v>
          </cell>
          <cell r="U16">
            <v>0</v>
          </cell>
          <cell r="V16">
            <v>238500</v>
          </cell>
          <cell r="W16" t="str">
            <v>BANQUE</v>
          </cell>
          <cell r="X16">
            <v>0</v>
          </cell>
          <cell r="Y16">
            <v>0</v>
          </cell>
          <cell r="Z16">
            <v>0</v>
          </cell>
          <cell r="AA16"/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800000</v>
          </cell>
          <cell r="D17"/>
          <cell r="E17">
            <v>0</v>
          </cell>
          <cell r="F17">
            <v>800000</v>
          </cell>
          <cell r="G17">
            <v>800000</v>
          </cell>
          <cell r="H17" t="e">
            <v>#N/A</v>
          </cell>
          <cell r="I17" t="e">
            <v>#N/A</v>
          </cell>
          <cell r="J17">
            <v>9000</v>
          </cell>
          <cell r="K17">
            <v>15000</v>
          </cell>
          <cell r="L17">
            <v>9000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1000000</v>
          </cell>
          <cell r="W17" t="str">
            <v>BANQUE</v>
          </cell>
          <cell r="X17">
            <v>0</v>
          </cell>
          <cell r="Y17">
            <v>0</v>
          </cell>
          <cell r="Z17">
            <v>0</v>
          </cell>
          <cell r="AA17"/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800000</v>
          </cell>
          <cell r="D18"/>
          <cell r="E18">
            <v>0</v>
          </cell>
          <cell r="F18">
            <v>800000</v>
          </cell>
          <cell r="G18">
            <v>800000</v>
          </cell>
          <cell r="H18" t="e">
            <v>#N/A</v>
          </cell>
          <cell r="I18" t="e">
            <v>#N/A</v>
          </cell>
          <cell r="J18">
            <v>3000</v>
          </cell>
          <cell r="K18">
            <v>15000</v>
          </cell>
          <cell r="L18">
            <v>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>
            <v>50000</v>
          </cell>
          <cell r="U18">
            <v>0</v>
          </cell>
          <cell r="V18">
            <v>1000000</v>
          </cell>
          <cell r="W18" t="str">
            <v>BANQUE</v>
          </cell>
          <cell r="X18" t="str">
            <v>BANQUE</v>
          </cell>
          <cell r="Y18">
            <v>0</v>
          </cell>
          <cell r="Z18">
            <v>0</v>
          </cell>
          <cell r="AA18"/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100000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>
            <v>0</v>
          </cell>
          <cell r="H19" t="e">
            <v>#N/A</v>
          </cell>
          <cell r="I19" t="e">
            <v>#N/A</v>
          </cell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</row>
        <row r="20">
          <cell r="A20" t="str">
            <v>AS201649</v>
          </cell>
          <cell r="B20" t="str">
            <v>MBOGNING TUGMA GUY</v>
          </cell>
          <cell r="C20">
            <v>800000</v>
          </cell>
          <cell r="D20"/>
          <cell r="E20">
            <v>0</v>
          </cell>
          <cell r="F20">
            <v>800000</v>
          </cell>
          <cell r="G20">
            <v>800000</v>
          </cell>
          <cell r="H20" t="e">
            <v>#N/A</v>
          </cell>
          <cell r="I20" t="e">
            <v>#N/A</v>
          </cell>
          <cell r="J20">
            <v>0</v>
          </cell>
          <cell r="K20">
            <v>322500</v>
          </cell>
          <cell r="L20">
            <v>316500</v>
          </cell>
          <cell r="M20">
            <v>1000</v>
          </cell>
          <cell r="N20">
            <v>1000</v>
          </cell>
          <cell r="O20">
            <v>4000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/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/>
          <cell r="AB20">
            <v>0</v>
          </cell>
          <cell r="AC20">
            <v>0</v>
          </cell>
          <cell r="AD20">
            <v>0</v>
          </cell>
          <cell r="AE20">
            <v>190000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800000</v>
          </cell>
          <cell r="D21"/>
          <cell r="E21">
            <v>0</v>
          </cell>
          <cell r="F21">
            <v>800000</v>
          </cell>
          <cell r="G21">
            <v>800000</v>
          </cell>
          <cell r="H21" t="e">
            <v>#N/A</v>
          </cell>
          <cell r="I21" t="e">
            <v>#N/A</v>
          </cell>
          <cell r="J21">
            <v>0</v>
          </cell>
          <cell r="K21">
            <v>15000</v>
          </cell>
          <cell r="L21">
            <v>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T21">
            <v>18000</v>
          </cell>
          <cell r="U21">
            <v>0</v>
          </cell>
          <cell r="V21">
            <v>500000</v>
          </cell>
          <cell r="W21" t="str">
            <v>BANQUE</v>
          </cell>
          <cell r="X21" t="str">
            <v>BANQUE</v>
          </cell>
          <cell r="Y21">
            <v>0</v>
          </cell>
          <cell r="Z21">
            <v>0</v>
          </cell>
          <cell r="AA21"/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100000</v>
          </cell>
        </row>
        <row r="22">
          <cell r="A22" t="str">
            <v>AS201621</v>
          </cell>
          <cell r="B22" t="str">
            <v>NANKAM APPOLINAIRE</v>
          </cell>
          <cell r="C22">
            <v>800000</v>
          </cell>
          <cell r="D22"/>
          <cell r="E22">
            <v>0</v>
          </cell>
          <cell r="F22">
            <v>800000</v>
          </cell>
          <cell r="G22">
            <v>800000</v>
          </cell>
          <cell r="H22" t="e">
            <v>#N/A</v>
          </cell>
          <cell r="I22" t="e">
            <v>#N/A</v>
          </cell>
          <cell r="J22">
            <v>20000</v>
          </cell>
          <cell r="K22">
            <v>15000</v>
          </cell>
          <cell r="L22">
            <v>9000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1000000</v>
          </cell>
          <cell r="T22">
            <v>120000</v>
          </cell>
          <cell r="U22">
            <v>0</v>
          </cell>
          <cell r="V22">
            <v>107500</v>
          </cell>
          <cell r="W22" t="str">
            <v>BANQUE</v>
          </cell>
          <cell r="X22" t="str">
            <v>BANQUE</v>
          </cell>
          <cell r="Y22">
            <v>0</v>
          </cell>
          <cell r="Z22">
            <v>0</v>
          </cell>
          <cell r="AA22"/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100000</v>
          </cell>
        </row>
        <row r="23">
          <cell r="A23" t="str">
            <v>AS201622</v>
          </cell>
          <cell r="B23" t="str">
            <v>NDJOMO ETIENNE</v>
          </cell>
          <cell r="C23">
            <v>800000</v>
          </cell>
          <cell r="D23"/>
          <cell r="E23">
            <v>0</v>
          </cell>
          <cell r="F23">
            <v>800000</v>
          </cell>
          <cell r="G23">
            <v>800000</v>
          </cell>
          <cell r="H23" t="e">
            <v>#N/A</v>
          </cell>
          <cell r="I23" t="e">
            <v>#N/A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500000</v>
          </cell>
          <cell r="T23">
            <v>30000</v>
          </cell>
          <cell r="U23">
            <v>0</v>
          </cell>
          <cell r="V23">
            <v>600000</v>
          </cell>
          <cell r="W23" t="str">
            <v>BANQUE</v>
          </cell>
          <cell r="X23" t="str">
            <v>BANQUE</v>
          </cell>
          <cell r="Y23">
            <v>0</v>
          </cell>
          <cell r="Z23">
            <v>0</v>
          </cell>
          <cell r="AA23"/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100000</v>
          </cell>
        </row>
        <row r="24">
          <cell r="A24" t="str">
            <v>AS201624</v>
          </cell>
          <cell r="B24" t="str">
            <v>NGONDIEP CLAUDE</v>
          </cell>
          <cell r="C24">
            <v>800000</v>
          </cell>
          <cell r="D24"/>
          <cell r="E24">
            <v>0</v>
          </cell>
          <cell r="F24">
            <v>800000</v>
          </cell>
          <cell r="G24">
            <v>800000</v>
          </cell>
          <cell r="H24" t="e">
            <v>#N/A</v>
          </cell>
          <cell r="I24" t="e">
            <v>#N/A</v>
          </cell>
          <cell r="J24">
            <v>15000</v>
          </cell>
          <cell r="K24">
            <v>15000</v>
          </cell>
          <cell r="L24">
            <v>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>
            <v>120000</v>
          </cell>
          <cell r="U24">
            <v>0</v>
          </cell>
          <cell r="V24">
            <v>1000000</v>
          </cell>
          <cell r="W24" t="str">
            <v>BANQUE</v>
          </cell>
          <cell r="X24" t="str">
            <v>BANQUE</v>
          </cell>
          <cell r="Y24">
            <v>0</v>
          </cell>
          <cell r="Z24">
            <v>0</v>
          </cell>
          <cell r="AA24"/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100000</v>
          </cell>
        </row>
        <row r="25">
          <cell r="A25" t="str">
            <v>AS201626</v>
          </cell>
          <cell r="B25" t="str">
            <v>NGUIEMEGNI MATHIEU BLAISE</v>
          </cell>
          <cell r="C25">
            <v>800000</v>
          </cell>
          <cell r="D25"/>
          <cell r="E25">
            <v>0</v>
          </cell>
          <cell r="F25">
            <v>800000</v>
          </cell>
          <cell r="G25">
            <v>800000</v>
          </cell>
          <cell r="H25" t="e">
            <v>#N/A</v>
          </cell>
          <cell r="I25" t="e">
            <v>#N/A</v>
          </cell>
          <cell r="J25">
            <v>15000</v>
          </cell>
          <cell r="K25">
            <v>123000</v>
          </cell>
          <cell r="L25">
            <v>117000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>
            <v>120000</v>
          </cell>
          <cell r="U25">
            <v>0</v>
          </cell>
          <cell r="V25">
            <v>1000000</v>
          </cell>
          <cell r="W25" t="str">
            <v>BANQUE</v>
          </cell>
          <cell r="X25" t="str">
            <v>BANQUE</v>
          </cell>
          <cell r="Y25">
            <v>0</v>
          </cell>
          <cell r="Z25">
            <v>0</v>
          </cell>
          <cell r="AA25"/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800000</v>
          </cell>
          <cell r="D26"/>
          <cell r="E26">
            <v>0</v>
          </cell>
          <cell r="F26">
            <v>800000</v>
          </cell>
          <cell r="G26">
            <v>800000</v>
          </cell>
          <cell r="H26" t="e">
            <v>#N/A</v>
          </cell>
          <cell r="I26" t="e">
            <v>#N/A</v>
          </cell>
          <cell r="J26">
            <v>0</v>
          </cell>
          <cell r="K26">
            <v>15000</v>
          </cell>
          <cell r="L26">
            <v>9000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T26">
            <v>30000</v>
          </cell>
          <cell r="U26">
            <v>0</v>
          </cell>
          <cell r="V26">
            <v>1000000</v>
          </cell>
          <cell r="W26" t="str">
            <v>BANQUE</v>
          </cell>
          <cell r="X26" t="str">
            <v>BANQUE</v>
          </cell>
          <cell r="Y26">
            <v>0</v>
          </cell>
          <cell r="Z26">
            <v>0</v>
          </cell>
          <cell r="AA26"/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100000</v>
          </cell>
        </row>
        <row r="27">
          <cell r="A27" t="str">
            <v>AS201656</v>
          </cell>
          <cell r="B27" t="str">
            <v>NOUBE ETIENNE</v>
          </cell>
          <cell r="C27">
            <v>800000</v>
          </cell>
          <cell r="D27"/>
          <cell r="E27">
            <v>0</v>
          </cell>
          <cell r="F27">
            <v>800000</v>
          </cell>
          <cell r="G27">
            <v>800000</v>
          </cell>
          <cell r="H27" t="e">
            <v>#N/A</v>
          </cell>
          <cell r="I27" t="e">
            <v>#N/A</v>
          </cell>
          <cell r="J27">
            <v>0</v>
          </cell>
          <cell r="K27">
            <v>25000</v>
          </cell>
          <cell r="L27">
            <v>19000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/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700000</v>
          </cell>
        </row>
        <row r="28">
          <cell r="A28" t="str">
            <v>AS201633</v>
          </cell>
          <cell r="B28" t="str">
            <v>PATEGO NJOSSU GUSTAVE</v>
          </cell>
          <cell r="C28">
            <v>800000</v>
          </cell>
          <cell r="D28"/>
          <cell r="E28">
            <v>0</v>
          </cell>
          <cell r="F28">
            <v>800000</v>
          </cell>
          <cell r="G28">
            <v>800000</v>
          </cell>
          <cell r="H28" t="e">
            <v>#N/A</v>
          </cell>
          <cell r="I28" t="e">
            <v>#N/A</v>
          </cell>
          <cell r="J28">
            <v>0</v>
          </cell>
          <cell r="K28">
            <v>15000</v>
          </cell>
          <cell r="L28">
            <v>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/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100000</v>
          </cell>
        </row>
        <row r="29">
          <cell r="A29" t="str">
            <v>AS201657</v>
          </cell>
          <cell r="B29" t="str">
            <v>SEUMO POLYCARPE</v>
          </cell>
          <cell r="C29">
            <v>800000</v>
          </cell>
          <cell r="D29"/>
          <cell r="E29">
            <v>0</v>
          </cell>
          <cell r="F29">
            <v>800000</v>
          </cell>
          <cell r="G29">
            <v>800000</v>
          </cell>
          <cell r="H29" t="e">
            <v>#N/A</v>
          </cell>
          <cell r="I29" t="e">
            <v>#N/A</v>
          </cell>
          <cell r="J29">
            <v>0</v>
          </cell>
          <cell r="K29">
            <v>15000</v>
          </cell>
          <cell r="L29">
            <v>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/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 t="e">
            <v>#REF!</v>
          </cell>
        </row>
        <row r="30">
          <cell r="A30" t="str">
            <v>AS201653</v>
          </cell>
          <cell r="B30" t="str">
            <v>SIME BRICE</v>
          </cell>
          <cell r="C30">
            <v>800000</v>
          </cell>
          <cell r="D30"/>
          <cell r="E30">
            <v>0</v>
          </cell>
          <cell r="F30">
            <v>800000</v>
          </cell>
          <cell r="G30">
            <v>800000</v>
          </cell>
          <cell r="H30" t="e">
            <v>#N/A</v>
          </cell>
          <cell r="I30" t="e">
            <v>#N/A</v>
          </cell>
          <cell r="J30">
            <v>34000</v>
          </cell>
          <cell r="K30">
            <v>15000</v>
          </cell>
          <cell r="L30">
            <v>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1000000</v>
          </cell>
          <cell r="T30">
            <v>60000</v>
          </cell>
          <cell r="U30">
            <v>0</v>
          </cell>
          <cell r="V30">
            <v>0</v>
          </cell>
          <cell r="W30">
            <v>0</v>
          </cell>
          <cell r="X30" t="str">
            <v>BANQUE</v>
          </cell>
          <cell r="Y30">
            <v>0</v>
          </cell>
          <cell r="Z30">
            <v>0</v>
          </cell>
          <cell r="AA30"/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100000</v>
          </cell>
        </row>
        <row r="31">
          <cell r="A31" t="str">
            <v>AS201629</v>
          </cell>
          <cell r="B31" t="str">
            <v>SIMO FONGANG ERIC</v>
          </cell>
          <cell r="C31" t="e">
            <v>#N/A</v>
          </cell>
          <cell r="D31"/>
          <cell r="E31">
            <v>0</v>
          </cell>
          <cell r="F31" t="e">
            <v>#N/A</v>
          </cell>
          <cell r="G31" t="e">
            <v>#N/A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 t="e">
            <v>#N/A</v>
          </cell>
          <cell r="N31" t="e">
            <v>#N/A</v>
          </cell>
          <cell r="O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X31" t="e">
            <v>#N/A</v>
          </cell>
          <cell r="Y31" t="e">
            <v>#N/A</v>
          </cell>
          <cell r="Z31" t="e">
            <v>#N/A</v>
          </cell>
          <cell r="AA31"/>
          <cell r="AB31" t="e">
            <v>#N/A</v>
          </cell>
          <cell r="AC31" t="e">
            <v>#N/A</v>
          </cell>
          <cell r="AD31" t="e">
            <v>#N/A</v>
          </cell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I31" t="e">
            <v>#N/A</v>
          </cell>
          <cell r="AJ31" t="e">
            <v>#N/A</v>
          </cell>
          <cell r="AK31" t="e">
            <v>#N/A</v>
          </cell>
          <cell r="AL31" t="e">
            <v>#N/A</v>
          </cell>
        </row>
        <row r="32">
          <cell r="A32" t="str">
            <v>AS201638</v>
          </cell>
          <cell r="B32" t="str">
            <v>SIMO PIERRE</v>
          </cell>
          <cell r="C32">
            <v>800000</v>
          </cell>
          <cell r="D32"/>
          <cell r="E32">
            <v>0</v>
          </cell>
          <cell r="F32">
            <v>800000</v>
          </cell>
          <cell r="G32">
            <v>800000</v>
          </cell>
          <cell r="H32" t="e">
            <v>#N/A</v>
          </cell>
          <cell r="I32" t="e">
            <v>#N/A</v>
          </cell>
          <cell r="J32">
            <v>0</v>
          </cell>
          <cell r="K32">
            <v>15000</v>
          </cell>
          <cell r="L32">
            <v>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250000</v>
          </cell>
          <cell r="T32">
            <v>15000</v>
          </cell>
          <cell r="U32">
            <v>0</v>
          </cell>
          <cell r="V32">
            <v>1000000</v>
          </cell>
          <cell r="W32" t="str">
            <v>BANQUE</v>
          </cell>
          <cell r="X32" t="str">
            <v>BANQUE</v>
          </cell>
          <cell r="Y32">
            <v>0</v>
          </cell>
          <cell r="Z32">
            <v>0</v>
          </cell>
          <cell r="AA32"/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100000</v>
          </cell>
        </row>
        <row r="33">
          <cell r="A33" t="str">
            <v>AS201641</v>
          </cell>
          <cell r="B33" t="str">
            <v>TCHOUAMOU MATHIEU</v>
          </cell>
          <cell r="C33">
            <v>800000</v>
          </cell>
          <cell r="D33"/>
          <cell r="E33">
            <v>0</v>
          </cell>
          <cell r="F33">
            <v>800000</v>
          </cell>
          <cell r="G33">
            <v>800000</v>
          </cell>
          <cell r="H33" t="e">
            <v>#N/A</v>
          </cell>
          <cell r="I33" t="e">
            <v>#N/A</v>
          </cell>
          <cell r="J33">
            <v>0</v>
          </cell>
          <cell r="K33">
            <v>15000</v>
          </cell>
          <cell r="L33">
            <v>28000</v>
          </cell>
          <cell r="M33">
            <v>2000</v>
          </cell>
          <cell r="N33">
            <v>2000</v>
          </cell>
          <cell r="O33">
            <v>8000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200000</v>
          </cell>
          <cell r="W33" t="str">
            <v>BANQUE</v>
          </cell>
          <cell r="X33">
            <v>0</v>
          </cell>
          <cell r="Y33">
            <v>0</v>
          </cell>
          <cell r="Z33">
            <v>0</v>
          </cell>
          <cell r="AA33"/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100000</v>
          </cell>
        </row>
        <row r="34">
          <cell r="A34" t="str">
            <v>AS201660</v>
          </cell>
          <cell r="B34" t="str">
            <v>TCHOUATEU AUGUSTIN</v>
          </cell>
          <cell r="C34">
            <v>800000</v>
          </cell>
          <cell r="D34"/>
          <cell r="E34">
            <v>0</v>
          </cell>
          <cell r="F34">
            <v>800000</v>
          </cell>
          <cell r="G34">
            <v>800000</v>
          </cell>
          <cell r="H34" t="e">
            <v>#N/A</v>
          </cell>
          <cell r="I34" t="e">
            <v>#N/A</v>
          </cell>
          <cell r="J34">
            <v>0</v>
          </cell>
          <cell r="K34">
            <v>35000</v>
          </cell>
          <cell r="L34">
            <v>29000</v>
          </cell>
          <cell r="M34">
            <v>1000</v>
          </cell>
          <cell r="N34">
            <v>1000</v>
          </cell>
          <cell r="O34">
            <v>4000</v>
          </cell>
          <cell r="P34">
            <v>0</v>
          </cell>
          <cell r="Q34">
            <v>0</v>
          </cell>
          <cell r="R34">
            <v>0</v>
          </cell>
          <cell r="S34">
            <v>1000000</v>
          </cell>
          <cell r="T34"/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/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AS201643</v>
          </cell>
          <cell r="B35" t="str">
            <v>TCHOUTOU NANA CLAUDE</v>
          </cell>
          <cell r="C35">
            <v>0</v>
          </cell>
          <cell r="D35"/>
          <cell r="E35">
            <v>0</v>
          </cell>
          <cell r="F35">
            <v>0</v>
          </cell>
          <cell r="G35">
            <v>0</v>
          </cell>
          <cell r="H35" t="e">
            <v>#N/A</v>
          </cell>
          <cell r="I35" t="e">
            <v>#N/A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/>
          <cell r="AB35">
            <v>0</v>
          </cell>
          <cell r="AC35">
            <v>0</v>
          </cell>
          <cell r="AD35">
            <v>0</v>
          </cell>
          <cell r="AE35">
            <v>70000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 t="e">
            <v>#REF!</v>
          </cell>
        </row>
        <row r="36">
          <cell r="A36" t="str">
            <v>AS201662</v>
          </cell>
          <cell r="B36" t="str">
            <v>TIEYAM ERNEST</v>
          </cell>
          <cell r="C36" t="e">
            <v>#N/A</v>
          </cell>
          <cell r="D36"/>
          <cell r="E36">
            <v>0</v>
          </cell>
          <cell r="F36" t="e">
            <v>#N/A</v>
          </cell>
          <cell r="G36" t="e">
            <v>#N/A</v>
          </cell>
          <cell r="H36" t="e">
            <v>#N/A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  <cell r="N36" t="e">
            <v>#N/A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/>
          <cell r="AB36" t="e">
            <v>#N/A</v>
          </cell>
          <cell r="AC36" t="e">
            <v>#N/A</v>
          </cell>
          <cell r="AD36" t="e">
            <v>#N/A</v>
          </cell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I36" t="e">
            <v>#N/A</v>
          </cell>
          <cell r="AJ36" t="e">
            <v>#N/A</v>
          </cell>
          <cell r="AK36" t="e">
            <v>#N/A</v>
          </cell>
          <cell r="AL36" t="e">
            <v>#N/A</v>
          </cell>
        </row>
        <row r="37">
          <cell r="A37" t="str">
            <v>AS201658</v>
          </cell>
          <cell r="B37" t="str">
            <v>YANTCHOU GERVAIS</v>
          </cell>
          <cell r="C37">
            <v>800000</v>
          </cell>
          <cell r="D37"/>
          <cell r="E37">
            <v>0</v>
          </cell>
          <cell r="F37">
            <v>800000</v>
          </cell>
          <cell r="G37">
            <v>800000</v>
          </cell>
          <cell r="H37" t="e">
            <v>#N/A</v>
          </cell>
          <cell r="I37" t="e">
            <v>#N/A</v>
          </cell>
          <cell r="J37">
            <v>0</v>
          </cell>
          <cell r="K37">
            <v>15000</v>
          </cell>
          <cell r="L37">
            <v>9000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700000</v>
          </cell>
          <cell r="T37">
            <v>84000</v>
          </cell>
          <cell r="U37">
            <v>0</v>
          </cell>
          <cell r="V37">
            <v>0</v>
          </cell>
          <cell r="W37">
            <v>0</v>
          </cell>
          <cell r="X37" t="str">
            <v>BANQUE</v>
          </cell>
          <cell r="Y37">
            <v>0</v>
          </cell>
          <cell r="Z37">
            <v>0</v>
          </cell>
          <cell r="AA37"/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700000</v>
          </cell>
        </row>
        <row r="38">
          <cell r="A38" t="str">
            <v>AS201646</v>
          </cell>
          <cell r="B38" t="str">
            <v>YEPMOU JEAN JACQUES</v>
          </cell>
          <cell r="C38">
            <v>800000</v>
          </cell>
          <cell r="D38"/>
          <cell r="E38">
            <v>0</v>
          </cell>
          <cell r="F38">
            <v>800000</v>
          </cell>
          <cell r="G38">
            <v>800000</v>
          </cell>
          <cell r="H38" t="e">
            <v>#N/A</v>
          </cell>
          <cell r="I38" t="e">
            <v>#N/A</v>
          </cell>
          <cell r="J38">
            <v>0</v>
          </cell>
          <cell r="K38">
            <v>25000</v>
          </cell>
          <cell r="L38">
            <v>19000</v>
          </cell>
          <cell r="M38">
            <v>1000</v>
          </cell>
          <cell r="N38">
            <v>1000</v>
          </cell>
          <cell r="O38">
            <v>4000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/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/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AS201659</v>
          </cell>
          <cell r="B39" t="str">
            <v>YIALA ALAIN OSCAR</v>
          </cell>
          <cell r="C39">
            <v>800000</v>
          </cell>
          <cell r="D39"/>
          <cell r="E39">
            <v>0</v>
          </cell>
          <cell r="F39">
            <v>800000</v>
          </cell>
          <cell r="G39" t="e">
            <v>#N/A</v>
          </cell>
          <cell r="H39" t="e">
            <v>#N/A</v>
          </cell>
          <cell r="I39" t="e">
            <v>#N/A</v>
          </cell>
          <cell r="J39" t="e">
            <v>#N/A</v>
          </cell>
          <cell r="K39" t="e">
            <v>#N/A</v>
          </cell>
          <cell r="L39" t="e">
            <v>#N/A</v>
          </cell>
          <cell r="M39" t="e">
            <v>#N/A</v>
          </cell>
          <cell r="N39" t="e">
            <v>#N/A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/>
          <cell r="AB39" t="e">
            <v>#N/A</v>
          </cell>
          <cell r="AC39" t="e">
            <v>#N/A</v>
          </cell>
          <cell r="AD39" t="e">
            <v>#N/A</v>
          </cell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I39" t="e">
            <v>#N/A</v>
          </cell>
          <cell r="AJ39" t="e">
            <v>#N/A</v>
          </cell>
          <cell r="AK39" t="e">
            <v>#N/A</v>
          </cell>
          <cell r="AL39" t="e">
            <v>#N/A</v>
          </cell>
        </row>
        <row r="40">
          <cell r="A40" t="str">
            <v>AS201647</v>
          </cell>
          <cell r="B40" t="str">
            <v>YOUMBI EMMANUEL</v>
          </cell>
          <cell r="C40"/>
          <cell r="D40"/>
          <cell r="E40"/>
          <cell r="F40"/>
          <cell r="G40"/>
          <cell r="H40"/>
          <cell r="I40"/>
        </row>
        <row r="41">
          <cell r="A41" t="str">
            <v>TOTAL</v>
          </cell>
          <cell r="B41"/>
          <cell r="C41" t="e">
            <v>#N/A</v>
          </cell>
          <cell r="D41">
            <v>0</v>
          </cell>
          <cell r="E41">
            <v>0</v>
          </cell>
          <cell r="F41" t="e">
            <v>#N/A</v>
          </cell>
          <cell r="G41" t="e">
            <v>#N/A</v>
          </cell>
          <cell r="H41" t="e">
            <v>#N/A</v>
          </cell>
          <cell r="I41" t="e">
            <v>#N/A</v>
          </cell>
          <cell r="J41" t="e">
            <v>#N/A</v>
          </cell>
          <cell r="K41" t="e">
            <v>#N/A</v>
          </cell>
          <cell r="L41" t="e">
            <v>#N/A</v>
          </cell>
          <cell r="M41" t="e">
            <v>#N/A</v>
          </cell>
          <cell r="N41" t="e">
            <v>#N/A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e">
            <v>#N/A</v>
          </cell>
          <cell r="U41" t="e">
            <v>#N/A</v>
          </cell>
          <cell r="V41" t="e">
            <v>#N/A</v>
          </cell>
          <cell r="W41" t="e">
            <v>#N/A</v>
          </cell>
          <cell r="X41" t="e">
            <v>#N/A</v>
          </cell>
          <cell r="Y41" t="e">
            <v>#N/A</v>
          </cell>
          <cell r="Z41" t="e">
            <v>#N/A</v>
          </cell>
          <cell r="AA41">
            <v>0</v>
          </cell>
          <cell r="AB41" t="e">
            <v>#N/A</v>
          </cell>
          <cell r="AC41" t="e">
            <v>#N/A</v>
          </cell>
          <cell r="AD41" t="e">
            <v>#N/A</v>
          </cell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I41" t="e">
            <v>#N/A</v>
          </cell>
          <cell r="AJ41" t="e">
            <v>#N/A</v>
          </cell>
          <cell r="AK41" t="e">
            <v>#N/A</v>
          </cell>
          <cell r="AL41" t="e">
            <v>#REF!</v>
          </cell>
        </row>
      </sheetData>
      <sheetData sheetId="18">
        <row r="7">
          <cell r="A7" t="str">
            <v>AS201648</v>
          </cell>
          <cell r="B7" t="str">
            <v>ASELBY</v>
          </cell>
          <cell r="C7">
            <v>0</v>
          </cell>
          <cell r="D7">
            <v>886523.25892224163</v>
          </cell>
          <cell r="E7">
            <v>0</v>
          </cell>
          <cell r="F7">
            <v>956757.45601743239</v>
          </cell>
          <cell r="G7">
            <v>956757.45601743239</v>
          </cell>
          <cell r="H7">
            <v>74148.368569555823</v>
          </cell>
          <cell r="I7">
            <v>1030905.8245869882</v>
          </cell>
          <cell r="J7">
            <v>0</v>
          </cell>
          <cell r="K7">
            <v>0</v>
          </cell>
          <cell r="L7">
            <v>62000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251000</v>
          </cell>
          <cell r="AG7">
            <v>960000</v>
          </cell>
          <cell r="AH7">
            <v>200000</v>
          </cell>
          <cell r="AI7">
            <v>300000</v>
          </cell>
          <cell r="AJ7">
            <v>0</v>
          </cell>
          <cell r="AK7">
            <v>0</v>
          </cell>
          <cell r="AM7">
            <v>0</v>
          </cell>
          <cell r="AN7">
            <v>9326618</v>
          </cell>
        </row>
        <row r="8">
          <cell r="A8" t="str">
            <v>AS201601</v>
          </cell>
          <cell r="B8" t="str">
            <v>BAKOP ACHILLE</v>
          </cell>
          <cell r="C8"/>
          <cell r="D8">
            <v>1356964</v>
          </cell>
          <cell r="E8">
            <v>0</v>
          </cell>
          <cell r="F8">
            <v>927954.0172185261</v>
          </cell>
          <cell r="G8">
            <v>927954.0172185261</v>
          </cell>
          <cell r="H8">
            <v>17268.351515034443</v>
          </cell>
          <cell r="I8">
            <v>945222.36873356055</v>
          </cell>
          <cell r="J8">
            <v>0</v>
          </cell>
          <cell r="K8">
            <v>308000</v>
          </cell>
          <cell r="L8">
            <v>236000</v>
          </cell>
          <cell r="M8">
            <v>12000</v>
          </cell>
          <cell r="N8">
            <v>12000</v>
          </cell>
          <cell r="O8">
            <v>48000</v>
          </cell>
          <cell r="P8">
            <v>15000</v>
          </cell>
          <cell r="Q8">
            <v>0</v>
          </cell>
          <cell r="R8">
            <v>0</v>
          </cell>
          <cell r="S8">
            <v>600000</v>
          </cell>
          <cell r="T8">
            <v>117000</v>
          </cell>
          <cell r="V8">
            <v>0</v>
          </cell>
          <cell r="W8">
            <v>600000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45474</v>
          </cell>
          <cell r="AM8">
            <v>117000</v>
          </cell>
          <cell r="AN8">
            <v>0</v>
          </cell>
        </row>
        <row r="9">
          <cell r="A9" t="str">
            <v>AS201602</v>
          </cell>
          <cell r="B9" t="str">
            <v>BOUTCHOUANG WILLIAM</v>
          </cell>
          <cell r="C9">
            <v>700000</v>
          </cell>
          <cell r="D9">
            <v>33.12626320522395</v>
          </cell>
          <cell r="E9">
            <v>0</v>
          </cell>
          <cell r="F9">
            <v>982346.23247952305</v>
          </cell>
          <cell r="G9">
            <v>982346.23247952305</v>
          </cell>
          <cell r="H9">
            <v>61331.963427137409</v>
          </cell>
          <cell r="I9">
            <v>1043678.1959066605</v>
          </cell>
          <cell r="J9">
            <v>0</v>
          </cell>
          <cell r="K9">
            <v>297000</v>
          </cell>
          <cell r="L9">
            <v>225000</v>
          </cell>
          <cell r="M9">
            <v>12000</v>
          </cell>
          <cell r="N9">
            <v>12000</v>
          </cell>
          <cell r="O9">
            <v>48000</v>
          </cell>
          <cell r="P9">
            <v>6000</v>
          </cell>
          <cell r="Q9">
            <v>0</v>
          </cell>
          <cell r="R9">
            <v>0</v>
          </cell>
          <cell r="S9">
            <v>1000000</v>
          </cell>
          <cell r="T9">
            <v>60000</v>
          </cell>
          <cell r="V9">
            <v>500000</v>
          </cell>
          <cell r="W9">
            <v>500000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7750</v>
          </cell>
          <cell r="AK9">
            <v>0</v>
          </cell>
          <cell r="AL9">
            <v>45352</v>
          </cell>
          <cell r="AM9">
            <v>60000</v>
          </cell>
          <cell r="AN9">
            <v>0</v>
          </cell>
        </row>
        <row r="10">
          <cell r="A10" t="str">
            <v>AS201604</v>
          </cell>
          <cell r="B10" t="str">
            <v xml:space="preserve">DJOMO JEAN PAUL </v>
          </cell>
          <cell r="C10">
            <v>700000</v>
          </cell>
          <cell r="D10">
            <v>53357.826243040035</v>
          </cell>
          <cell r="E10">
            <v>0</v>
          </cell>
          <cell r="F10">
            <v>1035404.4269359384</v>
          </cell>
          <cell r="G10">
            <v>1035404.4269359384</v>
          </cell>
          <cell r="H10">
            <v>65782.523231943604</v>
          </cell>
          <cell r="I10">
            <v>1101186.950167882</v>
          </cell>
          <cell r="J10">
            <v>0</v>
          </cell>
          <cell r="K10">
            <v>292500</v>
          </cell>
          <cell r="L10">
            <v>220500</v>
          </cell>
          <cell r="M10">
            <v>12000</v>
          </cell>
          <cell r="N10">
            <v>12000</v>
          </cell>
          <cell r="O10">
            <v>48000</v>
          </cell>
          <cell r="P10">
            <v>0</v>
          </cell>
          <cell r="Q10">
            <v>0</v>
          </cell>
          <cell r="R10">
            <v>0</v>
          </cell>
          <cell r="S10">
            <v>2000000</v>
          </cell>
          <cell r="T10">
            <v>120000</v>
          </cell>
          <cell r="V10">
            <v>1000000</v>
          </cell>
          <cell r="W10">
            <v>1000000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45627</v>
          </cell>
          <cell r="AM10">
            <v>120000</v>
          </cell>
          <cell r="AN10">
            <v>0</v>
          </cell>
        </row>
        <row r="11">
          <cell r="A11" t="str">
            <v>AS201654</v>
          </cell>
          <cell r="B11" t="str">
            <v>DJOMOU TCHAPDA</v>
          </cell>
          <cell r="C11">
            <v>700000</v>
          </cell>
          <cell r="D11">
            <v>294.67929590542917</v>
          </cell>
          <cell r="E11">
            <v>0</v>
          </cell>
          <cell r="F11">
            <v>979078.22072936664</v>
          </cell>
          <cell r="G11">
            <v>979078.22072936664</v>
          </cell>
          <cell r="H11">
            <v>61289.02894615112</v>
          </cell>
          <cell r="I11">
            <v>1040367.2496755178</v>
          </cell>
          <cell r="J11">
            <v>0</v>
          </cell>
          <cell r="K11">
            <v>293500</v>
          </cell>
          <cell r="L11">
            <v>221500</v>
          </cell>
          <cell r="M11">
            <v>12000</v>
          </cell>
          <cell r="N11">
            <v>12000</v>
          </cell>
          <cell r="O11">
            <v>48000</v>
          </cell>
          <cell r="P11">
            <v>9000</v>
          </cell>
          <cell r="Q11">
            <v>0</v>
          </cell>
          <cell r="R11">
            <v>0</v>
          </cell>
          <cell r="S11">
            <v>2000000</v>
          </cell>
          <cell r="T11">
            <v>120000</v>
          </cell>
          <cell r="V11">
            <v>1000000</v>
          </cell>
          <cell r="W11">
            <v>1000000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45627</v>
          </cell>
          <cell r="AM11">
            <v>120000</v>
          </cell>
          <cell r="AN11">
            <v>0</v>
          </cell>
        </row>
        <row r="12">
          <cell r="A12" t="str">
            <v>AS201605</v>
          </cell>
          <cell r="B12" t="str">
            <v>DJOUKWE NANGUEN GUY BLAISE</v>
          </cell>
          <cell r="C12">
            <v>700000</v>
          </cell>
          <cell r="D12">
            <v>2196.7678974067676</v>
          </cell>
          <cell r="E12">
            <v>0</v>
          </cell>
          <cell r="F12">
            <v>1010968.1442096249</v>
          </cell>
          <cell r="G12">
            <v>1010968.1442096249</v>
          </cell>
          <cell r="H12">
            <v>61907.328059099258</v>
          </cell>
          <cell r="I12">
            <v>1072875.4722687241</v>
          </cell>
          <cell r="J12">
            <v>0</v>
          </cell>
          <cell r="K12">
            <v>323000</v>
          </cell>
          <cell r="L12">
            <v>251000</v>
          </cell>
          <cell r="M12">
            <v>12000</v>
          </cell>
          <cell r="N12">
            <v>12000</v>
          </cell>
          <cell r="O12">
            <v>48000</v>
          </cell>
          <cell r="P12">
            <v>3000</v>
          </cell>
          <cell r="Q12">
            <v>0</v>
          </cell>
          <cell r="R12">
            <v>0</v>
          </cell>
          <cell r="S12">
            <v>2000000</v>
          </cell>
          <cell r="T12">
            <v>60000</v>
          </cell>
          <cell r="V12">
            <v>1000000</v>
          </cell>
          <cell r="W12">
            <v>1000000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155000</v>
          </cell>
          <cell r="AK12">
            <v>0</v>
          </cell>
          <cell r="AL12">
            <v>45474</v>
          </cell>
          <cell r="AM12">
            <v>60000</v>
          </cell>
          <cell r="AN12">
            <v>0</v>
          </cell>
        </row>
        <row r="13">
          <cell r="A13" t="str">
            <v>AS201608</v>
          </cell>
          <cell r="B13" t="str">
            <v>DJUOMBESSY ANTOINE</v>
          </cell>
          <cell r="C13">
            <v>700000</v>
          </cell>
          <cell r="D13">
            <v>14513.277451620379</v>
          </cell>
          <cell r="E13">
            <v>0</v>
          </cell>
          <cell r="F13">
            <v>1069172.7951158585</v>
          </cell>
          <cell r="G13">
            <v>1069172.7951158585</v>
          </cell>
          <cell r="H13">
            <v>63433.589305372217</v>
          </cell>
          <cell r="I13">
            <v>1132606.3844212308</v>
          </cell>
          <cell r="J13">
            <v>0</v>
          </cell>
          <cell r="K13">
            <v>367600</v>
          </cell>
          <cell r="L13">
            <v>295600</v>
          </cell>
          <cell r="M13">
            <v>12000</v>
          </cell>
          <cell r="N13">
            <v>12000</v>
          </cell>
          <cell r="O13">
            <v>48000</v>
          </cell>
          <cell r="P13">
            <v>0</v>
          </cell>
          <cell r="Q13">
            <v>0</v>
          </cell>
          <cell r="R13">
            <v>0</v>
          </cell>
          <cell r="S13">
            <v>2000000</v>
          </cell>
          <cell r="T13">
            <v>68400</v>
          </cell>
          <cell r="V13">
            <v>1000000</v>
          </cell>
          <cell r="W13">
            <v>1000000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45627</v>
          </cell>
          <cell r="AM13">
            <v>68400</v>
          </cell>
          <cell r="AN13">
            <v>0</v>
          </cell>
        </row>
        <row r="14">
          <cell r="A14" t="str">
            <v>AS201651</v>
          </cell>
          <cell r="B14" t="str">
            <v>DOMOU FABIEN</v>
          </cell>
          <cell r="C14">
            <v>700000</v>
          </cell>
          <cell r="D14">
            <v>41.235805909789633</v>
          </cell>
          <cell r="E14">
            <v>0</v>
          </cell>
          <cell r="F14">
            <v>985405.65692185995</v>
          </cell>
          <cell r="G14">
            <v>985405.65692185995</v>
          </cell>
          <cell r="H14">
            <v>61395.794677496764</v>
          </cell>
          <cell r="I14">
            <v>1046801.4515993567</v>
          </cell>
          <cell r="J14">
            <v>0</v>
          </cell>
          <cell r="K14">
            <v>300000</v>
          </cell>
          <cell r="L14">
            <v>228000</v>
          </cell>
          <cell r="M14">
            <v>12000</v>
          </cell>
          <cell r="N14">
            <v>12000</v>
          </cell>
          <cell r="O14">
            <v>48000</v>
          </cell>
          <cell r="P14">
            <v>0</v>
          </cell>
          <cell r="Q14">
            <v>0</v>
          </cell>
          <cell r="R14">
            <v>0</v>
          </cell>
          <cell r="S14">
            <v>1000000</v>
          </cell>
          <cell r="T14">
            <v>120000</v>
          </cell>
          <cell r="V14">
            <v>1000000</v>
          </cell>
          <cell r="W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45627</v>
          </cell>
          <cell r="AM14">
            <v>120000</v>
          </cell>
          <cell r="AN14">
            <v>0</v>
          </cell>
        </row>
        <row r="15">
          <cell r="A15" t="str">
            <v>AS201609</v>
          </cell>
          <cell r="B15" t="str">
            <v>DONHOU DAVID</v>
          </cell>
          <cell r="C15">
            <v>700000</v>
          </cell>
          <cell r="D15">
            <v>518031.2910165739</v>
          </cell>
          <cell r="E15">
            <v>0</v>
          </cell>
          <cell r="F15">
            <v>1544433.1189516559</v>
          </cell>
          <cell r="G15">
            <v>1544433.1189516559</v>
          </cell>
          <cell r="H15">
            <v>104720.22767186417</v>
          </cell>
          <cell r="I15">
            <v>1649153.3466235201</v>
          </cell>
          <cell r="J15">
            <v>0</v>
          </cell>
          <cell r="K15">
            <v>300000</v>
          </cell>
          <cell r="L15">
            <v>228000</v>
          </cell>
          <cell r="M15">
            <v>12000</v>
          </cell>
          <cell r="N15">
            <v>12000</v>
          </cell>
          <cell r="O15">
            <v>48000</v>
          </cell>
          <cell r="P15">
            <v>3000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M15">
            <v>0</v>
          </cell>
          <cell r="AN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700000</v>
          </cell>
          <cell r="D16">
            <v>57899.603500921949</v>
          </cell>
          <cell r="E16">
            <v>0</v>
          </cell>
          <cell r="F16">
            <v>1047847.8141107176</v>
          </cell>
          <cell r="G16">
            <v>1047847.8141107176</v>
          </cell>
          <cell r="H16">
            <v>66235.0400436005</v>
          </cell>
          <cell r="I16">
            <v>1114082.8541543181</v>
          </cell>
          <cell r="J16">
            <v>0</v>
          </cell>
          <cell r="K16">
            <v>300000</v>
          </cell>
          <cell r="L16">
            <v>228000</v>
          </cell>
          <cell r="M16">
            <v>12000</v>
          </cell>
          <cell r="N16">
            <v>12000</v>
          </cell>
          <cell r="O16">
            <v>48000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>
            <v>70000</v>
          </cell>
          <cell r="V16">
            <v>0</v>
          </cell>
          <cell r="W16">
            <v>1000000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45627</v>
          </cell>
          <cell r="AM16">
            <v>70000</v>
          </cell>
          <cell r="AN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700000</v>
          </cell>
          <cell r="D17">
            <v>29661.208104101592</v>
          </cell>
          <cell r="E17">
            <v>0</v>
          </cell>
          <cell r="F17">
            <v>1379742.1014354646</v>
          </cell>
          <cell r="G17">
            <v>1379742.1014354646</v>
          </cell>
          <cell r="H17">
            <v>68725.52890901413</v>
          </cell>
          <cell r="I17">
            <v>1448467.6303444786</v>
          </cell>
          <cell r="J17">
            <v>0</v>
          </cell>
          <cell r="K17">
            <v>659000</v>
          </cell>
          <cell r="L17">
            <v>587000</v>
          </cell>
          <cell r="M17">
            <v>12000</v>
          </cell>
          <cell r="N17">
            <v>12000</v>
          </cell>
          <cell r="O17">
            <v>48000</v>
          </cell>
          <cell r="P17">
            <v>0</v>
          </cell>
          <cell r="Q17">
            <v>0</v>
          </cell>
          <cell r="R17">
            <v>0</v>
          </cell>
          <cell r="S17">
            <v>1238500</v>
          </cell>
          <cell r="T17">
            <v>30000</v>
          </cell>
          <cell r="V17">
            <v>1238500</v>
          </cell>
          <cell r="W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45627</v>
          </cell>
          <cell r="AM17">
            <v>30000</v>
          </cell>
          <cell r="AN17">
            <v>0</v>
          </cell>
        </row>
        <row r="18">
          <cell r="A18" t="str">
            <v>AS201617</v>
          </cell>
          <cell r="B18" t="str">
            <v>KOUAMOU MOISE</v>
          </cell>
          <cell r="C18">
            <v>700000</v>
          </cell>
          <cell r="D18">
            <v>9267.5051528789336</v>
          </cell>
          <cell r="E18">
            <v>0</v>
          </cell>
          <cell r="F18">
            <v>991355.40833892452</v>
          </cell>
          <cell r="G18">
            <v>991355.40833892452</v>
          </cell>
          <cell r="H18">
            <v>62143.617657746596</v>
          </cell>
          <cell r="I18">
            <v>1053499.0259966711</v>
          </cell>
          <cell r="J18">
            <v>0</v>
          </cell>
          <cell r="K18">
            <v>296000</v>
          </cell>
          <cell r="L18">
            <v>224000</v>
          </cell>
          <cell r="M18">
            <v>12000</v>
          </cell>
          <cell r="N18">
            <v>12000</v>
          </cell>
          <cell r="O18">
            <v>48000</v>
          </cell>
          <cell r="P18">
            <v>6000</v>
          </cell>
          <cell r="Q18">
            <v>0</v>
          </cell>
          <cell r="R18">
            <v>0</v>
          </cell>
          <cell r="S18">
            <v>1000000</v>
          </cell>
          <cell r="T18">
            <v>110000</v>
          </cell>
          <cell r="V18">
            <v>670000</v>
          </cell>
          <cell r="W18">
            <v>330000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100000</v>
          </cell>
          <cell r="AJ18">
            <v>0</v>
          </cell>
          <cell r="AK18">
            <v>0</v>
          </cell>
          <cell r="AL18">
            <v>45627</v>
          </cell>
          <cell r="AM18">
            <v>110000</v>
          </cell>
          <cell r="AN18">
            <v>0</v>
          </cell>
        </row>
        <row r="19">
          <cell r="A19" t="str">
            <v>AS201619</v>
          </cell>
          <cell r="B19" t="str">
            <v>KOUATCHO MESSACK</v>
          </cell>
          <cell r="C19">
            <v>700000</v>
          </cell>
          <cell r="D19">
            <v>24428.628065245139</v>
          </cell>
          <cell r="E19">
            <v>0</v>
          </cell>
          <cell r="F19">
            <v>1104474.8900474524</v>
          </cell>
          <cell r="G19">
            <v>1104474.8900474524</v>
          </cell>
          <cell r="H19">
            <v>64564.757324560269</v>
          </cell>
          <cell r="I19">
            <v>1169039.6473720127</v>
          </cell>
          <cell r="J19">
            <v>0</v>
          </cell>
          <cell r="K19">
            <v>392000</v>
          </cell>
          <cell r="L19">
            <v>320000</v>
          </cell>
          <cell r="M19">
            <v>12000</v>
          </cell>
          <cell r="N19">
            <v>12000</v>
          </cell>
          <cell r="O19">
            <v>48000</v>
          </cell>
          <cell r="P19">
            <v>6000</v>
          </cell>
          <cell r="Q19">
            <v>0</v>
          </cell>
          <cell r="R19">
            <v>0</v>
          </cell>
          <cell r="S19">
            <v>2350000</v>
          </cell>
          <cell r="T19">
            <v>64000</v>
          </cell>
          <cell r="V19">
            <v>1350000</v>
          </cell>
          <cell r="W19">
            <v>1000000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45627</v>
          </cell>
          <cell r="AM19">
            <v>64000</v>
          </cell>
          <cell r="AN19">
            <v>0</v>
          </cell>
        </row>
        <row r="20">
          <cell r="A20" t="str">
            <v>AS201620</v>
          </cell>
          <cell r="B20" t="str">
            <v>LOWE JEAN</v>
          </cell>
          <cell r="C20"/>
          <cell r="D20">
            <v>1352434</v>
          </cell>
          <cell r="E20"/>
          <cell r="F20">
            <v>676217</v>
          </cell>
          <cell r="G20">
            <v>0</v>
          </cell>
          <cell r="H20">
            <v>0</v>
          </cell>
          <cell r="I20">
            <v>676217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M20">
            <v>0</v>
          </cell>
          <cell r="AN20">
            <v>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0</v>
          </cell>
          <cell r="E21">
            <v>0</v>
          </cell>
          <cell r="F21">
            <v>525500</v>
          </cell>
          <cell r="G21">
            <v>0</v>
          </cell>
          <cell r="H21">
            <v>0</v>
          </cell>
          <cell r="I21">
            <v>525500</v>
          </cell>
          <cell r="J21">
            <v>0</v>
          </cell>
          <cell r="K21">
            <v>597500</v>
          </cell>
          <cell r="L21">
            <v>525500</v>
          </cell>
          <cell r="M21">
            <v>12000</v>
          </cell>
          <cell r="N21">
            <v>12000</v>
          </cell>
          <cell r="O21">
            <v>48000</v>
          </cell>
          <cell r="P21">
            <v>0</v>
          </cell>
          <cell r="Q21">
            <v>25000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190000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M21">
            <v>0</v>
          </cell>
          <cell r="AN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700000</v>
          </cell>
          <cell r="D22">
            <v>31709.397241182596</v>
          </cell>
          <cell r="E22">
            <v>0</v>
          </cell>
          <cell r="F22">
            <v>1018064.0502007741</v>
          </cell>
          <cell r="G22">
            <v>1018064.0502007741</v>
          </cell>
          <cell r="H22">
            <v>64019.634626899009</v>
          </cell>
          <cell r="I22">
            <v>1082083.684827673</v>
          </cell>
          <cell r="J22">
            <v>0</v>
          </cell>
          <cell r="K22">
            <v>298500</v>
          </cell>
          <cell r="L22">
            <v>226500</v>
          </cell>
          <cell r="M22">
            <v>12000</v>
          </cell>
          <cell r="N22">
            <v>12000</v>
          </cell>
          <cell r="O22">
            <v>48000</v>
          </cell>
          <cell r="P22">
            <v>0</v>
          </cell>
          <cell r="Q22">
            <v>0</v>
          </cell>
          <cell r="R22">
            <v>0</v>
          </cell>
          <cell r="S22">
            <v>2000000</v>
          </cell>
          <cell r="T22">
            <v>120000</v>
          </cell>
          <cell r="V22">
            <v>1000000</v>
          </cell>
          <cell r="W22">
            <v>1000000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66700</v>
          </cell>
          <cell r="AF22">
            <v>0</v>
          </cell>
          <cell r="AG22">
            <v>0</v>
          </cell>
          <cell r="AH22">
            <v>0</v>
          </cell>
          <cell r="AI22">
            <v>6000</v>
          </cell>
          <cell r="AJ22">
            <v>0</v>
          </cell>
          <cell r="AK22">
            <v>0</v>
          </cell>
          <cell r="AL22">
            <v>45627</v>
          </cell>
          <cell r="AM22">
            <v>120000</v>
          </cell>
          <cell r="AN22">
            <v>0</v>
          </cell>
        </row>
        <row r="23">
          <cell r="A23" t="str">
            <v>AS201639</v>
          </cell>
          <cell r="B23" t="str">
            <v>NANGUEN MARTIN</v>
          </cell>
          <cell r="C23">
            <v>700000</v>
          </cell>
          <cell r="D23">
            <v>1150.3620808817795</v>
          </cell>
          <cell r="E23">
            <v>0</v>
          </cell>
          <cell r="F23">
            <v>986602.65296518349</v>
          </cell>
          <cell r="G23">
            <v>986602.65296518349</v>
          </cell>
          <cell r="H23">
            <v>61488.56145264802</v>
          </cell>
          <cell r="I23">
            <v>1048091.2144178315</v>
          </cell>
          <cell r="J23">
            <v>0</v>
          </cell>
          <cell r="K23">
            <v>300000</v>
          </cell>
          <cell r="L23">
            <v>228000</v>
          </cell>
          <cell r="M23">
            <v>12000</v>
          </cell>
          <cell r="N23">
            <v>12000</v>
          </cell>
          <cell r="O23">
            <v>48000</v>
          </cell>
          <cell r="P23">
            <v>0</v>
          </cell>
          <cell r="Q23">
            <v>0</v>
          </cell>
          <cell r="R23">
            <v>0</v>
          </cell>
          <cell r="S23">
            <v>300000</v>
          </cell>
          <cell r="T23">
            <v>64500</v>
          </cell>
          <cell r="V23">
            <v>300000</v>
          </cell>
          <cell r="W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46500</v>
          </cell>
          <cell r="AK23">
            <v>0</v>
          </cell>
          <cell r="AL23">
            <v>45474</v>
          </cell>
          <cell r="AM23">
            <v>64500</v>
          </cell>
          <cell r="AN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700000</v>
          </cell>
          <cell r="D24">
            <v>100402.23439018801</v>
          </cell>
          <cell r="E24">
            <v>0</v>
          </cell>
          <cell r="F24">
            <v>1093717.6867783549</v>
          </cell>
          <cell r="G24">
            <v>1093717.6867783549</v>
          </cell>
          <cell r="H24">
            <v>69789.939149332262</v>
          </cell>
          <cell r="I24">
            <v>1163507.6259276872</v>
          </cell>
          <cell r="J24">
            <v>0</v>
          </cell>
          <cell r="K24">
            <v>300000</v>
          </cell>
          <cell r="L24">
            <v>228000</v>
          </cell>
          <cell r="M24">
            <v>12000</v>
          </cell>
          <cell r="N24">
            <v>12000</v>
          </cell>
          <cell r="O24">
            <v>48000</v>
          </cell>
          <cell r="P24">
            <v>3000</v>
          </cell>
          <cell r="Q24">
            <v>0</v>
          </cell>
          <cell r="R24">
            <v>0</v>
          </cell>
          <cell r="S24">
            <v>1900000</v>
          </cell>
          <cell r="T24">
            <v>120000</v>
          </cell>
          <cell r="V24">
            <v>1000000</v>
          </cell>
          <cell r="W24">
            <v>900000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45627</v>
          </cell>
          <cell r="AM24">
            <v>120000</v>
          </cell>
          <cell r="AN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700000</v>
          </cell>
          <cell r="D25">
            <v>224970.61781197961</v>
          </cell>
          <cell r="E25">
            <v>0</v>
          </cell>
          <cell r="F25">
            <v>1369338.144939593</v>
          </cell>
          <cell r="G25">
            <v>1369338.144939593</v>
          </cell>
          <cell r="H25">
            <v>81969.599284953001</v>
          </cell>
          <cell r="I25">
            <v>1451307.744224546</v>
          </cell>
          <cell r="J25">
            <v>0</v>
          </cell>
          <cell r="K25">
            <v>440000</v>
          </cell>
          <cell r="L25">
            <v>368000</v>
          </cell>
          <cell r="M25">
            <v>12000</v>
          </cell>
          <cell r="N25">
            <v>12000</v>
          </cell>
          <cell r="O25">
            <v>48000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>
            <v>60000</v>
          </cell>
          <cell r="V25">
            <v>500000</v>
          </cell>
          <cell r="W25">
            <v>500000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45627</v>
          </cell>
          <cell r="AM25">
            <v>60000</v>
          </cell>
          <cell r="AN25">
            <v>0</v>
          </cell>
        </row>
        <row r="26">
          <cell r="A26" t="str">
            <v>AS201624</v>
          </cell>
          <cell r="B26" t="str">
            <v>NGONDIEP CLAUDE</v>
          </cell>
          <cell r="C26">
            <v>700000</v>
          </cell>
          <cell r="D26">
            <v>57632.732271146844</v>
          </cell>
          <cell r="E26">
            <v>0</v>
          </cell>
          <cell r="F26">
            <v>1213902.9603721222</v>
          </cell>
          <cell r="G26">
            <v>1213902.9603721222</v>
          </cell>
          <cell r="H26">
            <v>68236.402453996707</v>
          </cell>
          <cell r="I26">
            <v>1282139.3628261189</v>
          </cell>
          <cell r="J26">
            <v>0</v>
          </cell>
          <cell r="K26">
            <v>465000</v>
          </cell>
          <cell r="L26">
            <v>393000</v>
          </cell>
          <cell r="M26">
            <v>12000</v>
          </cell>
          <cell r="N26">
            <v>12000</v>
          </cell>
          <cell r="O26">
            <v>48000</v>
          </cell>
          <cell r="P26">
            <v>12000</v>
          </cell>
          <cell r="Q26">
            <v>0</v>
          </cell>
          <cell r="R26">
            <v>0</v>
          </cell>
          <cell r="S26">
            <v>1000000</v>
          </cell>
          <cell r="T26">
            <v>120000</v>
          </cell>
          <cell r="V26">
            <v>1000000</v>
          </cell>
          <cell r="W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100000</v>
          </cell>
          <cell r="AJ26">
            <v>0</v>
          </cell>
          <cell r="AK26">
            <v>0</v>
          </cell>
          <cell r="AL26">
            <v>45627</v>
          </cell>
          <cell r="AM26">
            <v>120000</v>
          </cell>
          <cell r="AN26">
            <v>0</v>
          </cell>
        </row>
        <row r="27">
          <cell r="A27" t="str">
            <v>AS201626</v>
          </cell>
          <cell r="B27" t="str">
            <v>NGUIEMEGNI MATHIEU BLAISE</v>
          </cell>
          <cell r="C27">
            <v>700000</v>
          </cell>
          <cell r="D27">
            <v>20382.784231808502</v>
          </cell>
          <cell r="E27">
            <v>0</v>
          </cell>
          <cell r="F27">
            <v>999872.42433941911</v>
          </cell>
          <cell r="G27">
            <v>999872.42433941911</v>
          </cell>
          <cell r="H27">
            <v>63080.198374743843</v>
          </cell>
          <cell r="I27">
            <v>1062952.622714163</v>
          </cell>
          <cell r="J27">
            <v>0</v>
          </cell>
          <cell r="K27">
            <v>292500</v>
          </cell>
          <cell r="L27">
            <v>220500</v>
          </cell>
          <cell r="M27">
            <v>12000</v>
          </cell>
          <cell r="N27">
            <v>12000</v>
          </cell>
          <cell r="O27">
            <v>48000</v>
          </cell>
          <cell r="P27">
            <v>3000</v>
          </cell>
          <cell r="Q27">
            <v>0</v>
          </cell>
          <cell r="R27">
            <v>0</v>
          </cell>
          <cell r="S27">
            <v>2000000</v>
          </cell>
          <cell r="T27">
            <v>120000</v>
          </cell>
          <cell r="V27">
            <v>1000000</v>
          </cell>
          <cell r="W27">
            <v>1000000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45627</v>
          </cell>
          <cell r="AM27">
            <v>120000</v>
          </cell>
          <cell r="AN27">
            <v>0</v>
          </cell>
        </row>
        <row r="28">
          <cell r="A28" t="str">
            <v>AS201628</v>
          </cell>
          <cell r="B28" t="str">
            <v>NKAMGANG JUSTIN DEJOLIE</v>
          </cell>
          <cell r="C28">
            <v>700000</v>
          </cell>
          <cell r="D28">
            <v>19031.484583758342</v>
          </cell>
          <cell r="E28">
            <v>0</v>
          </cell>
          <cell r="F28">
            <v>1007405.9978122362</v>
          </cell>
          <cell r="G28">
            <v>1007405.9978122362</v>
          </cell>
          <cell r="H28">
            <v>62995.891948801094</v>
          </cell>
          <cell r="I28">
            <v>1070401.8897610372</v>
          </cell>
          <cell r="J28">
            <v>0</v>
          </cell>
          <cell r="K28">
            <v>301500</v>
          </cell>
          <cell r="L28">
            <v>229500</v>
          </cell>
          <cell r="M28">
            <v>12000</v>
          </cell>
          <cell r="N28">
            <v>12000</v>
          </cell>
          <cell r="O28">
            <v>48000</v>
          </cell>
          <cell r="P28">
            <v>0</v>
          </cell>
          <cell r="Q28">
            <v>0</v>
          </cell>
          <cell r="R28">
            <v>0</v>
          </cell>
          <cell r="S28">
            <v>2000000</v>
          </cell>
          <cell r="T28">
            <v>90000</v>
          </cell>
          <cell r="V28">
            <v>1000000</v>
          </cell>
          <cell r="W28">
            <v>1000000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45566</v>
          </cell>
          <cell r="AM28">
            <v>90000</v>
          </cell>
          <cell r="AN28">
            <v>0</v>
          </cell>
        </row>
        <row r="29">
          <cell r="A29" t="str">
            <v>AS201656</v>
          </cell>
          <cell r="B29" t="str">
            <v>NOUBE ETIENNE</v>
          </cell>
          <cell r="C29"/>
          <cell r="D29">
            <v>1332038</v>
          </cell>
          <cell r="E29">
            <v>0</v>
          </cell>
          <cell r="F29">
            <v>907028.42220575782</v>
          </cell>
          <cell r="G29">
            <v>907028.42220575782</v>
          </cell>
          <cell r="H29">
            <v>16720.148215058223</v>
          </cell>
          <cell r="I29">
            <v>923748.57042081608</v>
          </cell>
          <cell r="J29">
            <v>0</v>
          </cell>
          <cell r="K29">
            <v>300000</v>
          </cell>
          <cell r="L29">
            <v>228000</v>
          </cell>
          <cell r="M29">
            <v>12000</v>
          </cell>
          <cell r="N29">
            <v>12000</v>
          </cell>
          <cell r="O29">
            <v>48000</v>
          </cell>
          <cell r="P29">
            <v>0</v>
          </cell>
          <cell r="Q29">
            <v>0</v>
          </cell>
          <cell r="R29">
            <v>0</v>
          </cell>
          <cell r="S29">
            <v>50000</v>
          </cell>
          <cell r="T29">
            <v>9250</v>
          </cell>
          <cell r="V29">
            <v>50000</v>
          </cell>
          <cell r="W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20000</v>
          </cell>
          <cell r="AF29">
            <v>0</v>
          </cell>
          <cell r="AG29">
            <v>0</v>
          </cell>
          <cell r="AH29">
            <v>0</v>
          </cell>
          <cell r="AI29">
            <v>100000</v>
          </cell>
          <cell r="AJ29">
            <v>0</v>
          </cell>
          <cell r="AK29">
            <v>0</v>
          </cell>
          <cell r="AL29">
            <v>45444</v>
          </cell>
          <cell r="AM29">
            <v>9250</v>
          </cell>
          <cell r="AN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700000</v>
          </cell>
          <cell r="D30">
            <v>43697.666300758487</v>
          </cell>
          <cell r="E30">
            <v>0</v>
          </cell>
          <cell r="F30">
            <v>1059520.7381774064</v>
          </cell>
          <cell r="G30">
            <v>1059520.7381774064</v>
          </cell>
          <cell r="H30">
            <v>65157.656178854231</v>
          </cell>
          <cell r="I30">
            <v>1124678.3943562605</v>
          </cell>
          <cell r="J30">
            <v>0</v>
          </cell>
          <cell r="K30">
            <v>327000</v>
          </cell>
          <cell r="L30">
            <v>255000</v>
          </cell>
          <cell r="M30">
            <v>12000</v>
          </cell>
          <cell r="N30">
            <v>12000</v>
          </cell>
          <cell r="O30">
            <v>48000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>
            <v>0</v>
          </cell>
          <cell r="AN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245500</v>
          </cell>
          <cell r="E31">
            <v>0</v>
          </cell>
          <cell r="F31">
            <v>944509.15650175198</v>
          </cell>
          <cell r="G31">
            <v>944509.15650175198</v>
          </cell>
          <cell r="H31">
            <v>17373.219200614534</v>
          </cell>
          <cell r="I31">
            <v>961882.37570236647</v>
          </cell>
          <cell r="J31">
            <v>0</v>
          </cell>
          <cell r="K31">
            <v>757500</v>
          </cell>
          <cell r="L31">
            <v>685500</v>
          </cell>
          <cell r="M31">
            <v>12000</v>
          </cell>
          <cell r="N31">
            <v>12000</v>
          </cell>
          <cell r="O31">
            <v>48000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T31">
            <v>0</v>
          </cell>
          <cell r="V31">
            <v>0</v>
          </cell>
          <cell r="W31">
            <v>1000000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115000</v>
          </cell>
          <cell r="AF31">
            <v>0</v>
          </cell>
          <cell r="AG31">
            <v>0</v>
          </cell>
          <cell r="AH31">
            <v>0</v>
          </cell>
          <cell r="AI31">
            <v>200000</v>
          </cell>
          <cell r="AJ31">
            <v>0</v>
          </cell>
          <cell r="AK31">
            <v>0</v>
          </cell>
          <cell r="AM31">
            <v>0</v>
          </cell>
          <cell r="AN31">
            <v>0</v>
          </cell>
        </row>
        <row r="32">
          <cell r="A32" t="str">
            <v>AS201653</v>
          </cell>
          <cell r="B32" t="str">
            <v>SIME BRICE</v>
          </cell>
          <cell r="C32">
            <v>700000</v>
          </cell>
          <cell r="D32">
            <v>104364.15055016428</v>
          </cell>
          <cell r="E32">
            <v>0</v>
          </cell>
          <cell r="F32">
            <v>1101010.4861848836</v>
          </cell>
          <cell r="G32">
            <v>1101010.4861848836</v>
          </cell>
          <cell r="H32">
            <v>70150.657823061978</v>
          </cell>
          <cell r="I32">
            <v>1171161.1440079457</v>
          </cell>
          <cell r="J32">
            <v>0</v>
          </cell>
          <cell r="K32">
            <v>303000</v>
          </cell>
          <cell r="L32">
            <v>231000</v>
          </cell>
          <cell r="M32">
            <v>12000</v>
          </cell>
          <cell r="N32">
            <v>12000</v>
          </cell>
          <cell r="O32">
            <v>48000</v>
          </cell>
          <cell r="P32">
            <v>0</v>
          </cell>
          <cell r="Q32">
            <v>0</v>
          </cell>
          <cell r="R32">
            <v>0</v>
          </cell>
          <cell r="S32">
            <v>2000000</v>
          </cell>
          <cell r="T32">
            <v>90000</v>
          </cell>
          <cell r="V32">
            <v>1000000</v>
          </cell>
          <cell r="W32">
            <v>1000000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M32">
            <v>90000</v>
          </cell>
          <cell r="AN32">
            <v>0</v>
          </cell>
        </row>
        <row r="33">
          <cell r="A33" t="str">
            <v>AS201638</v>
          </cell>
          <cell r="B33" t="str">
            <v>SIMO PIERRE</v>
          </cell>
          <cell r="C33">
            <v>700000</v>
          </cell>
          <cell r="D33">
            <v>686.61218299972825</v>
          </cell>
          <cell r="E33">
            <v>0</v>
          </cell>
          <cell r="F33">
            <v>986102.16279974184</v>
          </cell>
          <cell r="G33">
            <v>986102.16279974184</v>
          </cell>
          <cell r="H33">
            <v>61449.773639687468</v>
          </cell>
          <cell r="I33">
            <v>1047551.9364394293</v>
          </cell>
          <cell r="J33">
            <v>0</v>
          </cell>
          <cell r="K33">
            <v>300000</v>
          </cell>
          <cell r="L33">
            <v>228000</v>
          </cell>
          <cell r="M33">
            <v>12000</v>
          </cell>
          <cell r="N33">
            <v>12000</v>
          </cell>
          <cell r="O33">
            <v>48000</v>
          </cell>
          <cell r="P33">
            <v>0</v>
          </cell>
          <cell r="Q33">
            <v>0</v>
          </cell>
          <cell r="R33">
            <v>0</v>
          </cell>
          <cell r="S33">
            <v>2250000</v>
          </cell>
          <cell r="T33">
            <v>105000</v>
          </cell>
          <cell r="V33">
            <v>1250000</v>
          </cell>
          <cell r="W33">
            <v>1000000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100000</v>
          </cell>
          <cell r="AJ33">
            <v>0</v>
          </cell>
          <cell r="AK33">
            <v>0</v>
          </cell>
          <cell r="AL33">
            <v>45627</v>
          </cell>
          <cell r="AM33">
            <v>105000</v>
          </cell>
          <cell r="AN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700000</v>
          </cell>
          <cell r="D34">
            <v>975.80620651689242</v>
          </cell>
          <cell r="E34">
            <v>0</v>
          </cell>
          <cell r="F34">
            <v>1992081.9868132719</v>
          </cell>
          <cell r="G34">
            <v>1992081.9868132719</v>
          </cell>
          <cell r="H34">
            <v>71255.947758649185</v>
          </cell>
          <cell r="I34">
            <v>2063337.9345719211</v>
          </cell>
          <cell r="J34">
            <v>0</v>
          </cell>
          <cell r="K34">
            <v>1300000</v>
          </cell>
          <cell r="L34">
            <v>1228000</v>
          </cell>
          <cell r="M34">
            <v>12000</v>
          </cell>
          <cell r="N34">
            <v>12000</v>
          </cell>
          <cell r="O34">
            <v>48000</v>
          </cell>
          <cell r="P34">
            <v>0</v>
          </cell>
          <cell r="Q34">
            <v>0</v>
          </cell>
          <cell r="R34">
            <v>0</v>
          </cell>
          <cell r="S34">
            <v>2000000</v>
          </cell>
          <cell r="T34">
            <v>60000</v>
          </cell>
          <cell r="V34">
            <v>1000000</v>
          </cell>
          <cell r="W34">
            <v>1000000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M34">
            <v>60000</v>
          </cell>
          <cell r="AN34">
            <v>0</v>
          </cell>
        </row>
        <row r="35">
          <cell r="A35" t="str">
            <v>AS201660</v>
          </cell>
          <cell r="B35" t="str">
            <v>TCHOUATEU AUGUSTIN</v>
          </cell>
          <cell r="C35">
            <v>0</v>
          </cell>
          <cell r="D35">
            <v>0</v>
          </cell>
          <cell r="E35">
            <v>0</v>
          </cell>
          <cell r="F35">
            <v>972739.10692510835</v>
          </cell>
          <cell r="G35">
            <v>972739.10692510835</v>
          </cell>
          <cell r="H35">
            <v>4718.6606148953824</v>
          </cell>
          <cell r="I35">
            <v>977457.76754000376</v>
          </cell>
          <cell r="J35">
            <v>0</v>
          </cell>
          <cell r="K35">
            <v>1044000</v>
          </cell>
          <cell r="L35">
            <v>972000</v>
          </cell>
          <cell r="M35">
            <v>12000</v>
          </cell>
          <cell r="N35">
            <v>12000</v>
          </cell>
          <cell r="O35">
            <v>48000</v>
          </cell>
          <cell r="P35">
            <v>0</v>
          </cell>
          <cell r="Q35">
            <v>25000</v>
          </cell>
          <cell r="R35">
            <v>120000</v>
          </cell>
          <cell r="S35">
            <v>1000000</v>
          </cell>
          <cell r="T35">
            <v>0</v>
          </cell>
          <cell r="V35">
            <v>0</v>
          </cell>
          <cell r="W35">
            <v>1000000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140000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M35">
            <v>0</v>
          </cell>
          <cell r="AN35">
            <v>0</v>
          </cell>
        </row>
        <row r="36">
          <cell r="A36" t="str">
            <v>AS201643</v>
          </cell>
          <cell r="B36" t="str">
            <v>TCHOUTOU NANA CLAUDE</v>
          </cell>
          <cell r="C36">
            <v>0</v>
          </cell>
          <cell r="D36">
            <v>103000</v>
          </cell>
          <cell r="E36">
            <v>0</v>
          </cell>
          <cell r="F36">
            <v>631750</v>
          </cell>
          <cell r="G36">
            <v>0</v>
          </cell>
          <cell r="H36">
            <v>0</v>
          </cell>
          <cell r="I36">
            <v>631750</v>
          </cell>
          <cell r="J36">
            <v>0</v>
          </cell>
          <cell r="K36">
            <v>600750</v>
          </cell>
          <cell r="L36">
            <v>528750</v>
          </cell>
          <cell r="M36">
            <v>12000</v>
          </cell>
          <cell r="N36">
            <v>12000</v>
          </cell>
          <cell r="O36">
            <v>48000</v>
          </cell>
          <cell r="P36">
            <v>3000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3750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M36">
            <v>0</v>
          </cell>
          <cell r="AN36">
            <v>0</v>
          </cell>
        </row>
        <row r="37">
          <cell r="A37" t="str">
            <v>AS201658</v>
          </cell>
          <cell r="B37" t="str">
            <v>YANTCHOU GERVAIS</v>
          </cell>
          <cell r="C37"/>
          <cell r="D37">
            <v>1396048</v>
          </cell>
          <cell r="E37">
            <v>0</v>
          </cell>
          <cell r="F37">
            <v>1094230.7829868733</v>
          </cell>
          <cell r="G37">
            <v>1094230.7829868733</v>
          </cell>
          <cell r="H37">
            <v>62683.368865772507</v>
          </cell>
          <cell r="I37">
            <v>1156914.1518526459</v>
          </cell>
          <cell r="J37">
            <v>0</v>
          </cell>
          <cell r="K37">
            <v>410000</v>
          </cell>
          <cell r="L37">
            <v>338000</v>
          </cell>
          <cell r="M37">
            <v>12000</v>
          </cell>
          <cell r="N37">
            <v>12000</v>
          </cell>
          <cell r="O37">
            <v>48000</v>
          </cell>
          <cell r="P37">
            <v>0</v>
          </cell>
          <cell r="Q37">
            <v>0</v>
          </cell>
          <cell r="R37">
            <v>0</v>
          </cell>
          <cell r="S37">
            <v>1700000</v>
          </cell>
          <cell r="T37">
            <v>84000</v>
          </cell>
          <cell r="V37">
            <v>597500</v>
          </cell>
          <cell r="W37">
            <v>1102500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100000</v>
          </cell>
          <cell r="AJ37">
            <v>0</v>
          </cell>
          <cell r="AK37">
            <v>0</v>
          </cell>
          <cell r="AM37">
            <v>84000</v>
          </cell>
          <cell r="AN37">
            <v>0</v>
          </cell>
        </row>
        <row r="38">
          <cell r="A38" t="str">
            <v>AS201646</v>
          </cell>
          <cell r="B38" t="str">
            <v>YEPMOU JEAN JACQUES</v>
          </cell>
          <cell r="C38">
            <v>700000</v>
          </cell>
          <cell r="D38">
            <v>1003326.8477058813</v>
          </cell>
          <cell r="E38">
            <v>0</v>
          </cell>
          <cell r="F38">
            <v>2068175.8832408788</v>
          </cell>
          <cell r="G38">
            <v>2068175.8832408788</v>
          </cell>
          <cell r="H38">
            <v>145310.10891910025</v>
          </cell>
          <cell r="I38">
            <v>2213485.992159979</v>
          </cell>
          <cell r="J38">
            <v>0</v>
          </cell>
          <cell r="K38">
            <v>300000</v>
          </cell>
          <cell r="L38">
            <v>228000</v>
          </cell>
          <cell r="M38">
            <v>12000</v>
          </cell>
          <cell r="N38">
            <v>12000</v>
          </cell>
          <cell r="O38">
            <v>48000</v>
          </cell>
          <cell r="P38">
            <v>6000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100000</v>
          </cell>
          <cell r="AJ38">
            <v>0</v>
          </cell>
          <cell r="AK38">
            <v>0</v>
          </cell>
          <cell r="AM38">
            <v>0</v>
          </cell>
          <cell r="AN38">
            <v>0</v>
          </cell>
        </row>
        <row r="39">
          <cell r="A39" t="str">
            <v>AS201659</v>
          </cell>
          <cell r="B39" t="str">
            <v>YIALA ALAIN OSCAR</v>
          </cell>
          <cell r="C39">
            <v>0</v>
          </cell>
          <cell r="D39">
            <v>0</v>
          </cell>
          <cell r="E39">
            <v>0</v>
          </cell>
          <cell r="F39">
            <v>928771.34199085762</v>
          </cell>
          <cell r="G39">
            <v>928771.34199085762</v>
          </cell>
          <cell r="H39">
            <v>4571.020028550347</v>
          </cell>
          <cell r="I39">
            <v>933342.36201940791</v>
          </cell>
          <cell r="J39">
            <v>0</v>
          </cell>
          <cell r="K39">
            <v>1000000</v>
          </cell>
          <cell r="L39">
            <v>928000</v>
          </cell>
          <cell r="M39">
            <v>12000</v>
          </cell>
          <cell r="N39">
            <v>12000</v>
          </cell>
          <cell r="O39">
            <v>48000</v>
          </cell>
          <cell r="P39">
            <v>18000</v>
          </cell>
          <cell r="Q39">
            <v>25000</v>
          </cell>
          <cell r="R39">
            <v>120000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240000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M39">
            <v>0</v>
          </cell>
          <cell r="AN39">
            <v>0</v>
          </cell>
        </row>
        <row r="40">
          <cell r="A40" t="str">
            <v>AS201647</v>
          </cell>
          <cell r="B40" t="str">
            <v>YOUMBI EMMANUEL</v>
          </cell>
          <cell r="C40">
            <v>700000</v>
          </cell>
          <cell r="D40">
            <v>1157834.9698456018</v>
          </cell>
          <cell r="E40">
            <v>0</v>
          </cell>
          <cell r="F40">
            <v>2234924.8053753586</v>
          </cell>
          <cell r="G40">
            <v>2234924.8053753586</v>
          </cell>
          <cell r="H40">
            <v>158233.09212580579</v>
          </cell>
          <cell r="I40">
            <v>2393157.8975011641</v>
          </cell>
          <cell r="J40">
            <v>0</v>
          </cell>
          <cell r="K40">
            <v>300000</v>
          </cell>
          <cell r="L40">
            <v>228000</v>
          </cell>
          <cell r="M40">
            <v>12000</v>
          </cell>
          <cell r="N40">
            <v>12000</v>
          </cell>
          <cell r="O40">
            <v>48000</v>
          </cell>
          <cell r="P40">
            <v>0</v>
          </cell>
          <cell r="Q40">
            <v>0</v>
          </cell>
          <cell r="R40">
            <v>0</v>
          </cell>
          <cell r="S40">
            <v>500000</v>
          </cell>
          <cell r="T40">
            <v>0</v>
          </cell>
          <cell r="V40">
            <v>0</v>
          </cell>
          <cell r="W40">
            <v>500000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100000</v>
          </cell>
          <cell r="AJ40">
            <v>0</v>
          </cell>
          <cell r="AK40">
            <v>0</v>
          </cell>
          <cell r="AM40">
            <v>0</v>
          </cell>
          <cell r="AN40">
            <v>0</v>
          </cell>
        </row>
        <row r="41">
          <cell r="A41"/>
          <cell r="B41"/>
          <cell r="C41">
            <v>0</v>
          </cell>
          <cell r="D41">
            <v>0</v>
          </cell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Q41"/>
          <cell r="W41">
            <v>0</v>
          </cell>
          <cell r="AN41">
            <v>0</v>
          </cell>
        </row>
        <row r="42">
          <cell r="A42" t="str">
            <v>TOTAL</v>
          </cell>
          <cell r="C42">
            <v>16800000</v>
          </cell>
          <cell r="D42">
            <v>10148398.07312192</v>
          </cell>
          <cell r="E42">
            <v>0</v>
          </cell>
          <cell r="F42">
            <v>37826406.07312192</v>
          </cell>
          <cell r="G42">
            <v>35992939.07312192</v>
          </cell>
          <cell r="H42">
            <v>1982150.0000000005</v>
          </cell>
          <cell r="I42">
            <v>39808556.073121913</v>
          </cell>
          <cell r="J42">
            <v>0</v>
          </cell>
          <cell r="K42">
            <v>14065850</v>
          </cell>
          <cell r="L42">
            <v>11823850</v>
          </cell>
          <cell r="M42">
            <v>384000</v>
          </cell>
          <cell r="N42">
            <v>384000</v>
          </cell>
          <cell r="O42">
            <v>1536000</v>
          </cell>
          <cell r="P42">
            <v>93000</v>
          </cell>
          <cell r="Q42">
            <v>75000</v>
          </cell>
        </row>
        <row r="44">
          <cell r="D44">
            <v>6273822</v>
          </cell>
          <cell r="E44">
            <v>3874576.0731219202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6">
          <cell r="B6">
            <v>763899.37129714503</v>
          </cell>
        </row>
        <row r="20">
          <cell r="D20">
            <v>335000</v>
          </cell>
        </row>
      </sheetData>
      <sheetData sheetId="27">
        <row r="6">
          <cell r="B6">
            <v>2518500</v>
          </cell>
        </row>
        <row r="31">
          <cell r="C31">
            <v>2518500</v>
          </cell>
        </row>
      </sheetData>
      <sheetData sheetId="28" refreshError="1"/>
      <sheetData sheetId="29">
        <row r="6">
          <cell r="B6">
            <v>319855</v>
          </cell>
        </row>
        <row r="11">
          <cell r="C11">
            <v>76050</v>
          </cell>
        </row>
      </sheetData>
      <sheetData sheetId="30">
        <row r="6">
          <cell r="B6">
            <v>996118</v>
          </cell>
        </row>
        <row r="11">
          <cell r="C11">
            <v>500000</v>
          </cell>
        </row>
      </sheetData>
      <sheetData sheetId="31">
        <row r="6">
          <cell r="B6">
            <v>51453.696796924203</v>
          </cell>
        </row>
        <row r="12">
          <cell r="C12">
            <v>127454</v>
          </cell>
        </row>
      </sheetData>
      <sheetData sheetId="32" refreshError="1"/>
      <sheetData sheetId="33">
        <row r="6">
          <cell r="B6">
            <v>1667000</v>
          </cell>
        </row>
        <row r="28">
          <cell r="C28">
            <v>1137217</v>
          </cell>
        </row>
      </sheetData>
      <sheetData sheetId="34">
        <row r="6">
          <cell r="B6">
            <v>1553000</v>
          </cell>
        </row>
        <row r="14">
          <cell r="C14">
            <v>1706468</v>
          </cell>
        </row>
      </sheetData>
      <sheetData sheetId="35">
        <row r="6">
          <cell r="B6">
            <v>1132500</v>
          </cell>
        </row>
        <row r="8">
          <cell r="C8">
            <v>540421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</row>
      </sheetData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S6">
            <v>19029.411764705881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/>
      <sheetData sheetId="1">
        <row r="7">
          <cell r="A7" t="str">
            <v>AS201604</v>
          </cell>
        </row>
      </sheetData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S6">
            <v>44678.571428571428</v>
          </cell>
        </row>
      </sheetData>
      <sheetData sheetId="1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655592631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699984782</v>
          </cell>
          <cell r="G6"/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>
            <v>677911165</v>
          </cell>
          <cell r="G30"/>
          <cell r="H30"/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>
            <v>696585018</v>
          </cell>
          <cell r="G35"/>
          <cell r="H35"/>
        </row>
        <row r="36">
          <cell r="A36" t="str">
            <v>AS201629</v>
          </cell>
          <cell r="B36"/>
          <cell r="C36" t="str">
            <v>NKEPSEU DIEUDONNE</v>
          </cell>
          <cell r="D36"/>
          <cell r="E36"/>
          <cell r="F36"/>
          <cell r="G36"/>
          <cell r="H36"/>
        </row>
        <row r="37">
          <cell r="A37" t="str">
            <v>AS201659</v>
          </cell>
          <cell r="B37">
            <v>32</v>
          </cell>
          <cell r="C37" t="str">
            <v>YIALA ALAIN OSCAR</v>
          </cell>
          <cell r="D37"/>
          <cell r="E37"/>
          <cell r="F37"/>
          <cell r="G37"/>
          <cell r="H37"/>
        </row>
        <row r="38">
          <cell r="A38" t="str">
            <v>AS201660</v>
          </cell>
          <cell r="B38">
            <v>33</v>
          </cell>
          <cell r="C38" t="str">
            <v>TCHOUATEU AUGUSTIN</v>
          </cell>
          <cell r="D38"/>
          <cell r="E38"/>
          <cell r="F38"/>
          <cell r="G38"/>
          <cell r="H38"/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  <cell r="D39"/>
          <cell r="E39"/>
          <cell r="F39"/>
          <cell r="G39"/>
          <cell r="H39"/>
        </row>
      </sheetData>
      <sheetData sheetId="1"/>
      <sheetData sheetId="2"/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  <sheetName val="LISTADHERENT (3)"/>
      <sheetName val="LISTADHERENT (4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  <sheetName val="FONDSTRANSPORT"/>
    </sheetNames>
    <sheetDataSet>
      <sheetData sheetId="0">
        <row r="1">
          <cell r="A1" t="str">
            <v>MLE</v>
          </cell>
        </row>
        <row r="2">
          <cell r="A2" t="str">
            <v>AS201648</v>
          </cell>
          <cell r="B2">
            <v>1</v>
          </cell>
          <cell r="C2" t="str">
            <v>ASELBY</v>
          </cell>
          <cell r="D2">
            <v>362838.01108374598</v>
          </cell>
          <cell r="E2">
            <v>0</v>
          </cell>
          <cell r="F2">
            <v>31243</v>
          </cell>
          <cell r="G2">
            <v>62669</v>
          </cell>
          <cell r="H2">
            <v>456750.01108374598</v>
          </cell>
        </row>
        <row r="3">
          <cell r="A3" t="str">
            <v>AS201601</v>
          </cell>
          <cell r="B3">
            <v>2</v>
          </cell>
          <cell r="C3" t="str">
            <v>BAKOP ACHILLE</v>
          </cell>
          <cell r="D3">
            <v>420000</v>
          </cell>
          <cell r="E3">
            <v>30000</v>
          </cell>
          <cell r="F3">
            <v>30000</v>
          </cell>
          <cell r="G3">
            <v>-480000</v>
          </cell>
          <cell r="H3">
            <v>191000</v>
          </cell>
        </row>
        <row r="4">
          <cell r="A4" t="str">
            <v>AS201602</v>
          </cell>
          <cell r="B4">
            <v>3</v>
          </cell>
          <cell r="C4" t="str">
            <v>BOUTCHOUANG WILLIAM</v>
          </cell>
          <cell r="D4">
            <v>420000</v>
          </cell>
          <cell r="E4">
            <v>30000</v>
          </cell>
          <cell r="F4">
            <v>30000</v>
          </cell>
          <cell r="G4">
            <v>30000</v>
          </cell>
          <cell r="H4">
            <v>510000</v>
          </cell>
        </row>
        <row r="5">
          <cell r="A5" t="str">
            <v>AS201603</v>
          </cell>
          <cell r="B5">
            <v>4</v>
          </cell>
          <cell r="C5" t="str">
            <v>CHINGUE FABRICE</v>
          </cell>
          <cell r="D5">
            <v>420000</v>
          </cell>
          <cell r="E5">
            <v>30000</v>
          </cell>
          <cell r="F5">
            <v>30000</v>
          </cell>
          <cell r="G5">
            <v>-510000</v>
          </cell>
          <cell r="H5">
            <v>0</v>
          </cell>
        </row>
        <row r="6">
          <cell r="A6" t="str">
            <v>AS201650</v>
          </cell>
          <cell r="B6">
            <v>5</v>
          </cell>
          <cell r="C6" t="str">
            <v>DJOMO DOMO</v>
          </cell>
          <cell r="G6">
            <v>0</v>
          </cell>
          <cell r="H6">
            <v>0</v>
          </cell>
        </row>
        <row r="7">
          <cell r="A7" t="str">
            <v>AS201604</v>
          </cell>
          <cell r="B7">
            <v>6</v>
          </cell>
          <cell r="C7" t="str">
            <v xml:space="preserve">DJOMO JEAN PAUL </v>
          </cell>
          <cell r="D7">
            <v>420000</v>
          </cell>
          <cell r="E7">
            <v>30000</v>
          </cell>
          <cell r="F7">
            <v>30000</v>
          </cell>
          <cell r="G7">
            <v>30000</v>
          </cell>
          <cell r="H7">
            <v>510000</v>
          </cell>
        </row>
        <row r="8">
          <cell r="A8" t="str">
            <v>AS201654</v>
          </cell>
          <cell r="B8">
            <v>7</v>
          </cell>
          <cell r="C8" t="str">
            <v>DJOMOU TCHANDA</v>
          </cell>
          <cell r="D8">
            <v>0</v>
          </cell>
          <cell r="H8">
            <v>0</v>
          </cell>
        </row>
        <row r="9">
          <cell r="A9" t="str">
            <v>AS201605</v>
          </cell>
          <cell r="B9">
            <v>7</v>
          </cell>
          <cell r="C9" t="str">
            <v>DJOUKWE NANGUEN GUY BLAISE</v>
          </cell>
          <cell r="D9">
            <v>420000</v>
          </cell>
          <cell r="E9">
            <v>30000</v>
          </cell>
          <cell r="F9">
            <v>30000</v>
          </cell>
          <cell r="G9">
            <v>30000</v>
          </cell>
          <cell r="H9">
            <v>510000</v>
          </cell>
        </row>
        <row r="10">
          <cell r="A10" t="str">
            <v>AS201608</v>
          </cell>
          <cell r="B10">
            <v>8</v>
          </cell>
          <cell r="C10" t="str">
            <v>DJUOMBESSY ANTOINE</v>
          </cell>
          <cell r="D10">
            <v>420000</v>
          </cell>
          <cell r="E10">
            <v>30000</v>
          </cell>
          <cell r="F10">
            <v>30000</v>
          </cell>
          <cell r="G10">
            <v>30000</v>
          </cell>
          <cell r="H10">
            <v>510000</v>
          </cell>
        </row>
        <row r="11">
          <cell r="A11" t="str">
            <v>AS201651</v>
          </cell>
          <cell r="B11">
            <v>9</v>
          </cell>
          <cell r="C11" t="str">
            <v>DOMOU FABIEN</v>
          </cell>
          <cell r="F11">
            <v>441596</v>
          </cell>
          <cell r="G11">
            <v>68404</v>
          </cell>
          <cell r="H11">
            <v>510000</v>
          </cell>
        </row>
        <row r="12">
          <cell r="A12" t="str">
            <v>AS201609</v>
          </cell>
          <cell r="B12">
            <v>10</v>
          </cell>
          <cell r="C12" t="str">
            <v>DONHOU DAVID</v>
          </cell>
          <cell r="D12">
            <v>420000</v>
          </cell>
          <cell r="E12">
            <v>30000</v>
          </cell>
          <cell r="F12">
            <v>30000</v>
          </cell>
          <cell r="G12">
            <v>30000</v>
          </cell>
          <cell r="H12">
            <v>510000</v>
          </cell>
        </row>
        <row r="13">
          <cell r="A13" t="str">
            <v>AS201610</v>
          </cell>
          <cell r="B13">
            <v>11</v>
          </cell>
          <cell r="C13" t="str">
            <v>FOTSO THOMAS</v>
          </cell>
          <cell r="D13">
            <v>420000</v>
          </cell>
          <cell r="E13">
            <v>30000</v>
          </cell>
          <cell r="F13">
            <v>30000</v>
          </cell>
          <cell r="G13">
            <v>30000</v>
          </cell>
          <cell r="H13">
            <v>510000</v>
          </cell>
        </row>
        <row r="14">
          <cell r="A14" t="str">
            <v>AS201611</v>
          </cell>
          <cell r="B14">
            <v>12</v>
          </cell>
          <cell r="C14" t="str">
            <v>HENGUE PAUL OMER</v>
          </cell>
          <cell r="D14">
            <v>420000</v>
          </cell>
          <cell r="E14">
            <v>30000</v>
          </cell>
          <cell r="F14">
            <v>30000</v>
          </cell>
          <cell r="G14">
            <v>30000</v>
          </cell>
          <cell r="H14">
            <v>510000</v>
          </cell>
        </row>
        <row r="15">
          <cell r="A15" t="str">
            <v>AS201612</v>
          </cell>
          <cell r="B15">
            <v>13</v>
          </cell>
          <cell r="C15" t="str">
            <v>HODIEP JULES</v>
          </cell>
          <cell r="D15">
            <v>50000</v>
          </cell>
          <cell r="E15">
            <v>30000</v>
          </cell>
          <cell r="G15">
            <v>-80000</v>
          </cell>
          <cell r="H15">
            <v>80000</v>
          </cell>
        </row>
        <row r="16">
          <cell r="A16" t="str">
            <v>AS201613</v>
          </cell>
          <cell r="B16">
            <v>14</v>
          </cell>
          <cell r="C16" t="str">
            <v>HOTCHO BENJAMIN</v>
          </cell>
          <cell r="D16">
            <v>420000</v>
          </cell>
          <cell r="E16">
            <v>30000</v>
          </cell>
          <cell r="F16">
            <v>30000</v>
          </cell>
          <cell r="G16">
            <v>30000</v>
          </cell>
          <cell r="H16">
            <v>510000</v>
          </cell>
        </row>
        <row r="17">
          <cell r="A17" t="str">
            <v>AS201615</v>
          </cell>
          <cell r="B17">
            <v>15</v>
          </cell>
          <cell r="C17" t="str">
            <v>KEPSEU FRANCIS</v>
          </cell>
          <cell r="D17">
            <v>420000</v>
          </cell>
          <cell r="E17">
            <v>30000</v>
          </cell>
          <cell r="F17">
            <v>30000</v>
          </cell>
          <cell r="G17">
            <v>30000</v>
          </cell>
          <cell r="H17">
            <v>510000</v>
          </cell>
        </row>
        <row r="18">
          <cell r="A18" t="str">
            <v>AS201618</v>
          </cell>
          <cell r="B18">
            <v>16</v>
          </cell>
          <cell r="C18" t="str">
            <v>KOUAMO VICTOR PEGUY</v>
          </cell>
          <cell r="D18">
            <v>420000</v>
          </cell>
          <cell r="E18">
            <v>30000</v>
          </cell>
          <cell r="F18">
            <v>30000</v>
          </cell>
          <cell r="G18">
            <v>30000</v>
          </cell>
          <cell r="H18">
            <v>510000</v>
          </cell>
        </row>
        <row r="19">
          <cell r="A19" t="str">
            <v>AS201616</v>
          </cell>
          <cell r="B19">
            <v>17</v>
          </cell>
          <cell r="C19" t="str">
            <v>KOUAMOU EMMANUEL</v>
          </cell>
          <cell r="D19">
            <v>420000</v>
          </cell>
          <cell r="E19">
            <v>30000</v>
          </cell>
          <cell r="F19">
            <v>30000</v>
          </cell>
          <cell r="G19">
            <v>-480000</v>
          </cell>
          <cell r="H19">
            <v>0</v>
          </cell>
        </row>
        <row r="20">
          <cell r="A20" t="str">
            <v>AS201617</v>
          </cell>
          <cell r="B20">
            <v>18</v>
          </cell>
          <cell r="C20" t="str">
            <v>KOUAMOU MOISE</v>
          </cell>
          <cell r="D20">
            <v>420000</v>
          </cell>
          <cell r="E20">
            <v>30000</v>
          </cell>
          <cell r="F20">
            <v>30000</v>
          </cell>
          <cell r="G20">
            <v>30000</v>
          </cell>
          <cell r="H20">
            <v>510000</v>
          </cell>
        </row>
        <row r="21">
          <cell r="A21" t="str">
            <v>AS201619</v>
          </cell>
          <cell r="B21">
            <v>19</v>
          </cell>
          <cell r="C21" t="str">
            <v>KOUATCHO MESSACK</v>
          </cell>
          <cell r="D21">
            <v>420000</v>
          </cell>
          <cell r="E21">
            <v>30000</v>
          </cell>
          <cell r="F21">
            <v>30000</v>
          </cell>
          <cell r="G21">
            <v>30000</v>
          </cell>
          <cell r="H21">
            <v>510000</v>
          </cell>
        </row>
        <row r="22">
          <cell r="A22" t="str">
            <v>AS201620</v>
          </cell>
          <cell r="B22">
            <v>20</v>
          </cell>
          <cell r="C22" t="str">
            <v>LOWE JEAN</v>
          </cell>
          <cell r="D22">
            <v>420000</v>
          </cell>
          <cell r="E22">
            <v>30000</v>
          </cell>
          <cell r="F22">
            <v>30000</v>
          </cell>
          <cell r="G22">
            <v>30000</v>
          </cell>
          <cell r="H22">
            <v>510000</v>
          </cell>
        </row>
        <row r="23">
          <cell r="A23" t="str">
            <v>AS201649</v>
          </cell>
          <cell r="B23">
            <v>21</v>
          </cell>
          <cell r="C23" t="str">
            <v>MBOGNING TUGMA GUY</v>
          </cell>
          <cell r="F23">
            <v>30000</v>
          </cell>
          <cell r="G23">
            <v>480000</v>
          </cell>
          <cell r="H23">
            <v>510000</v>
          </cell>
        </row>
        <row r="24">
          <cell r="A24" t="str">
            <v>AS201639</v>
          </cell>
          <cell r="B24">
            <v>22</v>
          </cell>
          <cell r="C24" t="str">
            <v>NANGUEN MARTIN</v>
          </cell>
          <cell r="D24">
            <v>390000</v>
          </cell>
          <cell r="E24">
            <v>30000</v>
          </cell>
          <cell r="F24">
            <v>30000</v>
          </cell>
          <cell r="G24">
            <v>60000</v>
          </cell>
          <cell r="H24">
            <v>510000</v>
          </cell>
        </row>
        <row r="25">
          <cell r="A25" t="str">
            <v>AS201621</v>
          </cell>
          <cell r="B25">
            <v>23</v>
          </cell>
          <cell r="C25" t="str">
            <v>NANKAM APPOLINAIRE</v>
          </cell>
          <cell r="D25">
            <v>420000</v>
          </cell>
          <cell r="E25">
            <v>30000</v>
          </cell>
          <cell r="F25">
            <v>30000</v>
          </cell>
          <cell r="G25">
            <v>30000</v>
          </cell>
          <cell r="H25">
            <v>510000</v>
          </cell>
        </row>
        <row r="26">
          <cell r="A26" t="str">
            <v>AS201622</v>
          </cell>
          <cell r="B26">
            <v>24</v>
          </cell>
          <cell r="C26" t="str">
            <v>NDJOMO ETIENNE</v>
          </cell>
          <cell r="D26">
            <v>420000</v>
          </cell>
          <cell r="E26">
            <v>30000</v>
          </cell>
          <cell r="F26">
            <v>30000</v>
          </cell>
          <cell r="G26">
            <v>30000</v>
          </cell>
          <cell r="H26">
            <v>510000</v>
          </cell>
        </row>
        <row r="27">
          <cell r="A27" t="str">
            <v>AS201623</v>
          </cell>
          <cell r="B27">
            <v>25</v>
          </cell>
          <cell r="C27" t="str">
            <v>NDOMBOU JEAN CLAUDE</v>
          </cell>
          <cell r="D27">
            <v>420000</v>
          </cell>
          <cell r="E27">
            <v>30000</v>
          </cell>
          <cell r="F27">
            <v>30000</v>
          </cell>
          <cell r="G27">
            <v>-480000</v>
          </cell>
          <cell r="H27">
            <v>480000</v>
          </cell>
        </row>
        <row r="28">
          <cell r="A28" t="str">
            <v>AS201652</v>
          </cell>
          <cell r="B28">
            <v>26</v>
          </cell>
          <cell r="C28" t="str">
            <v>NGANHOU JEAN</v>
          </cell>
          <cell r="G28">
            <v>130000</v>
          </cell>
          <cell r="H28">
            <v>130000</v>
          </cell>
        </row>
        <row r="29">
          <cell r="A29" t="str">
            <v>AS201624</v>
          </cell>
          <cell r="B29">
            <v>27</v>
          </cell>
          <cell r="C29" t="str">
            <v>NGONDIEP CLAUDE</v>
          </cell>
          <cell r="D29">
            <v>420000</v>
          </cell>
          <cell r="E29">
            <v>30000</v>
          </cell>
          <cell r="F29">
            <v>30000</v>
          </cell>
          <cell r="G29">
            <v>30000</v>
          </cell>
          <cell r="H29">
            <v>510000</v>
          </cell>
        </row>
        <row r="30">
          <cell r="A30" t="str">
            <v>AS201625</v>
          </cell>
          <cell r="B30">
            <v>28</v>
          </cell>
          <cell r="C30" t="str">
            <v>NGONGANG JEAN THEODORE</v>
          </cell>
          <cell r="D30">
            <v>43045</v>
          </cell>
          <cell r="E30">
            <v>30000</v>
          </cell>
          <cell r="G30">
            <v>267467</v>
          </cell>
          <cell r="H30">
            <v>227663</v>
          </cell>
        </row>
        <row r="31">
          <cell r="A31" t="str">
            <v>AS201626</v>
          </cell>
          <cell r="B31">
            <v>29</v>
          </cell>
          <cell r="C31" t="str">
            <v>NGUIEMEGNI MATHIEU BLAISE</v>
          </cell>
          <cell r="D31">
            <v>420000</v>
          </cell>
          <cell r="E31">
            <v>30000</v>
          </cell>
          <cell r="F31">
            <v>30000</v>
          </cell>
          <cell r="G31">
            <v>30000</v>
          </cell>
          <cell r="H31">
            <v>510000</v>
          </cell>
        </row>
        <row r="32">
          <cell r="A32" t="str">
            <v>AS201627</v>
          </cell>
          <cell r="B32">
            <v>30</v>
          </cell>
          <cell r="C32" t="str">
            <v>NJEPDJIO MBOUKAM DELUXE</v>
          </cell>
          <cell r="D32">
            <v>420000</v>
          </cell>
          <cell r="E32">
            <v>30000</v>
          </cell>
          <cell r="F32">
            <v>30000</v>
          </cell>
          <cell r="G32">
            <v>-510000</v>
          </cell>
        </row>
        <row r="33">
          <cell r="A33" t="str">
            <v>AS201628</v>
          </cell>
          <cell r="B33">
            <v>31</v>
          </cell>
          <cell r="C33" t="str">
            <v>NKAMGANG JUSTIN DEJOLIE</v>
          </cell>
          <cell r="D33">
            <v>420000</v>
          </cell>
          <cell r="E33">
            <v>30000</v>
          </cell>
          <cell r="F33">
            <v>30000</v>
          </cell>
          <cell r="G33">
            <v>30000</v>
          </cell>
          <cell r="H33">
            <v>510000</v>
          </cell>
        </row>
        <row r="34">
          <cell r="A34" t="str">
            <v>AS201614</v>
          </cell>
          <cell r="B34">
            <v>32</v>
          </cell>
          <cell r="C34" t="str">
            <v>NKEHE DAVID</v>
          </cell>
          <cell r="D34">
            <v>357000</v>
          </cell>
          <cell r="E34">
            <v>30000</v>
          </cell>
          <cell r="F34">
            <v>33000</v>
          </cell>
          <cell r="G34">
            <v>90000</v>
          </cell>
          <cell r="H34">
            <v>510000</v>
          </cell>
        </row>
        <row r="35">
          <cell r="A35" t="str">
            <v>AS201629</v>
          </cell>
          <cell r="B35">
            <v>33</v>
          </cell>
          <cell r="C35" t="str">
            <v>NKEPSEU DIEUDONNE</v>
          </cell>
          <cell r="D35">
            <v>420000</v>
          </cell>
          <cell r="E35">
            <v>30000</v>
          </cell>
          <cell r="F35">
            <v>30000</v>
          </cell>
          <cell r="G35">
            <v>30000</v>
          </cell>
          <cell r="H35">
            <v>510000</v>
          </cell>
        </row>
        <row r="36">
          <cell r="A36" t="str">
            <v>AS201631</v>
          </cell>
          <cell r="B36">
            <v>34</v>
          </cell>
          <cell r="C36" t="str">
            <v>NTEPDIE TUEMAC MZ</v>
          </cell>
          <cell r="D36">
            <v>0</v>
          </cell>
          <cell r="E36">
            <v>0</v>
          </cell>
          <cell r="F36">
            <v>30000</v>
          </cell>
          <cell r="H36">
            <v>0</v>
          </cell>
        </row>
        <row r="37">
          <cell r="A37" t="str">
            <v>AS201633</v>
          </cell>
          <cell r="B37">
            <v>35</v>
          </cell>
          <cell r="C37" t="str">
            <v>PATEGO NJOSSU GUSTAVE</v>
          </cell>
          <cell r="D37">
            <v>420000</v>
          </cell>
          <cell r="E37">
            <v>30000</v>
          </cell>
          <cell r="F37">
            <v>30000</v>
          </cell>
          <cell r="G37">
            <v>30000</v>
          </cell>
          <cell r="H37">
            <v>510000</v>
          </cell>
        </row>
        <row r="38">
          <cell r="A38" t="str">
            <v>AS201634</v>
          </cell>
          <cell r="B38">
            <v>36</v>
          </cell>
          <cell r="C38" t="str">
            <v>SEUNOU RICHELOT</v>
          </cell>
          <cell r="D38">
            <v>420000</v>
          </cell>
          <cell r="E38">
            <v>30000</v>
          </cell>
          <cell r="F38">
            <v>30000</v>
          </cell>
          <cell r="G38">
            <v>-510000</v>
          </cell>
        </row>
        <row r="39">
          <cell r="A39" t="str">
            <v>AS201635</v>
          </cell>
          <cell r="B39">
            <v>37</v>
          </cell>
          <cell r="C39" t="str">
            <v>SIME ABEL</v>
          </cell>
          <cell r="D39">
            <v>390000</v>
          </cell>
          <cell r="E39">
            <v>30000</v>
          </cell>
          <cell r="F39">
            <v>-420000</v>
          </cell>
          <cell r="H39">
            <v>0</v>
          </cell>
        </row>
        <row r="40">
          <cell r="A40" t="str">
            <v>AS201653</v>
          </cell>
          <cell r="B40">
            <v>38</v>
          </cell>
          <cell r="C40" t="str">
            <v>SIME BRICE</v>
          </cell>
          <cell r="G40">
            <v>145376.91333081503</v>
          </cell>
          <cell r="H40">
            <v>145376.91333081503</v>
          </cell>
        </row>
        <row r="41">
          <cell r="A41" t="str">
            <v>AS201636</v>
          </cell>
          <cell r="B41">
            <v>39</v>
          </cell>
          <cell r="C41" t="str">
            <v>SIMO FONGANG ERIC</v>
          </cell>
          <cell r="D41">
            <v>420000</v>
          </cell>
          <cell r="E41">
            <v>30000</v>
          </cell>
          <cell r="F41">
            <v>30000</v>
          </cell>
          <cell r="G41">
            <v>30000</v>
          </cell>
          <cell r="H41">
            <v>510000</v>
          </cell>
        </row>
        <row r="42">
          <cell r="A42" t="str">
            <v>AS201637</v>
          </cell>
          <cell r="B42">
            <v>40</v>
          </cell>
          <cell r="C42" t="str">
            <v>SIME MATHIEU</v>
          </cell>
          <cell r="D42">
            <v>420000</v>
          </cell>
          <cell r="E42">
            <v>30000</v>
          </cell>
          <cell r="F42">
            <v>30000</v>
          </cell>
          <cell r="G42">
            <v>30000</v>
          </cell>
          <cell r="H42">
            <v>510000</v>
          </cell>
        </row>
        <row r="43">
          <cell r="A43" t="str">
            <v>AS201638</v>
          </cell>
          <cell r="B43">
            <v>41</v>
          </cell>
          <cell r="C43" t="str">
            <v>SIMO PIERRE</v>
          </cell>
          <cell r="D43">
            <v>420000</v>
          </cell>
          <cell r="E43">
            <v>30000</v>
          </cell>
          <cell r="F43">
            <v>30000</v>
          </cell>
          <cell r="G43">
            <v>30000</v>
          </cell>
          <cell r="H43">
            <v>510000</v>
          </cell>
        </row>
        <row r="44">
          <cell r="A44" t="str">
            <v>AS201640</v>
          </cell>
          <cell r="B44">
            <v>42</v>
          </cell>
          <cell r="C44" t="str">
            <v>TCHOUAMOU JEAN PAUL</v>
          </cell>
          <cell r="D44">
            <v>50000</v>
          </cell>
          <cell r="E44">
            <v>30000</v>
          </cell>
        </row>
        <row r="45">
          <cell r="A45" t="str">
            <v>AS201641</v>
          </cell>
          <cell r="B45">
            <v>43</v>
          </cell>
          <cell r="C45" t="str">
            <v>TCHOUAMOU MATHIEU</v>
          </cell>
          <cell r="D45">
            <v>420000</v>
          </cell>
          <cell r="E45">
            <v>30000</v>
          </cell>
          <cell r="F45">
            <v>30000</v>
          </cell>
          <cell r="G45">
            <v>30000</v>
          </cell>
          <cell r="H45">
            <v>510000</v>
          </cell>
        </row>
        <row r="46">
          <cell r="A46" t="str">
            <v>AS201642</v>
          </cell>
          <cell r="B46">
            <v>44</v>
          </cell>
          <cell r="C46" t="str">
            <v>TCHOUANTE FRANCOIS</v>
          </cell>
          <cell r="D46">
            <v>403819</v>
          </cell>
          <cell r="E46">
            <v>30000</v>
          </cell>
          <cell r="F46">
            <v>30000</v>
          </cell>
          <cell r="G46">
            <v>-463819</v>
          </cell>
          <cell r="H46">
            <v>0</v>
          </cell>
        </row>
        <row r="47">
          <cell r="A47" t="str">
            <v>AS201643</v>
          </cell>
          <cell r="B47">
            <v>45</v>
          </cell>
          <cell r="C47" t="str">
            <v>TCHOUTOU NANA CLAUDE</v>
          </cell>
          <cell r="D47">
            <v>0</v>
          </cell>
          <cell r="E47">
            <v>30000</v>
          </cell>
          <cell r="G47">
            <v>-51454</v>
          </cell>
          <cell r="H47">
            <v>0</v>
          </cell>
        </row>
        <row r="48">
          <cell r="A48" t="str">
            <v>AS201644</v>
          </cell>
          <cell r="B48">
            <v>46</v>
          </cell>
          <cell r="C48" t="str">
            <v>TIEYAM ERNEST</v>
          </cell>
          <cell r="D48">
            <v>420000</v>
          </cell>
          <cell r="E48">
            <v>30000</v>
          </cell>
          <cell r="F48">
            <v>30000</v>
          </cell>
          <cell r="G48">
            <v>-510000</v>
          </cell>
          <cell r="H48">
            <v>510000</v>
          </cell>
        </row>
        <row r="49">
          <cell r="A49" t="str">
            <v>AS201645</v>
          </cell>
          <cell r="B49">
            <v>47</v>
          </cell>
          <cell r="C49" t="str">
            <v>TUGMA PIERRE LOTI</v>
          </cell>
          <cell r="D49">
            <v>420000</v>
          </cell>
          <cell r="E49">
            <v>30000</v>
          </cell>
          <cell r="F49">
            <v>30000</v>
          </cell>
          <cell r="G49">
            <v>-480000</v>
          </cell>
          <cell r="H49">
            <v>0</v>
          </cell>
        </row>
        <row r="50">
          <cell r="A50" t="str">
            <v>AS201646</v>
          </cell>
          <cell r="B50">
            <v>48</v>
          </cell>
          <cell r="C50" t="str">
            <v>YEPMOU JEAN JACQUES</v>
          </cell>
          <cell r="D50">
            <v>420000</v>
          </cell>
          <cell r="E50">
            <v>30000</v>
          </cell>
          <cell r="F50">
            <v>30000</v>
          </cell>
          <cell r="G50">
            <v>30000</v>
          </cell>
          <cell r="H50">
            <v>510000</v>
          </cell>
        </row>
        <row r="51">
          <cell r="A51" t="str">
            <v>AS201647</v>
          </cell>
          <cell r="B51">
            <v>49</v>
          </cell>
          <cell r="C51" t="str">
            <v>YOUMBI EMMANUEL</v>
          </cell>
          <cell r="D51">
            <v>420000</v>
          </cell>
          <cell r="E51">
            <v>30000</v>
          </cell>
          <cell r="F51">
            <v>30000</v>
          </cell>
          <cell r="G51">
            <v>30000</v>
          </cell>
          <cell r="H51">
            <v>510000</v>
          </cell>
        </row>
      </sheetData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5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Q6">
            <v>8500</v>
          </cell>
        </row>
        <row r="9">
          <cell r="BQ9">
            <v>18500</v>
          </cell>
        </row>
        <row r="14">
          <cell r="BQ14"/>
        </row>
        <row r="18">
          <cell r="BQ18">
            <v>300000</v>
          </cell>
        </row>
        <row r="24">
          <cell r="BQ24">
            <v>200000</v>
          </cell>
        </row>
        <row r="25">
          <cell r="BQ25"/>
        </row>
        <row r="36">
          <cell r="BQ36">
            <v>100000</v>
          </cell>
        </row>
      </sheetData>
      <sheetData sheetId="6">
        <row r="6">
          <cell r="A6" t="str">
            <v>AS201648</v>
          </cell>
          <cell r="BQ6">
            <v>3000</v>
          </cell>
        </row>
        <row r="8">
          <cell r="BQ8">
            <v>12000</v>
          </cell>
        </row>
        <row r="13">
          <cell r="BQ13">
            <v>12000</v>
          </cell>
        </row>
        <row r="32">
          <cell r="BQ32">
            <v>100000</v>
          </cell>
        </row>
        <row r="36">
          <cell r="BQ36">
            <v>100000</v>
          </cell>
        </row>
      </sheetData>
      <sheetData sheetId="7">
        <row r="6">
          <cell r="A6" t="str">
            <v>AS201648</v>
          </cell>
        </row>
        <row r="11">
          <cell r="BQ11">
            <v>30000</v>
          </cell>
        </row>
        <row r="13">
          <cell r="BQ13">
            <v>18000</v>
          </cell>
        </row>
        <row r="36">
          <cell r="BQ36">
            <v>100000</v>
          </cell>
        </row>
      </sheetData>
      <sheetData sheetId="8">
        <row r="6">
          <cell r="A6" t="str">
            <v>AS201648</v>
          </cell>
        </row>
        <row r="8">
          <cell r="BQ8">
            <v>15000</v>
          </cell>
        </row>
        <row r="13">
          <cell r="BQ13">
            <v>6000</v>
          </cell>
        </row>
        <row r="25">
          <cell r="BQ25">
            <v>100000</v>
          </cell>
        </row>
      </sheetData>
      <sheetData sheetId="9">
        <row r="6">
          <cell r="A6" t="str">
            <v>AS201648</v>
          </cell>
        </row>
        <row r="8">
          <cell r="BQ8">
            <v>13000</v>
          </cell>
        </row>
        <row r="13">
          <cell r="BQ13">
            <v>6000</v>
          </cell>
        </row>
      </sheetData>
      <sheetData sheetId="10">
        <row r="6">
          <cell r="A6" t="str">
            <v>AS201648</v>
          </cell>
        </row>
        <row r="13">
          <cell r="BQ13">
            <v>12000</v>
          </cell>
        </row>
        <row r="18">
          <cell r="BQ18">
            <v>2000000</v>
          </cell>
        </row>
      </sheetData>
      <sheetData sheetId="11">
        <row r="6">
          <cell r="A6" t="str">
            <v>AS201648</v>
          </cell>
        </row>
        <row r="8">
          <cell r="BQ8">
            <v>36000</v>
          </cell>
        </row>
        <row r="13">
          <cell r="BQ13">
            <v>6000</v>
          </cell>
        </row>
        <row r="25">
          <cell r="BQ25">
            <v>50000</v>
          </cell>
        </row>
        <row r="27">
          <cell r="BQ27">
            <v>238500</v>
          </cell>
        </row>
      </sheetData>
      <sheetData sheetId="12">
        <row r="6">
          <cell r="A6" t="str">
            <v>AS201648</v>
          </cell>
        </row>
        <row r="13">
          <cell r="BQ13">
            <v>6000</v>
          </cell>
        </row>
      </sheetData>
      <sheetData sheetId="13">
        <row r="6">
          <cell r="A6" t="str">
            <v>AS201648</v>
          </cell>
        </row>
        <row r="13">
          <cell r="BQ13">
            <v>6000</v>
          </cell>
        </row>
      </sheetData>
      <sheetData sheetId="14">
        <row r="6">
          <cell r="A6" t="str">
            <v>AS201648</v>
          </cell>
        </row>
        <row r="13">
          <cell r="BQ13">
            <v>6000</v>
          </cell>
        </row>
        <row r="26">
          <cell r="BQ26">
            <v>321500</v>
          </cell>
        </row>
      </sheetData>
      <sheetData sheetId="15">
        <row r="6">
          <cell r="A6" t="str">
            <v>AS201648</v>
          </cell>
        </row>
        <row r="13">
          <cell r="BQ13">
            <v>6000</v>
          </cell>
        </row>
        <row r="18">
          <cell r="BQ18">
            <v>2000000</v>
          </cell>
        </row>
        <row r="30">
          <cell r="BQ30">
            <v>100000</v>
          </cell>
        </row>
      </sheetData>
      <sheetData sheetId="16">
        <row r="6">
          <cell r="A6" t="str">
            <v>AS201648</v>
          </cell>
        </row>
        <row r="8">
          <cell r="BQ8">
            <v>25000</v>
          </cell>
        </row>
        <row r="13">
          <cell r="BQ13">
            <v>6000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DEFAILLANCETONT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0">
          <cell r="D40">
            <v>9600000</v>
          </cell>
        </row>
        <row r="44">
          <cell r="R44">
            <v>241000</v>
          </cell>
        </row>
        <row r="46">
          <cell r="R46">
            <v>7531.25</v>
          </cell>
        </row>
      </sheetData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6">
          <cell r="Q26">
            <v>350500</v>
          </cell>
        </row>
        <row r="28">
          <cell r="Q28">
            <v>21906.25</v>
          </cell>
        </row>
      </sheetData>
      <sheetData sheetId="1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6">
          <cell r="Q26">
            <v>795000</v>
          </cell>
        </row>
        <row r="28">
          <cell r="Q28">
            <v>44166.666666666664</v>
          </cell>
        </row>
      </sheetData>
      <sheetData sheetId="14"/>
      <sheetData sheetId="1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</sheetNames>
    <sheetDataSet>
      <sheetData sheetId="0">
        <row r="8">
          <cell r="E8">
            <v>1193</v>
          </cell>
        </row>
      </sheetData>
      <sheetData sheetId="1">
        <row r="8">
          <cell r="E8">
            <v>1193</v>
          </cell>
        </row>
      </sheetData>
      <sheetData sheetId="2">
        <row r="8">
          <cell r="E8">
            <v>1193</v>
          </cell>
        </row>
      </sheetData>
      <sheetData sheetId="3">
        <row r="8">
          <cell r="E8">
            <v>2385</v>
          </cell>
        </row>
      </sheetData>
      <sheetData sheetId="4">
        <row r="8">
          <cell r="E8">
            <v>2385</v>
          </cell>
        </row>
      </sheetData>
      <sheetData sheetId="5">
        <row r="8">
          <cell r="E8">
            <v>0</v>
          </cell>
        </row>
      </sheetData>
      <sheetData sheetId="6">
        <row r="8">
          <cell r="E8">
            <v>4770</v>
          </cell>
          <cell r="F8">
            <v>34360</v>
          </cell>
        </row>
      </sheetData>
      <sheetData sheetId="7">
        <row r="8">
          <cell r="E8">
            <v>2385</v>
          </cell>
        </row>
      </sheetData>
      <sheetData sheetId="8">
        <row r="8">
          <cell r="E8">
            <v>2385</v>
          </cell>
        </row>
      </sheetData>
      <sheetData sheetId="9">
        <row r="8">
          <cell r="E8">
            <v>0</v>
          </cell>
        </row>
      </sheetData>
      <sheetData sheetId="10">
        <row r="8">
          <cell r="E8">
            <v>2385</v>
          </cell>
        </row>
      </sheetData>
      <sheetData sheetId="11">
        <row r="8">
          <cell r="E8">
            <v>2385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8"/>
  <sheetViews>
    <sheetView topLeftCell="A22" workbookViewId="0">
      <selection activeCell="A29" sqref="A29:XFD29"/>
    </sheetView>
  </sheetViews>
  <sheetFormatPr baseColWidth="10" defaultRowHeight="14.5" x14ac:dyDescent="0.35"/>
  <cols>
    <col min="1" max="1" width="40.7265625" customWidth="1"/>
    <col min="2" max="2" width="15.7265625" customWidth="1"/>
    <col min="3" max="3" width="14.81640625" customWidth="1"/>
    <col min="4" max="4" width="13.1796875" customWidth="1"/>
    <col min="5" max="5" width="16.1796875" customWidth="1"/>
  </cols>
  <sheetData>
    <row r="2" spans="1:8" ht="21" x14ac:dyDescent="0.5">
      <c r="A2" s="20" t="s">
        <v>25</v>
      </c>
    </row>
    <row r="4" spans="1:8" ht="15" thickBot="1" x14ac:dyDescent="0.4"/>
    <row r="5" spans="1:8" ht="37.5" thickTop="1" x14ac:dyDescent="0.45">
      <c r="A5" s="21" t="s">
        <v>26</v>
      </c>
      <c r="B5" s="22" t="s">
        <v>27</v>
      </c>
      <c r="C5" s="23" t="s">
        <v>28</v>
      </c>
      <c r="D5" s="23" t="s">
        <v>29</v>
      </c>
      <c r="E5" s="24" t="s">
        <v>30</v>
      </c>
    </row>
    <row r="6" spans="1:8" x14ac:dyDescent="0.35">
      <c r="A6" s="19"/>
      <c r="B6" s="14"/>
      <c r="C6" s="14"/>
      <c r="D6" s="14"/>
      <c r="E6" s="15"/>
    </row>
    <row r="7" spans="1:8" x14ac:dyDescent="0.35">
      <c r="A7" s="13" t="s">
        <v>31</v>
      </c>
      <c r="B7" s="25">
        <v>29756024</v>
      </c>
      <c r="C7" s="25">
        <f>[9]TRAVAUXINVENTAIRE!R54+C20+1050000+2230668</f>
        <v>7101809</v>
      </c>
      <c r="D7" s="25"/>
      <c r="E7" s="26">
        <f>B7+C7-D7</f>
        <v>36857833</v>
      </c>
      <c r="F7" s="27"/>
      <c r="G7" s="27"/>
    </row>
    <row r="8" spans="1:8" x14ac:dyDescent="0.35">
      <c r="A8" s="13" t="s">
        <v>32</v>
      </c>
      <c r="B8" s="25"/>
      <c r="C8" s="25">
        <v>28382451</v>
      </c>
      <c r="D8" s="25">
        <v>39386431</v>
      </c>
      <c r="E8" s="26">
        <f>B8+C8-D8</f>
        <v>-11003980</v>
      </c>
      <c r="F8" s="27"/>
      <c r="H8" s="27"/>
    </row>
    <row r="9" spans="1:8" x14ac:dyDescent="0.35">
      <c r="A9" s="13" t="s">
        <v>2</v>
      </c>
      <c r="B9" s="25">
        <v>3031178</v>
      </c>
      <c r="C9" s="25">
        <f>[9]TRAVAUXINVENTAIRE!S54</f>
        <v>250500</v>
      </c>
      <c r="D9" s="25">
        <f>'[10]BILAN 2016'!$D$9</f>
        <v>224500</v>
      </c>
      <c r="E9" s="26">
        <f t="shared" ref="E9:E19" si="0">B9+C9-D9</f>
        <v>3057178</v>
      </c>
      <c r="F9" s="27"/>
      <c r="G9" s="27"/>
    </row>
    <row r="10" spans="1:8" x14ac:dyDescent="0.35">
      <c r="A10" s="13" t="s">
        <v>33</v>
      </c>
      <c r="B10" s="25">
        <v>1267460</v>
      </c>
      <c r="C10" s="25">
        <f>[9]TRAVAUXINVENTAIRE!T54</f>
        <v>501000</v>
      </c>
      <c r="D10" s="25">
        <f>[9]TRAVAUXINVENTAIREDEC!B6</f>
        <v>1100000</v>
      </c>
      <c r="E10" s="26">
        <f t="shared" si="0"/>
        <v>668460</v>
      </c>
      <c r="F10" s="27"/>
    </row>
    <row r="11" spans="1:8" x14ac:dyDescent="0.35">
      <c r="A11" s="13" t="s">
        <v>4</v>
      </c>
      <c r="B11" s="25">
        <v>940125</v>
      </c>
      <c r="C11" s="25">
        <f>[9]TRAVAUXINVENTAIRE!U54</f>
        <v>1252500</v>
      </c>
      <c r="D11" s="25">
        <f>[9]TRAVAUXINVENTAIREDEC!B7</f>
        <v>1260000</v>
      </c>
      <c r="E11" s="26">
        <f t="shared" si="0"/>
        <v>932625</v>
      </c>
      <c r="F11" s="27"/>
    </row>
    <row r="12" spans="1:8" x14ac:dyDescent="0.35">
      <c r="A12" s="13" t="s">
        <v>34</v>
      </c>
      <c r="B12" s="25">
        <f>-101500</f>
        <v>-101500</v>
      </c>
      <c r="C12" s="25">
        <f>[9]TRAVAUXINVENTAIRE!V54+[9]TRAVAUXINVENTAIRE!O54</f>
        <v>1954860</v>
      </c>
      <c r="D12" s="25">
        <f>[9]TRAVAUXINVENTAIREDEC!B8</f>
        <v>2595000</v>
      </c>
      <c r="E12" s="26">
        <f t="shared" si="0"/>
        <v>-741640</v>
      </c>
      <c r="F12" s="27"/>
    </row>
    <row r="13" spans="1:8" x14ac:dyDescent="0.35">
      <c r="A13" s="13" t="s">
        <v>6</v>
      </c>
      <c r="B13" s="25">
        <v>530000</v>
      </c>
      <c r="C13" s="25"/>
      <c r="D13" s="25"/>
      <c r="E13" s="26">
        <f t="shared" si="0"/>
        <v>530000</v>
      </c>
      <c r="F13" s="27"/>
    </row>
    <row r="14" spans="1:8" x14ac:dyDescent="0.35">
      <c r="A14" s="13" t="s">
        <v>58</v>
      </c>
      <c r="B14" s="25">
        <v>54508</v>
      </c>
      <c r="C14" s="25"/>
      <c r="D14" s="25"/>
      <c r="E14" s="26">
        <f t="shared" si="0"/>
        <v>54508</v>
      </c>
      <c r="F14" s="27"/>
    </row>
    <row r="15" spans="1:8" x14ac:dyDescent="0.35">
      <c r="A15" s="13" t="s">
        <v>59</v>
      </c>
      <c r="B15" s="25">
        <v>-164500</v>
      </c>
      <c r="C15" s="25"/>
      <c r="D15" s="25"/>
      <c r="E15" s="26">
        <f t="shared" si="0"/>
        <v>-164500</v>
      </c>
      <c r="F15" s="27"/>
    </row>
    <row r="16" spans="1:8" x14ac:dyDescent="0.35">
      <c r="A16" s="13" t="s">
        <v>60</v>
      </c>
      <c r="B16" s="25">
        <v>-75000</v>
      </c>
      <c r="C16" s="25"/>
      <c r="D16" s="25"/>
      <c r="E16" s="26">
        <f t="shared" si="0"/>
        <v>-75000</v>
      </c>
      <c r="F16" s="27"/>
    </row>
    <row r="17" spans="1:6" x14ac:dyDescent="0.35">
      <c r="A17" s="13" t="s">
        <v>35</v>
      </c>
      <c r="B17" s="25"/>
      <c r="C17" s="25"/>
      <c r="D17" s="25"/>
      <c r="E17" s="26">
        <f t="shared" si="0"/>
        <v>0</v>
      </c>
      <c r="F17" s="27"/>
    </row>
    <row r="18" spans="1:6" x14ac:dyDescent="0.35">
      <c r="A18" s="13" t="s">
        <v>36</v>
      </c>
      <c r="B18" s="28"/>
      <c r="C18" s="25">
        <f>320750+16500</f>
        <v>337250</v>
      </c>
      <c r="D18" s="28"/>
      <c r="E18" s="26">
        <f t="shared" si="0"/>
        <v>337250</v>
      </c>
      <c r="F18" s="30">
        <v>1711250</v>
      </c>
    </row>
    <row r="19" spans="1:6" x14ac:dyDescent="0.35">
      <c r="A19" s="13" t="s">
        <v>37</v>
      </c>
      <c r="B19" s="28"/>
      <c r="C19" s="28"/>
      <c r="D19" s="28"/>
      <c r="E19" s="26">
        <f t="shared" si="0"/>
        <v>0</v>
      </c>
      <c r="F19" s="27"/>
    </row>
    <row r="20" spans="1:6" x14ac:dyDescent="0.35">
      <c r="A20" s="13" t="s">
        <v>38</v>
      </c>
      <c r="B20" s="28"/>
      <c r="C20" s="25"/>
      <c r="D20" s="28"/>
      <c r="E20" s="26">
        <f t="shared" ref="E20" si="1">B20+C20-D20</f>
        <v>0</v>
      </c>
      <c r="F20" s="27"/>
    </row>
    <row r="21" spans="1:6" x14ac:dyDescent="0.35">
      <c r="A21" s="13"/>
      <c r="B21" s="28"/>
      <c r="C21" s="25"/>
      <c r="D21" s="28"/>
      <c r="E21" s="26"/>
      <c r="F21" s="27"/>
    </row>
    <row r="22" spans="1:6" x14ac:dyDescent="0.35">
      <c r="A22" s="13" t="s">
        <v>39</v>
      </c>
      <c r="B22" s="28"/>
      <c r="C22" s="14"/>
      <c r="D22" s="25"/>
      <c r="E22" s="26"/>
      <c r="F22" s="27"/>
    </row>
    <row r="23" spans="1:6" x14ac:dyDescent="0.35">
      <c r="A23" s="13"/>
      <c r="B23" s="28"/>
      <c r="C23" s="25"/>
      <c r="D23" s="28"/>
      <c r="E23" s="26"/>
      <c r="F23" s="27"/>
    </row>
    <row r="24" spans="1:6" x14ac:dyDescent="0.35">
      <c r="A24" s="13" t="s">
        <v>40</v>
      </c>
      <c r="B24" s="28"/>
      <c r="C24" s="25"/>
      <c r="D24" s="28"/>
      <c r="E24" s="26"/>
      <c r="F24" s="27"/>
    </row>
    <row r="25" spans="1:6" x14ac:dyDescent="0.35">
      <c r="A25" s="13"/>
      <c r="B25" s="28"/>
      <c r="C25" s="25"/>
      <c r="D25" s="28"/>
      <c r="E25" s="29"/>
      <c r="F25" s="27"/>
    </row>
    <row r="26" spans="1:6" x14ac:dyDescent="0.35">
      <c r="A26" s="13"/>
      <c r="B26" s="28"/>
      <c r="C26" s="25"/>
      <c r="D26" s="28"/>
      <c r="E26" s="29"/>
      <c r="F26" s="27"/>
    </row>
    <row r="27" spans="1:6" x14ac:dyDescent="0.35">
      <c r="A27" s="13" t="s">
        <v>41</v>
      </c>
      <c r="B27" s="28"/>
      <c r="C27" s="25"/>
      <c r="D27" s="25"/>
      <c r="E27" s="26"/>
      <c r="F27" s="27"/>
    </row>
    <row r="28" spans="1:6" x14ac:dyDescent="0.35">
      <c r="A28" s="13" t="s">
        <v>42</v>
      </c>
      <c r="B28" s="28"/>
      <c r="C28" s="14"/>
      <c r="D28" s="14"/>
      <c r="E28" s="26"/>
      <c r="F28" s="27"/>
    </row>
    <row r="29" spans="1:6" x14ac:dyDescent="0.35">
      <c r="A29" s="13" t="s">
        <v>61</v>
      </c>
      <c r="B29" s="25">
        <v>1779594</v>
      </c>
      <c r="C29" s="14"/>
      <c r="D29" s="14"/>
      <c r="E29" s="26">
        <f t="shared" ref="E29" si="2">B29+C29-D29</f>
        <v>1779594</v>
      </c>
      <c r="F29" s="27"/>
    </row>
    <row r="30" spans="1:6" x14ac:dyDescent="0.35">
      <c r="A30" s="13" t="s">
        <v>43</v>
      </c>
      <c r="B30" s="28"/>
      <c r="C30" s="25"/>
      <c r="D30" s="28"/>
      <c r="E30" s="26"/>
      <c r="F30" s="27"/>
    </row>
    <row r="31" spans="1:6" x14ac:dyDescent="0.35">
      <c r="A31" s="13" t="s">
        <v>44</v>
      </c>
      <c r="B31" s="28"/>
      <c r="C31" s="25"/>
      <c r="D31" s="28"/>
      <c r="E31" s="26"/>
      <c r="F31" s="27"/>
    </row>
    <row r="32" spans="1:6" x14ac:dyDescent="0.35">
      <c r="A32" s="13"/>
      <c r="B32" s="28"/>
      <c r="C32" s="25"/>
      <c r="D32" s="28"/>
      <c r="E32" s="26"/>
      <c r="F32" s="27"/>
    </row>
    <row r="33" spans="1:6" x14ac:dyDescent="0.35">
      <c r="A33" s="13" t="s">
        <v>45</v>
      </c>
      <c r="B33" s="28"/>
      <c r="C33" s="25"/>
      <c r="D33" s="28"/>
      <c r="E33" s="26"/>
      <c r="F33" s="27"/>
    </row>
    <row r="34" spans="1:6" x14ac:dyDescent="0.35">
      <c r="A34" s="13"/>
      <c r="B34" s="28"/>
      <c r="C34" s="25"/>
      <c r="D34" s="28"/>
      <c r="E34" s="26"/>
      <c r="F34" s="27"/>
    </row>
    <row r="35" spans="1:6" x14ac:dyDescent="0.35">
      <c r="A35" s="13" t="s">
        <v>46</v>
      </c>
      <c r="B35" s="14"/>
      <c r="C35" s="14"/>
      <c r="D35" s="14"/>
      <c r="E35" s="26"/>
    </row>
    <row r="36" spans="1:6" x14ac:dyDescent="0.35">
      <c r="A36" s="19"/>
      <c r="B36" s="14"/>
      <c r="C36" s="14"/>
      <c r="D36" s="14"/>
      <c r="E36" s="15"/>
    </row>
    <row r="37" spans="1:6" ht="15" thickBot="1" x14ac:dyDescent="0.4">
      <c r="A37" s="31" t="s">
        <v>47</v>
      </c>
      <c r="B37" s="38">
        <f>SUM(B7:B36)</f>
        <v>37017889</v>
      </c>
      <c r="C37" s="38">
        <f t="shared" ref="C37:D37" si="3">SUM(C7:C36)</f>
        <v>39780370</v>
      </c>
      <c r="D37" s="38">
        <f t="shared" si="3"/>
        <v>44565931</v>
      </c>
      <c r="E37" s="32">
        <f>B37+C37-D37</f>
        <v>32232328</v>
      </c>
    </row>
    <row r="38" spans="1:6" ht="15" thickTop="1" x14ac:dyDescent="0.3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40"/>
  <sheetViews>
    <sheetView topLeftCell="A25" workbookViewId="0">
      <selection activeCell="D7" sqref="D7"/>
    </sheetView>
  </sheetViews>
  <sheetFormatPr baseColWidth="10" defaultRowHeight="14.5" x14ac:dyDescent="0.35"/>
  <cols>
    <col min="1" max="1" width="40.7265625" customWidth="1"/>
    <col min="2" max="2" width="15.7265625" customWidth="1"/>
    <col min="3" max="3" width="14.81640625" customWidth="1"/>
    <col min="4" max="4" width="13.1796875" customWidth="1"/>
    <col min="5" max="5" width="16.1796875" customWidth="1"/>
  </cols>
  <sheetData>
    <row r="2" spans="1:7" ht="21" x14ac:dyDescent="0.5">
      <c r="A2" s="20" t="s">
        <v>48</v>
      </c>
    </row>
    <row r="4" spans="1:7" ht="15" thickBot="1" x14ac:dyDescent="0.4"/>
    <row r="5" spans="1:7" ht="37.5" thickTop="1" x14ac:dyDescent="0.45">
      <c r="A5" s="21" t="s">
        <v>26</v>
      </c>
      <c r="B5" s="22" t="s">
        <v>27</v>
      </c>
      <c r="C5" s="23" t="s">
        <v>28</v>
      </c>
      <c r="D5" s="23" t="s">
        <v>29</v>
      </c>
      <c r="E5" s="24" t="s">
        <v>30</v>
      </c>
    </row>
    <row r="6" spans="1:7" x14ac:dyDescent="0.35">
      <c r="A6" s="19"/>
      <c r="B6" s="14"/>
      <c r="C6" s="14"/>
      <c r="D6" s="14"/>
      <c r="E6" s="15"/>
    </row>
    <row r="7" spans="1:7" x14ac:dyDescent="0.35">
      <c r="A7" s="13" t="s">
        <v>49</v>
      </c>
      <c r="B7" s="25">
        <f>'BILAN 2016'!E7</f>
        <v>36857833</v>
      </c>
      <c r="C7" s="25">
        <f>[11]BILANFINAOUT2017!E56</f>
        <v>3963693</v>
      </c>
      <c r="D7" s="25">
        <v>13500000</v>
      </c>
      <c r="E7" s="26">
        <f t="shared" ref="E7:E13" si="0">B7+C7-D7</f>
        <v>27321526</v>
      </c>
      <c r="F7" s="27"/>
    </row>
    <row r="8" spans="1:7" x14ac:dyDescent="0.35">
      <c r="A8" s="13" t="s">
        <v>32</v>
      </c>
      <c r="B8" s="25">
        <f>'BILAN 2016'!E8</f>
        <v>-11003980</v>
      </c>
      <c r="C8" s="25">
        <f>[11]BILANFINAOUT2017!C56</f>
        <v>16310819</v>
      </c>
      <c r="D8" s="25"/>
      <c r="E8" s="26">
        <f t="shared" si="0"/>
        <v>5306839</v>
      </c>
      <c r="F8" s="27"/>
    </row>
    <row r="9" spans="1:7" x14ac:dyDescent="0.35">
      <c r="A9" s="13" t="s">
        <v>2</v>
      </c>
      <c r="B9" s="25">
        <f>'BILAN 2016'!E9</f>
        <v>3057178</v>
      </c>
      <c r="C9" s="25">
        <f>[11]BILANFINAOUT2017!F56</f>
        <v>182000</v>
      </c>
      <c r="D9" s="25">
        <f>89000+84000+12000+10000+6000+48000+13000+5000</f>
        <v>267000</v>
      </c>
      <c r="E9" s="26">
        <f t="shared" si="0"/>
        <v>2972178</v>
      </c>
      <c r="F9" s="27"/>
    </row>
    <row r="10" spans="1:7" x14ac:dyDescent="0.35">
      <c r="A10" s="13" t="s">
        <v>33</v>
      </c>
      <c r="B10" s="25">
        <f>'BILAN 2016'!E10</f>
        <v>668460</v>
      </c>
      <c r="C10" s="25">
        <f>[11]BILANFINAOUT2017!G56</f>
        <v>364000</v>
      </c>
      <c r="D10" s="25">
        <f>200000+345000</f>
        <v>545000</v>
      </c>
      <c r="E10" s="26">
        <f t="shared" si="0"/>
        <v>487460</v>
      </c>
      <c r="F10" s="27"/>
    </row>
    <row r="11" spans="1:7" x14ac:dyDescent="0.35">
      <c r="A11" s="13" t="s">
        <v>4</v>
      </c>
      <c r="B11" s="25">
        <f>'BILAN 2016'!E11</f>
        <v>932625</v>
      </c>
      <c r="C11" s="25">
        <f>[11]BILANFINAOUT2017!H56</f>
        <v>910000</v>
      </c>
      <c r="D11" s="25">
        <f>100000+110000+100000+100000+100000+100000+100000+100000+100000</f>
        <v>910000</v>
      </c>
      <c r="E11" s="26">
        <f t="shared" si="0"/>
        <v>932625</v>
      </c>
      <c r="F11" s="27"/>
    </row>
    <row r="12" spans="1:7" x14ac:dyDescent="0.35">
      <c r="A12" s="13" t="s">
        <v>34</v>
      </c>
      <c r="B12" s="25">
        <f>'BILAN 2016'!E12</f>
        <v>-741640</v>
      </c>
      <c r="C12" s="25">
        <f>[11]BILANFINAOUT2017!I56</f>
        <v>2009927</v>
      </c>
      <c r="D12" s="25">
        <f>200000+100000+640000</f>
        <v>940000</v>
      </c>
      <c r="E12" s="26">
        <f t="shared" si="0"/>
        <v>328287</v>
      </c>
      <c r="F12" s="27"/>
    </row>
    <row r="13" spans="1:7" x14ac:dyDescent="0.35">
      <c r="A13" s="13" t="s">
        <v>50</v>
      </c>
      <c r="B13" s="25"/>
      <c r="C13" s="25">
        <f>[11]BILANFINAOUT2017!R56</f>
        <v>125000</v>
      </c>
      <c r="D13" s="25"/>
      <c r="E13" s="26">
        <f t="shared" si="0"/>
        <v>125000</v>
      </c>
      <c r="F13" s="27"/>
    </row>
    <row r="14" spans="1:7" x14ac:dyDescent="0.35">
      <c r="A14" s="13" t="s">
        <v>51</v>
      </c>
      <c r="B14" s="25"/>
      <c r="C14" s="25">
        <f>+[11]BILANFINAOUT2017!J56</f>
        <v>0</v>
      </c>
      <c r="D14" s="25"/>
      <c r="E14" s="26"/>
      <c r="F14" s="27"/>
      <c r="G14" s="27"/>
    </row>
    <row r="15" spans="1:7" x14ac:dyDescent="0.35">
      <c r="A15" s="13" t="s">
        <v>6</v>
      </c>
      <c r="B15" s="25">
        <f>'BILAN 2016'!E13</f>
        <v>530000</v>
      </c>
      <c r="C15" s="25"/>
      <c r="D15" s="25"/>
      <c r="E15" s="26">
        <f t="shared" ref="E15:E21" si="1">B15+C15-D15</f>
        <v>530000</v>
      </c>
      <c r="F15" s="27"/>
    </row>
    <row r="16" spans="1:7" x14ac:dyDescent="0.35">
      <c r="A16" s="13" t="s">
        <v>58</v>
      </c>
      <c r="B16" s="25">
        <f>'BILAN 2016'!E14</f>
        <v>54508</v>
      </c>
      <c r="C16" s="25"/>
      <c r="D16" s="25"/>
      <c r="E16" s="26">
        <f t="shared" si="1"/>
        <v>54508</v>
      </c>
      <c r="F16" s="27"/>
    </row>
    <row r="17" spans="1:6" x14ac:dyDescent="0.35">
      <c r="A17" s="13" t="s">
        <v>59</v>
      </c>
      <c r="B17" s="25">
        <f>'BILAN 2016'!E15</f>
        <v>-164500</v>
      </c>
      <c r="C17" s="25"/>
      <c r="D17" s="25"/>
      <c r="E17" s="26">
        <f t="shared" si="1"/>
        <v>-164500</v>
      </c>
      <c r="F17" s="27"/>
    </row>
    <row r="18" spans="1:6" x14ac:dyDescent="0.35">
      <c r="A18" s="13" t="s">
        <v>60</v>
      </c>
      <c r="B18" s="25">
        <f>'BILAN 2016'!E16</f>
        <v>-75000</v>
      </c>
      <c r="C18" s="25"/>
      <c r="D18" s="25"/>
      <c r="E18" s="26">
        <f t="shared" si="1"/>
        <v>-75000</v>
      </c>
      <c r="F18" s="27"/>
    </row>
    <row r="19" spans="1:6" x14ac:dyDescent="0.35">
      <c r="A19" s="13"/>
      <c r="B19" s="25"/>
      <c r="C19" s="25"/>
      <c r="D19" s="25"/>
      <c r="E19" s="26">
        <f t="shared" si="1"/>
        <v>0</v>
      </c>
      <c r="F19" s="27"/>
    </row>
    <row r="20" spans="1:6" x14ac:dyDescent="0.35">
      <c r="A20" s="13" t="s">
        <v>35</v>
      </c>
      <c r="B20" s="25"/>
      <c r="C20" s="25"/>
      <c r="D20" s="25"/>
      <c r="E20" s="26">
        <f t="shared" si="1"/>
        <v>0</v>
      </c>
      <c r="F20" s="27"/>
    </row>
    <row r="21" spans="1:6" x14ac:dyDescent="0.35">
      <c r="A21" s="13" t="s">
        <v>36</v>
      </c>
      <c r="B21" s="25">
        <f>'BILAN 2016'!E18</f>
        <v>337250</v>
      </c>
      <c r="C21" s="25"/>
      <c r="D21" s="28"/>
      <c r="E21" s="26">
        <f t="shared" si="1"/>
        <v>337250</v>
      </c>
      <c r="F21" s="30"/>
    </row>
    <row r="22" spans="1:6" x14ac:dyDescent="0.35">
      <c r="A22" s="13" t="s">
        <v>37</v>
      </c>
      <c r="B22" s="28"/>
      <c r="C22" s="28"/>
      <c r="D22" s="28"/>
      <c r="E22" s="29"/>
      <c r="F22" s="27"/>
    </row>
    <row r="23" spans="1:6" x14ac:dyDescent="0.35">
      <c r="A23" s="13" t="s">
        <v>38</v>
      </c>
      <c r="B23" s="28"/>
      <c r="C23" s="25"/>
      <c r="D23" s="28"/>
      <c r="E23" s="26"/>
      <c r="F23" s="27"/>
    </row>
    <row r="24" spans="1:6" x14ac:dyDescent="0.35">
      <c r="A24" s="13"/>
      <c r="B24" s="28"/>
      <c r="C24" s="25"/>
      <c r="D24" s="28"/>
      <c r="E24" s="26"/>
      <c r="F24" s="27"/>
    </row>
    <row r="25" spans="1:6" x14ac:dyDescent="0.35">
      <c r="A25" s="13" t="s">
        <v>39</v>
      </c>
      <c r="B25" s="28"/>
      <c r="C25" s="14"/>
      <c r="D25" s="25"/>
      <c r="E25" s="26">
        <f t="shared" ref="E25" si="2">B25+C25-D25</f>
        <v>0</v>
      </c>
      <c r="F25" s="27"/>
    </row>
    <row r="26" spans="1:6" x14ac:dyDescent="0.35">
      <c r="A26" s="13"/>
      <c r="B26" s="28"/>
      <c r="C26" s="25"/>
      <c r="D26" s="28"/>
      <c r="E26" s="26"/>
      <c r="F26" s="27"/>
    </row>
    <row r="27" spans="1:6" x14ac:dyDescent="0.35">
      <c r="A27" s="13" t="s">
        <v>40</v>
      </c>
      <c r="B27" s="28"/>
      <c r="C27" s="25"/>
      <c r="D27" s="28"/>
      <c r="E27" s="26"/>
      <c r="F27" s="27"/>
    </row>
    <row r="28" spans="1:6" x14ac:dyDescent="0.35">
      <c r="A28" s="13"/>
      <c r="B28" s="28"/>
      <c r="C28" s="25"/>
      <c r="D28" s="28"/>
      <c r="E28" s="29"/>
      <c r="F28" s="27"/>
    </row>
    <row r="29" spans="1:6" x14ac:dyDescent="0.35">
      <c r="A29" s="13" t="s">
        <v>61</v>
      </c>
      <c r="B29" s="25">
        <v>1779594</v>
      </c>
      <c r="C29" s="14"/>
      <c r="D29" s="14"/>
      <c r="E29" s="26">
        <f t="shared" ref="E29" si="3">B29+C29-D29</f>
        <v>1779594</v>
      </c>
      <c r="F29" s="27"/>
    </row>
    <row r="30" spans="1:6" x14ac:dyDescent="0.35">
      <c r="A30" s="13" t="s">
        <v>41</v>
      </c>
      <c r="B30" s="28"/>
      <c r="C30" s="25"/>
      <c r="D30" s="25"/>
      <c r="E30" s="26"/>
      <c r="F30" s="27"/>
    </row>
    <row r="31" spans="1:6" x14ac:dyDescent="0.35">
      <c r="A31" s="13" t="s">
        <v>42</v>
      </c>
      <c r="B31" s="28"/>
      <c r="C31" s="14"/>
      <c r="D31" s="14"/>
      <c r="E31" s="26"/>
      <c r="F31" s="27"/>
    </row>
    <row r="32" spans="1:6" x14ac:dyDescent="0.35">
      <c r="A32" s="13" t="s">
        <v>43</v>
      </c>
      <c r="B32" s="28"/>
      <c r="C32" s="25"/>
      <c r="D32" s="28"/>
      <c r="E32" s="26"/>
      <c r="F32" s="27"/>
    </row>
    <row r="33" spans="1:6" x14ac:dyDescent="0.35">
      <c r="A33" s="13" t="s">
        <v>44</v>
      </c>
      <c r="B33" s="28"/>
      <c r="C33" s="25"/>
      <c r="D33" s="28"/>
      <c r="E33" s="26"/>
      <c r="F33" s="27"/>
    </row>
    <row r="34" spans="1:6" x14ac:dyDescent="0.35">
      <c r="A34" s="13"/>
      <c r="B34" s="28"/>
      <c r="C34" s="25"/>
      <c r="D34" s="28"/>
      <c r="E34" s="26"/>
      <c r="F34" s="27"/>
    </row>
    <row r="35" spans="1:6" x14ac:dyDescent="0.35">
      <c r="A35" s="13" t="s">
        <v>45</v>
      </c>
      <c r="B35" s="28"/>
      <c r="C35" s="25"/>
      <c r="D35" s="25"/>
      <c r="E35" s="26"/>
      <c r="F35" s="27"/>
    </row>
    <row r="36" spans="1:6" x14ac:dyDescent="0.35">
      <c r="A36" s="13"/>
      <c r="B36" s="28"/>
      <c r="C36" s="25"/>
      <c r="D36" s="28"/>
      <c r="E36" s="26"/>
      <c r="F36" s="27"/>
    </row>
    <row r="37" spans="1:6" x14ac:dyDescent="0.35">
      <c r="A37" s="19"/>
      <c r="B37" s="14"/>
      <c r="C37" s="14"/>
      <c r="D37" s="14"/>
      <c r="E37" s="26"/>
    </row>
    <row r="38" spans="1:6" x14ac:dyDescent="0.35">
      <c r="A38" s="19"/>
      <c r="B38" s="14"/>
      <c r="C38" s="14"/>
      <c r="D38" s="14"/>
      <c r="E38" s="15"/>
    </row>
    <row r="39" spans="1:6" ht="15" thickBot="1" x14ac:dyDescent="0.4">
      <c r="A39" s="31" t="s">
        <v>47</v>
      </c>
      <c r="B39" s="38">
        <f>SUM(B7:B38)</f>
        <v>32232328</v>
      </c>
      <c r="C39" s="38">
        <f t="shared" ref="C39:D39" si="4">SUM(C7:C38)</f>
        <v>23865439</v>
      </c>
      <c r="D39" s="38">
        <f t="shared" si="4"/>
        <v>16162000</v>
      </c>
      <c r="E39" s="32">
        <f>B39+C39-D39</f>
        <v>39935767</v>
      </c>
    </row>
    <row r="40" spans="1:6" ht="15" thickTop="1" x14ac:dyDescent="0.3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9"/>
  <sheetViews>
    <sheetView topLeftCell="A10" workbookViewId="0">
      <selection activeCell="F17" sqref="F17"/>
    </sheetView>
  </sheetViews>
  <sheetFormatPr baseColWidth="10" defaultRowHeight="14.5" x14ac:dyDescent="0.35"/>
  <cols>
    <col min="2" max="2" width="40.7265625" customWidth="1"/>
    <col min="3" max="5" width="18.54296875" bestFit="1" customWidth="1"/>
    <col min="6" max="6" width="20.453125" customWidth="1"/>
  </cols>
  <sheetData>
    <row r="1" spans="1:7" x14ac:dyDescent="0.35">
      <c r="B1" s="13" t="s">
        <v>95</v>
      </c>
    </row>
    <row r="2" spans="1:7" x14ac:dyDescent="0.35">
      <c r="B2" s="13" t="s">
        <v>10</v>
      </c>
      <c r="C2" s="13">
        <v>2022</v>
      </c>
    </row>
    <row r="3" spans="1:7" ht="21" x14ac:dyDescent="0.5">
      <c r="B3" s="141" t="s">
        <v>108</v>
      </c>
      <c r="C3" s="142"/>
      <c r="D3" s="142"/>
      <c r="E3" s="142"/>
      <c r="F3" s="142"/>
    </row>
    <row r="5" spans="1:7" ht="15" thickBot="1" x14ac:dyDescent="0.4"/>
    <row r="6" spans="1:7" ht="37.5" thickTop="1" x14ac:dyDescent="0.45">
      <c r="A6" s="21" t="s">
        <v>109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7" ht="18.5" x14ac:dyDescent="0.45">
      <c r="A7" s="34"/>
      <c r="B7" s="36"/>
      <c r="C7" s="35"/>
      <c r="D7" s="36"/>
      <c r="E7" s="36"/>
      <c r="F7" s="37"/>
    </row>
    <row r="8" spans="1:7" x14ac:dyDescent="0.35">
      <c r="A8" s="19">
        <v>1</v>
      </c>
      <c r="B8" s="13" t="s">
        <v>110</v>
      </c>
      <c r="C8" s="62">
        <v>21791466</v>
      </c>
      <c r="D8" s="62"/>
      <c r="E8" s="40">
        <v>500000</v>
      </c>
      <c r="F8" s="26">
        <v>21291466</v>
      </c>
      <c r="G8" s="27"/>
    </row>
    <row r="9" spans="1:7" x14ac:dyDescent="0.35">
      <c r="A9" s="19">
        <v>2</v>
      </c>
      <c r="B9" s="14" t="s">
        <v>2</v>
      </c>
      <c r="C9" s="62">
        <v>2074728</v>
      </c>
      <c r="D9" s="62">
        <v>156000</v>
      </c>
      <c r="E9" s="40">
        <v>234500</v>
      </c>
      <c r="F9" s="26">
        <v>1996228</v>
      </c>
      <c r="G9" s="27"/>
    </row>
    <row r="10" spans="1:7" x14ac:dyDescent="0.35">
      <c r="A10" s="19">
        <v>3</v>
      </c>
      <c r="B10" s="14" t="s">
        <v>33</v>
      </c>
      <c r="C10" s="62">
        <v>1191460</v>
      </c>
      <c r="D10" s="62">
        <v>312000</v>
      </c>
      <c r="E10" s="40">
        <v>0</v>
      </c>
      <c r="F10" s="26">
        <v>1503460</v>
      </c>
      <c r="G10" s="27"/>
    </row>
    <row r="11" spans="1:7" x14ac:dyDescent="0.35">
      <c r="A11" s="19">
        <v>4</v>
      </c>
      <c r="B11" s="14" t="s">
        <v>34</v>
      </c>
      <c r="C11" s="62">
        <v>94762</v>
      </c>
      <c r="D11" s="62">
        <v>520000</v>
      </c>
      <c r="E11" s="40">
        <v>0</v>
      </c>
      <c r="F11" s="26">
        <f>C11+D11</f>
        <v>614762</v>
      </c>
      <c r="G11" s="27"/>
    </row>
    <row r="12" spans="1:7" x14ac:dyDescent="0.35">
      <c r="A12" s="19">
        <v>5</v>
      </c>
      <c r="B12" s="14" t="s">
        <v>6</v>
      </c>
      <c r="C12" s="62">
        <v>680000</v>
      </c>
      <c r="D12" s="62">
        <v>0</v>
      </c>
      <c r="E12" s="40">
        <v>0</v>
      </c>
      <c r="F12" s="26">
        <v>680000</v>
      </c>
      <c r="G12" s="27"/>
    </row>
    <row r="13" spans="1:7" x14ac:dyDescent="0.35">
      <c r="A13" s="19">
        <v>6</v>
      </c>
      <c r="B13" s="14" t="s">
        <v>111</v>
      </c>
      <c r="C13" s="62">
        <v>1122025</v>
      </c>
      <c r="D13" s="62">
        <v>96000</v>
      </c>
      <c r="E13" s="40">
        <v>450000</v>
      </c>
      <c r="F13" s="26">
        <v>768025</v>
      </c>
      <c r="G13" s="27"/>
    </row>
    <row r="14" spans="1:7" x14ac:dyDescent="0.35">
      <c r="A14" s="19">
        <v>7</v>
      </c>
      <c r="B14" s="14" t="s">
        <v>4</v>
      </c>
      <c r="C14" s="62">
        <v>1310525</v>
      </c>
      <c r="D14" s="62">
        <v>780000</v>
      </c>
      <c r="E14" s="40">
        <v>770000</v>
      </c>
      <c r="F14" s="26">
        <v>1320525</v>
      </c>
      <c r="G14" s="27"/>
    </row>
    <row r="15" spans="1:7" x14ac:dyDescent="0.35">
      <c r="A15" s="19">
        <v>8</v>
      </c>
      <c r="B15" s="14" t="s">
        <v>112</v>
      </c>
      <c r="C15" s="62">
        <v>94000</v>
      </c>
      <c r="D15" s="62"/>
      <c r="E15" s="40"/>
      <c r="F15" s="26">
        <v>94000</v>
      </c>
      <c r="G15" s="27"/>
    </row>
    <row r="16" spans="1:7" x14ac:dyDescent="0.35">
      <c r="A16" s="19">
        <v>9</v>
      </c>
      <c r="B16" s="14" t="s">
        <v>113</v>
      </c>
      <c r="C16" s="62"/>
      <c r="D16" s="62"/>
      <c r="E16" s="40"/>
      <c r="F16" s="26">
        <v>0</v>
      </c>
      <c r="G16" s="27"/>
    </row>
    <row r="17" spans="1:8" x14ac:dyDescent="0.35">
      <c r="A17" s="19">
        <v>10</v>
      </c>
      <c r="B17" s="14" t="s">
        <v>35</v>
      </c>
      <c r="C17" s="62">
        <v>527000</v>
      </c>
      <c r="D17" s="62">
        <v>1836000</v>
      </c>
      <c r="E17" s="40">
        <v>1820000</v>
      </c>
      <c r="F17" s="26">
        <v>543000</v>
      </c>
      <c r="G17" s="27"/>
    </row>
    <row r="18" spans="1:8" x14ac:dyDescent="0.35">
      <c r="A18" s="19">
        <v>11</v>
      </c>
      <c r="B18" s="14" t="s">
        <v>114</v>
      </c>
      <c r="C18" s="62">
        <v>164500</v>
      </c>
      <c r="D18" s="62"/>
      <c r="E18" s="40">
        <v>164500</v>
      </c>
      <c r="F18" s="26">
        <v>0</v>
      </c>
      <c r="G18" s="27"/>
    </row>
    <row r="19" spans="1:8" x14ac:dyDescent="0.35">
      <c r="A19" s="19">
        <v>12</v>
      </c>
      <c r="B19" s="14" t="s">
        <v>115</v>
      </c>
      <c r="C19" s="62">
        <v>619900</v>
      </c>
      <c r="D19" s="62"/>
      <c r="E19" s="40">
        <v>619900</v>
      </c>
      <c r="F19" s="26">
        <v>0</v>
      </c>
      <c r="G19" s="27"/>
    </row>
    <row r="20" spans="1:8" x14ac:dyDescent="0.35">
      <c r="A20" s="19">
        <v>13</v>
      </c>
      <c r="B20" s="14" t="s">
        <v>116</v>
      </c>
      <c r="C20" s="62">
        <v>75000</v>
      </c>
      <c r="D20" s="62"/>
      <c r="E20" s="40">
        <v>75000</v>
      </c>
      <c r="F20" s="26">
        <v>0</v>
      </c>
      <c r="G20" s="27"/>
    </row>
    <row r="21" spans="1:8" x14ac:dyDescent="0.35">
      <c r="A21" s="19">
        <v>14</v>
      </c>
      <c r="B21" s="14" t="s">
        <v>117</v>
      </c>
      <c r="C21" s="62">
        <v>54508</v>
      </c>
      <c r="D21" s="62"/>
      <c r="E21" s="40">
        <v>54508</v>
      </c>
      <c r="F21" s="26">
        <v>0</v>
      </c>
      <c r="G21" s="27"/>
    </row>
    <row r="22" spans="1:8" x14ac:dyDescent="0.35">
      <c r="A22" s="19">
        <v>15</v>
      </c>
      <c r="B22" s="14" t="s">
        <v>118</v>
      </c>
      <c r="C22" s="62">
        <v>2858226</v>
      </c>
      <c r="D22" s="62">
        <v>3748107.9999999995</v>
      </c>
      <c r="E22" s="40"/>
      <c r="F22" s="26">
        <v>6606334</v>
      </c>
      <c r="G22" s="27"/>
    </row>
    <row r="23" spans="1:8" x14ac:dyDescent="0.35">
      <c r="A23" s="19"/>
      <c r="B23" s="14" t="s">
        <v>119</v>
      </c>
      <c r="C23" s="25"/>
      <c r="D23" s="62">
        <v>28000</v>
      </c>
      <c r="E23" s="40"/>
      <c r="F23" s="26">
        <v>28000</v>
      </c>
      <c r="G23" s="27"/>
    </row>
    <row r="24" spans="1:8" x14ac:dyDescent="0.35">
      <c r="A24" s="63"/>
      <c r="B24" s="64"/>
      <c r="C24" s="65"/>
      <c r="D24" s="65"/>
      <c r="E24" s="66"/>
      <c r="F24" s="67"/>
      <c r="G24" s="27"/>
    </row>
    <row r="25" spans="1:8" ht="20.5" thickBot="1" x14ac:dyDescent="0.45">
      <c r="A25" s="68"/>
      <c r="B25" s="69" t="s">
        <v>23</v>
      </c>
      <c r="C25" s="70">
        <v>32658100</v>
      </c>
      <c r="D25" s="70">
        <f>SUM(D9:D23)</f>
        <v>7476108</v>
      </c>
      <c r="E25" s="70">
        <v>4688408</v>
      </c>
      <c r="F25" s="70">
        <f>SUM(F8:F23)</f>
        <v>35445800</v>
      </c>
      <c r="G25" s="27"/>
      <c r="H25" s="27">
        <v>479000</v>
      </c>
    </row>
    <row r="26" spans="1:8" ht="15" thickTop="1" x14ac:dyDescent="0.35">
      <c r="A26" s="71"/>
      <c r="B26" s="72"/>
      <c r="C26" s="73"/>
      <c r="D26" s="73"/>
      <c r="E26" s="73"/>
      <c r="F26" s="73"/>
      <c r="G26" s="27"/>
    </row>
    <row r="27" spans="1:8" ht="23.5" x14ac:dyDescent="0.55000000000000004">
      <c r="B27" s="143" t="s">
        <v>120</v>
      </c>
      <c r="C27" s="144"/>
      <c r="D27" s="144"/>
      <c r="E27" s="144"/>
      <c r="F27" s="144"/>
      <c r="G27" s="71"/>
    </row>
    <row r="28" spans="1:8" x14ac:dyDescent="0.35">
      <c r="A28" s="71"/>
      <c r="B28" s="72"/>
      <c r="C28" s="73"/>
      <c r="D28" s="73"/>
      <c r="E28" s="74"/>
      <c r="F28" s="73"/>
      <c r="G28" s="27"/>
    </row>
    <row r="29" spans="1:8" x14ac:dyDescent="0.35">
      <c r="A29" s="71"/>
      <c r="B29" s="72"/>
      <c r="C29" s="73"/>
      <c r="D29" s="73"/>
      <c r="E29" s="74"/>
      <c r="F29" s="73"/>
      <c r="G29" s="27"/>
    </row>
    <row r="30" spans="1:8" ht="15" thickBot="1" x14ac:dyDescent="0.4">
      <c r="A30" s="71"/>
      <c r="B30" s="72"/>
      <c r="C30" s="73">
        <v>2021</v>
      </c>
      <c r="D30" s="73">
        <v>2022</v>
      </c>
      <c r="E30" s="74"/>
      <c r="F30" s="73"/>
      <c r="G30" s="27"/>
    </row>
    <row r="31" spans="1:8" ht="15" thickTop="1" x14ac:dyDescent="0.35">
      <c r="A31" s="75">
        <v>1</v>
      </c>
      <c r="B31" s="76" t="s">
        <v>121</v>
      </c>
      <c r="C31" s="77">
        <v>7304779</v>
      </c>
      <c r="D31" s="78">
        <v>4337431</v>
      </c>
      <c r="E31" s="74"/>
      <c r="F31" s="73"/>
      <c r="G31" s="27"/>
    </row>
    <row r="32" spans="1:8" x14ac:dyDescent="0.35">
      <c r="A32" s="19">
        <v>2</v>
      </c>
      <c r="B32" s="14" t="s">
        <v>122</v>
      </c>
      <c r="C32" s="62">
        <v>630005</v>
      </c>
      <c r="D32" s="79">
        <v>630005</v>
      </c>
      <c r="E32" s="74"/>
      <c r="F32" s="73"/>
      <c r="G32" s="27"/>
      <c r="H32" s="27"/>
    </row>
    <row r="33" spans="1:7" x14ac:dyDescent="0.35">
      <c r="A33" s="19">
        <v>3</v>
      </c>
      <c r="B33" s="14" t="s">
        <v>42</v>
      </c>
      <c r="C33" s="62">
        <v>1423702</v>
      </c>
      <c r="D33" s="79">
        <v>1423702</v>
      </c>
      <c r="E33" s="74"/>
      <c r="F33" s="73"/>
      <c r="G33" s="27"/>
    </row>
    <row r="34" spans="1:7" x14ac:dyDescent="0.35">
      <c r="A34" s="19">
        <v>4</v>
      </c>
      <c r="B34" s="14" t="s">
        <v>123</v>
      </c>
      <c r="C34" s="62">
        <v>744700</v>
      </c>
      <c r="D34" s="79">
        <v>744700</v>
      </c>
      <c r="E34" s="74"/>
      <c r="F34" s="73"/>
      <c r="G34" s="27"/>
    </row>
    <row r="35" spans="1:7" x14ac:dyDescent="0.35">
      <c r="A35" s="19">
        <v>5</v>
      </c>
      <c r="B35" s="14" t="s">
        <v>124</v>
      </c>
      <c r="C35" s="62">
        <v>275000</v>
      </c>
      <c r="D35" s="79">
        <v>0</v>
      </c>
      <c r="E35" s="73"/>
      <c r="F35" s="73"/>
      <c r="G35" s="27"/>
    </row>
    <row r="36" spans="1:7" x14ac:dyDescent="0.35">
      <c r="A36" s="19">
        <v>6</v>
      </c>
      <c r="B36" s="14" t="s">
        <v>125</v>
      </c>
      <c r="C36" s="62">
        <v>154000</v>
      </c>
      <c r="D36" s="79">
        <v>154000</v>
      </c>
      <c r="E36" s="73"/>
      <c r="F36" s="73"/>
      <c r="G36" s="27"/>
    </row>
    <row r="37" spans="1:7" x14ac:dyDescent="0.35">
      <c r="A37" s="19">
        <v>7</v>
      </c>
      <c r="B37" s="14" t="s">
        <v>126</v>
      </c>
      <c r="C37" s="62">
        <v>20515659</v>
      </c>
      <c r="D37" s="79">
        <v>18658500</v>
      </c>
      <c r="E37" s="73"/>
      <c r="F37" s="73"/>
      <c r="G37" s="27"/>
    </row>
    <row r="38" spans="1:7" x14ac:dyDescent="0.35">
      <c r="A38" s="19">
        <v>8</v>
      </c>
      <c r="B38" s="14" t="s">
        <v>127</v>
      </c>
      <c r="C38" s="62">
        <v>1233618</v>
      </c>
      <c r="D38" s="79">
        <v>656618</v>
      </c>
      <c r="E38" s="74"/>
      <c r="F38" s="73"/>
      <c r="G38" s="27"/>
    </row>
    <row r="39" spans="1:7" x14ac:dyDescent="0.35">
      <c r="A39" s="19"/>
      <c r="B39" s="14"/>
      <c r="C39" s="25"/>
      <c r="D39" s="26"/>
      <c r="E39" s="74"/>
      <c r="F39" s="73"/>
      <c r="G39" s="27"/>
    </row>
    <row r="40" spans="1:7" ht="15" thickBot="1" x14ac:dyDescent="0.4">
      <c r="A40" s="68"/>
      <c r="B40" s="58" t="s">
        <v>23</v>
      </c>
      <c r="C40" s="38">
        <v>32281463</v>
      </c>
      <c r="D40" s="32">
        <v>26604956</v>
      </c>
      <c r="E40" s="80"/>
      <c r="F40" s="73"/>
      <c r="G40" s="30"/>
    </row>
    <row r="41" spans="1:7" ht="15" thickTop="1" x14ac:dyDescent="0.35">
      <c r="A41" s="71"/>
      <c r="B41" s="71"/>
      <c r="C41" s="81"/>
      <c r="D41" s="81"/>
      <c r="E41" s="80"/>
      <c r="F41" s="73"/>
      <c r="G41" s="27"/>
    </row>
    <row r="42" spans="1:7" x14ac:dyDescent="0.35">
      <c r="A42" s="71"/>
      <c r="B42" s="71"/>
      <c r="C42" s="73"/>
      <c r="D42" s="73"/>
      <c r="E42" s="74"/>
      <c r="F42" s="73"/>
      <c r="G42" s="27"/>
    </row>
    <row r="43" spans="1:7" x14ac:dyDescent="0.35">
      <c r="A43" s="71"/>
      <c r="B43" s="72"/>
      <c r="C43" s="81"/>
      <c r="D43" s="73"/>
      <c r="E43" s="74"/>
      <c r="F43" s="73"/>
      <c r="G43" s="27"/>
    </row>
    <row r="44" spans="1:7" x14ac:dyDescent="0.35">
      <c r="A44" s="71"/>
      <c r="B44" s="72"/>
      <c r="C44" s="81"/>
      <c r="D44" s="71"/>
      <c r="E44" s="74"/>
      <c r="F44" s="73"/>
      <c r="G44" s="27"/>
    </row>
    <row r="45" spans="1:7" x14ac:dyDescent="0.35">
      <c r="A45" s="71"/>
      <c r="B45" s="72"/>
      <c r="C45" s="81"/>
      <c r="D45" s="73"/>
      <c r="E45" s="80"/>
      <c r="F45" s="73"/>
      <c r="G45" s="27"/>
    </row>
    <row r="46" spans="1:7" x14ac:dyDescent="0.35">
      <c r="A46" s="71"/>
      <c r="B46" s="72"/>
      <c r="C46" s="81"/>
      <c r="D46" s="73"/>
      <c r="E46" s="80"/>
      <c r="F46" s="73"/>
      <c r="G46" s="27"/>
    </row>
    <row r="47" spans="1:7" x14ac:dyDescent="0.35">
      <c r="A47" s="71"/>
      <c r="B47" s="72"/>
      <c r="C47" s="81"/>
      <c r="D47" s="73"/>
      <c r="E47" s="80"/>
      <c r="F47" s="73"/>
      <c r="G47" s="27"/>
    </row>
    <row r="48" spans="1:7" x14ac:dyDescent="0.35">
      <c r="A48" s="71"/>
      <c r="B48" s="72"/>
      <c r="C48" s="81"/>
      <c r="D48" s="73"/>
      <c r="E48" s="80"/>
      <c r="F48" s="73"/>
      <c r="G48" s="27"/>
    </row>
    <row r="49" spans="1:7" x14ac:dyDescent="0.35">
      <c r="A49" s="71"/>
      <c r="B49" s="72"/>
      <c r="C49" s="71"/>
      <c r="D49" s="73"/>
      <c r="E49" s="74"/>
      <c r="F49" s="73"/>
      <c r="G49" s="27"/>
    </row>
    <row r="50" spans="1:7" x14ac:dyDescent="0.35">
      <c r="A50" s="71"/>
      <c r="B50" s="72"/>
      <c r="C50" s="71"/>
      <c r="D50" s="73"/>
      <c r="E50" s="82"/>
      <c r="F50" s="73"/>
      <c r="G50" s="27"/>
    </row>
    <row r="51" spans="1:7" x14ac:dyDescent="0.35">
      <c r="A51" s="71"/>
      <c r="B51" s="72"/>
      <c r="C51" s="73"/>
      <c r="D51" s="73"/>
      <c r="E51" s="82"/>
      <c r="F51" s="73"/>
      <c r="G51" s="27"/>
    </row>
    <row r="52" spans="1:7" x14ac:dyDescent="0.35">
      <c r="A52" s="71"/>
      <c r="B52" s="72"/>
      <c r="C52" s="71"/>
      <c r="D52" s="73"/>
      <c r="E52" s="80"/>
      <c r="F52" s="73"/>
      <c r="G52" s="27"/>
    </row>
    <row r="53" spans="1:7" x14ac:dyDescent="0.35">
      <c r="A53" s="71"/>
      <c r="B53" s="72"/>
      <c r="C53" s="81"/>
      <c r="D53" s="73"/>
      <c r="E53" s="80"/>
      <c r="F53" s="73"/>
      <c r="G53" s="27"/>
    </row>
    <row r="54" spans="1:7" x14ac:dyDescent="0.35">
      <c r="A54" s="71"/>
      <c r="B54" s="72"/>
      <c r="C54" s="81"/>
      <c r="D54" s="73"/>
      <c r="E54" s="74"/>
      <c r="F54" s="73"/>
      <c r="G54" s="27"/>
    </row>
    <row r="55" spans="1:7" x14ac:dyDescent="0.35">
      <c r="A55" s="71"/>
      <c r="B55" s="72"/>
      <c r="C55" s="81"/>
      <c r="D55" s="73"/>
      <c r="E55" s="80"/>
      <c r="F55" s="73"/>
      <c r="G55" s="27"/>
    </row>
    <row r="56" spans="1:7" x14ac:dyDescent="0.35">
      <c r="A56" s="71"/>
      <c r="B56" s="71"/>
      <c r="C56" s="71"/>
      <c r="D56" s="71"/>
      <c r="E56" s="82"/>
      <c r="F56" s="73"/>
    </row>
    <row r="57" spans="1:7" x14ac:dyDescent="0.35">
      <c r="A57" s="71"/>
      <c r="B57" s="71"/>
      <c r="C57" s="71"/>
      <c r="D57" s="71"/>
      <c r="E57" s="82"/>
      <c r="F57" s="71"/>
    </row>
    <row r="58" spans="1:7" ht="17.5" x14ac:dyDescent="0.35">
      <c r="A58" s="71"/>
      <c r="B58" s="72"/>
      <c r="C58" s="83"/>
      <c r="D58" s="83"/>
      <c r="E58" s="83"/>
      <c r="F58" s="83"/>
    </row>
    <row r="59" spans="1:7" x14ac:dyDescent="0.35">
      <c r="A59" s="71"/>
      <c r="B59" s="71"/>
      <c r="C59" s="71"/>
      <c r="D59" s="71"/>
      <c r="E59" s="71"/>
      <c r="F59" s="71"/>
    </row>
    <row r="60" spans="1:7" x14ac:dyDescent="0.35">
      <c r="A60" s="71"/>
      <c r="B60" s="71"/>
      <c r="C60" s="71"/>
      <c r="D60" s="71"/>
      <c r="E60" s="71"/>
      <c r="F60" s="71"/>
    </row>
    <row r="61" spans="1:7" x14ac:dyDescent="0.35">
      <c r="A61" s="71"/>
      <c r="B61" s="71"/>
      <c r="C61" s="71"/>
      <c r="D61" s="71"/>
      <c r="E61" s="71"/>
      <c r="F61" s="71"/>
    </row>
    <row r="62" spans="1:7" x14ac:dyDescent="0.35">
      <c r="A62" s="71"/>
      <c r="B62" s="71"/>
      <c r="C62" s="71"/>
      <c r="D62" s="71"/>
      <c r="E62" s="71"/>
      <c r="F62" s="71"/>
    </row>
    <row r="63" spans="1:7" x14ac:dyDescent="0.35">
      <c r="A63" s="71"/>
      <c r="B63" s="71"/>
      <c r="C63" s="71"/>
      <c r="D63" s="71"/>
      <c r="E63" s="71"/>
      <c r="F63" s="71"/>
    </row>
    <row r="64" spans="1:7" x14ac:dyDescent="0.35">
      <c r="A64" s="71"/>
      <c r="B64" s="71"/>
      <c r="C64" s="71"/>
      <c r="D64" s="71"/>
      <c r="E64" s="71"/>
      <c r="F64" s="71"/>
    </row>
    <row r="65" spans="1:6" x14ac:dyDescent="0.35">
      <c r="A65" s="71"/>
      <c r="B65" s="71"/>
      <c r="C65" s="71"/>
      <c r="D65" s="71"/>
      <c r="E65" s="71"/>
      <c r="F65" s="71"/>
    </row>
    <row r="66" spans="1:6" x14ac:dyDescent="0.35">
      <c r="A66" s="71"/>
      <c r="B66" s="71"/>
      <c r="C66" s="71"/>
      <c r="D66" s="71"/>
      <c r="E66" s="71"/>
      <c r="F66" s="71"/>
    </row>
    <row r="67" spans="1:6" x14ac:dyDescent="0.35">
      <c r="A67" s="71"/>
      <c r="B67" s="71"/>
      <c r="C67" s="71"/>
      <c r="D67" s="71"/>
      <c r="E67" s="71"/>
      <c r="F67" s="71"/>
    </row>
    <row r="68" spans="1:6" x14ac:dyDescent="0.35">
      <c r="A68" s="71"/>
      <c r="B68" s="71"/>
      <c r="C68" s="71"/>
      <c r="D68" s="71"/>
      <c r="E68" s="71"/>
      <c r="F68" s="71"/>
    </row>
    <row r="69" spans="1:6" x14ac:dyDescent="0.35">
      <c r="A69" s="71"/>
      <c r="B69" s="71"/>
      <c r="C69" s="71"/>
      <c r="D69" s="71"/>
      <c r="E69" s="71"/>
      <c r="F69" s="71"/>
    </row>
    <row r="70" spans="1:6" x14ac:dyDescent="0.35">
      <c r="A70" s="71"/>
      <c r="B70" s="71"/>
      <c r="C70" s="71"/>
      <c r="D70" s="71"/>
      <c r="E70" s="71"/>
      <c r="F70" s="71"/>
    </row>
    <row r="71" spans="1:6" x14ac:dyDescent="0.35">
      <c r="A71" s="71"/>
      <c r="B71" s="71"/>
      <c r="C71" s="71"/>
      <c r="D71" s="71"/>
      <c r="E71" s="71"/>
      <c r="F71" s="71"/>
    </row>
    <row r="72" spans="1:6" x14ac:dyDescent="0.35">
      <c r="A72" s="71"/>
      <c r="B72" s="71"/>
      <c r="C72" s="71"/>
      <c r="D72" s="71"/>
      <c r="E72" s="71"/>
      <c r="F72" s="71"/>
    </row>
    <row r="73" spans="1:6" x14ac:dyDescent="0.35">
      <c r="A73" s="71"/>
      <c r="B73" s="71"/>
      <c r="C73" s="71"/>
      <c r="D73" s="71"/>
      <c r="E73" s="71"/>
      <c r="F73" s="71"/>
    </row>
    <row r="74" spans="1:6" x14ac:dyDescent="0.35">
      <c r="A74" s="71"/>
      <c r="B74" s="71"/>
      <c r="C74" s="71"/>
      <c r="D74" s="71"/>
      <c r="E74" s="71"/>
      <c r="F74" s="71"/>
    </row>
    <row r="75" spans="1:6" x14ac:dyDescent="0.35">
      <c r="A75" s="71"/>
      <c r="B75" s="71"/>
      <c r="C75" s="71"/>
      <c r="D75" s="71"/>
      <c r="E75" s="71"/>
      <c r="F75" s="71"/>
    </row>
    <row r="76" spans="1:6" x14ac:dyDescent="0.35">
      <c r="A76" s="71"/>
      <c r="B76" s="71"/>
      <c r="C76" s="71"/>
      <c r="D76" s="71"/>
      <c r="E76" s="71"/>
      <c r="F76" s="71"/>
    </row>
    <row r="77" spans="1:6" x14ac:dyDescent="0.35">
      <c r="A77" s="71"/>
      <c r="B77" s="71"/>
      <c r="C77" s="71"/>
      <c r="D77" s="71"/>
      <c r="E77" s="71"/>
      <c r="F77" s="71"/>
    </row>
    <row r="78" spans="1:6" x14ac:dyDescent="0.35">
      <c r="A78" s="71"/>
      <c r="B78" s="71"/>
      <c r="C78" s="71"/>
      <c r="D78" s="71"/>
      <c r="E78" s="71"/>
      <c r="F78" s="71"/>
    </row>
    <row r="79" spans="1:6" x14ac:dyDescent="0.35">
      <c r="A79" s="71"/>
      <c r="B79" s="71"/>
      <c r="C79" s="71"/>
      <c r="D79" s="71"/>
      <c r="E79" s="71"/>
      <c r="F79" s="71"/>
    </row>
    <row r="80" spans="1:6" x14ac:dyDescent="0.35">
      <c r="A80" s="71"/>
      <c r="B80" s="71"/>
      <c r="C80" s="71"/>
      <c r="D80" s="71"/>
      <c r="E80" s="71"/>
      <c r="F80" s="71"/>
    </row>
    <row r="81" spans="1:6" x14ac:dyDescent="0.35">
      <c r="A81" s="71"/>
      <c r="B81" s="71"/>
      <c r="C81" s="71"/>
      <c r="D81" s="71"/>
      <c r="E81" s="71"/>
      <c r="F81" s="71"/>
    </row>
    <row r="82" spans="1:6" x14ac:dyDescent="0.35">
      <c r="A82" s="71"/>
      <c r="B82" s="71"/>
      <c r="C82" s="71"/>
      <c r="D82" s="71"/>
      <c r="E82" s="71"/>
      <c r="F82" s="71"/>
    </row>
    <row r="83" spans="1:6" x14ac:dyDescent="0.35">
      <c r="A83" s="71"/>
      <c r="B83" s="71"/>
      <c r="C83" s="71"/>
      <c r="D83" s="71"/>
      <c r="E83" s="71"/>
      <c r="F83" s="71"/>
    </row>
    <row r="84" spans="1:6" x14ac:dyDescent="0.35">
      <c r="A84" s="71"/>
      <c r="B84" s="71"/>
      <c r="C84" s="71"/>
      <c r="D84" s="71"/>
      <c r="E84" s="71"/>
      <c r="F84" s="71"/>
    </row>
    <row r="85" spans="1:6" x14ac:dyDescent="0.35">
      <c r="A85" s="71"/>
      <c r="B85" s="71"/>
      <c r="C85" s="71"/>
      <c r="D85" s="71"/>
      <c r="E85" s="71"/>
      <c r="F85" s="71"/>
    </row>
    <row r="86" spans="1:6" x14ac:dyDescent="0.35">
      <c r="A86" s="71"/>
      <c r="B86" s="71"/>
      <c r="C86" s="71"/>
      <c r="D86" s="71"/>
      <c r="E86" s="71"/>
      <c r="F86" s="71"/>
    </row>
    <row r="87" spans="1:6" x14ac:dyDescent="0.35">
      <c r="A87" s="71"/>
      <c r="B87" s="71"/>
      <c r="C87" s="71"/>
      <c r="D87" s="71"/>
      <c r="E87" s="71"/>
      <c r="F87" s="71"/>
    </row>
    <row r="88" spans="1:6" x14ac:dyDescent="0.35">
      <c r="A88" s="71"/>
      <c r="B88" s="71"/>
      <c r="C88" s="71"/>
      <c r="D88" s="71"/>
      <c r="E88" s="71"/>
      <c r="F88" s="71"/>
    </row>
    <row r="89" spans="1:6" x14ac:dyDescent="0.35">
      <c r="A89" s="71"/>
      <c r="B89" s="71"/>
      <c r="C89" s="71"/>
      <c r="D89" s="71"/>
      <c r="E89" s="71"/>
      <c r="F89" s="71"/>
    </row>
    <row r="90" spans="1:6" x14ac:dyDescent="0.35">
      <c r="A90" s="71"/>
      <c r="B90" s="71"/>
      <c r="C90" s="71"/>
      <c r="D90" s="71"/>
      <c r="E90" s="71"/>
      <c r="F90" s="71"/>
    </row>
    <row r="91" spans="1:6" x14ac:dyDescent="0.35">
      <c r="A91" s="71"/>
      <c r="B91" s="71"/>
      <c r="C91" s="71"/>
      <c r="D91" s="71"/>
      <c r="E91" s="71"/>
      <c r="F91" s="71"/>
    </row>
    <row r="92" spans="1:6" x14ac:dyDescent="0.35">
      <c r="A92" s="71"/>
      <c r="B92" s="71"/>
      <c r="C92" s="71"/>
      <c r="D92" s="71"/>
      <c r="E92" s="71"/>
      <c r="F92" s="71"/>
    </row>
    <row r="93" spans="1:6" x14ac:dyDescent="0.35">
      <c r="A93" s="71"/>
      <c r="B93" s="71"/>
      <c r="C93" s="71"/>
      <c r="D93" s="71"/>
      <c r="E93" s="71"/>
      <c r="F93" s="71"/>
    </row>
    <row r="94" spans="1:6" x14ac:dyDescent="0.35">
      <c r="A94" s="71"/>
      <c r="B94" s="71"/>
      <c r="C94" s="71"/>
      <c r="D94" s="71"/>
      <c r="E94" s="71"/>
      <c r="F94" s="71"/>
    </row>
    <row r="95" spans="1:6" x14ac:dyDescent="0.35">
      <c r="A95" s="71"/>
      <c r="B95" s="71"/>
      <c r="C95" s="71"/>
      <c r="D95" s="71"/>
      <c r="E95" s="71"/>
      <c r="F95" s="71"/>
    </row>
    <row r="96" spans="1:6" x14ac:dyDescent="0.35">
      <c r="A96" s="71"/>
      <c r="B96" s="71"/>
      <c r="C96" s="71"/>
      <c r="D96" s="71"/>
      <c r="E96" s="71"/>
      <c r="F96" s="71"/>
    </row>
    <row r="97" spans="1:6" x14ac:dyDescent="0.35">
      <c r="A97" s="71"/>
      <c r="B97" s="71"/>
      <c r="C97" s="71"/>
      <c r="D97" s="71"/>
      <c r="E97" s="71"/>
      <c r="F97" s="71"/>
    </row>
    <row r="98" spans="1:6" x14ac:dyDescent="0.35">
      <c r="A98" s="71"/>
      <c r="B98" s="71"/>
      <c r="C98" s="71"/>
      <c r="D98" s="71"/>
      <c r="E98" s="71"/>
      <c r="F98" s="71"/>
    </row>
    <row r="99" spans="1:6" x14ac:dyDescent="0.35">
      <c r="A99" s="71"/>
      <c r="B99" s="71"/>
      <c r="C99" s="71"/>
      <c r="D99" s="71"/>
      <c r="E99" s="71"/>
      <c r="F99" s="71"/>
    </row>
    <row r="100" spans="1:6" x14ac:dyDescent="0.35">
      <c r="A100" s="71"/>
      <c r="B100" s="71"/>
      <c r="C100" s="71"/>
      <c r="D100" s="71"/>
      <c r="E100" s="71"/>
      <c r="F100" s="71"/>
    </row>
    <row r="101" spans="1:6" x14ac:dyDescent="0.35">
      <c r="A101" s="71"/>
      <c r="B101" s="71"/>
      <c r="C101" s="71"/>
      <c r="D101" s="71"/>
      <c r="E101" s="71"/>
      <c r="F101" s="71"/>
    </row>
    <row r="102" spans="1:6" x14ac:dyDescent="0.35">
      <c r="A102" s="71"/>
      <c r="B102" s="71"/>
      <c r="C102" s="71"/>
      <c r="D102" s="71"/>
      <c r="E102" s="71"/>
      <c r="F102" s="71"/>
    </row>
    <row r="103" spans="1:6" x14ac:dyDescent="0.35">
      <c r="A103" s="71"/>
      <c r="B103" s="71"/>
      <c r="C103" s="71"/>
      <c r="D103" s="71"/>
      <c r="E103" s="71"/>
      <c r="F103" s="71"/>
    </row>
    <row r="104" spans="1:6" x14ac:dyDescent="0.35">
      <c r="A104" s="71"/>
      <c r="B104" s="71"/>
      <c r="C104" s="71"/>
      <c r="D104" s="71"/>
      <c r="E104" s="71"/>
      <c r="F104" s="71"/>
    </row>
    <row r="105" spans="1:6" x14ac:dyDescent="0.35">
      <c r="A105" s="71"/>
      <c r="B105" s="71"/>
      <c r="C105" s="71"/>
      <c r="D105" s="71"/>
      <c r="E105" s="71"/>
      <c r="F105" s="71"/>
    </row>
    <row r="106" spans="1:6" x14ac:dyDescent="0.35">
      <c r="A106" s="71"/>
      <c r="B106" s="71"/>
      <c r="C106" s="71"/>
      <c r="D106" s="71"/>
      <c r="E106" s="71"/>
      <c r="F106" s="71"/>
    </row>
    <row r="107" spans="1:6" x14ac:dyDescent="0.35">
      <c r="A107" s="71"/>
      <c r="B107" s="71"/>
      <c r="C107" s="71"/>
      <c r="D107" s="71"/>
      <c r="E107" s="71"/>
      <c r="F107" s="71"/>
    </row>
    <row r="108" spans="1:6" x14ac:dyDescent="0.35">
      <c r="A108" s="71"/>
      <c r="B108" s="71"/>
      <c r="C108" s="71"/>
      <c r="D108" s="71"/>
      <c r="E108" s="71"/>
      <c r="F108" s="71"/>
    </row>
    <row r="109" spans="1:6" x14ac:dyDescent="0.35">
      <c r="A109" s="71"/>
      <c r="B109" s="71"/>
      <c r="C109" s="71"/>
      <c r="D109" s="71"/>
      <c r="E109" s="71"/>
      <c r="F109" s="7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1"/>
  <sheetViews>
    <sheetView workbookViewId="0">
      <selection activeCell="D27" sqref="D27"/>
    </sheetView>
  </sheetViews>
  <sheetFormatPr baseColWidth="10" defaultRowHeight="14.5" x14ac:dyDescent="0.35"/>
  <cols>
    <col min="2" max="2" width="40.7265625" customWidth="1"/>
    <col min="3" max="5" width="18.54296875" bestFit="1" customWidth="1"/>
    <col min="6" max="6" width="20.453125" customWidth="1"/>
  </cols>
  <sheetData>
    <row r="1" spans="1:7" x14ac:dyDescent="0.35">
      <c r="B1" s="13" t="s">
        <v>95</v>
      </c>
    </row>
    <row r="2" spans="1:7" x14ac:dyDescent="0.35">
      <c r="B2" s="95" t="s">
        <v>10</v>
      </c>
      <c r="C2" s="84">
        <v>2024</v>
      </c>
    </row>
    <row r="3" spans="1:7" ht="21" x14ac:dyDescent="0.5">
      <c r="B3" s="141" t="s">
        <v>108</v>
      </c>
      <c r="C3" s="142"/>
      <c r="D3" s="142"/>
      <c r="E3" s="142"/>
      <c r="F3" s="142"/>
    </row>
    <row r="5" spans="1:7" ht="15" thickBot="1" x14ac:dyDescent="0.4"/>
    <row r="6" spans="1:7" ht="37.5" thickTop="1" x14ac:dyDescent="0.45">
      <c r="A6" s="21" t="s">
        <v>109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7" ht="18.5" x14ac:dyDescent="0.45">
      <c r="A7" s="34"/>
      <c r="B7" s="36"/>
      <c r="C7" s="35"/>
      <c r="D7" s="36"/>
      <c r="E7" s="36"/>
      <c r="F7" s="37"/>
    </row>
    <row r="8" spans="1:7" x14ac:dyDescent="0.35">
      <c r="A8" s="62">
        <f ca="1">'BILAN 2024'!A8</f>
        <v>1</v>
      </c>
      <c r="B8" s="62" t="str">
        <f ca="1">'BILAN 2024'!B8</f>
        <v>FONDS DE CAISSE ET RECONDUCTION</v>
      </c>
      <c r="C8" s="62">
        <f>SYNTHESECOMPTE!C5</f>
        <v>23877869</v>
      </c>
      <c r="D8" s="62">
        <f>800000*6+100000*24</f>
        <v>7200000</v>
      </c>
      <c r="E8" s="40">
        <f>7077869-6896797</f>
        <v>181072</v>
      </c>
      <c r="F8" s="26">
        <f>C8+D8-E8</f>
        <v>30896797</v>
      </c>
      <c r="G8" s="27"/>
    </row>
    <row r="9" spans="1:7" x14ac:dyDescent="0.35">
      <c r="A9" s="62">
        <f ca="1">'BILAN 2024'!A9</f>
        <v>2</v>
      </c>
      <c r="B9" s="62" t="str">
        <f ca="1">'BILAN 2024'!B9</f>
        <v>FONDS DE ROULEMENT</v>
      </c>
      <c r="C9" s="62">
        <f>SYNTHESECOMPTE!C6</f>
        <v>2160228</v>
      </c>
      <c r="D9" s="62">
        <f ca="1">'BILAN 2024'!D9</f>
        <v>384000</v>
      </c>
      <c r="E9" s="40">
        <f ca="1">'BILAN 2024'!E9</f>
        <v>251000</v>
      </c>
      <c r="F9" s="26">
        <f t="shared" ref="F9:F19" ca="1" si="0">C9+D9-E9</f>
        <v>2293228</v>
      </c>
      <c r="G9" s="27"/>
    </row>
    <row r="10" spans="1:7" x14ac:dyDescent="0.35">
      <c r="A10" s="62">
        <f ca="1">'BILAN 2024'!A10</f>
        <v>3</v>
      </c>
      <c r="B10" s="62" t="str">
        <f ca="1">'BILAN 2024'!B10</f>
        <v>FRAIS EXCEPTIONNELS</v>
      </c>
      <c r="C10" s="62">
        <f>SYNTHESECOMPTE!C7</f>
        <v>1038460</v>
      </c>
      <c r="D10" s="62">
        <f ca="1">'BILAN 2024'!D10</f>
        <v>384000</v>
      </c>
      <c r="E10" s="40">
        <f ca="1">'BILAN 2024'!E10</f>
        <v>0</v>
      </c>
      <c r="F10" s="26">
        <f t="shared" ca="1" si="0"/>
        <v>1422460</v>
      </c>
      <c r="G10" s="27"/>
    </row>
    <row r="11" spans="1:7" x14ac:dyDescent="0.35">
      <c r="A11" s="62">
        <f ca="1">'BILAN 2024'!A11</f>
        <v>4</v>
      </c>
      <c r="B11" s="62" t="str">
        <f ca="1">'BILAN 2024'!B11</f>
        <v>MUTUELLE\COMPLEMENT MUTUEL</v>
      </c>
      <c r="C11" s="62">
        <f>SYNTHESECOMPTE!C8</f>
        <v>814762</v>
      </c>
      <c r="D11" s="62">
        <f ca="1">'BILAN 2024'!D11</f>
        <v>240000</v>
      </c>
      <c r="E11" s="40">
        <f ca="1">'BILAN 2024'!E11</f>
        <v>200000</v>
      </c>
      <c r="F11" s="26">
        <f t="shared" ca="1" si="0"/>
        <v>854762</v>
      </c>
      <c r="G11" s="27"/>
    </row>
    <row r="12" spans="1:7" x14ac:dyDescent="0.35">
      <c r="A12" s="62">
        <f ca="1">'BILAN 2024'!A12</f>
        <v>5</v>
      </c>
      <c r="B12" s="62" t="str">
        <f ca="1">'BILAN 2024'!B12</f>
        <v>INSCRIPTION</v>
      </c>
      <c r="C12" s="62">
        <f>SYNTHESECOMPTE!C9</f>
        <v>755000</v>
      </c>
      <c r="D12" s="62">
        <f ca="1">'BILAN 2024'!D12</f>
        <v>75000</v>
      </c>
      <c r="E12" s="40">
        <f ca="1">'BILAN 2024'!E12</f>
        <v>0</v>
      </c>
      <c r="F12" s="26">
        <f t="shared" ca="1" si="0"/>
        <v>830000</v>
      </c>
      <c r="G12" s="27"/>
    </row>
    <row r="13" spans="1:7" x14ac:dyDescent="0.35">
      <c r="A13" s="62">
        <f ca="1">'BILAN 2024'!A13</f>
        <v>6</v>
      </c>
      <c r="B13" s="62" t="str">
        <f ca="1">'BILAN 2024'!B13</f>
        <v>PENALITES PAIEMENT ESPECES</v>
      </c>
      <c r="C13" s="62">
        <f>SYNTHESECOMPTE!C10</f>
        <v>847025</v>
      </c>
      <c r="D13" s="62">
        <f ca="1">'BILAN 2024'!D13</f>
        <v>93000</v>
      </c>
      <c r="E13" s="40">
        <f ca="1">'BILAN 2024'!E13</f>
        <v>0</v>
      </c>
      <c r="F13" s="26">
        <f t="shared" ca="1" si="0"/>
        <v>940025</v>
      </c>
      <c r="G13" s="27"/>
    </row>
    <row r="14" spans="1:7" x14ac:dyDescent="0.35">
      <c r="A14" s="62">
        <f ca="1">'BILAN 2024'!A14</f>
        <v>7</v>
      </c>
      <c r="B14" s="14" t="s">
        <v>51</v>
      </c>
      <c r="C14" s="62">
        <f>SYNTHESECOMPTE!C11</f>
        <v>7000</v>
      </c>
      <c r="D14" s="62">
        <f ca="1">'BILAN 2024'!D14</f>
        <v>3750</v>
      </c>
      <c r="E14" s="40">
        <f ca="1">'BILAN 2024'!E14</f>
        <v>0</v>
      </c>
      <c r="F14" s="26">
        <f t="shared" ca="1" si="0"/>
        <v>10750</v>
      </c>
      <c r="G14" s="27"/>
    </row>
    <row r="15" spans="1:7" x14ac:dyDescent="0.35">
      <c r="A15" s="62">
        <f ca="1">'BILAN 2024'!A15</f>
        <v>8</v>
      </c>
      <c r="B15" s="62" t="str">
        <f ca="1">'BILAN 2024'!B15</f>
        <v>COLLATION</v>
      </c>
      <c r="C15" s="62">
        <f>SYNTHESECOMPTE!C12</f>
        <v>1632525</v>
      </c>
      <c r="D15" s="62">
        <f ca="1">'BILAN 2024'!D15</f>
        <v>1536000</v>
      </c>
      <c r="E15" s="40">
        <f ca="1">'BILAN 2024'!E15</f>
        <v>1200000</v>
      </c>
      <c r="F15" s="26">
        <f t="shared" ca="1" si="0"/>
        <v>1968525</v>
      </c>
      <c r="G15" s="27"/>
    </row>
    <row r="16" spans="1:7" x14ac:dyDescent="0.35">
      <c r="A16" s="62">
        <f ca="1">'BILAN 2024'!A16</f>
        <v>9</v>
      </c>
      <c r="B16" s="62" t="s">
        <v>181</v>
      </c>
      <c r="C16" s="62">
        <f>SYNTHESECOMPTE!C13</f>
        <v>124127</v>
      </c>
      <c r="D16" s="62">
        <v>11701</v>
      </c>
      <c r="E16" s="40"/>
      <c r="F16" s="26">
        <f t="shared" si="0"/>
        <v>135828</v>
      </c>
      <c r="G16" s="27"/>
    </row>
    <row r="17" spans="1:8" x14ac:dyDescent="0.35">
      <c r="A17" s="62">
        <f ca="1">'BILAN 2024'!A17</f>
        <v>10</v>
      </c>
      <c r="B17" s="62" t="str">
        <f>'[12]BILAN 2024'!B18</f>
        <v>FOYER</v>
      </c>
      <c r="C17" s="62">
        <f>SYNTHESECOMPTE!C14</f>
        <v>1010525</v>
      </c>
      <c r="D17" s="62">
        <f>'BILAN 2024'!D18</f>
        <v>0</v>
      </c>
      <c r="E17" s="40">
        <f>'BILAN 2024'!E18</f>
        <v>0</v>
      </c>
      <c r="F17" s="26">
        <f t="shared" si="0"/>
        <v>1010525</v>
      </c>
      <c r="G17" s="27"/>
    </row>
    <row r="18" spans="1:8" x14ac:dyDescent="0.35">
      <c r="A18" s="62">
        <f ca="1">'BILAN 2024'!A18</f>
        <v>11</v>
      </c>
      <c r="B18" s="62" t="str">
        <f>'[12]BILAN 2024'!B23</f>
        <v>INTERETS ET AUTRES</v>
      </c>
      <c r="C18" s="62">
        <f>SYNTHESECOMPTE!C15</f>
        <v>101230</v>
      </c>
      <c r="D18" s="62">
        <f>'BILAN 2024'!D23</f>
        <v>0</v>
      </c>
      <c r="E18" s="40">
        <f>'BILAN 2024'!E23</f>
        <v>0</v>
      </c>
      <c r="F18" s="26">
        <f t="shared" si="0"/>
        <v>101230</v>
      </c>
      <c r="G18" s="27"/>
    </row>
    <row r="19" spans="1:8" x14ac:dyDescent="0.35">
      <c r="A19" s="139">
        <v>12</v>
      </c>
      <c r="B19" s="62" t="s">
        <v>207</v>
      </c>
      <c r="C19" s="62">
        <f>SYNTHESECOMPTE!C16</f>
        <v>-6000000</v>
      </c>
      <c r="D19" s="62"/>
      <c r="E19" s="40">
        <v>9300000</v>
      </c>
      <c r="F19" s="26">
        <f t="shared" si="0"/>
        <v>-15300000</v>
      </c>
      <c r="G19" s="27"/>
    </row>
    <row r="20" spans="1:8" x14ac:dyDescent="0.35">
      <c r="A20" s="19"/>
      <c r="B20" s="14"/>
      <c r="C20" s="62"/>
      <c r="D20" s="62"/>
      <c r="E20" s="40"/>
      <c r="F20" s="26"/>
      <c r="G20" s="27"/>
    </row>
    <row r="21" spans="1:8" x14ac:dyDescent="0.35">
      <c r="A21" s="19"/>
      <c r="B21" s="14"/>
      <c r="C21" s="62"/>
      <c r="D21" s="62"/>
      <c r="E21" s="40"/>
      <c r="F21" s="26"/>
      <c r="G21" s="27"/>
    </row>
    <row r="22" spans="1:8" x14ac:dyDescent="0.35">
      <c r="A22" s="19"/>
      <c r="B22" s="14"/>
      <c r="C22" s="62"/>
      <c r="D22" s="62"/>
      <c r="E22" s="40"/>
      <c r="F22" s="26"/>
      <c r="G22" s="27"/>
    </row>
    <row r="23" spans="1:8" x14ac:dyDescent="0.35">
      <c r="A23" s="19"/>
      <c r="B23" s="14"/>
      <c r="C23" s="62"/>
      <c r="D23" s="62"/>
      <c r="E23" s="40"/>
      <c r="F23" s="26"/>
      <c r="G23" s="27"/>
    </row>
    <row r="24" spans="1:8" x14ac:dyDescent="0.35">
      <c r="A24" s="19"/>
      <c r="B24" s="14"/>
      <c r="C24" s="62"/>
      <c r="D24" s="62"/>
      <c r="E24" s="40"/>
      <c r="F24" s="26"/>
      <c r="G24" s="27"/>
    </row>
    <row r="25" spans="1:8" x14ac:dyDescent="0.35">
      <c r="A25" s="19"/>
      <c r="B25" s="14"/>
      <c r="C25" s="62"/>
      <c r="D25" s="62"/>
      <c r="E25" s="40"/>
      <c r="F25" s="26"/>
      <c r="G25" s="27"/>
    </row>
    <row r="26" spans="1:8" x14ac:dyDescent="0.35">
      <c r="A26" s="19"/>
      <c r="B26" s="33"/>
      <c r="C26" s="25"/>
      <c r="D26" s="25"/>
      <c r="E26" s="40"/>
      <c r="F26" s="26"/>
      <c r="G26" s="27"/>
    </row>
    <row r="27" spans="1:8" ht="20.5" thickBot="1" x14ac:dyDescent="0.45">
      <c r="A27" s="68"/>
      <c r="B27" s="69" t="s">
        <v>23</v>
      </c>
      <c r="C27" s="70">
        <f>SUM(C8:C26)</f>
        <v>26368751</v>
      </c>
      <c r="D27" s="70">
        <f ca="1">SUM(D8:D26)</f>
        <v>0</v>
      </c>
      <c r="E27" s="70"/>
      <c r="F27" s="88"/>
      <c r="G27" s="27"/>
      <c r="H27" s="27"/>
    </row>
    <row r="28" spans="1:8" ht="15" thickTop="1" x14ac:dyDescent="0.35">
      <c r="A28" s="71"/>
      <c r="B28" s="72"/>
      <c r="C28" s="73"/>
      <c r="D28" s="73"/>
      <c r="E28" s="73"/>
      <c r="F28" s="73"/>
      <c r="G28" s="27"/>
    </row>
    <row r="29" spans="1:8" ht="23.5" x14ac:dyDescent="0.55000000000000004">
      <c r="B29" s="143" t="s">
        <v>120</v>
      </c>
      <c r="C29" s="144"/>
      <c r="D29" s="144"/>
      <c r="E29" s="144"/>
      <c r="F29" s="144"/>
      <c r="G29" s="71"/>
    </row>
    <row r="30" spans="1:8" x14ac:dyDescent="0.35">
      <c r="A30" s="71"/>
      <c r="B30" s="72"/>
      <c r="C30" s="73"/>
      <c r="D30" s="73"/>
      <c r="E30" s="74"/>
      <c r="F30" s="73"/>
      <c r="G30" s="27"/>
    </row>
    <row r="31" spans="1:8" x14ac:dyDescent="0.35">
      <c r="A31" s="71"/>
      <c r="B31" s="72"/>
      <c r="C31" s="73"/>
      <c r="D31" s="73"/>
      <c r="E31" s="74"/>
      <c r="F31" s="73"/>
      <c r="G31" s="27"/>
    </row>
    <row r="32" spans="1:8" ht="15" thickBot="1" x14ac:dyDescent="0.4">
      <c r="A32" s="71"/>
      <c r="B32" s="72"/>
      <c r="C32" s="73">
        <v>2023</v>
      </c>
      <c r="D32" s="73">
        <v>2024</v>
      </c>
      <c r="E32" s="74"/>
      <c r="F32" s="73"/>
      <c r="G32" s="27"/>
    </row>
    <row r="33" spans="1:8" ht="15" thickTop="1" x14ac:dyDescent="0.35">
      <c r="A33" s="75">
        <v>1</v>
      </c>
      <c r="B33" s="76" t="s">
        <v>121</v>
      </c>
      <c r="C33" s="77">
        <v>4337431</v>
      </c>
      <c r="D33" s="78"/>
      <c r="E33" s="74"/>
      <c r="F33" s="73"/>
      <c r="G33" s="27"/>
    </row>
    <row r="34" spans="1:8" x14ac:dyDescent="0.35">
      <c r="A34" s="19">
        <v>2</v>
      </c>
      <c r="B34" s="14" t="s">
        <v>122</v>
      </c>
      <c r="C34" s="62">
        <v>630005</v>
      </c>
      <c r="D34" s="79">
        <f>C34+10000</f>
        <v>640005</v>
      </c>
      <c r="E34" s="74"/>
      <c r="F34" s="73"/>
      <c r="G34" s="27"/>
      <c r="H34" s="27"/>
    </row>
    <row r="35" spans="1:8" x14ac:dyDescent="0.35">
      <c r="A35" s="19">
        <v>3</v>
      </c>
      <c r="B35" s="14" t="s">
        <v>42</v>
      </c>
      <c r="C35" s="62">
        <v>1423702</v>
      </c>
      <c r="D35" s="79">
        <v>5265069</v>
      </c>
      <c r="E35" s="74"/>
      <c r="F35" s="73"/>
      <c r="G35" s="27"/>
    </row>
    <row r="36" spans="1:8" x14ac:dyDescent="0.35">
      <c r="A36" s="19">
        <v>4</v>
      </c>
      <c r="B36" s="14" t="s">
        <v>123</v>
      </c>
      <c r="C36" s="62">
        <v>744700</v>
      </c>
      <c r="D36" s="79"/>
      <c r="E36" s="74"/>
      <c r="F36" s="73"/>
      <c r="G36" s="27"/>
    </row>
    <row r="37" spans="1:8" x14ac:dyDescent="0.35">
      <c r="A37" s="19">
        <v>5</v>
      </c>
      <c r="B37" s="14" t="s">
        <v>124</v>
      </c>
      <c r="C37" s="62">
        <v>0</v>
      </c>
      <c r="D37" s="79"/>
      <c r="E37" s="73"/>
      <c r="F37" s="73"/>
      <c r="G37" s="27"/>
    </row>
    <row r="38" spans="1:8" x14ac:dyDescent="0.35">
      <c r="A38" s="19">
        <v>6</v>
      </c>
      <c r="B38" s="14" t="s">
        <v>125</v>
      </c>
      <c r="C38" s="62">
        <v>154000</v>
      </c>
      <c r="D38" s="79"/>
      <c r="E38" s="73"/>
      <c r="F38" s="73"/>
      <c r="G38" s="27"/>
    </row>
    <row r="39" spans="1:8" x14ac:dyDescent="0.35">
      <c r="A39" s="19">
        <v>7</v>
      </c>
      <c r="B39" s="14" t="s">
        <v>126</v>
      </c>
      <c r="C39" s="62">
        <v>18658500</v>
      </c>
      <c r="D39" s="79" t="e">
        <f>'DETAIL PRETENCIRCULATION'!C42+'DETAIL PRETENCIRCULATION'!C52</f>
        <v>#N/A</v>
      </c>
      <c r="E39" s="73"/>
      <c r="F39" s="73"/>
      <c r="G39" s="27"/>
    </row>
    <row r="40" spans="1:8" x14ac:dyDescent="0.35">
      <c r="A40" s="19">
        <v>8</v>
      </c>
      <c r="B40" s="14" t="s">
        <v>127</v>
      </c>
      <c r="C40" s="62">
        <v>656618</v>
      </c>
      <c r="D40" s="79"/>
      <c r="E40" s="74"/>
      <c r="F40" s="73"/>
      <c r="G40" s="27"/>
    </row>
    <row r="41" spans="1:8" x14ac:dyDescent="0.35">
      <c r="A41" s="19"/>
      <c r="B41" s="14"/>
      <c r="C41" s="25"/>
      <c r="D41" s="26"/>
      <c r="E41" s="74"/>
      <c r="F41" s="73"/>
      <c r="G41" s="27"/>
    </row>
    <row r="42" spans="1:8" ht="15" thickBot="1" x14ac:dyDescent="0.4">
      <c r="A42" s="68"/>
      <c r="B42" s="58" t="s">
        <v>23</v>
      </c>
      <c r="C42" s="38">
        <f>SUM(C33:C41)</f>
        <v>26604956</v>
      </c>
      <c r="D42" s="32" t="e">
        <f>SUM(D33:D41)</f>
        <v>#N/A</v>
      </c>
      <c r="E42" s="80"/>
      <c r="F42" s="73"/>
      <c r="G42" s="30"/>
    </row>
    <row r="43" spans="1:8" ht="15" thickTop="1" x14ac:dyDescent="0.35">
      <c r="A43" s="71"/>
      <c r="B43" s="71"/>
      <c r="C43" s="81"/>
      <c r="D43" s="81"/>
      <c r="E43" s="80"/>
      <c r="F43" s="73"/>
      <c r="G43" s="27"/>
    </row>
    <row r="44" spans="1:8" x14ac:dyDescent="0.35">
      <c r="A44" s="71"/>
      <c r="B44" s="71"/>
      <c r="C44" s="73"/>
      <c r="D44" s="73"/>
      <c r="E44" s="74"/>
      <c r="F44" s="73"/>
      <c r="G44" s="27"/>
    </row>
    <row r="45" spans="1:8" x14ac:dyDescent="0.35">
      <c r="A45" s="71"/>
      <c r="B45" s="72"/>
      <c r="C45" s="81"/>
      <c r="D45" s="73"/>
      <c r="E45" s="74"/>
      <c r="F45" s="73"/>
      <c r="G45" s="27"/>
    </row>
    <row r="46" spans="1:8" x14ac:dyDescent="0.35">
      <c r="A46" s="71"/>
      <c r="B46" s="72"/>
      <c r="C46" s="81"/>
      <c r="D46" s="71"/>
      <c r="E46" s="74"/>
      <c r="F46" s="73"/>
      <c r="G46" s="27"/>
    </row>
    <row r="47" spans="1:8" x14ac:dyDescent="0.35">
      <c r="A47" s="71"/>
      <c r="B47" s="72"/>
      <c r="C47" s="81"/>
      <c r="D47" s="73"/>
      <c r="E47" s="80"/>
      <c r="F47" s="73"/>
      <c r="G47" s="27"/>
    </row>
    <row r="48" spans="1:8" x14ac:dyDescent="0.35">
      <c r="A48" s="71"/>
      <c r="B48" s="72"/>
      <c r="C48" s="81"/>
      <c r="D48" s="73"/>
      <c r="E48" s="80"/>
      <c r="F48" s="73"/>
      <c r="G48" s="27"/>
    </row>
    <row r="49" spans="1:7" x14ac:dyDescent="0.35">
      <c r="A49" s="71"/>
      <c r="B49" s="72"/>
      <c r="C49" s="81"/>
      <c r="D49" s="73"/>
      <c r="E49" s="80"/>
      <c r="F49" s="73"/>
      <c r="G49" s="27"/>
    </row>
    <row r="50" spans="1:7" x14ac:dyDescent="0.35">
      <c r="A50" s="71"/>
      <c r="B50" s="72"/>
      <c r="C50" s="81"/>
      <c r="D50" s="73"/>
      <c r="E50" s="80"/>
      <c r="F50" s="73"/>
      <c r="G50" s="27"/>
    </row>
    <row r="51" spans="1:7" x14ac:dyDescent="0.35">
      <c r="A51" s="71"/>
      <c r="B51" s="72"/>
      <c r="C51" s="71"/>
      <c r="D51" s="73"/>
      <c r="E51" s="74"/>
      <c r="F51" s="73"/>
      <c r="G51" s="27"/>
    </row>
    <row r="52" spans="1:7" x14ac:dyDescent="0.35">
      <c r="A52" s="71"/>
      <c r="B52" s="72"/>
      <c r="C52" s="71"/>
      <c r="D52" s="73"/>
      <c r="E52" s="82"/>
      <c r="F52" s="73"/>
      <c r="G52" s="27"/>
    </row>
    <row r="53" spans="1:7" x14ac:dyDescent="0.35">
      <c r="A53" s="71"/>
      <c r="B53" s="72"/>
      <c r="C53" s="73"/>
      <c r="D53" s="73"/>
      <c r="E53" s="82"/>
      <c r="F53" s="73"/>
      <c r="G53" s="27"/>
    </row>
    <row r="54" spans="1:7" x14ac:dyDescent="0.35">
      <c r="A54" s="71"/>
      <c r="B54" s="72"/>
      <c r="C54" s="71"/>
      <c r="D54" s="73"/>
      <c r="E54" s="80"/>
      <c r="F54" s="73"/>
      <c r="G54" s="27"/>
    </row>
    <row r="55" spans="1:7" x14ac:dyDescent="0.35">
      <c r="A55" s="71"/>
      <c r="B55" s="72"/>
      <c r="C55" s="81"/>
      <c r="D55" s="73"/>
      <c r="E55" s="80"/>
      <c r="F55" s="73"/>
      <c r="G55" s="27"/>
    </row>
    <row r="56" spans="1:7" x14ac:dyDescent="0.35">
      <c r="A56" s="71"/>
      <c r="B56" s="72"/>
      <c r="C56" s="81"/>
      <c r="D56" s="73"/>
      <c r="E56" s="74"/>
      <c r="F56" s="73"/>
      <c r="G56" s="27"/>
    </row>
    <row r="57" spans="1:7" x14ac:dyDescent="0.35">
      <c r="A57" s="71"/>
      <c r="B57" s="72"/>
      <c r="C57" s="81"/>
      <c r="D57" s="73"/>
      <c r="E57" s="80"/>
      <c r="F57" s="73"/>
      <c r="G57" s="27"/>
    </row>
    <row r="58" spans="1:7" x14ac:dyDescent="0.35">
      <c r="A58" s="71"/>
      <c r="B58" s="71"/>
      <c r="C58" s="71"/>
      <c r="D58" s="71"/>
      <c r="E58" s="82"/>
      <c r="F58" s="73"/>
    </row>
    <row r="59" spans="1:7" x14ac:dyDescent="0.35">
      <c r="A59" s="71"/>
      <c r="B59" s="71"/>
      <c r="C59" s="71"/>
      <c r="D59" s="71"/>
      <c r="E59" s="82"/>
      <c r="F59" s="71"/>
    </row>
    <row r="60" spans="1:7" ht="17.5" x14ac:dyDescent="0.35">
      <c r="A60" s="71"/>
      <c r="B60" s="72"/>
      <c r="C60" s="83"/>
      <c r="D60" s="83"/>
      <c r="E60" s="83"/>
      <c r="F60" s="83"/>
    </row>
    <row r="61" spans="1:7" x14ac:dyDescent="0.35">
      <c r="A61" s="71"/>
      <c r="B61" s="71"/>
      <c r="C61" s="71"/>
      <c r="D61" s="71"/>
      <c r="E61" s="71"/>
      <c r="F61" s="71"/>
    </row>
    <row r="62" spans="1:7" x14ac:dyDescent="0.35">
      <c r="A62" s="71"/>
      <c r="B62" s="71"/>
      <c r="C62" s="71"/>
      <c r="D62" s="71"/>
      <c r="E62" s="71"/>
      <c r="F62" s="71"/>
    </row>
    <row r="63" spans="1:7" x14ac:dyDescent="0.35">
      <c r="A63" s="71"/>
      <c r="B63" s="71"/>
      <c r="C63" s="71"/>
      <c r="D63" s="71"/>
      <c r="E63" s="71"/>
      <c r="F63" s="71"/>
    </row>
    <row r="64" spans="1:7" x14ac:dyDescent="0.35">
      <c r="A64" s="71"/>
      <c r="B64" s="71"/>
      <c r="C64" s="71"/>
      <c r="D64" s="71"/>
      <c r="E64" s="71"/>
      <c r="F64" s="71"/>
    </row>
    <row r="65" spans="1:6" x14ac:dyDescent="0.35">
      <c r="A65" s="71"/>
      <c r="B65" s="71"/>
      <c r="C65" s="71"/>
      <c r="D65" s="71"/>
      <c r="E65" s="71"/>
      <c r="F65" s="71"/>
    </row>
    <row r="66" spans="1:6" x14ac:dyDescent="0.35">
      <c r="A66" s="71"/>
      <c r="B66" s="71"/>
      <c r="C66" s="71"/>
      <c r="D66" s="71"/>
      <c r="E66" s="71"/>
      <c r="F66" s="71"/>
    </row>
    <row r="67" spans="1:6" x14ac:dyDescent="0.35">
      <c r="A67" s="71"/>
      <c r="B67" s="71"/>
      <c r="C67" s="71"/>
      <c r="D67" s="71"/>
      <c r="E67" s="71"/>
      <c r="F67" s="71"/>
    </row>
    <row r="68" spans="1:6" x14ac:dyDescent="0.35">
      <c r="A68" s="71"/>
      <c r="B68" s="71"/>
      <c r="C68" s="71"/>
      <c r="D68" s="71"/>
      <c r="E68" s="71"/>
      <c r="F68" s="71"/>
    </row>
    <row r="69" spans="1:6" x14ac:dyDescent="0.35">
      <c r="A69" s="71"/>
      <c r="B69" s="71"/>
      <c r="C69" s="71"/>
      <c r="D69" s="71"/>
      <c r="E69" s="71"/>
      <c r="F69" s="71"/>
    </row>
    <row r="70" spans="1:6" x14ac:dyDescent="0.35">
      <c r="A70" s="71"/>
      <c r="B70" s="71"/>
      <c r="C70" s="71"/>
      <c r="D70" s="71"/>
      <c r="E70" s="71"/>
      <c r="F70" s="71"/>
    </row>
    <row r="71" spans="1:6" x14ac:dyDescent="0.35">
      <c r="A71" s="71"/>
      <c r="B71" s="71"/>
      <c r="C71" s="71"/>
      <c r="D71" s="71"/>
      <c r="E71" s="71"/>
      <c r="F71" s="71"/>
    </row>
    <row r="72" spans="1:6" x14ac:dyDescent="0.35">
      <c r="A72" s="71"/>
      <c r="B72" s="71"/>
      <c r="C72" s="71"/>
      <c r="D72" s="71"/>
      <c r="E72" s="71"/>
      <c r="F72" s="71"/>
    </row>
    <row r="73" spans="1:6" x14ac:dyDescent="0.35">
      <c r="A73" s="71"/>
      <c r="B73" s="71"/>
      <c r="C73" s="71"/>
      <c r="D73" s="71"/>
      <c r="E73" s="71"/>
      <c r="F73" s="71"/>
    </row>
    <row r="74" spans="1:6" x14ac:dyDescent="0.35">
      <c r="A74" s="71"/>
      <c r="B74" s="71"/>
      <c r="C74" s="71"/>
      <c r="D74" s="71"/>
      <c r="E74" s="71"/>
      <c r="F74" s="71"/>
    </row>
    <row r="75" spans="1:6" x14ac:dyDescent="0.35">
      <c r="A75" s="71"/>
      <c r="B75" s="71"/>
      <c r="C75" s="71"/>
      <c r="D75" s="71"/>
      <c r="E75" s="71"/>
      <c r="F75" s="71"/>
    </row>
    <row r="76" spans="1:6" x14ac:dyDescent="0.35">
      <c r="A76" s="71"/>
      <c r="B76" s="71"/>
      <c r="C76" s="71"/>
      <c r="D76" s="71"/>
      <c r="E76" s="71"/>
      <c r="F76" s="71"/>
    </row>
    <row r="77" spans="1:6" x14ac:dyDescent="0.35">
      <c r="A77" s="71"/>
      <c r="B77" s="71"/>
      <c r="C77" s="71"/>
      <c r="D77" s="71"/>
      <c r="E77" s="71"/>
      <c r="F77" s="71"/>
    </row>
    <row r="78" spans="1:6" x14ac:dyDescent="0.35">
      <c r="A78" s="71"/>
      <c r="B78" s="71"/>
      <c r="C78" s="71"/>
      <c r="D78" s="71"/>
      <c r="E78" s="71"/>
      <c r="F78" s="71"/>
    </row>
    <row r="79" spans="1:6" x14ac:dyDescent="0.35">
      <c r="A79" s="71"/>
      <c r="B79" s="71"/>
      <c r="C79" s="71"/>
      <c r="D79" s="71"/>
      <c r="E79" s="71"/>
      <c r="F79" s="71"/>
    </row>
    <row r="80" spans="1:6" x14ac:dyDescent="0.35">
      <c r="A80" s="71"/>
      <c r="B80" s="71"/>
      <c r="C80" s="71"/>
      <c r="D80" s="71"/>
      <c r="E80" s="71"/>
      <c r="F80" s="71"/>
    </row>
    <row r="81" spans="1:6" x14ac:dyDescent="0.35">
      <c r="A81" s="71"/>
      <c r="B81" s="71"/>
      <c r="C81" s="71"/>
      <c r="D81" s="71"/>
      <c r="E81" s="71"/>
      <c r="F81" s="71"/>
    </row>
    <row r="82" spans="1:6" x14ac:dyDescent="0.35">
      <c r="A82" s="71"/>
      <c r="B82" s="71"/>
      <c r="C82" s="71"/>
      <c r="D82" s="71"/>
      <c r="E82" s="71"/>
      <c r="F82" s="71"/>
    </row>
    <row r="83" spans="1:6" x14ac:dyDescent="0.35">
      <c r="A83" s="71"/>
      <c r="B83" s="71"/>
      <c r="C83" s="71"/>
      <c r="D83" s="71"/>
      <c r="E83" s="71"/>
      <c r="F83" s="71"/>
    </row>
    <row r="84" spans="1:6" x14ac:dyDescent="0.35">
      <c r="A84" s="71"/>
      <c r="B84" s="71"/>
      <c r="C84" s="71"/>
      <c r="D84" s="71"/>
      <c r="E84" s="71"/>
      <c r="F84" s="71"/>
    </row>
    <row r="85" spans="1:6" x14ac:dyDescent="0.35">
      <c r="A85" s="71"/>
      <c r="B85" s="71"/>
      <c r="C85" s="71"/>
      <c r="D85" s="71"/>
      <c r="E85" s="71"/>
      <c r="F85" s="71"/>
    </row>
    <row r="86" spans="1:6" x14ac:dyDescent="0.35">
      <c r="A86" s="71"/>
      <c r="B86" s="71"/>
      <c r="C86" s="71"/>
      <c r="D86" s="71"/>
      <c r="E86" s="71"/>
      <c r="F86" s="71"/>
    </row>
    <row r="87" spans="1:6" x14ac:dyDescent="0.35">
      <c r="A87" s="71"/>
      <c r="B87" s="71"/>
      <c r="C87" s="71"/>
      <c r="D87" s="71"/>
      <c r="E87" s="71"/>
      <c r="F87" s="71"/>
    </row>
    <row r="88" spans="1:6" x14ac:dyDescent="0.35">
      <c r="A88" s="71"/>
      <c r="B88" s="71"/>
      <c r="C88" s="71"/>
      <c r="D88" s="71"/>
      <c r="E88" s="71"/>
      <c r="F88" s="71"/>
    </row>
    <row r="89" spans="1:6" x14ac:dyDescent="0.35">
      <c r="A89" s="71"/>
      <c r="B89" s="71"/>
      <c r="C89" s="71"/>
      <c r="D89" s="71"/>
      <c r="E89" s="71"/>
      <c r="F89" s="71"/>
    </row>
    <row r="90" spans="1:6" x14ac:dyDescent="0.35">
      <c r="A90" s="71"/>
      <c r="B90" s="71"/>
      <c r="C90" s="71"/>
      <c r="D90" s="71"/>
      <c r="E90" s="71"/>
      <c r="F90" s="71"/>
    </row>
    <row r="91" spans="1:6" x14ac:dyDescent="0.35">
      <c r="A91" s="71"/>
      <c r="B91" s="71"/>
      <c r="C91" s="71"/>
      <c r="D91" s="71"/>
      <c r="E91" s="71"/>
      <c r="F91" s="71"/>
    </row>
    <row r="92" spans="1:6" x14ac:dyDescent="0.35">
      <c r="A92" s="71"/>
      <c r="B92" s="71"/>
      <c r="C92" s="71"/>
      <c r="D92" s="71"/>
      <c r="E92" s="71"/>
      <c r="F92" s="71"/>
    </row>
    <row r="93" spans="1:6" x14ac:dyDescent="0.35">
      <c r="A93" s="71"/>
      <c r="B93" s="71"/>
      <c r="C93" s="71"/>
      <c r="D93" s="71"/>
      <c r="E93" s="71"/>
      <c r="F93" s="71"/>
    </row>
    <row r="94" spans="1:6" x14ac:dyDescent="0.35">
      <c r="A94" s="71"/>
      <c r="B94" s="71"/>
      <c r="C94" s="71"/>
      <c r="D94" s="71"/>
      <c r="E94" s="71"/>
      <c r="F94" s="71"/>
    </row>
    <row r="95" spans="1:6" x14ac:dyDescent="0.35">
      <c r="A95" s="71"/>
      <c r="B95" s="71"/>
      <c r="C95" s="71"/>
      <c r="D95" s="71"/>
      <c r="E95" s="71"/>
      <c r="F95" s="71"/>
    </row>
    <row r="96" spans="1:6" x14ac:dyDescent="0.35">
      <c r="A96" s="71"/>
      <c r="B96" s="71"/>
      <c r="C96" s="71"/>
      <c r="D96" s="71"/>
      <c r="E96" s="71"/>
      <c r="F96" s="71"/>
    </row>
    <row r="97" spans="1:6" x14ac:dyDescent="0.35">
      <c r="A97" s="71"/>
      <c r="B97" s="71"/>
      <c r="C97" s="71"/>
      <c r="D97" s="71"/>
      <c r="E97" s="71"/>
      <c r="F97" s="71"/>
    </row>
    <row r="98" spans="1:6" x14ac:dyDescent="0.35">
      <c r="A98" s="71"/>
      <c r="B98" s="71"/>
      <c r="C98" s="71"/>
      <c r="D98" s="71"/>
      <c r="E98" s="71"/>
      <c r="F98" s="71"/>
    </row>
    <row r="99" spans="1:6" x14ac:dyDescent="0.35">
      <c r="A99" s="71"/>
      <c r="B99" s="71"/>
      <c r="C99" s="71"/>
      <c r="D99" s="71"/>
      <c r="E99" s="71"/>
      <c r="F99" s="71"/>
    </row>
    <row r="100" spans="1:6" x14ac:dyDescent="0.35">
      <c r="A100" s="71"/>
      <c r="B100" s="71"/>
      <c r="C100" s="71"/>
      <c r="D100" s="71"/>
      <c r="E100" s="71"/>
      <c r="F100" s="71"/>
    </row>
    <row r="101" spans="1:6" x14ac:dyDescent="0.35">
      <c r="A101" s="71"/>
      <c r="B101" s="71"/>
      <c r="C101" s="71"/>
      <c r="D101" s="71"/>
      <c r="E101" s="71"/>
      <c r="F101" s="71"/>
    </row>
    <row r="102" spans="1:6" x14ac:dyDescent="0.35">
      <c r="A102" s="71"/>
      <c r="B102" s="71"/>
      <c r="C102" s="71"/>
      <c r="D102" s="71"/>
      <c r="E102" s="71"/>
      <c r="F102" s="71"/>
    </row>
    <row r="103" spans="1:6" x14ac:dyDescent="0.35">
      <c r="A103" s="71"/>
      <c r="B103" s="71"/>
      <c r="C103" s="71"/>
      <c r="D103" s="71"/>
      <c r="E103" s="71"/>
      <c r="F103" s="71"/>
    </row>
    <row r="104" spans="1:6" x14ac:dyDescent="0.35">
      <c r="A104" s="71"/>
      <c r="B104" s="71"/>
      <c r="C104" s="71"/>
      <c r="D104" s="71"/>
      <c r="E104" s="71"/>
      <c r="F104" s="71"/>
    </row>
    <row r="105" spans="1:6" x14ac:dyDescent="0.35">
      <c r="A105" s="71"/>
      <c r="B105" s="71"/>
      <c r="C105" s="71"/>
      <c r="D105" s="71"/>
      <c r="E105" s="71"/>
      <c r="F105" s="71"/>
    </row>
    <row r="106" spans="1:6" x14ac:dyDescent="0.35">
      <c r="A106" s="71"/>
      <c r="B106" s="71"/>
      <c r="C106" s="71"/>
      <c r="D106" s="71"/>
      <c r="E106" s="71"/>
      <c r="F106" s="71"/>
    </row>
    <row r="107" spans="1:6" x14ac:dyDescent="0.35">
      <c r="A107" s="71"/>
      <c r="B107" s="71"/>
      <c r="C107" s="71"/>
      <c r="D107" s="71"/>
      <c r="E107" s="71"/>
      <c r="F107" s="71"/>
    </row>
    <row r="108" spans="1:6" x14ac:dyDescent="0.35">
      <c r="A108" s="71"/>
      <c r="B108" s="71"/>
      <c r="C108" s="71"/>
      <c r="D108" s="71"/>
      <c r="E108" s="71"/>
      <c r="F108" s="71"/>
    </row>
    <row r="109" spans="1:6" x14ac:dyDescent="0.35">
      <c r="A109" s="71"/>
      <c r="B109" s="71"/>
      <c r="C109" s="71"/>
      <c r="D109" s="71"/>
      <c r="E109" s="71"/>
      <c r="F109" s="71"/>
    </row>
    <row r="110" spans="1:6" x14ac:dyDescent="0.35">
      <c r="A110" s="71"/>
      <c r="B110" s="71"/>
      <c r="C110" s="71"/>
      <c r="D110" s="71"/>
      <c r="E110" s="71"/>
      <c r="F110" s="71"/>
    </row>
    <row r="111" spans="1:6" x14ac:dyDescent="0.35">
      <c r="A111" s="71"/>
      <c r="B111" s="71"/>
      <c r="C111" s="71"/>
      <c r="D111" s="71"/>
      <c r="E111" s="71"/>
      <c r="F111" s="71"/>
    </row>
  </sheetData>
  <mergeCells count="2">
    <mergeCell ref="B3:F3"/>
    <mergeCell ref="B29:F29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21"/>
  <sheetViews>
    <sheetView zoomScaleNormal="100" zoomScaleSheetLayoutView="118" workbookViewId="0">
      <pane xSplit="1" ySplit="6" topLeftCell="B16" activePane="bottomRight" state="frozen"/>
      <selection pane="topRight" activeCell="B1" sqref="B1"/>
      <selection pane="bottomLeft" activeCell="A7" sqref="A7"/>
      <selection pane="bottomRight" activeCell="N9" sqref="N8:N19"/>
    </sheetView>
  </sheetViews>
  <sheetFormatPr baseColWidth="10" defaultRowHeight="14.5" x14ac:dyDescent="0.35"/>
  <cols>
    <col min="1" max="1" width="12.453125" bestFit="1" customWidth="1"/>
    <col min="2" max="2" width="19.81640625" customWidth="1"/>
    <col min="3" max="3" width="20.26953125" customWidth="1"/>
    <col min="4" max="4" width="20.7265625" customWidth="1"/>
    <col min="5" max="5" width="18.26953125" bestFit="1" customWidth="1"/>
    <col min="6" max="7" width="16.26953125" bestFit="1" customWidth="1"/>
    <col min="8" max="8" width="16.54296875" customWidth="1"/>
    <col min="9" max="10" width="13.54296875" bestFit="1" customWidth="1"/>
    <col min="11" max="11" width="16.26953125" bestFit="1" customWidth="1"/>
    <col min="12" max="12" width="18.26953125" bestFit="1" customWidth="1"/>
    <col min="13" max="15" width="16.26953125" customWidth="1"/>
    <col min="16" max="16" width="18.26953125" bestFit="1" customWidth="1"/>
    <col min="17" max="17" width="12.453125" bestFit="1" customWidth="1"/>
    <col min="18" max="18" width="16.81640625" bestFit="1" customWidth="1"/>
    <col min="19" max="19" width="15" bestFit="1" customWidth="1"/>
  </cols>
  <sheetData>
    <row r="2" spans="1:16" ht="26" x14ac:dyDescent="0.6">
      <c r="D2" s="145" t="s">
        <v>0</v>
      </c>
      <c r="E2" s="145"/>
      <c r="F2" s="146"/>
      <c r="G2" s="146"/>
      <c r="H2" s="146"/>
      <c r="I2" s="146"/>
      <c r="J2" s="146"/>
    </row>
    <row r="3" spans="1:16" x14ac:dyDescent="0.35">
      <c r="A3" s="1" t="s">
        <v>10</v>
      </c>
      <c r="B3" s="1"/>
      <c r="C3" s="1"/>
      <c r="D3" s="1"/>
      <c r="E3" s="1">
        <v>2024</v>
      </c>
    </row>
    <row r="6" spans="1:16" ht="29" x14ac:dyDescent="0.4">
      <c r="A6" s="6" t="s">
        <v>8</v>
      </c>
      <c r="B6" s="6" t="s">
        <v>32</v>
      </c>
      <c r="C6" s="6" t="s">
        <v>53</v>
      </c>
      <c r="D6" s="6" t="s">
        <v>92</v>
      </c>
      <c r="E6" s="6" t="s">
        <v>1</v>
      </c>
      <c r="F6" s="7" t="s">
        <v>2</v>
      </c>
      <c r="G6" s="7" t="s">
        <v>3</v>
      </c>
      <c r="H6" s="7" t="s">
        <v>4</v>
      </c>
      <c r="I6" s="7" t="s">
        <v>5</v>
      </c>
      <c r="J6" s="7" t="s">
        <v>6</v>
      </c>
      <c r="K6" s="7" t="s">
        <v>7</v>
      </c>
      <c r="L6" s="7" t="s">
        <v>93</v>
      </c>
      <c r="M6" s="7" t="s">
        <v>51</v>
      </c>
      <c r="N6" s="7" t="s">
        <v>35</v>
      </c>
      <c r="O6" s="7" t="s">
        <v>130</v>
      </c>
      <c r="P6" s="8" t="s">
        <v>23</v>
      </c>
    </row>
    <row r="7" spans="1:16" x14ac:dyDescent="0.35">
      <c r="A7" s="1" t="s">
        <v>9</v>
      </c>
      <c r="B7" s="42" t="e">
        <f>[13]MVTRESUME24!#REF!</f>
        <v>#REF!</v>
      </c>
      <c r="C7" s="42" t="e">
        <f>[13]MVTRESUME24!#REF!</f>
        <v>#REF!</v>
      </c>
      <c r="D7" s="42">
        <f>[13]MVTDEC23!$T$41</f>
        <v>1168000</v>
      </c>
    </row>
    <row r="8" spans="1:16" ht="20" x14ac:dyDescent="0.4">
      <c r="A8" s="1" t="s">
        <v>15</v>
      </c>
      <c r="B8" s="42"/>
      <c r="C8" s="42"/>
      <c r="D8" s="42" t="e">
        <f>#REF!</f>
        <v>#REF!</v>
      </c>
      <c r="E8" s="42" t="e">
        <f>#REF!</f>
        <v>#REF!</v>
      </c>
      <c r="F8" s="42" t="e">
        <f>#REF!</f>
        <v>#REF!</v>
      </c>
      <c r="G8" s="42" t="e">
        <f>#REF!</f>
        <v>#REF!</v>
      </c>
      <c r="H8" s="42" t="e">
        <f>#REF!</f>
        <v>#REF!</v>
      </c>
      <c r="I8" s="42" t="e">
        <f>#REF!</f>
        <v>#REF!</v>
      </c>
      <c r="J8" s="42" t="e">
        <f>#REF!</f>
        <v>#REF!</v>
      </c>
      <c r="K8" s="42" t="e">
        <f>#REF!</f>
        <v>#REF!</v>
      </c>
      <c r="L8" s="42" t="e">
        <f>#REF!</f>
        <v>#REF!</v>
      </c>
      <c r="M8" s="42" t="e">
        <f>#REF!</f>
        <v>#REF!</v>
      </c>
      <c r="N8" s="42" t="e">
        <f>#REF!</f>
        <v>#REF!</v>
      </c>
      <c r="O8" s="3"/>
      <c r="P8" s="4" t="e">
        <f t="shared" ref="P8:P19" si="0">SUM(B8:O8)</f>
        <v>#REF!</v>
      </c>
    </row>
    <row r="9" spans="1:16" ht="20" x14ac:dyDescent="0.4">
      <c r="A9" s="1" t="s">
        <v>16</v>
      </c>
      <c r="B9" s="42"/>
      <c r="C9" s="42"/>
      <c r="D9" s="42">
        <f>[13]MVTFEV24!$T$41</f>
        <v>26000</v>
      </c>
      <c r="E9" s="42">
        <f>[13]MVTFEV24!$L$41</f>
        <v>720000</v>
      </c>
      <c r="F9" s="42">
        <f>[13]MVTFEV24!$M$41</f>
        <v>32000</v>
      </c>
      <c r="G9" s="42">
        <f>[13]MVTFEV24!$N$41</f>
        <v>32000</v>
      </c>
      <c r="H9" s="42">
        <f>[13]MVTFEV24!$O$41</f>
        <v>128000</v>
      </c>
      <c r="I9" s="42">
        <f>[13]MVTFEV24!$P$41</f>
        <v>9000</v>
      </c>
      <c r="J9" s="42">
        <f>[13]MVTFEV24!$Q$41</f>
        <v>0</v>
      </c>
      <c r="K9" s="42">
        <f>[13]MVTFEV24!$R$41</f>
        <v>0</v>
      </c>
      <c r="L9" s="42">
        <f>[13]MVTFEV24!$V$41</f>
        <v>1000000</v>
      </c>
      <c r="M9" s="42">
        <f>[13]MVTFEV24!$J$41</f>
        <v>0</v>
      </c>
      <c r="N9" s="42">
        <f>[13]MVTFEV24!$AE$41</f>
        <v>0</v>
      </c>
      <c r="O9" s="3"/>
      <c r="P9" s="4">
        <f t="shared" si="0"/>
        <v>1947000</v>
      </c>
    </row>
    <row r="10" spans="1:16" ht="20" x14ac:dyDescent="0.4">
      <c r="A10" s="1" t="s">
        <v>17</v>
      </c>
      <c r="B10" s="42"/>
      <c r="C10" s="42"/>
      <c r="D10" s="42">
        <f>[13]MVTMARS24!$T$41</f>
        <v>92500</v>
      </c>
      <c r="E10" s="42">
        <f>[13]MVTMARS24!$L$41</f>
        <v>759000</v>
      </c>
      <c r="F10" s="42">
        <f>[13]MVTMARS24!$M$41</f>
        <v>32000</v>
      </c>
      <c r="G10" s="42">
        <f>[13]MVTMARS24!$N$41</f>
        <v>32000</v>
      </c>
      <c r="H10" s="42">
        <f>[13]MVTMARS24!$O$41</f>
        <v>128000</v>
      </c>
      <c r="I10" s="42">
        <f>[13]MVTMARS24!$P$41</f>
        <v>6000</v>
      </c>
      <c r="J10" s="42">
        <f>[13]MVTMARS24!$Q$41</f>
        <v>0</v>
      </c>
      <c r="K10" s="42">
        <f>[13]MVTMARS24!$R$41</f>
        <v>0</v>
      </c>
      <c r="L10" s="42">
        <f>[13]MVTMARS24!$V$41</f>
        <v>750000</v>
      </c>
      <c r="M10" s="42">
        <f>[13]MVTMARS24!$J$41</f>
        <v>0</v>
      </c>
      <c r="N10" s="42">
        <f>[13]MVTMARS24!$AE$41</f>
        <v>0</v>
      </c>
      <c r="O10" s="3"/>
      <c r="P10" s="4">
        <f t="shared" si="0"/>
        <v>1799500</v>
      </c>
    </row>
    <row r="11" spans="1:16" ht="20" x14ac:dyDescent="0.4">
      <c r="A11" s="1" t="s">
        <v>18</v>
      </c>
      <c r="B11" s="42"/>
      <c r="C11" s="42"/>
      <c r="D11" s="42">
        <f>[13]MVTAVRIL24!$T$41</f>
        <v>0</v>
      </c>
      <c r="E11" s="42">
        <f>[13]MVTAVRIL24!$L$41</f>
        <v>778500</v>
      </c>
      <c r="F11" s="42">
        <f>[13]MVTAVRIL24!$M$41</f>
        <v>32000</v>
      </c>
      <c r="G11" s="42">
        <f>[13]MVTAVRIL24!$N$41</f>
        <v>32000</v>
      </c>
      <c r="H11" s="42">
        <f>[13]MVTAVRIL24!$O$41</f>
        <v>128000</v>
      </c>
      <c r="I11" s="42">
        <f>[13]MVTAVRIL24!$P$41</f>
        <v>12000</v>
      </c>
      <c r="J11" s="42">
        <f>[13]MVTAVRIL24!$Q$41</f>
        <v>0</v>
      </c>
      <c r="K11" s="42">
        <f>[13]MVTAVRIL24!$R$41</f>
        <v>0</v>
      </c>
      <c r="L11" s="42">
        <f>[13]MVTAVRIL24!$V$41</f>
        <v>0</v>
      </c>
      <c r="M11" s="42">
        <f>[13]MVTAVRIL24!$J$41</f>
        <v>0</v>
      </c>
      <c r="N11" s="42">
        <f>[13]MVTAVRIL24!$AE$41</f>
        <v>0</v>
      </c>
      <c r="O11" s="3"/>
      <c r="P11" s="4">
        <f t="shared" si="0"/>
        <v>982500</v>
      </c>
    </row>
    <row r="12" spans="1:16" ht="20" x14ac:dyDescent="0.4">
      <c r="A12" s="1" t="s">
        <v>19</v>
      </c>
      <c r="B12" s="42"/>
      <c r="C12" s="42"/>
      <c r="D12" s="42">
        <f>[13]MVTMAI24!$T$41</f>
        <v>84000</v>
      </c>
      <c r="E12" s="42">
        <f>[13]MVTMAI24!$L$41</f>
        <v>725000</v>
      </c>
      <c r="F12" s="42">
        <f>[13]MVTMAI24!$M$41</f>
        <v>32000</v>
      </c>
      <c r="G12" s="42">
        <f>[13]MVTMAI24!$N$41</f>
        <v>32000</v>
      </c>
      <c r="H12" s="42">
        <f>[13]MVTMAI24!$O$41</f>
        <v>128000</v>
      </c>
      <c r="I12" s="42">
        <f>[13]MVTMAI24!$P$41</f>
        <v>9000</v>
      </c>
      <c r="J12" s="42">
        <f>[13]MVTMAI24!$Q$41</f>
        <v>0</v>
      </c>
      <c r="K12" s="42">
        <f>[13]MVTMAI24!$R$41</f>
        <v>0</v>
      </c>
      <c r="L12" s="42">
        <f>[13]MVTMAI24!$V$41</f>
        <v>1500000</v>
      </c>
      <c r="M12" s="42">
        <f>[13]MVTMAI24!$J$41</f>
        <v>0</v>
      </c>
      <c r="N12" s="42">
        <f>[13]MVTMAI24!$AE$41</f>
        <v>0</v>
      </c>
      <c r="O12" s="3"/>
      <c r="P12" s="4">
        <f t="shared" si="0"/>
        <v>2510000</v>
      </c>
    </row>
    <row r="13" spans="1:16" ht="20" x14ac:dyDescent="0.4">
      <c r="A13" s="1" t="s">
        <v>20</v>
      </c>
      <c r="B13" s="42"/>
      <c r="C13" s="42"/>
      <c r="D13" s="42">
        <f>[13]MVTJUIN24!$T$41</f>
        <v>110000</v>
      </c>
      <c r="E13" s="42">
        <f>[13]MVTJUIN24!$L$41</f>
        <v>724500</v>
      </c>
      <c r="F13" s="42">
        <f>[13]MVTJUIN24!$M$41</f>
        <v>32000</v>
      </c>
      <c r="G13" s="42">
        <f>[13]MVTJUIN24!$N$41</f>
        <v>32000</v>
      </c>
      <c r="H13" s="42">
        <f>[13]MVTJUIN24!$O$41</f>
        <v>128000</v>
      </c>
      <c r="I13" s="42">
        <f>[13]MVTJUIN24!$P$41</f>
        <v>6000</v>
      </c>
      <c r="J13" s="42">
        <f>[13]MVTJUIN24!$Q$41</f>
        <v>0</v>
      </c>
      <c r="K13" s="42">
        <f>[13]MVTJUIN24!$R$41</f>
        <v>0</v>
      </c>
      <c r="L13" s="42">
        <f>[13]MVTJUIN24!$V$41</f>
        <v>360000</v>
      </c>
      <c r="M13" s="42">
        <f>[13]MVTJUIN24!$J$41</f>
        <v>0</v>
      </c>
      <c r="N13" s="42">
        <f>[13]MVTJUIN24!$AE$41</f>
        <v>0</v>
      </c>
      <c r="O13" s="3"/>
      <c r="P13" s="4">
        <f t="shared" si="0"/>
        <v>1392500</v>
      </c>
    </row>
    <row r="14" spans="1:16" ht="20" x14ac:dyDescent="0.4">
      <c r="A14" s="1" t="s">
        <v>21</v>
      </c>
      <c r="B14" s="42"/>
      <c r="C14" s="42"/>
      <c r="D14" s="42">
        <f>[13]MVTJUIL24!$T$41</f>
        <v>128400</v>
      </c>
      <c r="E14" s="42">
        <f>[13]MVTJUIL24!$L$41</f>
        <v>1698100</v>
      </c>
      <c r="F14" s="42">
        <f>[13]MVTJUIL24!$M$41</f>
        <v>32000</v>
      </c>
      <c r="G14" s="42">
        <f>[13]MVTJUIL24!$N$41</f>
        <v>32000</v>
      </c>
      <c r="H14" s="42">
        <f>[13]MVTJUIL24!$O$41</f>
        <v>128000</v>
      </c>
      <c r="I14" s="42">
        <f>[13]MVTJUIL24!$P$41</f>
        <v>12000</v>
      </c>
      <c r="J14" s="42">
        <f>[13]MVTJUIL24!$Q$41</f>
        <v>0</v>
      </c>
      <c r="K14" s="42">
        <f>[13]MVTJUIL24!$R$41</f>
        <v>0</v>
      </c>
      <c r="L14" s="42">
        <f>[13]MVTJUIL24!$V$41</f>
        <v>1738500</v>
      </c>
      <c r="M14" s="42">
        <f>[13]MVTJUIL24!$J$41</f>
        <v>0</v>
      </c>
      <c r="N14" s="42">
        <f>[13]MVTJUIL24!$AE$41</f>
        <v>0</v>
      </c>
      <c r="O14" s="3"/>
      <c r="P14" s="4">
        <f t="shared" si="0"/>
        <v>3769000</v>
      </c>
    </row>
    <row r="15" spans="1:16" ht="20" x14ac:dyDescent="0.4">
      <c r="A15" s="1" t="s">
        <v>22</v>
      </c>
      <c r="B15" s="42"/>
      <c r="C15" s="42"/>
      <c r="D15" s="42">
        <f>[13]MVTAOUT24!$T$41</f>
        <v>20000</v>
      </c>
      <c r="E15" s="42">
        <f>[13]MVTAOUT24!$L$41</f>
        <v>658500</v>
      </c>
      <c r="F15" s="42">
        <f>[13]MVTAOUT24!$M$41</f>
        <v>31000</v>
      </c>
      <c r="G15" s="42">
        <f>[13]MVTAOUT24!$N$41</f>
        <v>31000</v>
      </c>
      <c r="H15" s="42">
        <f>[13]MVTAOUT24!$O$41</f>
        <v>124000</v>
      </c>
      <c r="I15" s="42">
        <f>[13]MVTAOUT24!$P$41</f>
        <v>3000</v>
      </c>
      <c r="J15" s="42">
        <f>[13]MVTAOUT24!$Q$41</f>
        <v>0</v>
      </c>
      <c r="K15" s="42">
        <f>[13]MVTAOUT24!$R$41</f>
        <v>0</v>
      </c>
      <c r="L15" s="42">
        <f>[13]MVTAOUT24!$V$41</f>
        <v>0</v>
      </c>
      <c r="M15" s="42">
        <f>[13]MVTAOUT24!$J$41</f>
        <v>0</v>
      </c>
      <c r="N15" s="42">
        <f>[13]MVTAOUT24!$AE$41</f>
        <v>0</v>
      </c>
      <c r="O15" s="3"/>
      <c r="P15" s="4">
        <f t="shared" si="0"/>
        <v>867500</v>
      </c>
    </row>
    <row r="16" spans="1:16" ht="20" x14ac:dyDescent="0.4">
      <c r="A16" s="1" t="s">
        <v>11</v>
      </c>
      <c r="B16" s="42"/>
      <c r="C16" s="42"/>
      <c r="D16" s="42">
        <f>[13]MVTSEPT24!$T$41</f>
        <v>20000</v>
      </c>
      <c r="E16" s="42">
        <f>[13]MVTSEPT24!$L$41</f>
        <v>1585250</v>
      </c>
      <c r="F16" s="42">
        <f>[13]MVTSEPT24!$M$41</f>
        <v>33000</v>
      </c>
      <c r="G16" s="42">
        <f>[13]MVTSEPT24!$N$41</f>
        <v>33000</v>
      </c>
      <c r="H16" s="42">
        <f>[13]MVTSEPT24!$O$41</f>
        <v>132000</v>
      </c>
      <c r="I16" s="42">
        <f>[13]MVTSEPT24!$P$41</f>
        <v>18000</v>
      </c>
      <c r="J16" s="42">
        <f>[13]MVTSEPT24!$Q$41</f>
        <v>0</v>
      </c>
      <c r="K16" s="42">
        <f>[13]MVTSEPT24!$R$41</f>
        <v>120000</v>
      </c>
      <c r="L16" s="42">
        <f>[13]MVTSEPT24!$V$41</f>
        <v>0</v>
      </c>
      <c r="M16" s="42">
        <f>[13]MVTSEPT24!$J$41</f>
        <v>0</v>
      </c>
      <c r="N16" s="42">
        <f>[13]MVTSEPT24!$AE$41</f>
        <v>380000</v>
      </c>
      <c r="O16" s="3"/>
      <c r="P16" s="4">
        <f t="shared" si="0"/>
        <v>2321250</v>
      </c>
    </row>
    <row r="17" spans="1:16" ht="20" x14ac:dyDescent="0.4">
      <c r="A17" s="1" t="s">
        <v>12</v>
      </c>
      <c r="B17" s="42"/>
      <c r="C17" s="42"/>
      <c r="D17" s="42">
        <f>[13]MVTOCT24!$T$41</f>
        <v>0</v>
      </c>
      <c r="E17" s="42">
        <f>[13]MVTOCT24!$L$41</f>
        <v>734000</v>
      </c>
      <c r="F17" s="42">
        <f>[13]MVTOCT24!$M$41</f>
        <v>32000</v>
      </c>
      <c r="G17" s="42">
        <f>[13]MVTOCT24!$N$41</f>
        <v>32000</v>
      </c>
      <c r="H17" s="42">
        <f>[13]MVTOCT24!$O$41</f>
        <v>128000</v>
      </c>
      <c r="I17" s="42">
        <f>[13]MVTOCT24!$P$41</f>
        <v>6000</v>
      </c>
      <c r="J17" s="42">
        <f>[13]MVTOCT24!$Q$41</f>
        <v>0</v>
      </c>
      <c r="K17" s="42">
        <f>[13]MVTOCT24!$R$41</f>
        <v>0</v>
      </c>
      <c r="L17" s="42">
        <f>[13]MVTOCT24!$V$41</f>
        <v>100000</v>
      </c>
      <c r="M17" s="42">
        <f>[13]MVTOCT24!$J$41</f>
        <v>0</v>
      </c>
      <c r="N17" s="42">
        <f>[13]MVTOCT24!$AE$41</f>
        <v>20000</v>
      </c>
      <c r="O17" s="3"/>
      <c r="P17" s="4">
        <f t="shared" si="0"/>
        <v>1052000</v>
      </c>
    </row>
    <row r="18" spans="1:16" ht="20" x14ac:dyDescent="0.4">
      <c r="A18" s="1" t="s">
        <v>13</v>
      </c>
      <c r="B18" s="42"/>
      <c r="C18" s="42"/>
      <c r="D18" s="42">
        <f>[13]MVTNOV24!$T$41</f>
        <v>10000</v>
      </c>
      <c r="E18" s="42">
        <f>[13]MVTNOV24!$L$41</f>
        <v>678500</v>
      </c>
      <c r="F18" s="42">
        <f>[13]MVTNOV24!$M$41</f>
        <v>32000</v>
      </c>
      <c r="G18" s="42">
        <f>[13]MVTNOV24!$N$41</f>
        <v>32000</v>
      </c>
      <c r="H18" s="42">
        <f>[13]MVTNOV24!$O$41</f>
        <v>128000</v>
      </c>
      <c r="I18" s="42">
        <f>[13]MVTNOV24!$P$41</f>
        <v>15000</v>
      </c>
      <c r="J18" s="42">
        <f>[13]MVTNOV24!$Q$41</f>
        <v>0</v>
      </c>
      <c r="K18" s="42">
        <f>[13]MVTNOV24!$R$41</f>
        <v>0</v>
      </c>
      <c r="L18" s="42">
        <f>[13]MVTNOV24!$V$41</f>
        <v>1190000</v>
      </c>
      <c r="M18" s="42">
        <f>[13]MVTNOV24!$J$41</f>
        <v>0</v>
      </c>
      <c r="N18" s="42">
        <f>[13]MVTNOV24!$AE$41</f>
        <v>0</v>
      </c>
      <c r="O18" s="3"/>
      <c r="P18" s="4">
        <f t="shared" si="0"/>
        <v>2085500</v>
      </c>
    </row>
    <row r="19" spans="1:16" ht="20" x14ac:dyDescent="0.4">
      <c r="A19" s="1" t="s">
        <v>14</v>
      </c>
      <c r="B19" s="42"/>
      <c r="C19" s="42"/>
      <c r="D19" s="42" t="e">
        <f>[13]MVTDEC24!$T$41</f>
        <v>#N/A</v>
      </c>
      <c r="E19" s="42" t="e">
        <f>[13]MVTDEC24!$L$41</f>
        <v>#N/A</v>
      </c>
      <c r="F19" s="42" t="e">
        <f>[13]MVTDEC24!$M$41</f>
        <v>#N/A</v>
      </c>
      <c r="G19" s="42" t="e">
        <f>[13]MVTDEC24!$N$41</f>
        <v>#N/A</v>
      </c>
      <c r="H19" s="42" t="e">
        <f>[13]MVTDEC24!$O$41</f>
        <v>#N/A</v>
      </c>
      <c r="I19" s="42" t="e">
        <f>[13]MVTDEC24!$P$41</f>
        <v>#N/A</v>
      </c>
      <c r="J19" s="42" t="e">
        <f>[13]MVTDEC24!$Q$41</f>
        <v>#N/A</v>
      </c>
      <c r="K19" s="42" t="e">
        <f>[13]MVTDEC24!$R$41</f>
        <v>#N/A</v>
      </c>
      <c r="L19" s="42" t="e">
        <f>[13]MVTDEC24!$V$41</f>
        <v>#N/A</v>
      </c>
      <c r="M19" s="42" t="e">
        <f>[13]MVTDEC24!$J$41</f>
        <v>#N/A</v>
      </c>
      <c r="N19" s="42" t="e">
        <f>[13]MVTDEC24!$AE$41</f>
        <v>#N/A</v>
      </c>
      <c r="O19" s="3">
        <f>[14]TONTRESUME23!$S$6+[15]TONTRESUME23!$S$6</f>
        <v>63707.983193277309</v>
      </c>
      <c r="P19" s="4" t="e">
        <f t="shared" si="0"/>
        <v>#N/A</v>
      </c>
    </row>
    <row r="21" spans="1:16" ht="20" x14ac:dyDescent="0.4">
      <c r="A21" s="5" t="s">
        <v>23</v>
      </c>
      <c r="B21" s="4">
        <f t="shared" ref="B21:O21" si="1">SUM(B8:B20)</f>
        <v>0</v>
      </c>
      <c r="C21" s="4">
        <f t="shared" si="1"/>
        <v>0</v>
      </c>
      <c r="D21" s="4" t="e">
        <f>SUM(D7:D20)</f>
        <v>#REF!</v>
      </c>
      <c r="E21" s="4" t="e">
        <f t="shared" si="1"/>
        <v>#REF!</v>
      </c>
      <c r="F21" s="4" t="e">
        <f t="shared" si="1"/>
        <v>#REF!</v>
      </c>
      <c r="G21" s="4" t="e">
        <f t="shared" si="1"/>
        <v>#REF!</v>
      </c>
      <c r="H21" s="4" t="e">
        <f t="shared" si="1"/>
        <v>#REF!</v>
      </c>
      <c r="I21" s="4" t="e">
        <f t="shared" si="1"/>
        <v>#REF!</v>
      </c>
      <c r="J21" s="4" t="e">
        <f t="shared" si="1"/>
        <v>#REF!</v>
      </c>
      <c r="K21" s="4" t="e">
        <f t="shared" si="1"/>
        <v>#REF!</v>
      </c>
      <c r="L21" s="4" t="e">
        <f t="shared" si="1"/>
        <v>#REF!</v>
      </c>
      <c r="M21" s="4" t="e">
        <f t="shared" si="1"/>
        <v>#REF!</v>
      </c>
      <c r="N21" s="4" t="e">
        <f t="shared" si="1"/>
        <v>#REF!</v>
      </c>
      <c r="O21" s="4">
        <f t="shared" si="1"/>
        <v>63707.983193277309</v>
      </c>
      <c r="P21" s="4" t="e">
        <f>SUM(P8:P20)</f>
        <v>#REF!</v>
      </c>
    </row>
  </sheetData>
  <mergeCells count="1">
    <mergeCell ref="D2:J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3"/>
  <sheetViews>
    <sheetView workbookViewId="0">
      <pane ySplit="6" topLeftCell="A7" activePane="bottomLeft" state="frozen"/>
      <selection pane="bottomLeft" activeCell="L8" sqref="L8:L19"/>
    </sheetView>
  </sheetViews>
  <sheetFormatPr baseColWidth="10" defaultRowHeight="14.5" x14ac:dyDescent="0.35"/>
  <cols>
    <col min="1" max="1" width="12.453125" bestFit="1" customWidth="1"/>
    <col min="2" max="2" width="19.81640625" customWidth="1"/>
    <col min="3" max="3" width="16.26953125" bestFit="1" customWidth="1"/>
    <col min="4" max="4" width="18.26953125" bestFit="1" customWidth="1"/>
    <col min="5" max="5" width="17.54296875" customWidth="1"/>
    <col min="6" max="6" width="16.26953125" bestFit="1" customWidth="1"/>
    <col min="7" max="8" width="13.54296875" bestFit="1" customWidth="1"/>
    <col min="9" max="9" width="16.26953125" bestFit="1" customWidth="1"/>
    <col min="10" max="10" width="18.26953125" bestFit="1" customWidth="1"/>
    <col min="11" max="12" width="16.26953125" customWidth="1"/>
    <col min="13" max="13" width="18.26953125" bestFit="1" customWidth="1"/>
  </cols>
  <sheetData>
    <row r="2" spans="1:13" ht="26" x14ac:dyDescent="0.6">
      <c r="C2" s="145" t="s">
        <v>24</v>
      </c>
      <c r="D2" s="146"/>
      <c r="E2" s="146"/>
      <c r="F2" s="146"/>
      <c r="G2" s="146"/>
      <c r="H2" s="146"/>
      <c r="I2" s="146"/>
      <c r="J2" s="41"/>
      <c r="K2" s="41"/>
      <c r="L2" s="61"/>
    </row>
    <row r="3" spans="1:13" x14ac:dyDescent="0.35">
      <c r="A3" s="1" t="s">
        <v>10</v>
      </c>
      <c r="B3" s="1" t="s">
        <v>165</v>
      </c>
    </row>
    <row r="5" spans="1:13" ht="15" thickBot="1" x14ac:dyDescent="0.4"/>
    <row r="6" spans="1:13" ht="29.5" thickTop="1" x14ac:dyDescent="0.4">
      <c r="A6" s="9" t="s">
        <v>8</v>
      </c>
      <c r="B6" s="6" t="s">
        <v>32</v>
      </c>
      <c r="C6" s="10" t="s">
        <v>1</v>
      </c>
      <c r="D6" s="11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43" t="s">
        <v>91</v>
      </c>
      <c r="K6" s="43" t="s">
        <v>57</v>
      </c>
      <c r="L6" s="43" t="s">
        <v>35</v>
      </c>
      <c r="M6" s="12" t="s">
        <v>23</v>
      </c>
    </row>
    <row r="7" spans="1:13" x14ac:dyDescent="0.35">
      <c r="A7" s="13" t="s">
        <v>9</v>
      </c>
      <c r="B7" s="89"/>
      <c r="C7" s="39"/>
      <c r="D7" s="39"/>
      <c r="E7" s="39"/>
      <c r="F7" s="39"/>
      <c r="G7" s="39"/>
      <c r="H7" s="39"/>
      <c r="I7" s="39"/>
      <c r="J7" s="40">
        <f>[13]MVTDEC23!$S$41</f>
        <v>15088500</v>
      </c>
      <c r="K7" s="90"/>
      <c r="L7" s="90"/>
      <c r="M7" s="15"/>
    </row>
    <row r="8" spans="1:13" ht="20" x14ac:dyDescent="0.4">
      <c r="A8" s="13" t="s">
        <v>15</v>
      </c>
      <c r="B8" s="89"/>
      <c r="C8" s="40"/>
      <c r="D8" s="40" t="e">
        <f>#REF!</f>
        <v>#REF!</v>
      </c>
      <c r="E8" s="40" t="e">
        <f>#REF!</f>
        <v>#REF!</v>
      </c>
      <c r="F8" s="40" t="e">
        <f>#REF!</f>
        <v>#REF!</v>
      </c>
      <c r="G8" s="40" t="e">
        <f>#REF!</f>
        <v>#REF!</v>
      </c>
      <c r="H8" s="40"/>
      <c r="I8" s="40" t="e">
        <f>#REF!</f>
        <v>#REF!</v>
      </c>
      <c r="J8" s="40" t="e">
        <f>#REF!</f>
        <v>#REF!</v>
      </c>
      <c r="K8" s="91"/>
      <c r="L8" s="40"/>
      <c r="M8" s="17" t="e">
        <f t="shared" ref="M8:M19" si="0">SUM(C8:K8)</f>
        <v>#REF!</v>
      </c>
    </row>
    <row r="9" spans="1:13" ht="20" x14ac:dyDescent="0.4">
      <c r="A9" s="13" t="s">
        <v>16</v>
      </c>
      <c r="B9" s="40"/>
      <c r="C9" s="40"/>
      <c r="D9" s="40">
        <f>[13]MVTFEV24!$AF$41</f>
        <v>27000</v>
      </c>
      <c r="E9" s="40">
        <f>[13]MVTFEV24!$AG$41</f>
        <v>0</v>
      </c>
      <c r="F9" s="40">
        <f>[13]MVTFEV24!$AI$41</f>
        <v>100000</v>
      </c>
      <c r="G9" s="40">
        <f>[13]MVTFEV24!$AA$41</f>
        <v>0</v>
      </c>
      <c r="H9" s="40"/>
      <c r="I9" s="40">
        <f>[13]MVTFEV24!$AH$41</f>
        <v>100000</v>
      </c>
      <c r="J9" s="40">
        <f>[13]MVTFEV24!$V$41</f>
        <v>1000000</v>
      </c>
      <c r="K9" s="91"/>
      <c r="L9" s="40"/>
      <c r="M9" s="17">
        <f t="shared" si="0"/>
        <v>1227000</v>
      </c>
    </row>
    <row r="10" spans="1:13" ht="20" x14ac:dyDescent="0.4">
      <c r="A10" s="13" t="s">
        <v>17</v>
      </c>
      <c r="B10" s="89"/>
      <c r="C10" s="40"/>
      <c r="D10" s="40">
        <f>[13]MVTMARS24!$AF$41</f>
        <v>48000</v>
      </c>
      <c r="E10" s="40">
        <f>[13]MVTMARS24!$AG$41</f>
        <v>0</v>
      </c>
      <c r="F10" s="40">
        <f>[13]MVTMARS24!$AI$41</f>
        <v>100000</v>
      </c>
      <c r="G10" s="40">
        <f>[13]MVTMARS24!$AA$41</f>
        <v>0</v>
      </c>
      <c r="H10" s="40"/>
      <c r="I10" s="40">
        <f>[13]MVTMARS24!$AH$41</f>
        <v>0</v>
      </c>
      <c r="J10" s="40">
        <f>[13]MVTMARS24!$V$41</f>
        <v>750000</v>
      </c>
      <c r="K10" s="91"/>
      <c r="L10" s="40"/>
      <c r="M10" s="17">
        <f t="shared" si="0"/>
        <v>898000</v>
      </c>
    </row>
    <row r="11" spans="1:13" ht="20" x14ac:dyDescent="0.4">
      <c r="A11" s="13" t="s">
        <v>18</v>
      </c>
      <c r="B11" s="89"/>
      <c r="C11" s="40"/>
      <c r="D11" s="40">
        <f>[13]MVTAVRIL24!$AF$41</f>
        <v>21000</v>
      </c>
      <c r="E11" s="40">
        <f>[13]MVTAVRIL24!$AG$41</f>
        <v>100000</v>
      </c>
      <c r="F11" s="40">
        <f>[13]MVTAVRIL24!$AI$41</f>
        <v>100000</v>
      </c>
      <c r="G11" s="40">
        <f>[13]MVTAVRIL24!$AA$41</f>
        <v>0</v>
      </c>
      <c r="H11" s="40"/>
      <c r="I11" s="40">
        <f>[13]MVTAVRIL24!$AH$41</f>
        <v>0</v>
      </c>
      <c r="J11" s="40">
        <f>[13]MVTAVRIL24!$V$41</f>
        <v>0</v>
      </c>
      <c r="K11" s="91"/>
      <c r="L11" s="40"/>
      <c r="M11" s="17">
        <f t="shared" si="0"/>
        <v>221000</v>
      </c>
    </row>
    <row r="12" spans="1:13" ht="20" x14ac:dyDescent="0.4">
      <c r="A12" s="13" t="s">
        <v>19</v>
      </c>
      <c r="B12" s="89"/>
      <c r="C12" s="40"/>
      <c r="D12" s="40">
        <f>[13]MVTMAI24!$AF$41</f>
        <v>19000</v>
      </c>
      <c r="E12" s="40">
        <f>[13]MVTMAI24!$AG$41</f>
        <v>0</v>
      </c>
      <c r="F12" s="40">
        <f>[13]MVTMAI24!$AI$41</f>
        <v>100000</v>
      </c>
      <c r="G12" s="40">
        <f>[13]MVTMAI24!$AA$41</f>
        <v>0</v>
      </c>
      <c r="H12" s="40"/>
      <c r="I12" s="40">
        <f>[13]MVTMAI24!$AH$41</f>
        <v>0</v>
      </c>
      <c r="J12" s="40">
        <f>[13]MVTMAI24!$V$41</f>
        <v>1500000</v>
      </c>
      <c r="K12" s="91"/>
      <c r="L12" s="40"/>
      <c r="M12" s="17">
        <f t="shared" si="0"/>
        <v>1619000</v>
      </c>
    </row>
    <row r="13" spans="1:13" ht="20" x14ac:dyDescent="0.4">
      <c r="A13" s="13" t="s">
        <v>20</v>
      </c>
      <c r="B13" s="89"/>
      <c r="C13" s="40"/>
      <c r="D13" s="40">
        <f>[13]MVTJUIN24!$AF$41</f>
        <v>12000</v>
      </c>
      <c r="E13" s="40">
        <f>[13]MVTJUIN24!$AG$41</f>
        <v>0</v>
      </c>
      <c r="F13" s="40">
        <f>[13]MVTJUIN24!$AI$41</f>
        <v>100000</v>
      </c>
      <c r="G13" s="40">
        <f>[13]MVTJUIN24!$AA$41</f>
        <v>0</v>
      </c>
      <c r="H13" s="40"/>
      <c r="I13" s="40">
        <f>[13]MVTJUIN24!$AH$41</f>
        <v>0</v>
      </c>
      <c r="J13" s="40">
        <f>[13]MVTJUIN24!$V$41</f>
        <v>360000</v>
      </c>
      <c r="K13" s="91"/>
      <c r="L13" s="40"/>
      <c r="M13" s="17">
        <f t="shared" si="0"/>
        <v>472000</v>
      </c>
    </row>
    <row r="14" spans="1:13" ht="20" x14ac:dyDescent="0.4">
      <c r="A14" s="13" t="s">
        <v>21</v>
      </c>
      <c r="B14" s="89"/>
      <c r="C14" s="18"/>
      <c r="D14" s="40">
        <f>[13]MVTJUIL24!$AF$41</f>
        <v>42000</v>
      </c>
      <c r="E14" s="40">
        <f>[13]MVTJUIL24!$AG$41</f>
        <v>288500</v>
      </c>
      <c r="F14" s="40">
        <f>[13]MVTJUIL24!$AI$41</f>
        <v>100000</v>
      </c>
      <c r="G14" s="40">
        <f>[13]MVTJUIL24!$AA$41</f>
        <v>0</v>
      </c>
      <c r="H14" s="40"/>
      <c r="I14" s="40">
        <f>[13]MVTJUIL24!$AH$41</f>
        <v>0</v>
      </c>
      <c r="J14" s="40">
        <f>[13]MVTJUIL24!$V$41</f>
        <v>1738500</v>
      </c>
      <c r="K14" s="91"/>
      <c r="L14" s="40"/>
      <c r="M14" s="17">
        <f t="shared" si="0"/>
        <v>2169000</v>
      </c>
    </row>
    <row r="15" spans="1:13" ht="20" x14ac:dyDescent="0.4">
      <c r="A15" s="13" t="s">
        <v>22</v>
      </c>
      <c r="B15" s="89"/>
      <c r="C15" s="40"/>
      <c r="D15" s="40">
        <f>[13]MVTAOUT24!$AF$41</f>
        <v>6000</v>
      </c>
      <c r="E15" s="40">
        <f>[13]MVTAOUT24!$AG$41</f>
        <v>0</v>
      </c>
      <c r="F15" s="40">
        <f>[13]MVTAOUT24!$AI$41</f>
        <v>100000</v>
      </c>
      <c r="G15" s="40">
        <f>[13]MVTAOUT24!$AA$41</f>
        <v>0</v>
      </c>
      <c r="H15" s="40"/>
      <c r="I15" s="40">
        <f>[13]MVTAOUT24!$AH$41</f>
        <v>0</v>
      </c>
      <c r="J15" s="40">
        <f>[13]MVTAOUT24!$V$41</f>
        <v>0</v>
      </c>
      <c r="K15" s="91"/>
      <c r="L15" s="40"/>
      <c r="M15" s="17">
        <f t="shared" si="0"/>
        <v>106000</v>
      </c>
    </row>
    <row r="16" spans="1:13" ht="20" x14ac:dyDescent="0.4">
      <c r="A16" s="13" t="s">
        <v>11</v>
      </c>
      <c r="B16" s="89"/>
      <c r="C16" s="40"/>
      <c r="D16" s="40">
        <f>[13]MVTSEPT24!$AF$41</f>
        <v>6000</v>
      </c>
      <c r="E16" s="40">
        <f>[13]MVTSEPT24!$AG$41</f>
        <v>0</v>
      </c>
      <c r="F16" s="40">
        <f>[13]MVTSEPT24!$AI$41</f>
        <v>100000</v>
      </c>
      <c r="G16" s="40">
        <f>[13]MVTSEPT24!$AA$41</f>
        <v>0</v>
      </c>
      <c r="H16" s="40"/>
      <c r="I16" s="40">
        <f>[13]MVTSEPT24!$AH$41</f>
        <v>0</v>
      </c>
      <c r="J16" s="40">
        <f>[13]MVTSEPT24!$V$41</f>
        <v>0</v>
      </c>
      <c r="K16" s="91"/>
      <c r="L16" s="40"/>
      <c r="M16" s="17">
        <f t="shared" si="0"/>
        <v>106000</v>
      </c>
    </row>
    <row r="17" spans="1:13" ht="20" x14ac:dyDescent="0.4">
      <c r="A17" s="13" t="s">
        <v>12</v>
      </c>
      <c r="B17" s="89"/>
      <c r="C17" s="40"/>
      <c r="D17" s="40">
        <f>[13]MVTOCT24!$AF$41</f>
        <v>6000</v>
      </c>
      <c r="E17" s="40">
        <f>[13]MVTOCT24!$AG$41</f>
        <v>321500</v>
      </c>
      <c r="F17" s="40">
        <f>[13]MVTOCT24!$AI$41</f>
        <v>100000</v>
      </c>
      <c r="G17" s="40">
        <f>[13]MVTOCT24!$AA$41</f>
        <v>0</v>
      </c>
      <c r="H17" s="40"/>
      <c r="I17" s="40">
        <f>[13]MVTOCT24!$AH$41</f>
        <v>0</v>
      </c>
      <c r="J17" s="40">
        <f>[13]MVTOCT24!$V$41</f>
        <v>100000</v>
      </c>
      <c r="K17" s="91"/>
      <c r="L17" s="40"/>
      <c r="M17" s="17">
        <f t="shared" si="0"/>
        <v>527500</v>
      </c>
    </row>
    <row r="18" spans="1:13" ht="20" x14ac:dyDescent="0.4">
      <c r="A18" s="13" t="s">
        <v>13</v>
      </c>
      <c r="B18" s="89"/>
      <c r="C18" s="40"/>
      <c r="D18" s="40">
        <f>[13]MVTNOV24!$AF$41</f>
        <v>6000</v>
      </c>
      <c r="E18" s="40">
        <f>[13]MVTNOV24!$AG$41</f>
        <v>50000</v>
      </c>
      <c r="F18" s="40">
        <f>[13]MVTNOV24!$AI$41</f>
        <v>106000</v>
      </c>
      <c r="G18" s="40">
        <f>[13]MVTNOV24!$AA$41</f>
        <v>0</v>
      </c>
      <c r="H18" s="40"/>
      <c r="I18" s="40">
        <f>[13]MVTNOV24!$AH$41</f>
        <v>100000</v>
      </c>
      <c r="J18" s="40">
        <f>[13]MVTNOV24!$V$41</f>
        <v>1190000</v>
      </c>
      <c r="K18" s="91"/>
      <c r="L18" s="40"/>
      <c r="M18" s="17">
        <f t="shared" si="0"/>
        <v>1452000</v>
      </c>
    </row>
    <row r="19" spans="1:13" ht="20" x14ac:dyDescent="0.4">
      <c r="A19" s="13" t="s">
        <v>14</v>
      </c>
      <c r="B19" s="89"/>
      <c r="C19" s="40"/>
      <c r="D19" s="40" t="e">
        <f>[13]MVTDEC24!$AF$41</f>
        <v>#N/A</v>
      </c>
      <c r="E19" s="40" t="e">
        <f>[13]MVTDEC24!$AG$41</f>
        <v>#N/A</v>
      </c>
      <c r="F19" s="40" t="e">
        <f>[13]MVTDEC24!$AI$41</f>
        <v>#N/A</v>
      </c>
      <c r="G19" s="40">
        <f>[13]MVTDEC24!$AA$41</f>
        <v>0</v>
      </c>
      <c r="H19" s="40"/>
      <c r="I19" s="40" t="e">
        <f>[13]MVTDEC24!$AH$41</f>
        <v>#N/A</v>
      </c>
      <c r="J19" s="40" t="e">
        <f>[13]MVTDEC24!$V$41</f>
        <v>#N/A</v>
      </c>
      <c r="K19" s="91"/>
      <c r="L19" s="40"/>
      <c r="M19" s="17" t="e">
        <f t="shared" si="0"/>
        <v>#N/A</v>
      </c>
    </row>
    <row r="20" spans="1:13" ht="20" x14ac:dyDescent="0.4">
      <c r="A20" s="13"/>
      <c r="C20" s="16"/>
      <c r="D20" s="16"/>
      <c r="E20" s="16"/>
      <c r="F20" s="16"/>
      <c r="G20" s="14"/>
      <c r="H20" s="14"/>
      <c r="I20" s="16"/>
      <c r="J20" s="45"/>
      <c r="K20" s="45"/>
      <c r="L20" s="45"/>
      <c r="M20" s="17"/>
    </row>
    <row r="21" spans="1:13" ht="20" x14ac:dyDescent="0.4">
      <c r="A21" s="19"/>
      <c r="B21" s="4"/>
      <c r="C21" s="14"/>
      <c r="D21" s="14"/>
      <c r="E21" s="14"/>
      <c r="F21" s="14"/>
      <c r="G21" s="14"/>
      <c r="H21" s="14"/>
      <c r="I21" s="14"/>
      <c r="J21" s="44"/>
      <c r="K21" s="44"/>
      <c r="L21" s="44"/>
      <c r="M21" s="15"/>
    </row>
    <row r="22" spans="1:13" ht="20.5" thickBot="1" x14ac:dyDescent="0.45">
      <c r="A22" s="92" t="s">
        <v>23</v>
      </c>
      <c r="B22" s="93">
        <f t="shared" ref="B22:M22" si="1">SUM(B8:B21)</f>
        <v>0</v>
      </c>
      <c r="C22" s="93">
        <f t="shared" si="1"/>
        <v>0</v>
      </c>
      <c r="D22" s="93" t="e">
        <f t="shared" si="1"/>
        <v>#REF!</v>
      </c>
      <c r="E22" s="93" t="e">
        <f t="shared" si="1"/>
        <v>#REF!</v>
      </c>
      <c r="F22" s="93" t="e">
        <f t="shared" si="1"/>
        <v>#REF!</v>
      </c>
      <c r="G22" s="93" t="e">
        <f t="shared" si="1"/>
        <v>#REF!</v>
      </c>
      <c r="H22" s="93">
        <f t="shared" si="1"/>
        <v>0</v>
      </c>
      <c r="I22" s="93" t="e">
        <f t="shared" si="1"/>
        <v>#REF!</v>
      </c>
      <c r="J22" s="93" t="e">
        <f>SUM(J7:J21)</f>
        <v>#REF!</v>
      </c>
      <c r="K22" s="93">
        <f t="shared" si="1"/>
        <v>0</v>
      </c>
      <c r="L22" s="93">
        <f t="shared" si="1"/>
        <v>0</v>
      </c>
      <c r="M22" s="94" t="e">
        <f t="shared" si="1"/>
        <v>#REF!</v>
      </c>
    </row>
    <row r="23" spans="1:13" ht="15" thickTop="1" x14ac:dyDescent="0.35"/>
  </sheetData>
  <mergeCells count="1">
    <mergeCell ref="C2:I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workbookViewId="0">
      <selection activeCell="A8" sqref="A8:XFD8"/>
    </sheetView>
  </sheetViews>
  <sheetFormatPr baseColWidth="10" defaultRowHeight="14.5" x14ac:dyDescent="0.35"/>
  <cols>
    <col min="2" max="2" width="26.7265625" customWidth="1"/>
    <col min="3" max="3" width="19.1796875" bestFit="1" customWidth="1"/>
    <col min="4" max="4" width="18.26953125" bestFit="1" customWidth="1"/>
    <col min="5" max="5" width="17.7265625" customWidth="1"/>
    <col min="6" max="6" width="18.2695312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3" spans="1:6" ht="26.5" thickBot="1" x14ac:dyDescent="0.4">
      <c r="A3" s="147" t="s">
        <v>108</v>
      </c>
      <c r="B3" s="148"/>
      <c r="C3" s="148"/>
      <c r="D3" s="148"/>
      <c r="E3" s="148"/>
      <c r="F3" s="148"/>
    </row>
    <row r="4" spans="1:6" ht="37.5" thickTop="1" x14ac:dyDescent="0.45">
      <c r="A4" s="21" t="s">
        <v>109</v>
      </c>
      <c r="B4" s="23" t="s">
        <v>26</v>
      </c>
      <c r="C4" s="22" t="s">
        <v>27</v>
      </c>
      <c r="D4" s="23" t="s">
        <v>28</v>
      </c>
      <c r="E4" s="23" t="s">
        <v>29</v>
      </c>
      <c r="F4" s="24" t="s">
        <v>30</v>
      </c>
    </row>
    <row r="5" spans="1:6" x14ac:dyDescent="0.35">
      <c r="A5" s="62">
        <f ca="1">'BILAN 2024'!A8</f>
        <v>1</v>
      </c>
      <c r="B5" s="62" t="str">
        <f ca="1">'BILAN 2024'!B8</f>
        <v>FONDS DE CAISSE ET RECONDUCTION</v>
      </c>
      <c r="C5" s="62">
        <v>23877869</v>
      </c>
      <c r="D5" s="62">
        <f>800000*6+100000*24</f>
        <v>7200000</v>
      </c>
      <c r="E5" s="40">
        <f>7077869-6896797</f>
        <v>181072</v>
      </c>
      <c r="F5" s="26">
        <f>C5+D5-E5</f>
        <v>30896797</v>
      </c>
    </row>
    <row r="6" spans="1:6" x14ac:dyDescent="0.35">
      <c r="A6" s="62">
        <f ca="1">'BILAN 2024'!A9</f>
        <v>2</v>
      </c>
      <c r="B6" s="62" t="str">
        <f ca="1">'BILAN 2024'!B9</f>
        <v>FONDS DE ROULEMENT</v>
      </c>
      <c r="C6" s="62">
        <v>2160228</v>
      </c>
      <c r="D6" s="62">
        <f ca="1">'BILAN 2024'!D9</f>
        <v>384000</v>
      </c>
      <c r="E6" s="40">
        <f ca="1">'BILAN 2024'!E9</f>
        <v>251000</v>
      </c>
      <c r="F6" s="26">
        <f t="shared" ref="F6:F18" ca="1" si="0">C6+D6-E6</f>
        <v>2293228</v>
      </c>
    </row>
    <row r="7" spans="1:6" x14ac:dyDescent="0.35">
      <c r="A7" s="62">
        <f ca="1">'BILAN 2024'!A10</f>
        <v>3</v>
      </c>
      <c r="B7" s="62" t="str">
        <f ca="1">'BILAN 2024'!B10</f>
        <v>FRAIS EXCEPTIONNELS</v>
      </c>
      <c r="C7" s="62">
        <v>1038460</v>
      </c>
      <c r="D7" s="62">
        <f ca="1">'BILAN 2024'!D10</f>
        <v>384000</v>
      </c>
      <c r="E7" s="40">
        <f ca="1">'BILAN 2024'!E10</f>
        <v>0</v>
      </c>
      <c r="F7" s="26">
        <f t="shared" ca="1" si="0"/>
        <v>1422460</v>
      </c>
    </row>
    <row r="8" spans="1:6" x14ac:dyDescent="0.35">
      <c r="A8" s="62">
        <f ca="1">'BILAN 2024'!A11</f>
        <v>4</v>
      </c>
      <c r="B8" s="62" t="str">
        <f ca="1">'BILAN 2024'!B11</f>
        <v>MUTUELLE\COMPLEMENT MUTUEL</v>
      </c>
      <c r="C8" s="62">
        <v>814762</v>
      </c>
      <c r="D8" s="62">
        <f ca="1">'BILAN 2024'!D11</f>
        <v>240000</v>
      </c>
      <c r="E8" s="40">
        <f ca="1">'BILAN 2024'!E11</f>
        <v>200000</v>
      </c>
      <c r="F8" s="26">
        <f t="shared" ca="1" si="0"/>
        <v>854762</v>
      </c>
    </row>
    <row r="9" spans="1:6" x14ac:dyDescent="0.35">
      <c r="A9" s="62">
        <f ca="1">'BILAN 2024'!A12</f>
        <v>5</v>
      </c>
      <c r="B9" s="62" t="str">
        <f ca="1">'BILAN 2024'!B12</f>
        <v>INSCRIPTION</v>
      </c>
      <c r="C9" s="62">
        <v>755000</v>
      </c>
      <c r="D9" s="62">
        <f ca="1">'BILAN 2024'!D12</f>
        <v>75000</v>
      </c>
      <c r="E9" s="40">
        <f ca="1">'BILAN 2024'!E12</f>
        <v>0</v>
      </c>
      <c r="F9" s="26">
        <f t="shared" ca="1" si="0"/>
        <v>830000</v>
      </c>
    </row>
    <row r="10" spans="1:6" x14ac:dyDescent="0.35">
      <c r="A10" s="62">
        <f ca="1">'BILAN 2024'!A13</f>
        <v>6</v>
      </c>
      <c r="B10" s="62" t="str">
        <f ca="1">'BILAN 2024'!B13</f>
        <v>PENALITES PAIEMENT ESPECES</v>
      </c>
      <c r="C10" s="62">
        <v>847025</v>
      </c>
      <c r="D10" s="62">
        <f ca="1">'BILAN 2024'!D13</f>
        <v>93000</v>
      </c>
      <c r="E10" s="40">
        <f ca="1">'BILAN 2024'!E13</f>
        <v>0</v>
      </c>
      <c r="F10" s="26">
        <f t="shared" ca="1" si="0"/>
        <v>940025</v>
      </c>
    </row>
    <row r="11" spans="1:6" x14ac:dyDescent="0.35">
      <c r="A11" s="62">
        <f ca="1">'BILAN 2024'!A14</f>
        <v>7</v>
      </c>
      <c r="B11" s="14" t="s">
        <v>51</v>
      </c>
      <c r="C11" s="62">
        <v>7000</v>
      </c>
      <c r="D11" s="62">
        <f ca="1">'BILAN 2024'!D14</f>
        <v>3750</v>
      </c>
      <c r="E11" s="40">
        <f ca="1">'BILAN 2024'!E14</f>
        <v>0</v>
      </c>
      <c r="F11" s="26">
        <f t="shared" ca="1" si="0"/>
        <v>10750</v>
      </c>
    </row>
    <row r="12" spans="1:6" x14ac:dyDescent="0.35">
      <c r="A12" s="62">
        <f ca="1">'BILAN 2024'!A15</f>
        <v>8</v>
      </c>
      <c r="B12" s="62" t="str">
        <f ca="1">'BILAN 2024'!B15</f>
        <v>COLLATION</v>
      </c>
      <c r="C12" s="62">
        <v>1632525</v>
      </c>
      <c r="D12" s="62">
        <f ca="1">'BILAN 2024'!D15</f>
        <v>1536000</v>
      </c>
      <c r="E12" s="40">
        <f ca="1">'BILAN 2024'!E15</f>
        <v>1200000</v>
      </c>
      <c r="F12" s="26">
        <f t="shared" ca="1" si="0"/>
        <v>1968525</v>
      </c>
    </row>
    <row r="13" spans="1:6" x14ac:dyDescent="0.35">
      <c r="A13" s="62">
        <f ca="1">'BILAN 2024'!A16</f>
        <v>9</v>
      </c>
      <c r="B13" s="62" t="s">
        <v>181</v>
      </c>
      <c r="C13" s="62">
        <v>124127</v>
      </c>
      <c r="D13" s="62">
        <v>11701</v>
      </c>
      <c r="E13" s="40"/>
      <c r="F13" s="26">
        <f t="shared" ref="F13" si="1">C13+D13-E13</f>
        <v>135828</v>
      </c>
    </row>
    <row r="14" spans="1:6" x14ac:dyDescent="0.35">
      <c r="A14" s="62">
        <f ca="1">'BILAN 2024'!A17</f>
        <v>10</v>
      </c>
      <c r="B14" s="62" t="str">
        <f>'BILAN 2024'!B18</f>
        <v>INTERETS ET AUTRES</v>
      </c>
      <c r="C14" s="62">
        <v>1010525</v>
      </c>
      <c r="D14" s="62">
        <f>'BILAN 2024'!D18</f>
        <v>0</v>
      </c>
      <c r="E14" s="40">
        <f>'BILAN 2024'!E18</f>
        <v>0</v>
      </c>
      <c r="F14" s="26">
        <f t="shared" si="0"/>
        <v>1010525</v>
      </c>
    </row>
    <row r="15" spans="1:6" x14ac:dyDescent="0.35">
      <c r="A15" s="62">
        <f ca="1">'BILAN 2024'!A18</f>
        <v>11</v>
      </c>
      <c r="B15" s="62">
        <f>'BILAN 2024'!B23</f>
        <v>0</v>
      </c>
      <c r="C15" s="62">
        <v>101230</v>
      </c>
      <c r="D15" s="62">
        <f>'BILAN 2024'!D23</f>
        <v>0</v>
      </c>
      <c r="E15" s="40">
        <f>'BILAN 2024'!E23</f>
        <v>0</v>
      </c>
      <c r="F15" s="26">
        <f t="shared" si="0"/>
        <v>101230</v>
      </c>
    </row>
    <row r="16" spans="1:6" x14ac:dyDescent="0.35">
      <c r="A16" s="139">
        <v>12</v>
      </c>
      <c r="B16" s="62" t="s">
        <v>207</v>
      </c>
      <c r="C16" s="62">
        <v>-6000000</v>
      </c>
      <c r="D16" s="62"/>
      <c r="E16" s="40">
        <v>9300000</v>
      </c>
      <c r="F16" s="26">
        <f t="shared" si="0"/>
        <v>-15300000</v>
      </c>
    </row>
    <row r="17" spans="1:8" x14ac:dyDescent="0.35">
      <c r="A17" s="139"/>
      <c r="B17" s="62" t="s">
        <v>209</v>
      </c>
      <c r="C17" s="62"/>
      <c r="D17" s="62">
        <v>201500</v>
      </c>
      <c r="E17" s="40"/>
      <c r="F17" s="26">
        <f t="shared" si="0"/>
        <v>201500</v>
      </c>
    </row>
    <row r="18" spans="1:8" x14ac:dyDescent="0.35">
      <c r="A18" s="19"/>
      <c r="B18" s="62" t="s">
        <v>35</v>
      </c>
      <c r="C18" s="62">
        <v>1033000</v>
      </c>
      <c r="D18" s="62">
        <f>+DETAILFOYER!C43</f>
        <v>771700</v>
      </c>
      <c r="E18" s="40">
        <f>DETAILFOYER!F43</f>
        <v>1150000</v>
      </c>
      <c r="F18" s="26">
        <f t="shared" si="0"/>
        <v>654700</v>
      </c>
    </row>
    <row r="19" spans="1:8" x14ac:dyDescent="0.35">
      <c r="A19" s="63"/>
      <c r="B19" s="64"/>
      <c r="C19" s="65"/>
      <c r="D19" s="65"/>
      <c r="E19" s="66"/>
      <c r="F19" s="140"/>
    </row>
    <row r="20" spans="1:8" ht="20.5" thickBot="1" x14ac:dyDescent="0.45">
      <c r="A20" s="68"/>
      <c r="B20" s="69" t="s">
        <v>23</v>
      </c>
      <c r="C20" s="70">
        <f>+C5+C6+C7+C8+C9+C10+C11+C12+C13+C14+C15+C16</f>
        <v>26368751</v>
      </c>
      <c r="D20" s="70">
        <f ca="1">SUM(D5:D18)</f>
        <v>0</v>
      </c>
      <c r="E20" s="70">
        <f ca="1">+E5+E6+E7+E8+E9+E10+E11+E12+E13+E14+E15+E16+E17</f>
        <v>0</v>
      </c>
      <c r="F20" s="70"/>
    </row>
    <row r="21" spans="1:8" ht="15" thickTop="1" x14ac:dyDescent="0.35"/>
    <row r="24" spans="1:8" ht="23.5" x14ac:dyDescent="0.55000000000000004">
      <c r="B24" s="143" t="s">
        <v>120</v>
      </c>
      <c r="C24" s="144"/>
      <c r="D24" s="144"/>
      <c r="E24" s="144"/>
      <c r="F24" s="144"/>
      <c r="G24" s="71"/>
    </row>
    <row r="25" spans="1:8" x14ac:dyDescent="0.35">
      <c r="A25" s="71"/>
      <c r="B25" s="72"/>
      <c r="C25" s="73"/>
      <c r="D25" s="73"/>
      <c r="E25" s="74"/>
      <c r="F25" s="73"/>
      <c r="G25" s="27"/>
    </row>
    <row r="26" spans="1:8" x14ac:dyDescent="0.35">
      <c r="A26" s="71"/>
      <c r="B26" s="72"/>
      <c r="C26" s="73"/>
      <c r="D26" s="73"/>
      <c r="E26" s="74"/>
      <c r="F26" s="73"/>
      <c r="G26" s="27"/>
    </row>
    <row r="27" spans="1:8" ht="15" thickBot="1" x14ac:dyDescent="0.4">
      <c r="A27" s="71"/>
      <c r="B27" s="72"/>
      <c r="C27" s="73">
        <v>2023</v>
      </c>
      <c r="D27" s="73">
        <v>2024</v>
      </c>
      <c r="E27" s="74"/>
      <c r="F27" s="73"/>
      <c r="G27" s="27"/>
    </row>
    <row r="28" spans="1:8" ht="15" thickTop="1" x14ac:dyDescent="0.35">
      <c r="A28" s="75">
        <v>1</v>
      </c>
      <c r="B28" s="76" t="s">
        <v>121</v>
      </c>
      <c r="C28" s="77">
        <f>'BILAN 2024'!C33</f>
        <v>4337431</v>
      </c>
      <c r="D28" s="78">
        <f>+'BILAN 2024'!D33</f>
        <v>0</v>
      </c>
      <c r="E28" s="74"/>
      <c r="F28" s="73"/>
      <c r="G28" s="27"/>
    </row>
    <row r="29" spans="1:8" x14ac:dyDescent="0.35">
      <c r="A29" s="19">
        <v>2</v>
      </c>
      <c r="B29" s="14" t="s">
        <v>122</v>
      </c>
      <c r="C29" s="62">
        <f>'BILAN 2024'!C34</f>
        <v>630005</v>
      </c>
      <c r="D29" s="79">
        <f>+'BILAN 2024'!D34</f>
        <v>640005</v>
      </c>
      <c r="E29" s="74"/>
      <c r="F29" s="73"/>
      <c r="G29" s="27"/>
      <c r="H29" s="27"/>
    </row>
    <row r="30" spans="1:8" x14ac:dyDescent="0.35">
      <c r="A30" s="19">
        <v>3</v>
      </c>
      <c r="B30" s="14" t="s">
        <v>42</v>
      </c>
      <c r="C30" s="62">
        <f>'BILAN 2024'!C35</f>
        <v>1423702</v>
      </c>
      <c r="D30" s="79">
        <f>+'BILAN 2024'!D35</f>
        <v>5265069</v>
      </c>
      <c r="E30" s="74"/>
      <c r="F30" s="73"/>
      <c r="G30" s="27"/>
    </row>
    <row r="31" spans="1:8" x14ac:dyDescent="0.35">
      <c r="A31" s="19">
        <v>4</v>
      </c>
      <c r="B31" s="14" t="s">
        <v>123</v>
      </c>
      <c r="C31" s="62">
        <f>'BILAN 2024'!C36</f>
        <v>744700</v>
      </c>
      <c r="D31" s="79">
        <f>C31</f>
        <v>744700</v>
      </c>
      <c r="E31" s="74"/>
      <c r="F31" s="73"/>
      <c r="G31" s="27"/>
    </row>
    <row r="32" spans="1:8" x14ac:dyDescent="0.35">
      <c r="A32" s="19">
        <v>5</v>
      </c>
      <c r="B32" s="14" t="s">
        <v>124</v>
      </c>
      <c r="C32" s="62">
        <f>'BILAN 2024'!C37</f>
        <v>0</v>
      </c>
      <c r="D32" s="79">
        <f>+'BILAN 2024'!D37</f>
        <v>0</v>
      </c>
      <c r="E32" s="73"/>
      <c r="F32" s="73"/>
      <c r="G32" s="27"/>
    </row>
    <row r="33" spans="1:7" x14ac:dyDescent="0.35">
      <c r="A33" s="19">
        <v>6</v>
      </c>
      <c r="B33" s="14" t="s">
        <v>125</v>
      </c>
      <c r="C33" s="62">
        <f>'BILAN 2024'!C38</f>
        <v>154000</v>
      </c>
      <c r="D33" s="79">
        <f>C33</f>
        <v>154000</v>
      </c>
      <c r="E33" s="73"/>
      <c r="F33" s="73"/>
      <c r="G33" s="27"/>
    </row>
    <row r="34" spans="1:7" x14ac:dyDescent="0.35">
      <c r="A34" s="19">
        <v>7</v>
      </c>
      <c r="B34" s="14" t="s">
        <v>126</v>
      </c>
      <c r="C34" s="62">
        <f>'BILAN 2024'!C39</f>
        <v>18658500</v>
      </c>
      <c r="D34" s="79" t="e">
        <f>+'BILAN 2024'!D39</f>
        <v>#N/A</v>
      </c>
      <c r="E34" s="73"/>
      <c r="F34" s="73"/>
      <c r="G34" s="27"/>
    </row>
    <row r="35" spans="1:7" x14ac:dyDescent="0.35">
      <c r="A35" s="19">
        <v>8</v>
      </c>
      <c r="B35" s="14" t="s">
        <v>127</v>
      </c>
      <c r="C35" s="62">
        <f>'BILAN 2024'!C40</f>
        <v>656618</v>
      </c>
      <c r="D35" s="79">
        <f>+'BILAN 2024'!D40</f>
        <v>0</v>
      </c>
      <c r="E35" s="74"/>
      <c r="F35" s="73"/>
      <c r="G35" s="27"/>
    </row>
    <row r="36" spans="1:7" x14ac:dyDescent="0.35">
      <c r="A36" s="19"/>
      <c r="B36" s="14" t="s">
        <v>208</v>
      </c>
      <c r="C36" s="25"/>
      <c r="D36" s="79">
        <v>150000</v>
      </c>
      <c r="E36" s="74"/>
      <c r="F36" s="73"/>
      <c r="G36" s="27"/>
    </row>
    <row r="37" spans="1:7" x14ac:dyDescent="0.35">
      <c r="A37" s="63"/>
      <c r="B37" s="128"/>
      <c r="C37" s="65"/>
      <c r="D37" s="67"/>
      <c r="E37" s="74"/>
      <c r="F37" s="73"/>
      <c r="G37" s="27"/>
    </row>
    <row r="38" spans="1:7" ht="15" thickBot="1" x14ac:dyDescent="0.4">
      <c r="A38" s="68"/>
      <c r="B38" s="58" t="s">
        <v>23</v>
      </c>
      <c r="C38" s="38">
        <f>SUM(C28:C36)</f>
        <v>26604956</v>
      </c>
      <c r="D38" s="32" t="e">
        <f>SUM(D28:D36)</f>
        <v>#N/A</v>
      </c>
      <c r="E38" s="80"/>
      <c r="F38" s="73"/>
      <c r="G38" s="30"/>
    </row>
    <row r="39" spans="1:7" ht="15" thickTop="1" x14ac:dyDescent="0.35"/>
  </sheetData>
  <mergeCells count="2">
    <mergeCell ref="A3:F3"/>
    <mergeCell ref="B24:F2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71"/>
  <sheetViews>
    <sheetView tabSelected="1" zoomScale="104" zoomScaleNormal="104" workbookViewId="0">
      <pane xSplit="2" ySplit="5" topLeftCell="N38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T22" sqref="T22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.26953125" customWidth="1"/>
    <col min="6" max="6" width="15" bestFit="1" customWidth="1"/>
    <col min="7" max="8" width="15.26953125" customWidth="1"/>
    <col min="9" max="9" width="16.81640625" bestFit="1" customWidth="1"/>
    <col min="10" max="14" width="16.81640625" customWidth="1"/>
    <col min="15" max="15" width="20.7265625" customWidth="1"/>
    <col min="16" max="16" width="15" bestFit="1" customWidth="1"/>
    <col min="17" max="17" width="17.54296875" style="46" bestFit="1" customWidth="1"/>
    <col min="18" max="18" width="16.54296875" customWidth="1"/>
  </cols>
  <sheetData>
    <row r="1" spans="1:19" x14ac:dyDescent="0.35">
      <c r="A1" s="1" t="s">
        <v>94</v>
      </c>
      <c r="B1" s="1" t="s">
        <v>95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</row>
    <row r="2" spans="1:19" x14ac:dyDescent="0.35">
      <c r="A2" s="1" t="s">
        <v>10</v>
      </c>
      <c r="B2" s="1" t="s">
        <v>164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</row>
    <row r="3" spans="1:19" x14ac:dyDescent="0.35">
      <c r="A3" s="1"/>
      <c r="B3" s="42"/>
      <c r="C3" s="42"/>
      <c r="D3" s="4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R3" s="42"/>
    </row>
    <row r="4" spans="1:19" ht="26.5" thickBot="1" x14ac:dyDescent="0.65">
      <c r="B4" s="47"/>
      <c r="C4" s="47"/>
      <c r="D4" s="47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48"/>
      <c r="R4" s="47"/>
    </row>
    <row r="5" spans="1:19" ht="57" thickTop="1" x14ac:dyDescent="0.35">
      <c r="A5" s="49" t="s">
        <v>96</v>
      </c>
      <c r="B5" s="50" t="s">
        <v>52</v>
      </c>
      <c r="C5" s="50" t="s">
        <v>32</v>
      </c>
      <c r="D5" s="50" t="s">
        <v>153</v>
      </c>
      <c r="E5" s="51" t="s">
        <v>97</v>
      </c>
      <c r="F5" s="50" t="s">
        <v>1</v>
      </c>
      <c r="G5" s="51" t="s">
        <v>98</v>
      </c>
      <c r="H5" s="51" t="s">
        <v>99</v>
      </c>
      <c r="I5" s="51" t="s">
        <v>100</v>
      </c>
      <c r="J5" s="50" t="s">
        <v>51</v>
      </c>
      <c r="K5" s="51" t="s">
        <v>56</v>
      </c>
      <c r="L5" s="51" t="s">
        <v>55</v>
      </c>
      <c r="M5" s="51" t="s">
        <v>201</v>
      </c>
      <c r="N5" s="51" t="s">
        <v>101</v>
      </c>
      <c r="O5" s="51" t="s">
        <v>102</v>
      </c>
      <c r="P5" s="51" t="s">
        <v>103</v>
      </c>
      <c r="Q5" s="51" t="s">
        <v>154</v>
      </c>
      <c r="R5" s="52" t="s">
        <v>54</v>
      </c>
      <c r="S5" s="137" t="s">
        <v>35</v>
      </c>
    </row>
    <row r="6" spans="1:19" x14ac:dyDescent="0.35">
      <c r="A6" s="1" t="s">
        <v>90</v>
      </c>
      <c r="B6" s="1" t="str">
        <f>VLOOKUP(A6,[16]LISTADHERENT!A$5:H$60,3,0)</f>
        <v>ASELBY</v>
      </c>
      <c r="C6" s="25">
        <f>VLOOKUP($A6,[13]MVTRESUME24!$A$7:$Q$41,3,0)</f>
        <v>0</v>
      </c>
      <c r="D6" s="25">
        <f>VLOOKUP($A6,[13]MVTRESUME24!$A$7:$Q$41,4,0)</f>
        <v>886523.25892224163</v>
      </c>
      <c r="E6" s="25">
        <f>VLOOKUP($A6,[13]MVTRESUME24!$A$7:$Q$41,8,0)</f>
        <v>74148.368569555823</v>
      </c>
      <c r="F6" s="25">
        <f>VLOOKUP($A6,[13]MVTRESUME24!$A$7:$Q$41,12,0)</f>
        <v>62000</v>
      </c>
      <c r="G6" s="25"/>
      <c r="H6" s="25"/>
      <c r="I6" s="25">
        <f>D6+E6+F6+G6+H6</f>
        <v>1022671.6274917974</v>
      </c>
      <c r="J6" s="25">
        <f>VLOOKUP($A6,[13]MVTRESUME24!$A$7:$Q$41,10,0)</f>
        <v>0</v>
      </c>
      <c r="K6" s="25"/>
      <c r="L6" s="25"/>
      <c r="M6" s="25"/>
      <c r="N6" s="25">
        <f>J6+K6+L6+M6</f>
        <v>0</v>
      </c>
      <c r="O6" s="133">
        <f>I6-N6</f>
        <v>1022671.6274917974</v>
      </c>
      <c r="P6" s="134"/>
      <c r="Q6" s="133">
        <v>1023134</v>
      </c>
      <c r="R6" s="26"/>
    </row>
    <row r="7" spans="1:19" x14ac:dyDescent="0.35">
      <c r="A7" s="1" t="s">
        <v>62</v>
      </c>
      <c r="B7" s="1" t="str">
        <f>VLOOKUP(A7,[16]LISTADHERENT!A$5:H$60,3,0)</f>
        <v>BAKOP ACHILLE</v>
      </c>
      <c r="C7" s="25">
        <f>VLOOKUP($A7,[13]MVTRESUME24!$A$7:$Q$41,3,0)</f>
        <v>0</v>
      </c>
      <c r="D7" s="25">
        <f>VLOOKUP($A7,[13]MVTRESUME24!$A$7:$Q$41,4,0)</f>
        <v>1356964</v>
      </c>
      <c r="E7" s="25">
        <f>VLOOKUP($A7,[13]MVTRESUME24!$A$7:$Q$41,8,0)</f>
        <v>17268.351515034443</v>
      </c>
      <c r="F7" s="25">
        <f>VLOOKUP($A7,[13]MVTRESUME24!$A$7:$Q$41,12,0)</f>
        <v>236000</v>
      </c>
      <c r="G7" s="25"/>
      <c r="H7" s="25"/>
      <c r="I7" s="25">
        <f t="shared" ref="I7:I39" si="0">D7+E7+F7+G7+H7</f>
        <v>1610232.3515150344</v>
      </c>
      <c r="J7" s="25">
        <f>VLOOKUP($A7,[13]MVTRESUME24!$A$7:$Q$41,10,0)</f>
        <v>0</v>
      </c>
      <c r="K7" s="25">
        <v>20000</v>
      </c>
      <c r="L7" s="25">
        <v>100000</v>
      </c>
      <c r="M7" s="132"/>
      <c r="N7" s="40">
        <f t="shared" ref="N7:N39" si="1">J7+K7+L7+M7</f>
        <v>120000</v>
      </c>
      <c r="O7" s="133">
        <f t="shared" ref="O7:O39" si="2">I7-N7</f>
        <v>1490232.3515150344</v>
      </c>
      <c r="P7" s="134">
        <f>700000+93000</f>
        <v>793000</v>
      </c>
      <c r="Q7" s="133">
        <v>18598</v>
      </c>
      <c r="R7" s="26">
        <v>800000</v>
      </c>
      <c r="S7" s="138"/>
    </row>
    <row r="8" spans="1:19" x14ac:dyDescent="0.35">
      <c r="A8" s="1" t="s">
        <v>63</v>
      </c>
      <c r="B8" s="1" t="str">
        <f>VLOOKUP(A8,[16]LISTADHERENT!A$5:H$60,3,0)</f>
        <v>BOUTCHOUANG WILLIAM</v>
      </c>
      <c r="C8" s="25">
        <f>VLOOKUP($A8,[13]MVTRESUME24!$A$7:$Q$41,3,0)</f>
        <v>700000</v>
      </c>
      <c r="D8" s="25">
        <f>VLOOKUP($A8,[13]MVTRESUME24!$A$7:$Q$41,4,0)</f>
        <v>33.12626320522395</v>
      </c>
      <c r="E8" s="25">
        <f>VLOOKUP($A8,[13]MVTRESUME24!$A$7:$Q$41,8,0)</f>
        <v>61331.963427137409</v>
      </c>
      <c r="F8" s="25">
        <f>VLOOKUP($A8,[13]MVTRESUME24!$A$7:$Q$41,12,0)</f>
        <v>225000</v>
      </c>
      <c r="G8" s="25"/>
      <c r="H8" s="25"/>
      <c r="I8" s="25">
        <f t="shared" si="0"/>
        <v>286365.08969034266</v>
      </c>
      <c r="J8" s="25">
        <f>VLOOKUP($A8,[13]MVTRESUME24!$A$7:$Q$41,10,0)</f>
        <v>0</v>
      </c>
      <c r="K8" s="25">
        <v>20000</v>
      </c>
      <c r="L8" s="25">
        <v>100000</v>
      </c>
      <c r="M8" s="132"/>
      <c r="N8" s="40">
        <f t="shared" si="1"/>
        <v>120000</v>
      </c>
      <c r="O8" s="133">
        <f t="shared" si="2"/>
        <v>166365.08969034266</v>
      </c>
      <c r="P8" s="134">
        <v>34625</v>
      </c>
      <c r="Q8" s="133">
        <v>132669</v>
      </c>
      <c r="R8" s="26">
        <f t="shared" ref="R8:R34" si="3">C8+L8</f>
        <v>800000</v>
      </c>
    </row>
    <row r="9" spans="1:19" x14ac:dyDescent="0.35">
      <c r="A9" s="1" t="s">
        <v>64</v>
      </c>
      <c r="B9" s="1" t="str">
        <f>VLOOKUP(A9,[16]LISTADHERENT!A$5:H$60,3,0)</f>
        <v xml:space="preserve">DJOMO JEAN PAUL </v>
      </c>
      <c r="C9" s="25">
        <f>VLOOKUP($A9,[13]MVTRESUME24!$A$7:$Q$41,3,0)</f>
        <v>700000</v>
      </c>
      <c r="D9" s="25">
        <f>VLOOKUP($A9,[13]MVTRESUME24!$A$7:$Q$41,4,0)</f>
        <v>53357.826243040035</v>
      </c>
      <c r="E9" s="25">
        <f>VLOOKUP($A9,[13]MVTRESUME24!$A$7:$Q$41,8,0)</f>
        <v>65782.523231943604</v>
      </c>
      <c r="F9" s="25">
        <f>VLOOKUP($A9,[13]MVTRESUME24!$A$7:$Q$41,12,0)</f>
        <v>220500</v>
      </c>
      <c r="G9" s="25"/>
      <c r="H9" s="25"/>
      <c r="I9" s="25">
        <f t="shared" si="0"/>
        <v>339640.34947498364</v>
      </c>
      <c r="J9" s="25">
        <f>VLOOKUP($A9,[13]MVTRESUME24!$A$7:$Q$41,10,0)</f>
        <v>0</v>
      </c>
      <c r="K9" s="25">
        <v>20000</v>
      </c>
      <c r="L9" s="25">
        <v>100000</v>
      </c>
      <c r="M9" s="132"/>
      <c r="N9" s="40">
        <f t="shared" si="1"/>
        <v>120000</v>
      </c>
      <c r="O9" s="133">
        <f t="shared" si="2"/>
        <v>219640.34947498364</v>
      </c>
      <c r="P9" s="134">
        <v>214000</v>
      </c>
      <c r="Q9" s="133">
        <v>6643</v>
      </c>
      <c r="R9" s="26">
        <f t="shared" si="3"/>
        <v>800000</v>
      </c>
    </row>
    <row r="10" spans="1:19" x14ac:dyDescent="0.35">
      <c r="A10" s="1" t="s">
        <v>104</v>
      </c>
      <c r="B10" s="1" t="str">
        <f>VLOOKUP(A10,[16]LISTADHERENT!A$5:H$60,3,0)</f>
        <v>DJOMOU TCHAPDA</v>
      </c>
      <c r="C10" s="25">
        <f>VLOOKUP($A10,[13]MVTRESUME24!$A$7:$Q$41,3,0)</f>
        <v>700000</v>
      </c>
      <c r="D10" s="25">
        <f>VLOOKUP($A10,[13]MVTRESUME24!$A$7:$Q$41,4,0)</f>
        <v>294.67929590542917</v>
      </c>
      <c r="E10" s="25">
        <f>VLOOKUP($A10,[13]MVTRESUME24!$A$7:$Q$41,8,0)</f>
        <v>61289.02894615112</v>
      </c>
      <c r="F10" s="25">
        <f>VLOOKUP($A10,[13]MVTRESUME24!$A$7:$Q$41,12,0)</f>
        <v>221500</v>
      </c>
      <c r="G10" s="25"/>
      <c r="H10" s="25"/>
      <c r="I10" s="25">
        <f t="shared" si="0"/>
        <v>283083.70824205654</v>
      </c>
      <c r="J10" s="25">
        <f>VLOOKUP($A10,[13]MVTRESUME24!$A$7:$Q$41,10,0)</f>
        <v>0</v>
      </c>
      <c r="K10" s="25">
        <v>20000</v>
      </c>
      <c r="L10" s="25">
        <v>100000</v>
      </c>
      <c r="M10" s="132"/>
      <c r="N10" s="40">
        <f t="shared" si="1"/>
        <v>120000</v>
      </c>
      <c r="O10" s="133">
        <f t="shared" si="2"/>
        <v>163083.70824205654</v>
      </c>
      <c r="P10" s="134">
        <f>154825+1943</f>
        <v>156768</v>
      </c>
      <c r="Q10" s="133">
        <v>7246</v>
      </c>
      <c r="R10" s="26">
        <f t="shared" si="3"/>
        <v>800000</v>
      </c>
    </row>
    <row r="11" spans="1:19" x14ac:dyDescent="0.35">
      <c r="A11" s="1" t="s">
        <v>65</v>
      </c>
      <c r="B11" s="1" t="str">
        <f>VLOOKUP(A11,[16]LISTADHERENT!A$5:H$60,3,0)</f>
        <v>DJOUKWE NANGUEN GUY BLAISE</v>
      </c>
      <c r="C11" s="25">
        <f>VLOOKUP($A11,[13]MVTRESUME24!$A$7:$Q$41,3,0)</f>
        <v>700000</v>
      </c>
      <c r="D11" s="25">
        <f>VLOOKUP($A11,[13]MVTRESUME24!$A$7:$Q$41,4,0)</f>
        <v>2196.7678974067676</v>
      </c>
      <c r="E11" s="25">
        <f>VLOOKUP($A11,[13]MVTRESUME24!$A$7:$Q$41,8,0)</f>
        <v>61907.328059099258</v>
      </c>
      <c r="F11" s="25">
        <f>VLOOKUP($A11,[13]MVTRESUME24!$A$7:$Q$41,12,0)</f>
        <v>251000</v>
      </c>
      <c r="G11" s="25"/>
      <c r="H11" s="25"/>
      <c r="I11" s="25">
        <f t="shared" si="0"/>
        <v>315104.09595650603</v>
      </c>
      <c r="J11" s="25">
        <f>VLOOKUP($A11,[13]MVTRESUME24!$A$7:$Q$41,10,0)</f>
        <v>0</v>
      </c>
      <c r="K11" s="25">
        <v>20000</v>
      </c>
      <c r="L11" s="25">
        <v>100000</v>
      </c>
      <c r="M11" s="132"/>
      <c r="N11" s="40">
        <f t="shared" si="1"/>
        <v>120000</v>
      </c>
      <c r="O11" s="133">
        <f t="shared" si="2"/>
        <v>195104.09595650603</v>
      </c>
      <c r="P11" s="134">
        <f>90000+100000</f>
        <v>190000</v>
      </c>
      <c r="Q11" s="133">
        <v>6032</v>
      </c>
      <c r="R11" s="26">
        <f t="shared" si="3"/>
        <v>800000</v>
      </c>
    </row>
    <row r="12" spans="1:19" x14ac:dyDescent="0.35">
      <c r="A12" s="1" t="s">
        <v>66</v>
      </c>
      <c r="B12" s="1" t="str">
        <f>VLOOKUP(A12,[16]LISTADHERENT!A$5:H$60,3,0)</f>
        <v>DJUOMBESSY ANTOINE</v>
      </c>
      <c r="C12" s="25">
        <f>VLOOKUP($A12,[13]MVTRESUME24!$A$7:$Q$41,3,0)</f>
        <v>700000</v>
      </c>
      <c r="D12" s="25">
        <f>VLOOKUP($A12,[13]MVTRESUME24!$A$7:$Q$41,4,0)</f>
        <v>14513.277451620379</v>
      </c>
      <c r="E12" s="25">
        <f>VLOOKUP($A12,[13]MVTRESUME24!$A$7:$Q$41,8,0)</f>
        <v>63433.589305372217</v>
      </c>
      <c r="F12" s="25">
        <f>VLOOKUP($A12,[13]MVTRESUME24!$A$7:$Q$41,12,0)</f>
        <v>295600</v>
      </c>
      <c r="G12" s="25"/>
      <c r="H12" s="25"/>
      <c r="I12" s="25">
        <f t="shared" si="0"/>
        <v>373546.86675699259</v>
      </c>
      <c r="J12" s="25">
        <f>VLOOKUP($A12,[13]MVTRESUME24!$A$7:$Q$41,10,0)</f>
        <v>0</v>
      </c>
      <c r="K12" s="25">
        <v>20000</v>
      </c>
      <c r="L12" s="25">
        <v>100000</v>
      </c>
      <c r="M12" s="132"/>
      <c r="N12" s="40">
        <f t="shared" si="1"/>
        <v>120000</v>
      </c>
      <c r="O12" s="133">
        <f t="shared" si="2"/>
        <v>253546.86675699259</v>
      </c>
      <c r="P12" s="134">
        <v>240000</v>
      </c>
      <c r="Q12" s="133">
        <v>14486</v>
      </c>
      <c r="R12" s="26">
        <f t="shared" si="3"/>
        <v>800000</v>
      </c>
    </row>
    <row r="13" spans="1:19" x14ac:dyDescent="0.35">
      <c r="A13" s="1" t="s">
        <v>87</v>
      </c>
      <c r="B13" s="1" t="str">
        <f>VLOOKUP(A13,[16]LISTADHERENT!A$5:H$60,3,0)</f>
        <v>DOMOU FABIEN</v>
      </c>
      <c r="C13" s="25">
        <f>VLOOKUP($A13,[13]MVTRESUME24!$A$7:$Q$41,3,0)</f>
        <v>700000</v>
      </c>
      <c r="D13" s="25">
        <f>VLOOKUP($A13,[13]MVTRESUME24!$A$7:$Q$41,4,0)</f>
        <v>41.235805909789633</v>
      </c>
      <c r="E13" s="25">
        <f>VLOOKUP($A13,[13]MVTRESUME24!$A$7:$Q$41,8,0)</f>
        <v>61395.794677496764</v>
      </c>
      <c r="F13" s="25">
        <f>VLOOKUP($A13,[13]MVTRESUME24!$A$7:$Q$41,12,0)</f>
        <v>228000</v>
      </c>
      <c r="G13" s="25"/>
      <c r="H13" s="25"/>
      <c r="I13" s="25">
        <f t="shared" si="0"/>
        <v>289437.03048340656</v>
      </c>
      <c r="J13" s="25">
        <f>VLOOKUP($A13,[13]MVTRESUME24!$A$7:$Q$41,10,0)</f>
        <v>0</v>
      </c>
      <c r="K13" s="25">
        <v>20000</v>
      </c>
      <c r="L13" s="25">
        <v>100000</v>
      </c>
      <c r="M13" s="132"/>
      <c r="N13" s="40">
        <f t="shared" si="1"/>
        <v>120000</v>
      </c>
      <c r="O13" s="133">
        <f t="shared" si="2"/>
        <v>169437.03048340656</v>
      </c>
      <c r="P13" s="134">
        <v>164000</v>
      </c>
      <c r="Q13" s="133">
        <v>6365</v>
      </c>
      <c r="R13" s="26">
        <f t="shared" si="3"/>
        <v>800000</v>
      </c>
    </row>
    <row r="14" spans="1:19" x14ac:dyDescent="0.35">
      <c r="A14" s="1" t="s">
        <v>67</v>
      </c>
      <c r="B14" s="1" t="str">
        <f>VLOOKUP(A14,[16]LISTADHERENT!A$5:H$60,3,0)</f>
        <v>DONHOU DAVID</v>
      </c>
      <c r="C14" s="25">
        <f>VLOOKUP($A14,[13]MVTRESUME24!$A$7:$Q$41,3,0)</f>
        <v>700000</v>
      </c>
      <c r="D14" s="25">
        <f>VLOOKUP($A14,[13]MVTRESUME24!$A$7:$Q$41,4,0)</f>
        <v>518031.2910165739</v>
      </c>
      <c r="E14" s="25">
        <f>VLOOKUP($A14,[13]MVTRESUME24!$A$7:$Q$41,8,0)</f>
        <v>104720.22767186417</v>
      </c>
      <c r="F14" s="25">
        <f>VLOOKUP($A14,[13]MVTRESUME24!$A$7:$Q$41,12,0)</f>
        <v>228000</v>
      </c>
      <c r="G14" s="25"/>
      <c r="H14" s="25"/>
      <c r="I14" s="25">
        <f t="shared" si="0"/>
        <v>850751.51868843811</v>
      </c>
      <c r="J14" s="25">
        <f>VLOOKUP($A14,[13]MVTRESUME24!$A$7:$Q$41,10,0)</f>
        <v>0</v>
      </c>
      <c r="K14" s="25">
        <v>20000</v>
      </c>
      <c r="L14" s="25">
        <v>100000</v>
      </c>
      <c r="M14" s="132"/>
      <c r="N14" s="40">
        <f t="shared" si="1"/>
        <v>120000</v>
      </c>
      <c r="O14" s="133">
        <f t="shared" si="2"/>
        <v>730751.51868843811</v>
      </c>
      <c r="P14" s="134">
        <v>30000</v>
      </c>
      <c r="Q14" s="133">
        <v>702391</v>
      </c>
      <c r="R14" s="26">
        <f t="shared" si="3"/>
        <v>800000</v>
      </c>
    </row>
    <row r="15" spans="1:19" ht="14.25" customHeight="1" x14ac:dyDescent="0.35">
      <c r="A15" s="1" t="s">
        <v>68</v>
      </c>
      <c r="B15" s="1" t="str">
        <f>VLOOKUP(A15,[16]LISTADHERENT!A$5:H$60,3,0)</f>
        <v>HENGUE PAUL OMER</v>
      </c>
      <c r="C15" s="25">
        <f>VLOOKUP($A15,[13]MVTRESUME24!$A$7:$Q$41,3,0)</f>
        <v>700000</v>
      </c>
      <c r="D15" s="25">
        <f>VLOOKUP($A15,[13]MVTRESUME24!$A$7:$Q$41,4,0)</f>
        <v>57899.603500921949</v>
      </c>
      <c r="E15" s="25">
        <f>VLOOKUP($A15,[13]MVTRESUME24!$A$7:$Q$41,8,0)</f>
        <v>66235.0400436005</v>
      </c>
      <c r="F15" s="25">
        <f>VLOOKUP($A15,[13]MVTRESUME24!$A$7:$Q$41,12,0)</f>
        <v>228000</v>
      </c>
      <c r="G15" s="25"/>
      <c r="H15" s="25"/>
      <c r="I15" s="25">
        <f t="shared" si="0"/>
        <v>352134.64354452246</v>
      </c>
      <c r="J15" s="25">
        <f>VLOOKUP($A15,[13]MVTRESUME24!$A$7:$Q$41,10,0)</f>
        <v>0</v>
      </c>
      <c r="K15" s="25">
        <v>20000</v>
      </c>
      <c r="L15" s="25">
        <v>100000</v>
      </c>
      <c r="M15" s="132"/>
      <c r="N15" s="40">
        <f t="shared" si="1"/>
        <v>120000</v>
      </c>
      <c r="O15" s="133">
        <f t="shared" si="2"/>
        <v>232134.64354452246</v>
      </c>
      <c r="P15" s="134">
        <f>80000+60000+86000</f>
        <v>226000</v>
      </c>
      <c r="Q15" s="133">
        <v>7143</v>
      </c>
      <c r="R15" s="26">
        <f t="shared" si="3"/>
        <v>800000</v>
      </c>
    </row>
    <row r="16" spans="1:19" x14ac:dyDescent="0.35">
      <c r="A16" s="1" t="s">
        <v>69</v>
      </c>
      <c r="B16" s="1" t="str">
        <f>VLOOKUP(A16,[16]LISTADHERENT!A$5:H$60,3,0)</f>
        <v>HOTCHO BENJAMIN</v>
      </c>
      <c r="C16" s="25">
        <f>VLOOKUP($A16,[13]MVTRESUME24!$A$7:$Q$41,3,0)</f>
        <v>700000</v>
      </c>
      <c r="D16" s="25">
        <f>VLOOKUP($A16,[13]MVTRESUME24!$A$7:$Q$41,4,0)</f>
        <v>29661.208104101592</v>
      </c>
      <c r="E16" s="25">
        <f>VLOOKUP($A16,[13]MVTRESUME24!$A$7:$Q$41,8,0)</f>
        <v>68725.52890901413</v>
      </c>
      <c r="F16" s="25">
        <f>VLOOKUP($A16,[13]MVTRESUME24!$A$7:$Q$41,12,0)</f>
        <v>587000</v>
      </c>
      <c r="G16" s="25"/>
      <c r="H16" s="25"/>
      <c r="I16" s="25">
        <f t="shared" si="0"/>
        <v>685386.73701311578</v>
      </c>
      <c r="J16" s="25">
        <f>VLOOKUP($A16,[13]MVTRESUME24!$A$7:$Q$41,10,0)</f>
        <v>0</v>
      </c>
      <c r="K16" s="25">
        <v>20000</v>
      </c>
      <c r="L16" s="25">
        <v>100000</v>
      </c>
      <c r="M16" s="132"/>
      <c r="N16" s="40">
        <f t="shared" si="1"/>
        <v>120000</v>
      </c>
      <c r="O16" s="133">
        <f t="shared" si="2"/>
        <v>565386.73701311578</v>
      </c>
      <c r="P16" s="134">
        <f>40000+20000</f>
        <v>60000</v>
      </c>
      <c r="Q16" s="133">
        <v>6301</v>
      </c>
      <c r="R16" s="26">
        <f t="shared" si="3"/>
        <v>800000</v>
      </c>
    </row>
    <row r="17" spans="1:20" s="2" customFormat="1" ht="13.5" customHeight="1" x14ac:dyDescent="0.35">
      <c r="A17" s="1" t="s">
        <v>70</v>
      </c>
      <c r="B17" s="1" t="str">
        <f>VLOOKUP(A17,[16]LISTADHERENT!A$5:H$60,3,0)</f>
        <v>KOUAMOU MOISE</v>
      </c>
      <c r="C17" s="25">
        <f>VLOOKUP($A17,[13]MVTRESUME24!$A$7:$Q$41,3,0)</f>
        <v>700000</v>
      </c>
      <c r="D17" s="25">
        <f>VLOOKUP($A17,[13]MVTRESUME24!$A$7:$Q$41,4,0)</f>
        <v>9267.5051528789336</v>
      </c>
      <c r="E17" s="25">
        <f>VLOOKUP($A17,[13]MVTRESUME24!$A$7:$Q$41,8,0)</f>
        <v>62143.617657746596</v>
      </c>
      <c r="F17" s="25">
        <f>VLOOKUP($A17,[13]MVTRESUME24!$A$7:$Q$41,12,0)</f>
        <v>224000</v>
      </c>
      <c r="G17" s="40"/>
      <c r="H17" s="25"/>
      <c r="I17" s="25">
        <f t="shared" si="0"/>
        <v>295411.12281062553</v>
      </c>
      <c r="J17" s="25">
        <f>VLOOKUP($A17,[13]MVTRESUME24!$A$7:$Q$41,10,0)</f>
        <v>0</v>
      </c>
      <c r="K17" s="25">
        <v>20000</v>
      </c>
      <c r="L17" s="25">
        <v>100000</v>
      </c>
      <c r="M17" s="132"/>
      <c r="N17" s="40">
        <f t="shared" si="1"/>
        <v>120000</v>
      </c>
      <c r="O17" s="133">
        <f t="shared" si="2"/>
        <v>175411.12281062553</v>
      </c>
      <c r="P17" s="134">
        <v>170000</v>
      </c>
      <c r="Q17" s="133">
        <v>6353</v>
      </c>
      <c r="R17" s="26">
        <f t="shared" si="3"/>
        <v>800000</v>
      </c>
    </row>
    <row r="18" spans="1:20" s="2" customFormat="1" x14ac:dyDescent="0.35">
      <c r="A18" s="1" t="s">
        <v>71</v>
      </c>
      <c r="B18" s="1" t="str">
        <f>VLOOKUP(A18,[16]LISTADHERENT!A$5:H$60,3,0)</f>
        <v>KOUATCHO MESSACK</v>
      </c>
      <c r="C18" s="25">
        <f>VLOOKUP($A18,[13]MVTRESUME24!$A$7:$Q$41,3,0)</f>
        <v>700000</v>
      </c>
      <c r="D18" s="25">
        <f>VLOOKUP($A18,[13]MVTRESUME24!$A$7:$Q$41,4,0)</f>
        <v>24428.628065245139</v>
      </c>
      <c r="E18" s="25">
        <f>VLOOKUP($A18,[13]MVTRESUME24!$A$7:$Q$41,8,0)</f>
        <v>64564.757324560269</v>
      </c>
      <c r="F18" s="25">
        <f>VLOOKUP($A18,[13]MVTRESUME24!$A$7:$Q$41,12,0)</f>
        <v>320000</v>
      </c>
      <c r="G18" s="40"/>
      <c r="H18" s="25"/>
      <c r="I18" s="25">
        <f t="shared" si="0"/>
        <v>408993.38538980542</v>
      </c>
      <c r="J18" s="25">
        <f>VLOOKUP($A18,[13]MVTRESUME24!$A$7:$Q$41,10,0)</f>
        <v>0</v>
      </c>
      <c r="K18" s="25">
        <v>20000</v>
      </c>
      <c r="L18" s="25">
        <v>100000</v>
      </c>
      <c r="M18" s="132"/>
      <c r="N18" s="40">
        <f t="shared" si="1"/>
        <v>120000</v>
      </c>
      <c r="O18" s="133">
        <f t="shared" si="2"/>
        <v>288993.38538980542</v>
      </c>
      <c r="P18" s="134"/>
      <c r="Q18" s="133">
        <v>9944</v>
      </c>
      <c r="R18" s="26">
        <f t="shared" si="3"/>
        <v>800000</v>
      </c>
    </row>
    <row r="19" spans="1:20" x14ac:dyDescent="0.35">
      <c r="A19" s="1" t="s">
        <v>72</v>
      </c>
      <c r="B19" s="1" t="str">
        <f>VLOOKUP(A19,[16]LISTADHERENT!A$5:H$60,3,0)</f>
        <v>LOWE JEAN</v>
      </c>
      <c r="C19" s="25">
        <f>VLOOKUP($A19,[13]MVTRESUME24!$A$7:$Q$41,3,0)</f>
        <v>0</v>
      </c>
      <c r="D19" s="25">
        <v>676217</v>
      </c>
      <c r="E19" s="25">
        <f>VLOOKUP($A19,[13]MVTRESUME24!$A$7:$Q$41,8,0)</f>
        <v>0</v>
      </c>
      <c r="F19" s="25">
        <f>VLOOKUP($A19,[13]MVTRESUME24!$A$7:$Q$41,12,0)</f>
        <v>0</v>
      </c>
      <c r="G19" s="25"/>
      <c r="H19" s="25"/>
      <c r="I19" s="25">
        <f t="shared" si="0"/>
        <v>676217</v>
      </c>
      <c r="J19" s="25">
        <f>VLOOKUP($A19,[13]MVTRESUME24!$A$7:$Q$41,10,0)</f>
        <v>0</v>
      </c>
      <c r="K19" s="25"/>
      <c r="L19" s="25"/>
      <c r="M19" s="132"/>
      <c r="N19" s="40">
        <f t="shared" si="1"/>
        <v>0</v>
      </c>
      <c r="O19" s="133">
        <f t="shared" si="2"/>
        <v>676217</v>
      </c>
      <c r="P19" s="134"/>
      <c r="Q19" s="133">
        <v>676217</v>
      </c>
      <c r="R19" s="26">
        <f t="shared" si="3"/>
        <v>0</v>
      </c>
      <c r="T19">
        <v>676217</v>
      </c>
    </row>
    <row r="20" spans="1:20" x14ac:dyDescent="0.35">
      <c r="A20" s="1" t="s">
        <v>166</v>
      </c>
      <c r="B20" s="1" t="str">
        <f>VLOOKUP(A20,[16]LISTADHERENT!A$5:H$60,3,0)</f>
        <v>MASSEUNGOUE DAGOBERT</v>
      </c>
      <c r="C20" s="25">
        <f>VLOOKUP($A20,[13]MVTRESUME24!$A$7:$Q$41,3,0)</f>
        <v>0</v>
      </c>
      <c r="D20" s="25">
        <f>VLOOKUP($A20,[13]MVTRESUME24!$A$7:$Q$41,4,0)</f>
        <v>0</v>
      </c>
      <c r="E20" s="25">
        <f>VLOOKUP($A20,[13]MVTRESUME24!$A$7:$Q$41,8,0)</f>
        <v>0</v>
      </c>
      <c r="F20" s="25">
        <f>VLOOKUP($A20,[13]MVTRESUME24!$A$7:$Q$41,12,0)</f>
        <v>525500</v>
      </c>
      <c r="G20" s="25"/>
      <c r="H20" s="25"/>
      <c r="I20" s="25">
        <f t="shared" si="0"/>
        <v>525500</v>
      </c>
      <c r="J20" s="25">
        <f>VLOOKUP($A20,[13]MVTRESUME24!$A$7:$Q$41,10,0)</f>
        <v>0</v>
      </c>
      <c r="K20" s="25">
        <v>120000</v>
      </c>
      <c r="L20" s="25"/>
      <c r="M20" s="132"/>
      <c r="N20" s="40">
        <f t="shared" si="1"/>
        <v>120000</v>
      </c>
      <c r="O20" s="133">
        <f t="shared" si="2"/>
        <v>405500</v>
      </c>
      <c r="P20" s="134">
        <f>190000+16875</f>
        <v>206875</v>
      </c>
      <c r="Q20" s="133">
        <v>198625</v>
      </c>
      <c r="R20" s="26">
        <f t="shared" si="3"/>
        <v>0</v>
      </c>
      <c r="S20" s="138">
        <f>Q20-R20</f>
        <v>198625</v>
      </c>
      <c r="T20">
        <v>198625</v>
      </c>
    </row>
    <row r="21" spans="1:20" x14ac:dyDescent="0.35">
      <c r="A21" s="1" t="s">
        <v>86</v>
      </c>
      <c r="B21" s="1" t="str">
        <f>VLOOKUP(A21,[16]LISTADHERENT!A$5:H$60,3,0)</f>
        <v>MBOGNING TUGMA GUY</v>
      </c>
      <c r="C21" s="25">
        <f>VLOOKUP($A21,[13]MVTRESUME24!$A$7:$Q$41,3,0)</f>
        <v>700000</v>
      </c>
      <c r="D21" s="25">
        <f>VLOOKUP($A21,[13]MVTRESUME24!$A$7:$Q$41,4,0)</f>
        <v>31709.397241182596</v>
      </c>
      <c r="E21" s="25">
        <f>VLOOKUP($A21,[13]MVTRESUME24!$A$7:$Q$41,8,0)</f>
        <v>64019.634626899009</v>
      </c>
      <c r="F21" s="25">
        <f>VLOOKUP($A21,[13]MVTRESUME24!$A$7:$Q$41,12,0)</f>
        <v>226500</v>
      </c>
      <c r="G21" s="25"/>
      <c r="H21" s="25"/>
      <c r="I21" s="25">
        <f t="shared" si="0"/>
        <v>322229.0318680816</v>
      </c>
      <c r="J21" s="25">
        <f>VLOOKUP($A21,[13]MVTRESUME24!$A$7:$Q$41,10,0)</f>
        <v>0</v>
      </c>
      <c r="K21" s="25">
        <v>20000</v>
      </c>
      <c r="L21" s="25">
        <v>100000</v>
      </c>
      <c r="M21" s="132"/>
      <c r="N21" s="40">
        <f t="shared" si="1"/>
        <v>120000</v>
      </c>
      <c r="O21" s="133">
        <f t="shared" si="2"/>
        <v>202229.0318680816</v>
      </c>
      <c r="P21" s="134">
        <f>120000+66700+8000</f>
        <v>194700</v>
      </c>
      <c r="Q21" s="133">
        <v>8501</v>
      </c>
      <c r="R21" s="26">
        <f t="shared" si="3"/>
        <v>800000</v>
      </c>
      <c r="S21">
        <v>66700</v>
      </c>
    </row>
    <row r="22" spans="1:20" x14ac:dyDescent="0.35">
      <c r="A22" s="1" t="s">
        <v>81</v>
      </c>
      <c r="B22" s="1" t="str">
        <f>VLOOKUP(A22,[16]LISTADHERENT!A$5:H$60,3,0)</f>
        <v>NANGUEN MARTIN</v>
      </c>
      <c r="C22" s="25">
        <f>VLOOKUP($A22,[13]MVTRESUME24!$A$7:$Q$41,3,0)</f>
        <v>700000</v>
      </c>
      <c r="D22" s="25">
        <f>VLOOKUP($A22,[13]MVTRESUME24!$A$7:$Q$41,4,0)</f>
        <v>1150.3620808817795</v>
      </c>
      <c r="E22" s="25">
        <f>VLOOKUP($A22,[13]MVTRESUME24!$A$7:$Q$41,8,0)</f>
        <v>61488.56145264802</v>
      </c>
      <c r="F22" s="25">
        <f>VLOOKUP($A22,[13]MVTRESUME24!$A$7:$Q$41,12,0)</f>
        <v>228000</v>
      </c>
      <c r="G22" s="25"/>
      <c r="H22" s="25"/>
      <c r="I22" s="25">
        <f t="shared" si="0"/>
        <v>290638.9235335298</v>
      </c>
      <c r="J22" s="25">
        <f>VLOOKUP($A22,[13]MVTRESUME24!$A$7:$Q$41,10,0)</f>
        <v>0</v>
      </c>
      <c r="K22" s="25">
        <v>20000</v>
      </c>
      <c r="L22" s="25">
        <v>100000</v>
      </c>
      <c r="M22" s="132"/>
      <c r="N22" s="40">
        <f t="shared" si="1"/>
        <v>120000</v>
      </c>
      <c r="O22" s="133">
        <f t="shared" si="2"/>
        <v>170638.9235335298</v>
      </c>
      <c r="P22" s="134">
        <f>75000+40000+48750</f>
        <v>163750</v>
      </c>
      <c r="Q22" s="133">
        <v>7819</v>
      </c>
      <c r="R22" s="26">
        <f t="shared" si="3"/>
        <v>800000</v>
      </c>
    </row>
    <row r="23" spans="1:20" x14ac:dyDescent="0.35">
      <c r="A23" s="1" t="s">
        <v>73</v>
      </c>
      <c r="B23" s="1" t="str">
        <f>VLOOKUP(A23,[16]LISTADHERENT!A$5:H$60,3,0)</f>
        <v>NANKAM APPOLINAIRE</v>
      </c>
      <c r="C23" s="25">
        <f>VLOOKUP($A23,[13]MVTRESUME24!$A$7:$Q$41,3,0)</f>
        <v>700000</v>
      </c>
      <c r="D23" s="25">
        <f>VLOOKUP($A23,[13]MVTRESUME24!$A$7:$Q$41,4,0)</f>
        <v>100402.23439018801</v>
      </c>
      <c r="E23" s="25">
        <f>VLOOKUP($A23,[13]MVTRESUME24!$A$7:$Q$41,8,0)</f>
        <v>69789.939149332262</v>
      </c>
      <c r="F23" s="25">
        <f>VLOOKUP($A23,[13]MVTRESUME24!$A$7:$Q$41,12,0)</f>
        <v>228000</v>
      </c>
      <c r="G23" s="25"/>
      <c r="H23" s="25"/>
      <c r="I23" s="25">
        <f t="shared" si="0"/>
        <v>398192.17353952024</v>
      </c>
      <c r="J23" s="25">
        <f>VLOOKUP($A23,[13]MVTRESUME24!$A$7:$Q$41,10,0)</f>
        <v>0</v>
      </c>
      <c r="K23" s="25">
        <v>20000</v>
      </c>
      <c r="L23" s="25">
        <v>100000</v>
      </c>
      <c r="M23" s="132"/>
      <c r="N23" s="40">
        <f t="shared" si="1"/>
        <v>120000</v>
      </c>
      <c r="O23" s="133">
        <f t="shared" si="2"/>
        <v>278192.17353952024</v>
      </c>
      <c r="P23" s="134">
        <v>30000</v>
      </c>
      <c r="Q23" s="133">
        <v>249258</v>
      </c>
      <c r="R23" s="26">
        <f t="shared" si="3"/>
        <v>800000</v>
      </c>
    </row>
    <row r="24" spans="1:20" x14ac:dyDescent="0.35">
      <c r="A24" s="1" t="s">
        <v>74</v>
      </c>
      <c r="B24" s="1" t="str">
        <f>VLOOKUP(A24,[16]LISTADHERENT!A$5:H$60,3,0)</f>
        <v>NDJOMO ETIENNE</v>
      </c>
      <c r="C24" s="25">
        <f>VLOOKUP($A24,[13]MVTRESUME24!$A$7:$Q$41,3,0)</f>
        <v>700000</v>
      </c>
      <c r="D24" s="25">
        <f>VLOOKUP($A24,[13]MVTRESUME24!$A$7:$Q$41,4,0)</f>
        <v>224970.61781197961</v>
      </c>
      <c r="E24" s="25">
        <f>VLOOKUP($A24,[13]MVTRESUME24!$A$7:$Q$41,8,0)</f>
        <v>81969.599284953001</v>
      </c>
      <c r="F24" s="25">
        <f>VLOOKUP($A24,[13]MVTRESUME24!$A$7:$Q$41,12,0)</f>
        <v>368000</v>
      </c>
      <c r="G24" s="25"/>
      <c r="H24" s="25"/>
      <c r="I24" s="25">
        <f t="shared" si="0"/>
        <v>674940.21709693258</v>
      </c>
      <c r="J24" s="25">
        <f>VLOOKUP($A24,[13]MVTRESUME24!$A$7:$Q$41,10,0)</f>
        <v>0</v>
      </c>
      <c r="K24" s="25">
        <v>20000</v>
      </c>
      <c r="L24" s="25">
        <v>100000</v>
      </c>
      <c r="M24" s="132"/>
      <c r="N24" s="40">
        <f t="shared" si="1"/>
        <v>120000</v>
      </c>
      <c r="O24" s="133">
        <f t="shared" si="2"/>
        <v>554940.21709693258</v>
      </c>
      <c r="P24" s="134">
        <v>300000</v>
      </c>
      <c r="Q24" s="133">
        <v>256158</v>
      </c>
      <c r="R24" s="26">
        <f t="shared" si="3"/>
        <v>800000</v>
      </c>
    </row>
    <row r="25" spans="1:20" x14ac:dyDescent="0.35">
      <c r="A25" s="1" t="s">
        <v>75</v>
      </c>
      <c r="B25" s="1" t="str">
        <f>VLOOKUP(A25,[16]LISTADHERENT!A$5:H$60,3,0)</f>
        <v>NGONDIEP CLAUDE</v>
      </c>
      <c r="C25" s="25">
        <f>VLOOKUP($A25,[13]MVTRESUME24!$A$7:$Q$41,3,0)</f>
        <v>700000</v>
      </c>
      <c r="D25" s="25">
        <f>VLOOKUP($A25,[13]MVTRESUME24!$A$7:$Q$41,4,0)</f>
        <v>57632.732271146844</v>
      </c>
      <c r="E25" s="25">
        <f>VLOOKUP($A25,[13]MVTRESUME24!$A$7:$Q$41,8,0)</f>
        <v>68236.402453996707</v>
      </c>
      <c r="F25" s="25">
        <f>VLOOKUP($A25,[13]MVTRESUME24!$A$7:$Q$41,12,0)</f>
        <v>393000</v>
      </c>
      <c r="G25" s="25"/>
      <c r="H25" s="25"/>
      <c r="I25" s="25">
        <f t="shared" si="0"/>
        <v>518869.13472514355</v>
      </c>
      <c r="J25" s="25">
        <f>VLOOKUP($A25,[13]MVTRESUME24!$A$7:$Q$41,10,0)</f>
        <v>0</v>
      </c>
      <c r="K25" s="25">
        <v>20000</v>
      </c>
      <c r="L25" s="25">
        <v>100000</v>
      </c>
      <c r="M25" s="132"/>
      <c r="N25" s="40">
        <f t="shared" si="1"/>
        <v>120000</v>
      </c>
      <c r="O25" s="133">
        <f t="shared" si="2"/>
        <v>398869.13472514355</v>
      </c>
      <c r="P25" s="134"/>
      <c r="Q25" s="133">
        <v>353356</v>
      </c>
      <c r="R25" s="26">
        <f t="shared" si="3"/>
        <v>800000</v>
      </c>
    </row>
    <row r="26" spans="1:20" s="2" customFormat="1" x14ac:dyDescent="0.35">
      <c r="A26" s="1" t="s">
        <v>77</v>
      </c>
      <c r="B26" s="1" t="str">
        <f>VLOOKUP(A26,[16]LISTADHERENT!A$5:H$60,3,0)</f>
        <v>NGUIEMEGNI MATHIEU BLAISE</v>
      </c>
      <c r="C26" s="25">
        <f>VLOOKUP($A26,[13]MVTRESUME24!$A$7:$Q$41,3,0)</f>
        <v>700000</v>
      </c>
      <c r="D26" s="25">
        <f>VLOOKUP($A26,[13]MVTRESUME24!$A$7:$Q$41,4,0)</f>
        <v>20382.784231808502</v>
      </c>
      <c r="E26" s="25">
        <f>VLOOKUP($A26,[13]MVTRESUME24!$A$7:$Q$41,8,0)</f>
        <v>63080.198374743843</v>
      </c>
      <c r="F26" s="25">
        <f>VLOOKUP($A26,[13]MVTRESUME24!$A$7:$Q$41,12,0)</f>
        <v>220500</v>
      </c>
      <c r="G26" s="40"/>
      <c r="H26" s="40"/>
      <c r="I26" s="25">
        <f t="shared" si="0"/>
        <v>303962.98260655231</v>
      </c>
      <c r="J26" s="25">
        <f>VLOOKUP($A26,[13]MVTRESUME24!$A$7:$Q$41,10,0)</f>
        <v>0</v>
      </c>
      <c r="K26" s="25">
        <v>20000</v>
      </c>
      <c r="L26" s="25">
        <v>100000</v>
      </c>
      <c r="M26" s="132"/>
      <c r="N26" s="40">
        <f t="shared" si="1"/>
        <v>120000</v>
      </c>
      <c r="O26" s="133">
        <f t="shared" si="2"/>
        <v>183962.98260655231</v>
      </c>
      <c r="P26" s="134">
        <f>75000+55625+45120</f>
        <v>175745</v>
      </c>
      <c r="Q26" s="133">
        <v>9175</v>
      </c>
      <c r="R26" s="26">
        <f t="shared" si="3"/>
        <v>800000</v>
      </c>
    </row>
    <row r="27" spans="1:20" x14ac:dyDescent="0.35">
      <c r="A27" s="1" t="s">
        <v>78</v>
      </c>
      <c r="B27" s="1" t="str">
        <f>VLOOKUP(A27,[16]LISTADHERENT!A$5:H$60,3,0)</f>
        <v>NKAMGANG JUSTIN DEJOLIE</v>
      </c>
      <c r="C27" s="25">
        <f>VLOOKUP($A27,[13]MVTRESUME24!$A$7:$Q$41,3,0)</f>
        <v>700000</v>
      </c>
      <c r="D27" s="25">
        <f>VLOOKUP($A27,[13]MVTRESUME24!$A$7:$Q$41,4,0)</f>
        <v>19031.484583758342</v>
      </c>
      <c r="E27" s="25">
        <f>VLOOKUP($A27,[13]MVTRESUME24!$A$7:$Q$41,8,0)</f>
        <v>62995.891948801094</v>
      </c>
      <c r="F27" s="25">
        <f>VLOOKUP($A27,[13]MVTRESUME24!$A$7:$Q$41,12,0)</f>
        <v>229500</v>
      </c>
      <c r="G27" s="25"/>
      <c r="H27" s="25"/>
      <c r="I27" s="25">
        <f t="shared" si="0"/>
        <v>311527.3765325594</v>
      </c>
      <c r="J27" s="25">
        <f>VLOOKUP($A27,[13]MVTRESUME24!$A$7:$Q$41,10,0)</f>
        <v>0</v>
      </c>
      <c r="K27" s="25">
        <v>20000</v>
      </c>
      <c r="L27" s="25">
        <v>100000</v>
      </c>
      <c r="M27" s="132"/>
      <c r="N27" s="40">
        <f t="shared" si="1"/>
        <v>120000</v>
      </c>
      <c r="O27" s="133">
        <f t="shared" si="2"/>
        <v>191527.3765325594</v>
      </c>
      <c r="P27" s="134">
        <v>185000</v>
      </c>
      <c r="Q27" s="133">
        <v>10531</v>
      </c>
      <c r="R27" s="26">
        <f t="shared" si="3"/>
        <v>800000</v>
      </c>
    </row>
    <row r="28" spans="1:20" x14ac:dyDescent="0.35">
      <c r="A28" s="1" t="s">
        <v>105</v>
      </c>
      <c r="B28" s="1" t="str">
        <f>VLOOKUP(A28,[16]LISTADHERENT!A$5:H$60,3,0)</f>
        <v>NOUBE ETIENNE</v>
      </c>
      <c r="C28" s="25">
        <f>VLOOKUP($A28,[13]MVTRESUME24!$A$7:$Q$41,3,0)</f>
        <v>0</v>
      </c>
      <c r="D28" s="25">
        <f>VLOOKUP($A28,[13]MVTRESUME24!$A$7:$Q$41,4,0)</f>
        <v>1332038</v>
      </c>
      <c r="E28" s="25">
        <f>VLOOKUP($A28,[13]MVTRESUME24!$A$7:$Q$41,8,0)</f>
        <v>16720.148215058223</v>
      </c>
      <c r="F28" s="25">
        <f>VLOOKUP($A28,[13]MVTRESUME24!$A$7:$Q$41,12,0)</f>
        <v>228000</v>
      </c>
      <c r="G28" s="25"/>
      <c r="H28" s="25"/>
      <c r="I28" s="25">
        <f t="shared" si="0"/>
        <v>1576758.1482150583</v>
      </c>
      <c r="J28" s="25">
        <f>VLOOKUP($A28,[13]MVTRESUME24!$A$7:$Q$41,10,0)</f>
        <v>0</v>
      </c>
      <c r="K28" s="25">
        <v>20000</v>
      </c>
      <c r="L28" s="25">
        <f>144000-10019</f>
        <v>133981</v>
      </c>
      <c r="M28" s="132"/>
      <c r="N28" s="40">
        <f t="shared" si="1"/>
        <v>153981</v>
      </c>
      <c r="O28" s="133">
        <f t="shared" si="2"/>
        <v>1422777.1482150583</v>
      </c>
      <c r="P28" s="134">
        <v>100000</v>
      </c>
      <c r="Q28" s="133">
        <v>-17159</v>
      </c>
      <c r="R28" s="26">
        <v>800000</v>
      </c>
      <c r="S28" s="138">
        <f>Q28+R28</f>
        <v>782841</v>
      </c>
    </row>
    <row r="29" spans="1:20" s="2" customFormat="1" x14ac:dyDescent="0.35">
      <c r="A29" s="1" t="s">
        <v>79</v>
      </c>
      <c r="B29" s="1" t="str">
        <f>VLOOKUP(A29,[16]LISTADHERENT!A$5:H$60,3,0)</f>
        <v>PATEGO NJOSSU GUSTAVE</v>
      </c>
      <c r="C29" s="25">
        <f>VLOOKUP($A29,[13]MVTRESUME24!$A$7:$Q$41,3,0)</f>
        <v>700000</v>
      </c>
      <c r="D29" s="25">
        <f>VLOOKUP($A29,[13]MVTRESUME24!$A$7:$Q$41,4,0)</f>
        <v>43697.666300758487</v>
      </c>
      <c r="E29" s="25">
        <f>VLOOKUP($A29,[13]MVTRESUME24!$A$7:$Q$41,8,0)</f>
        <v>65157.656178854231</v>
      </c>
      <c r="F29" s="25">
        <f>VLOOKUP($A29,[13]MVTRESUME24!$A$7:$Q$41,12,0)</f>
        <v>255000</v>
      </c>
      <c r="G29" s="40"/>
      <c r="H29" s="40"/>
      <c r="I29" s="25">
        <f t="shared" si="0"/>
        <v>363855.32247961272</v>
      </c>
      <c r="J29" s="25">
        <f>VLOOKUP($A29,[13]MVTRESUME24!$A$7:$Q$41,10,0)</f>
        <v>0</v>
      </c>
      <c r="K29" s="25">
        <v>20000</v>
      </c>
      <c r="L29" s="25">
        <v>100000</v>
      </c>
      <c r="M29" s="132"/>
      <c r="N29" s="40">
        <f t="shared" si="1"/>
        <v>120000</v>
      </c>
      <c r="O29" s="133">
        <f t="shared" si="2"/>
        <v>243855.32247961272</v>
      </c>
      <c r="P29" s="134">
        <v>11500</v>
      </c>
      <c r="Q29" s="133">
        <v>133342</v>
      </c>
      <c r="R29" s="26">
        <f t="shared" si="3"/>
        <v>800000</v>
      </c>
    </row>
    <row r="30" spans="1:20" x14ac:dyDescent="0.35">
      <c r="A30" s="1" t="s">
        <v>128</v>
      </c>
      <c r="B30" s="1" t="str">
        <f>VLOOKUP(A30,[16]LISTADHERENT!A$5:H$60,3,0)</f>
        <v>SEUMO POLYCARPE</v>
      </c>
      <c r="C30" s="25">
        <f>VLOOKUP($A30,[13]MVTRESUME24!$A$7:$Q$41,3,0)</f>
        <v>0</v>
      </c>
      <c r="D30" s="25">
        <f>VLOOKUP($A30,[13]MVTRESUME24!$A$7:$Q$41,4,0)</f>
        <v>245500</v>
      </c>
      <c r="E30" s="25">
        <f>VLOOKUP($A30,[13]MVTRESUME24!$A$7:$Q$41,8,0)</f>
        <v>17373.219200614534</v>
      </c>
      <c r="F30" s="25">
        <f>VLOOKUP($A30,[13]MVTRESUME24!$A$7:$Q$41,12,0)</f>
        <v>685500</v>
      </c>
      <c r="G30" s="25"/>
      <c r="H30" s="25"/>
      <c r="I30" s="25">
        <f t="shared" si="0"/>
        <v>948373.21920061461</v>
      </c>
      <c r="J30" s="25">
        <f>VLOOKUP($A30,[13]MVTRESUME24!$A$7:$Q$41,10,0)</f>
        <v>0</v>
      </c>
      <c r="K30" s="25">
        <v>20000</v>
      </c>
      <c r="L30" s="25">
        <v>800000</v>
      </c>
      <c r="M30" s="132"/>
      <c r="N30" s="40">
        <f t="shared" si="1"/>
        <v>820000</v>
      </c>
      <c r="O30" s="133">
        <f t="shared" si="2"/>
        <v>128373.21920061461</v>
      </c>
      <c r="P30" s="134">
        <f>115000+37500</f>
        <v>152500</v>
      </c>
      <c r="Q30" s="133">
        <v>-9977</v>
      </c>
      <c r="R30" s="26">
        <f t="shared" si="3"/>
        <v>800000</v>
      </c>
      <c r="S30">
        <v>115000</v>
      </c>
    </row>
    <row r="31" spans="1:20" x14ac:dyDescent="0.35">
      <c r="A31" s="1" t="s">
        <v>89</v>
      </c>
      <c r="B31" s="1" t="str">
        <f>VLOOKUP(A31,[16]LISTADHERENT!A$5:H$60,3,0)</f>
        <v>SIME BRICE</v>
      </c>
      <c r="C31" s="25">
        <f>VLOOKUP($A31,[13]MVTRESUME24!$A$7:$Q$41,3,0)</f>
        <v>700000</v>
      </c>
      <c r="D31" s="25">
        <f>VLOOKUP($A31,[13]MVTRESUME24!$A$7:$Q$41,4,0)</f>
        <v>104364.15055016428</v>
      </c>
      <c r="E31" s="25">
        <f>VLOOKUP($A31,[13]MVTRESUME24!$A$7:$Q$41,8,0)</f>
        <v>70150.657823061978</v>
      </c>
      <c r="F31" s="25">
        <f>VLOOKUP($A31,[13]MVTRESUME24!$A$7:$Q$41,12,0)</f>
        <v>231000</v>
      </c>
      <c r="G31" s="25"/>
      <c r="H31" s="25"/>
      <c r="I31" s="25">
        <f t="shared" si="0"/>
        <v>405514.80837322626</v>
      </c>
      <c r="J31" s="25">
        <f>VLOOKUP($A31,[13]MVTRESUME24!$A$7:$Q$41,10,0)</f>
        <v>0</v>
      </c>
      <c r="K31" s="25">
        <v>20000</v>
      </c>
      <c r="L31" s="25">
        <v>100000</v>
      </c>
      <c r="M31" s="132"/>
      <c r="N31" s="40">
        <f t="shared" si="1"/>
        <v>120000</v>
      </c>
      <c r="O31" s="133">
        <f t="shared" si="2"/>
        <v>285514.80837322626</v>
      </c>
      <c r="P31" s="134">
        <f>150000+8000+49480</f>
        <v>207480</v>
      </c>
      <c r="Q31" s="133">
        <v>79106</v>
      </c>
      <c r="R31" s="26">
        <f t="shared" si="3"/>
        <v>800000</v>
      </c>
    </row>
    <row r="32" spans="1:20" x14ac:dyDescent="0.35">
      <c r="A32" s="1" t="s">
        <v>80</v>
      </c>
      <c r="B32" s="1" t="str">
        <f>VLOOKUP(A32,[16]LISTADHERENT!A$5:H$60,3,0)</f>
        <v>SIMO PIERRE</v>
      </c>
      <c r="C32" s="25">
        <f>VLOOKUP($A32,[13]MVTRESUME24!$A$7:$Q$41,3,0)</f>
        <v>700000</v>
      </c>
      <c r="D32" s="25">
        <f>VLOOKUP($A32,[13]MVTRESUME24!$A$7:$Q$41,4,0)</f>
        <v>686.61218299972825</v>
      </c>
      <c r="E32" s="25">
        <f>VLOOKUP($A32,[13]MVTRESUME24!$A$7:$Q$41,8,0)</f>
        <v>61449.773639687468</v>
      </c>
      <c r="F32" s="25">
        <f>VLOOKUP($A32,[13]MVTRESUME24!$A$7:$Q$41,12,0)</f>
        <v>228000</v>
      </c>
      <c r="G32" s="25"/>
      <c r="H32" s="25"/>
      <c r="I32" s="25">
        <f t="shared" si="0"/>
        <v>290136.38582268718</v>
      </c>
      <c r="J32" s="25">
        <f>VLOOKUP($A32,[13]MVTRESUME24!$A$7:$Q$41,10,0)</f>
        <v>0</v>
      </c>
      <c r="K32" s="25">
        <v>20000</v>
      </c>
      <c r="L32" s="25">
        <v>100000</v>
      </c>
      <c r="M32" s="132"/>
      <c r="N32" s="40">
        <f t="shared" si="1"/>
        <v>120000</v>
      </c>
      <c r="O32" s="133">
        <f t="shared" si="2"/>
        <v>170136.38582268718</v>
      </c>
      <c r="P32" s="134">
        <v>24375</v>
      </c>
      <c r="Q32" s="133">
        <v>46691</v>
      </c>
      <c r="R32" s="26">
        <f t="shared" si="3"/>
        <v>800000</v>
      </c>
    </row>
    <row r="33" spans="1:20" x14ac:dyDescent="0.35">
      <c r="A33" s="1" t="s">
        <v>82</v>
      </c>
      <c r="B33" s="1" t="str">
        <f>VLOOKUP(A33,[16]LISTADHERENT!A$5:H$60,3,0)</f>
        <v>TCHOUAMOU MATHIEU</v>
      </c>
      <c r="C33" s="25">
        <f>VLOOKUP($A33,[13]MVTRESUME24!$A$7:$Q$41,3,0)</f>
        <v>700000</v>
      </c>
      <c r="D33" s="25">
        <f>VLOOKUP($A33,[13]MVTRESUME24!$A$7:$Q$41,4,0)</f>
        <v>975.80620651689242</v>
      </c>
      <c r="E33" s="25">
        <f>VLOOKUP($A33,[13]MVTRESUME24!$A$7:$Q$41,8,0)</f>
        <v>71255.947758649185</v>
      </c>
      <c r="F33" s="25">
        <f>VLOOKUP($A33,[13]MVTRESUME24!$A$7:$Q$41,12,0)</f>
        <v>1228000</v>
      </c>
      <c r="G33" s="25"/>
      <c r="H33" s="25"/>
      <c r="I33" s="25">
        <f t="shared" si="0"/>
        <v>1300231.7539651662</v>
      </c>
      <c r="J33" s="25">
        <f>VLOOKUP($A33,[13]MVTRESUME24!$A$7:$Q$41,10,0)</f>
        <v>0</v>
      </c>
      <c r="K33" s="25">
        <v>20000</v>
      </c>
      <c r="L33" s="25">
        <v>100000</v>
      </c>
      <c r="M33" s="132"/>
      <c r="N33" s="40">
        <f t="shared" si="1"/>
        <v>120000</v>
      </c>
      <c r="O33" s="133">
        <f t="shared" si="2"/>
        <v>1180231.7539651662</v>
      </c>
      <c r="P33" s="134">
        <f>1175000+30000</f>
        <v>1205000</v>
      </c>
      <c r="Q33" s="133">
        <v>6050</v>
      </c>
      <c r="R33" s="26">
        <f t="shared" si="3"/>
        <v>800000</v>
      </c>
    </row>
    <row r="34" spans="1:20" x14ac:dyDescent="0.35">
      <c r="A34" s="1" t="s">
        <v>167</v>
      </c>
      <c r="B34" s="1" t="str">
        <f>VLOOKUP(A34,[16]LISTADHERENT!A$5:H$60,3,0)</f>
        <v>TCHOUATEU AUGUSTIN</v>
      </c>
      <c r="C34" s="25">
        <f>VLOOKUP($A34,[13]MVTRESUME24!$A$7:$Q$41,3,0)</f>
        <v>0</v>
      </c>
      <c r="D34" s="25">
        <f>VLOOKUP($A34,[13]MVTRESUME24!$A$7:$Q$41,4,0)</f>
        <v>0</v>
      </c>
      <c r="E34" s="25">
        <f>VLOOKUP($A34,[13]MVTRESUME24!$A$7:$Q$41,8,0)</f>
        <v>4718.6606148953824</v>
      </c>
      <c r="F34" s="25">
        <f>VLOOKUP($A34,[13]MVTRESUME24!$A$7:$Q$41,12,0)</f>
        <v>972000</v>
      </c>
      <c r="G34" s="25"/>
      <c r="H34" s="25"/>
      <c r="I34" s="25">
        <f t="shared" si="0"/>
        <v>976718.6606148954</v>
      </c>
      <c r="J34" s="25">
        <f>VLOOKUP($A34,[13]MVTRESUME24!$A$7:$Q$41,10,0)</f>
        <v>0</v>
      </c>
      <c r="K34" s="25"/>
      <c r="L34" s="25">
        <v>800000</v>
      </c>
      <c r="M34" s="132"/>
      <c r="N34" s="40">
        <f t="shared" si="1"/>
        <v>800000</v>
      </c>
      <c r="O34" s="133">
        <f t="shared" si="2"/>
        <v>176718.6606148954</v>
      </c>
      <c r="P34" s="134">
        <v>150000</v>
      </c>
      <c r="Q34" s="133">
        <v>-3392</v>
      </c>
      <c r="R34" s="26">
        <f t="shared" si="3"/>
        <v>800000</v>
      </c>
      <c r="S34">
        <v>55000</v>
      </c>
    </row>
    <row r="35" spans="1:20" x14ac:dyDescent="0.35">
      <c r="A35" s="1" t="s">
        <v>83</v>
      </c>
      <c r="B35" s="1" t="str">
        <f>VLOOKUP(A35,[16]LISTADHERENT!A$5:H$60,3,0)</f>
        <v>TCHOUTOU NANA CLAUDE</v>
      </c>
      <c r="C35" s="25">
        <f>VLOOKUP($A35,[13]MVTRESUME24!$A$7:$Q$41,3,0)</f>
        <v>0</v>
      </c>
      <c r="D35" s="25">
        <f>VLOOKUP($A35,[13]MVTRESUME24!$A$7:$Q$41,4,0)+76000</f>
        <v>179000</v>
      </c>
      <c r="E35" s="25">
        <f>VLOOKUP($A35,[13]MVTRESUME24!$A$7:$Q$41,8,0)</f>
        <v>0</v>
      </c>
      <c r="F35" s="25">
        <f>VLOOKUP($A35,[13]MVTRESUME24!$A$7:$Q$41,12,0)</f>
        <v>528750</v>
      </c>
      <c r="G35" s="25"/>
      <c r="H35" s="25"/>
      <c r="I35" s="25">
        <f t="shared" si="0"/>
        <v>707750</v>
      </c>
      <c r="J35" s="25">
        <f>VLOOKUP($A35,[13]MVTRESUME24!$A$7:$Q$41,10,0)</f>
        <v>0</v>
      </c>
      <c r="K35" s="25">
        <v>120000</v>
      </c>
      <c r="L35" s="40"/>
      <c r="M35" s="132"/>
      <c r="N35" s="40">
        <f t="shared" si="1"/>
        <v>120000</v>
      </c>
      <c r="O35" s="133">
        <f t="shared" si="2"/>
        <v>587750</v>
      </c>
      <c r="P35" s="134">
        <f>100000</f>
        <v>100000</v>
      </c>
      <c r="Q35" s="133">
        <v>487750</v>
      </c>
      <c r="R35" s="26"/>
      <c r="T35">
        <v>487750</v>
      </c>
    </row>
    <row r="36" spans="1:20" x14ac:dyDescent="0.35">
      <c r="A36" s="1" t="s">
        <v>129</v>
      </c>
      <c r="B36" s="1" t="str">
        <f>VLOOKUP(A36,[16]LISTADHERENT!A$5:H$60,3,0)</f>
        <v>YANTCHOU GERVAIS</v>
      </c>
      <c r="C36" s="25">
        <f>VLOOKUP($A36,[13]MVTRESUME24!$A$7:$Q$41,3,0)</f>
        <v>0</v>
      </c>
      <c r="D36" s="25">
        <f>VLOOKUP($A36,[13]MVTRESUME24!$A$7:$Q$41,4,0)</f>
        <v>1396048</v>
      </c>
      <c r="E36" s="25">
        <f>VLOOKUP($A36,[13]MVTRESUME24!$A$7:$Q$41,8,0)</f>
        <v>62683.368865772507</v>
      </c>
      <c r="F36" s="25">
        <f>VLOOKUP($A36,[13]MVTRESUME24!$A$7:$Q$41,12,0)</f>
        <v>338000</v>
      </c>
      <c r="G36" s="25"/>
      <c r="H36" s="25"/>
      <c r="I36" s="25">
        <f t="shared" si="0"/>
        <v>1796731.3688657726</v>
      </c>
      <c r="J36" s="25">
        <f>VLOOKUP($A36,[13]MVTRESUME24!$A$7:$Q$41,10,0)</f>
        <v>0</v>
      </c>
      <c r="K36" s="25">
        <v>20000</v>
      </c>
      <c r="L36" s="25">
        <v>100000</v>
      </c>
      <c r="M36" s="132"/>
      <c r="N36" s="40">
        <f t="shared" si="1"/>
        <v>120000</v>
      </c>
      <c r="O36" s="133">
        <f t="shared" si="2"/>
        <v>1676731.3688657726</v>
      </c>
      <c r="P36" s="134">
        <v>50000</v>
      </c>
      <c r="Q36" s="133">
        <v>-32497</v>
      </c>
      <c r="R36" s="26">
        <v>800000</v>
      </c>
      <c r="S36" s="138"/>
    </row>
    <row r="37" spans="1:20" x14ac:dyDescent="0.35">
      <c r="A37" s="1" t="s">
        <v>84</v>
      </c>
      <c r="B37" s="1" t="str">
        <f>VLOOKUP(A37,[16]LISTADHERENT!A$5:H$60,3,0)</f>
        <v>YEPMOU JEAN JACQUES</v>
      </c>
      <c r="C37" s="25">
        <f>VLOOKUP($A37,[13]MVTRESUME24!$A$7:$Q$41,3,0)</f>
        <v>700000</v>
      </c>
      <c r="D37" s="25">
        <f>VLOOKUP($A37,[13]MVTRESUME24!$A$7:$Q$41,4,0)</f>
        <v>1003326.8477058813</v>
      </c>
      <c r="E37" s="25">
        <f>VLOOKUP($A37,[13]MVTRESUME24!$A$7:$Q$41,8,0)</f>
        <v>145310.10891910025</v>
      </c>
      <c r="F37" s="25">
        <f>VLOOKUP($A37,[13]MVTRESUME24!$A$7:$Q$41,12,0)</f>
        <v>228000</v>
      </c>
      <c r="G37" s="25"/>
      <c r="H37" s="25"/>
      <c r="I37" s="25">
        <f t="shared" si="0"/>
        <v>1376636.9566249815</v>
      </c>
      <c r="J37" s="25">
        <f>VLOOKUP($A37,[13]MVTRESUME24!$A$7:$Q$41,10,0)</f>
        <v>0</v>
      </c>
      <c r="K37" s="25">
        <v>20000</v>
      </c>
      <c r="L37" s="25">
        <v>100000</v>
      </c>
      <c r="M37" s="132"/>
      <c r="N37" s="40">
        <f t="shared" si="1"/>
        <v>120000</v>
      </c>
      <c r="O37" s="133">
        <f t="shared" si="2"/>
        <v>1256636.9566249815</v>
      </c>
      <c r="P37" s="134">
        <v>516250</v>
      </c>
      <c r="Q37" s="133">
        <v>739643</v>
      </c>
      <c r="R37" s="26">
        <f t="shared" ref="R37:R39" si="4">C37+L37</f>
        <v>800000</v>
      </c>
    </row>
    <row r="38" spans="1:20" x14ac:dyDescent="0.35">
      <c r="A38" s="1" t="s">
        <v>168</v>
      </c>
      <c r="B38" s="1" t="str">
        <f>VLOOKUP(A38,[16]LISTADHERENT!A$5:H$60,3,0)</f>
        <v>YIALA ALAIN OSCAR</v>
      </c>
      <c r="C38" s="25">
        <f>VLOOKUP($A38,[13]MVTRESUME24!$A$7:$Q$41,3,0)</f>
        <v>0</v>
      </c>
      <c r="D38" s="25">
        <f>VLOOKUP($A38,[13]MVTRESUME24!$A$7:$Q$41,4,0)</f>
        <v>0</v>
      </c>
      <c r="E38" s="25">
        <f>VLOOKUP($A38,[13]MVTRESUME24!$A$7:$Q$41,8,0)</f>
        <v>4571.020028550347</v>
      </c>
      <c r="F38" s="25">
        <f>VLOOKUP($A38,[13]MVTRESUME24!$A$7:$Q$41,12,0)</f>
        <v>928000</v>
      </c>
      <c r="G38" s="25"/>
      <c r="H38" s="25"/>
      <c r="I38" s="25">
        <f t="shared" si="0"/>
        <v>932571.02002855029</v>
      </c>
      <c r="J38" s="25">
        <f>VLOOKUP($A38,[13]MVTRESUME24!$A$7:$Q$41,10,0)</f>
        <v>0</v>
      </c>
      <c r="K38" s="25"/>
      <c r="L38" s="25">
        <v>800000</v>
      </c>
      <c r="M38" s="132"/>
      <c r="N38" s="40">
        <f t="shared" si="1"/>
        <v>800000</v>
      </c>
      <c r="O38" s="133">
        <f t="shared" si="2"/>
        <v>132571.02002855029</v>
      </c>
      <c r="P38" s="134">
        <v>114000</v>
      </c>
      <c r="Q38" s="133">
        <v>241</v>
      </c>
      <c r="R38" s="26">
        <f t="shared" si="4"/>
        <v>800000</v>
      </c>
    </row>
    <row r="39" spans="1:20" x14ac:dyDescent="0.35">
      <c r="A39" s="1" t="s">
        <v>85</v>
      </c>
      <c r="B39" s="1" t="str">
        <f>VLOOKUP(A39,[16]LISTADHERENT!A$5:H$60,3,0)</f>
        <v>YOUMBI EMMANUEL</v>
      </c>
      <c r="C39" s="25">
        <f>VLOOKUP($A39,[13]MVTRESUME24!$A$7:$Q$41,3,0)</f>
        <v>700000</v>
      </c>
      <c r="D39" s="25">
        <f>VLOOKUP($A39,[13]MVTRESUME24!$A$7:$Q$41,4,0)</f>
        <v>1157834.9698456018</v>
      </c>
      <c r="E39" s="25">
        <f>VLOOKUP($A39,[13]MVTRESUME24!$A$7:$Q$41,8,0)</f>
        <v>158233.09212580579</v>
      </c>
      <c r="F39" s="25">
        <f>VLOOKUP($A39,[13]MVTRESUME24!$A$7:$Q$41,12,0)</f>
        <v>228000</v>
      </c>
      <c r="G39" s="25"/>
      <c r="H39" s="25"/>
      <c r="I39" s="25">
        <f t="shared" si="0"/>
        <v>1544068.0619714076</v>
      </c>
      <c r="J39" s="25">
        <f>VLOOKUP($A39,[13]MVTRESUME24!$A$7:$Q$41,10,0)</f>
        <v>0</v>
      </c>
      <c r="K39" s="25">
        <v>20000</v>
      </c>
      <c r="L39" s="25">
        <v>100000</v>
      </c>
      <c r="M39" s="132"/>
      <c r="N39" s="40">
        <f t="shared" si="1"/>
        <v>120000</v>
      </c>
      <c r="O39" s="133">
        <f t="shared" si="2"/>
        <v>1424068.0619714076</v>
      </c>
      <c r="P39" s="134">
        <v>30000</v>
      </c>
      <c r="Q39" s="133">
        <v>1296586</v>
      </c>
      <c r="R39" s="26">
        <f t="shared" si="4"/>
        <v>800000</v>
      </c>
    </row>
    <row r="40" spans="1:20" x14ac:dyDescent="0.35">
      <c r="A40" s="13" t="s">
        <v>64</v>
      </c>
      <c r="B40" s="14" t="s">
        <v>146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>
        <v>153468</v>
      </c>
      <c r="R40" s="26"/>
      <c r="T40">
        <v>153468</v>
      </c>
    </row>
    <row r="41" spans="1:20" x14ac:dyDescent="0.35">
      <c r="A41" s="13"/>
      <c r="B41" s="3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6"/>
    </row>
    <row r="42" spans="1:20" ht="18" thickBot="1" x14ac:dyDescent="0.4">
      <c r="A42" s="85" t="s">
        <v>23</v>
      </c>
      <c r="B42" s="86"/>
      <c r="C42" s="87">
        <f>SUM(C6:C39)</f>
        <v>16800000</v>
      </c>
      <c r="D42" s="87">
        <f t="shared" ref="D42:Q42" si="5">SUM(D6:D39)</f>
        <v>9548181.0731219202</v>
      </c>
      <c r="E42" s="87">
        <f t="shared" si="5"/>
        <v>1982150.0000000005</v>
      </c>
      <c r="F42" s="87">
        <f t="shared" si="5"/>
        <v>11823850</v>
      </c>
      <c r="G42" s="87">
        <f t="shared" si="5"/>
        <v>0</v>
      </c>
      <c r="H42" s="87">
        <f t="shared" si="5"/>
        <v>0</v>
      </c>
      <c r="I42" s="87">
        <f t="shared" si="5"/>
        <v>23354181.07312192</v>
      </c>
      <c r="J42" s="87">
        <f t="shared" si="5"/>
        <v>0</v>
      </c>
      <c r="K42" s="87">
        <f t="shared" si="5"/>
        <v>800000</v>
      </c>
      <c r="L42" s="87">
        <f t="shared" si="5"/>
        <v>5133981</v>
      </c>
      <c r="M42" s="87">
        <f t="shared" si="5"/>
        <v>0</v>
      </c>
      <c r="N42" s="87">
        <f t="shared" si="5"/>
        <v>5933981</v>
      </c>
      <c r="O42" s="87">
        <f t="shared" si="5"/>
        <v>17420200.073121917</v>
      </c>
      <c r="P42" s="87">
        <f t="shared" si="5"/>
        <v>6195568</v>
      </c>
      <c r="Q42" s="87">
        <f>SUM(Q6:Q40)</f>
        <v>6596797</v>
      </c>
      <c r="R42" s="87">
        <f>SUM(R6:R40)</f>
        <v>24000000</v>
      </c>
    </row>
    <row r="43" spans="1:20" ht="15" thickTop="1" x14ac:dyDescent="0.35">
      <c r="A43" s="1"/>
      <c r="B43" s="1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6"/>
    </row>
    <row r="44" spans="1:20" x14ac:dyDescent="0.35">
      <c r="A44" s="1"/>
      <c r="B44" s="1" t="s">
        <v>206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6">
        <f>DETAILLISTEROUGE!F10</f>
        <v>153468</v>
      </c>
    </row>
    <row r="45" spans="1:20" x14ac:dyDescent="0.35">
      <c r="A45" s="1"/>
      <c r="B45" s="1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6"/>
    </row>
    <row r="46" spans="1:20" x14ac:dyDescent="0.35">
      <c r="A46" s="1"/>
      <c r="B46" s="1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6"/>
    </row>
    <row r="47" spans="1:20" x14ac:dyDescent="0.35">
      <c r="A47" s="13" t="s">
        <v>106</v>
      </c>
      <c r="B47" s="33" t="str">
        <f>VLOOKUP(A47,[17]LISTADHERENT!A$5:H$60,3,0)</f>
        <v>HODIEP JULES</v>
      </c>
      <c r="C47" s="25">
        <f>VLOOKUP(A47,[18]FONDSCAISSE!$A$2:$H$51,8,0)</f>
        <v>80000</v>
      </c>
      <c r="D47" s="33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53"/>
      <c r="P47" s="53"/>
      <c r="Q47" s="53"/>
      <c r="R47" s="26">
        <f>C47</f>
        <v>80000</v>
      </c>
    </row>
    <row r="48" spans="1:20" x14ac:dyDescent="0.35">
      <c r="A48" s="13" t="s">
        <v>76</v>
      </c>
      <c r="B48" s="33" t="str">
        <f>VLOOKUP(A48,[17]LISTADHERENT!A$5:H$60,3,0)</f>
        <v>NGONGANG JEAN THEODORE</v>
      </c>
      <c r="C48" s="25">
        <f>VLOOKUP(A48,[18]FONDSCAISSE!$A$2:$H$51,8,0)</f>
        <v>227663</v>
      </c>
      <c r="D48" s="33"/>
      <c r="E48" s="25"/>
      <c r="F48" s="54"/>
      <c r="G48" s="25"/>
      <c r="H48" s="25"/>
      <c r="I48" s="25"/>
      <c r="J48" s="25"/>
      <c r="K48" s="25"/>
      <c r="L48" s="25"/>
      <c r="M48" s="25"/>
      <c r="N48" s="25"/>
      <c r="O48" s="53"/>
      <c r="P48" s="53"/>
      <c r="Q48" s="53"/>
      <c r="R48" s="26">
        <f>C48</f>
        <v>227663</v>
      </c>
    </row>
    <row r="49" spans="1:18" x14ac:dyDescent="0.35">
      <c r="A49" s="13" t="s">
        <v>107</v>
      </c>
      <c r="B49" s="33" t="str">
        <f>VLOOKUP(A49,[17]LISTADHERENT!A$5:H$60,3,0)</f>
        <v>NDOMBOU JEAN CLAUDE</v>
      </c>
      <c r="C49" s="25">
        <f>VLOOKUP(A49,[18]FONDSCAISSE!$A$2:$H$51,8,0)</f>
        <v>480000</v>
      </c>
      <c r="D49" s="33"/>
      <c r="E49" s="25"/>
      <c r="F49" s="54"/>
      <c r="G49" s="25"/>
      <c r="H49" s="25"/>
      <c r="I49" s="25"/>
      <c r="J49" s="25"/>
      <c r="K49" s="25"/>
      <c r="L49" s="25"/>
      <c r="M49" s="25"/>
      <c r="N49" s="25"/>
      <c r="O49" s="53"/>
      <c r="P49" s="53"/>
      <c r="Q49" s="53"/>
      <c r="R49" s="26">
        <f>C49</f>
        <v>480000</v>
      </c>
    </row>
    <row r="50" spans="1:18" x14ac:dyDescent="0.35">
      <c r="A50" s="13" t="s">
        <v>88</v>
      </c>
      <c r="B50" s="33" t="str">
        <f>VLOOKUP(A50,[17]LISTADHERENT!A$5:H$60,3,0)</f>
        <v>NGANHOU JEAN</v>
      </c>
      <c r="C50" s="25">
        <f>VLOOKUP(A50,[18]FONDSCAISSE!$A$2:$H$51,8,0)</f>
        <v>130000</v>
      </c>
      <c r="D50" s="33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53"/>
      <c r="P50" s="53"/>
      <c r="Q50" s="53"/>
      <c r="R50" s="26">
        <f>C50</f>
        <v>130000</v>
      </c>
    </row>
    <row r="51" spans="1:18" x14ac:dyDescent="0.35">
      <c r="A51" s="55"/>
      <c r="B51" s="33"/>
      <c r="C51" s="25"/>
      <c r="D51" s="33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53"/>
      <c r="P51" s="53"/>
      <c r="Q51" s="53"/>
      <c r="R51" s="56"/>
    </row>
    <row r="52" spans="1:18" x14ac:dyDescent="0.35">
      <c r="A52" s="55"/>
      <c r="B52" s="33"/>
      <c r="C52" s="25"/>
      <c r="D52" s="33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53"/>
      <c r="P52" s="53"/>
      <c r="Q52" s="53"/>
      <c r="R52" s="56"/>
    </row>
    <row r="53" spans="1:18" x14ac:dyDescent="0.35">
      <c r="A53" s="55"/>
      <c r="B53" s="33"/>
      <c r="C53" s="25"/>
      <c r="D53" s="33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53"/>
      <c r="P53" s="53"/>
      <c r="Q53" s="53"/>
      <c r="R53" s="56"/>
    </row>
    <row r="54" spans="1:18" x14ac:dyDescent="0.35">
      <c r="A54" s="55"/>
      <c r="B54" s="33"/>
      <c r="C54" s="25"/>
      <c r="D54" s="33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53"/>
      <c r="P54" s="53"/>
      <c r="Q54" s="53"/>
      <c r="R54" s="56"/>
    </row>
    <row r="55" spans="1:18" ht="22.5" customHeight="1" x14ac:dyDescent="0.35">
      <c r="A55" s="57"/>
      <c r="B55" s="33"/>
      <c r="C55" s="33"/>
      <c r="D55" s="33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53"/>
      <c r="P55" s="53"/>
      <c r="Q55" s="53"/>
      <c r="R55" s="56"/>
    </row>
    <row r="56" spans="1:18" ht="18" thickBot="1" x14ac:dyDescent="0.4">
      <c r="A56" s="31" t="s">
        <v>23</v>
      </c>
      <c r="B56" s="58"/>
      <c r="C56" s="59">
        <f>SUM(C6:C55)</f>
        <v>34517663</v>
      </c>
      <c r="D56" s="59">
        <f t="shared" ref="D56:R56" si="6">SUM(D6:D55)</f>
        <v>19096362.14624384</v>
      </c>
      <c r="E56" s="59">
        <f t="shared" si="6"/>
        <v>3964300.0000000009</v>
      </c>
      <c r="F56" s="59">
        <f t="shared" si="6"/>
        <v>23647700</v>
      </c>
      <c r="G56" s="59">
        <f t="shared" si="6"/>
        <v>0</v>
      </c>
      <c r="H56" s="59">
        <f t="shared" si="6"/>
        <v>0</v>
      </c>
      <c r="I56" s="59">
        <f t="shared" si="6"/>
        <v>46708362.14624384</v>
      </c>
      <c r="J56" s="59">
        <f t="shared" si="6"/>
        <v>0</v>
      </c>
      <c r="K56" s="59">
        <f t="shared" si="6"/>
        <v>1600000</v>
      </c>
      <c r="L56" s="59">
        <f t="shared" si="6"/>
        <v>10267962</v>
      </c>
      <c r="M56" s="59"/>
      <c r="N56" s="59">
        <f t="shared" si="6"/>
        <v>11867962</v>
      </c>
      <c r="O56" s="59">
        <f t="shared" si="6"/>
        <v>34840400.146243833</v>
      </c>
      <c r="P56" s="59">
        <f t="shared" si="6"/>
        <v>12391136</v>
      </c>
      <c r="Q56" s="59">
        <f t="shared" si="6"/>
        <v>13193594</v>
      </c>
      <c r="R56" s="60">
        <f t="shared" si="6"/>
        <v>49071131</v>
      </c>
    </row>
    <row r="57" spans="1:18" ht="15" thickTop="1" x14ac:dyDescent="0.35">
      <c r="F57" s="57"/>
    </row>
    <row r="58" spans="1:18" x14ac:dyDescent="0.35">
      <c r="E58" s="27"/>
      <c r="F58" s="27"/>
      <c r="G58" s="27"/>
      <c r="H58" s="27"/>
      <c r="I58" s="27"/>
      <c r="P58" s="3"/>
    </row>
    <row r="59" spans="1:18" x14ac:dyDescent="0.35">
      <c r="P59" s="3"/>
    </row>
    <row r="60" spans="1:18" x14ac:dyDescent="0.35">
      <c r="P60" s="3"/>
    </row>
    <row r="61" spans="1:18" x14ac:dyDescent="0.35">
      <c r="P61" s="3"/>
    </row>
    <row r="62" spans="1:18" x14ac:dyDescent="0.35">
      <c r="P62" s="3"/>
    </row>
    <row r="63" spans="1:18" x14ac:dyDescent="0.35">
      <c r="P63" s="3"/>
    </row>
    <row r="64" spans="1:18" x14ac:dyDescent="0.35">
      <c r="P64" s="3"/>
    </row>
    <row r="65" spans="16:16" x14ac:dyDescent="0.35">
      <c r="P65" s="3"/>
    </row>
    <row r="66" spans="16:16" x14ac:dyDescent="0.35">
      <c r="P66" s="3"/>
    </row>
    <row r="67" spans="16:16" x14ac:dyDescent="0.35">
      <c r="P67" s="3"/>
    </row>
    <row r="68" spans="16:16" x14ac:dyDescent="0.35">
      <c r="P68" s="3"/>
    </row>
    <row r="69" spans="16:16" x14ac:dyDescent="0.35">
      <c r="P69" s="3"/>
    </row>
    <row r="70" spans="16:16" x14ac:dyDescent="0.35">
      <c r="P70" s="3"/>
    </row>
    <row r="71" spans="16:16" x14ac:dyDescent="0.35">
      <c r="P71" s="3"/>
    </row>
  </sheetData>
  <autoFilter ref="A5:Q46" xr:uid="{00000000-0009-0000-0000-000007000000}">
    <sortState ref="A5:L50">
      <sortCondition ref="B5:B50"/>
    </sortState>
  </autoFilter>
  <mergeCells count="1">
    <mergeCell ref="E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8"/>
  <sheetViews>
    <sheetView topLeftCell="A4" workbookViewId="0">
      <selection activeCell="C8" sqref="C8"/>
    </sheetView>
  </sheetViews>
  <sheetFormatPr baseColWidth="10" defaultRowHeight="14.5" x14ac:dyDescent="0.35"/>
  <cols>
    <col min="1" max="1" width="13.81640625" bestFit="1" customWidth="1"/>
    <col min="2" max="2" width="47.453125" bestFit="1" customWidth="1"/>
    <col min="3" max="4" width="18.26953125" bestFit="1" customWidth="1"/>
  </cols>
  <sheetData>
    <row r="1" spans="1:8" x14ac:dyDescent="0.35">
      <c r="A1" s="1" t="s">
        <v>94</v>
      </c>
      <c r="B1" s="1" t="s">
        <v>95</v>
      </c>
    </row>
    <row r="2" spans="1:8" x14ac:dyDescent="0.35">
      <c r="A2" s="1" t="s">
        <v>10</v>
      </c>
      <c r="B2" s="1">
        <v>2024</v>
      </c>
    </row>
    <row r="4" spans="1:8" ht="26" x14ac:dyDescent="0.35">
      <c r="A4" s="147" t="s">
        <v>120</v>
      </c>
      <c r="B4" s="148"/>
      <c r="C4" s="148"/>
      <c r="D4" s="148"/>
      <c r="E4" s="148"/>
      <c r="F4" s="148"/>
      <c r="G4" s="71"/>
    </row>
    <row r="5" spans="1:8" ht="15" thickBot="1" x14ac:dyDescent="0.4">
      <c r="A5" s="71"/>
      <c r="B5" s="72"/>
      <c r="C5" s="73"/>
      <c r="D5" s="73"/>
      <c r="E5" s="74"/>
      <c r="F5" s="73"/>
      <c r="G5" s="27"/>
    </row>
    <row r="6" spans="1:8" ht="15.75" customHeight="1" thickTop="1" x14ac:dyDescent="0.35">
      <c r="A6" s="152" t="s">
        <v>109</v>
      </c>
      <c r="B6" s="150" t="s">
        <v>26</v>
      </c>
      <c r="C6" s="102">
        <v>2022</v>
      </c>
      <c r="D6" s="103">
        <v>2023</v>
      </c>
      <c r="E6" s="74"/>
      <c r="F6" s="73"/>
      <c r="G6" s="27"/>
    </row>
    <row r="7" spans="1:8" ht="20" x14ac:dyDescent="0.35">
      <c r="A7" s="153"/>
      <c r="B7" s="151"/>
      <c r="C7" s="105" t="s">
        <v>131</v>
      </c>
      <c r="D7" s="106" t="s">
        <v>131</v>
      </c>
      <c r="E7" s="74"/>
      <c r="F7" s="73"/>
      <c r="G7" s="27"/>
    </row>
    <row r="8" spans="1:8" ht="21" x14ac:dyDescent="0.5">
      <c r="A8" s="104">
        <f>'BILAN 2024'!A33</f>
        <v>1</v>
      </c>
      <c r="B8" s="97" t="str">
        <f>'BILAN 2024'!B33</f>
        <v>COMPTE CCA AU 30/12/2022</v>
      </c>
      <c r="C8" s="98">
        <f>'BILAN 2024'!C33</f>
        <v>4337431</v>
      </c>
      <c r="D8" s="99">
        <f>'BILAN 2024'!D33</f>
        <v>0</v>
      </c>
      <c r="E8" s="74"/>
      <c r="F8" s="73"/>
      <c r="G8" s="27"/>
    </row>
    <row r="9" spans="1:8" ht="21" x14ac:dyDescent="0.5">
      <c r="A9" s="104">
        <f>'BILAN 2024'!A34</f>
        <v>2</v>
      </c>
      <c r="B9" s="97" t="str">
        <f>'BILAN 2024'!B34</f>
        <v>COMPTE MC²(NON ACTUALISE)</v>
      </c>
      <c r="C9" s="98">
        <f>'BILAN 2024'!C34</f>
        <v>630005</v>
      </c>
      <c r="D9" s="99">
        <f>'BILAN 2024'!D34</f>
        <v>640005</v>
      </c>
      <c r="E9" s="74"/>
      <c r="F9" s="73"/>
      <c r="G9" s="27"/>
      <c r="H9" s="27"/>
    </row>
    <row r="10" spans="1:8" ht="21" x14ac:dyDescent="0.5">
      <c r="A10" s="104">
        <f>'BILAN 2024'!A35</f>
        <v>3</v>
      </c>
      <c r="B10" s="97" t="str">
        <f>'BILAN 2024'!B35</f>
        <v>COMPTE AFRILAND</v>
      </c>
      <c r="C10" s="98">
        <f>'BILAN 2024'!C35</f>
        <v>1423702</v>
      </c>
      <c r="D10" s="99">
        <f>'BILAN 2024'!D35</f>
        <v>5265069</v>
      </c>
      <c r="E10" s="74"/>
      <c r="F10" s="73"/>
      <c r="G10" s="27"/>
    </row>
    <row r="11" spans="1:8" ht="21" x14ac:dyDescent="0.5">
      <c r="A11" s="104">
        <f>'BILAN 2024'!A36</f>
        <v>4</v>
      </c>
      <c r="B11" s="97" t="str">
        <f>'BILAN 2024'!B36</f>
        <v>DETTE PREFINANCEMENT LA'AGWEU</v>
      </c>
      <c r="C11" s="98">
        <f>'BILAN 2024'!C36</f>
        <v>744700</v>
      </c>
      <c r="D11" s="99">
        <f>'BILAN 2024'!D36</f>
        <v>0</v>
      </c>
      <c r="E11" s="74"/>
      <c r="F11" s="73"/>
      <c r="G11" s="27"/>
    </row>
    <row r="12" spans="1:8" ht="21" x14ac:dyDescent="0.5">
      <c r="A12" s="104">
        <f>'BILAN 2024'!A37</f>
        <v>5</v>
      </c>
      <c r="B12" s="97" t="str">
        <f>'BILAN 2024'!B37</f>
        <v>DETTE MR KOUATCHO</v>
      </c>
      <c r="C12" s="98">
        <f>'BILAN 2024'!C37</f>
        <v>0</v>
      </c>
      <c r="D12" s="99">
        <f>'BILAN 2024'!D37</f>
        <v>0</v>
      </c>
      <c r="E12" s="73"/>
      <c r="F12" s="73"/>
      <c r="G12" s="27"/>
    </row>
    <row r="13" spans="1:8" ht="21" x14ac:dyDescent="0.5">
      <c r="A13" s="104">
        <f>'BILAN 2024'!A38</f>
        <v>6</v>
      </c>
      <c r="B13" s="97" t="str">
        <f>'BILAN 2024'!B38</f>
        <v>RESTE A RECUPERE AU CONSEIL</v>
      </c>
      <c r="C13" s="98">
        <f>'BILAN 2024'!C38</f>
        <v>154000</v>
      </c>
      <c r="D13" s="99">
        <f>'BILAN 2024'!D38</f>
        <v>0</v>
      </c>
      <c r="E13" s="73"/>
      <c r="F13" s="73"/>
      <c r="G13" s="27"/>
    </row>
    <row r="14" spans="1:8" ht="21" x14ac:dyDescent="0.5">
      <c r="A14" s="104">
        <f>'BILAN 2024'!A39</f>
        <v>7</v>
      </c>
      <c r="B14" s="97" t="str">
        <f>'BILAN 2024'!B39</f>
        <v>FONDS EN CIRCULATION</v>
      </c>
      <c r="C14" s="98">
        <f>'BILAN 2024'!C39</f>
        <v>18658500</v>
      </c>
      <c r="D14" s="99" t="e">
        <f>'BILAN 2024'!D39</f>
        <v>#N/A</v>
      </c>
      <c r="E14" s="73"/>
      <c r="F14" s="73"/>
      <c r="G14" s="27"/>
    </row>
    <row r="15" spans="1:8" ht="21" x14ac:dyDescent="0.5">
      <c r="A15" s="104">
        <f>'BILAN 2024'!A40</f>
        <v>8</v>
      </c>
      <c r="B15" s="97" t="str">
        <f>'BILAN 2024'!B40</f>
        <v>DETTES TONTINES</v>
      </c>
      <c r="C15" s="98">
        <f>'BILAN 2024'!C40</f>
        <v>656618</v>
      </c>
      <c r="D15" s="99">
        <f>'BILAN 2024'!D40</f>
        <v>0</v>
      </c>
      <c r="E15" s="74"/>
      <c r="F15" s="73"/>
      <c r="G15" s="27"/>
    </row>
    <row r="16" spans="1:8" ht="21" x14ac:dyDescent="0.5">
      <c r="A16" s="19"/>
      <c r="B16" s="97"/>
      <c r="C16" s="100"/>
      <c r="D16" s="101"/>
      <c r="E16" s="74"/>
      <c r="F16" s="73"/>
      <c r="G16" s="27"/>
    </row>
    <row r="17" spans="1:7" ht="20.5" thickBot="1" x14ac:dyDescent="0.45">
      <c r="A17" s="68"/>
      <c r="B17" s="69" t="s">
        <v>23</v>
      </c>
      <c r="C17" s="70">
        <f>SUM(C8:C16)</f>
        <v>26604956</v>
      </c>
      <c r="D17" s="88" t="e">
        <f>SUM(D8:D16)</f>
        <v>#N/A</v>
      </c>
      <c r="E17" s="80"/>
      <c r="F17" s="73"/>
      <c r="G17" s="30"/>
    </row>
    <row r="18" spans="1:7" ht="15" thickTop="1" x14ac:dyDescent="0.35">
      <c r="A18" s="71"/>
      <c r="B18" s="71"/>
      <c r="C18" s="81"/>
      <c r="D18" s="81"/>
      <c r="E18" s="80"/>
      <c r="F18" s="73"/>
      <c r="G18" s="27"/>
    </row>
  </sheetData>
  <mergeCells count="3">
    <mergeCell ref="A4:F4"/>
    <mergeCell ref="B6:B7"/>
    <mergeCell ref="A6:A7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4"/>
  <sheetViews>
    <sheetView topLeftCell="B1" workbookViewId="0">
      <selection activeCell="I29" sqref="I29"/>
    </sheetView>
  </sheetViews>
  <sheetFormatPr baseColWidth="10" defaultRowHeight="14.5" x14ac:dyDescent="0.35"/>
  <cols>
    <col min="1" max="1" width="13.81640625" bestFit="1" customWidth="1"/>
    <col min="2" max="2" width="30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7" t="s">
        <v>2</v>
      </c>
      <c r="B4" s="148"/>
      <c r="C4" s="148"/>
      <c r="D4" s="148"/>
      <c r="E4" s="148"/>
      <c r="F4" s="148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54" t="s">
        <v>96</v>
      </c>
      <c r="B6" s="156" t="s">
        <v>52</v>
      </c>
      <c r="C6" s="107" t="s">
        <v>135</v>
      </c>
      <c r="D6" s="156" t="s">
        <v>132</v>
      </c>
      <c r="E6" s="156"/>
      <c r="F6" s="158"/>
    </row>
    <row r="7" spans="1:6" ht="21.75" customHeight="1" x14ac:dyDescent="0.35">
      <c r="A7" s="155"/>
      <c r="B7" s="157"/>
      <c r="C7" s="108" t="s">
        <v>131</v>
      </c>
      <c r="D7" s="108" t="s">
        <v>133</v>
      </c>
      <c r="E7" s="108" t="s">
        <v>134</v>
      </c>
      <c r="F7" s="26" t="s">
        <v>131</v>
      </c>
    </row>
    <row r="8" spans="1:6" ht="18.5" x14ac:dyDescent="0.45">
      <c r="A8" s="14" t="s">
        <v>90</v>
      </c>
      <c r="B8" s="14" t="str">
        <f>VLOOKUP(A8,[16]LISTADHERENT!A$5:H$60,3,0)</f>
        <v>ASELBY</v>
      </c>
      <c r="C8" s="109">
        <f>VLOOKUP(A8,[13]MVTRESUME24!$A$7:$Q$41,13,0)</f>
        <v>0</v>
      </c>
      <c r="D8" s="111">
        <v>45292</v>
      </c>
      <c r="E8" s="14" t="s">
        <v>169</v>
      </c>
      <c r="F8" s="110">
        <f>+[19]HISTOJANV24!$BQ$6</f>
        <v>8500</v>
      </c>
    </row>
    <row r="9" spans="1:6" ht="18.5" x14ac:dyDescent="0.45">
      <c r="A9" s="14" t="s">
        <v>62</v>
      </c>
      <c r="B9" s="14" t="str">
        <f>VLOOKUP(A9,[16]LISTADHERENT!A$5:H$60,3,0)</f>
        <v>BAKOP ACHILLE</v>
      </c>
      <c r="C9" s="109">
        <f>VLOOKUP(A9,[13]MVTRESUME24!$A$7:$Q$41,13,0)</f>
        <v>12000</v>
      </c>
      <c r="D9" s="111">
        <v>45292</v>
      </c>
      <c r="E9" s="14" t="s">
        <v>170</v>
      </c>
      <c r="F9" s="110">
        <f>[19]HISTOJANV24!$BQ$9</f>
        <v>18500</v>
      </c>
    </row>
    <row r="10" spans="1:6" ht="18.5" x14ac:dyDescent="0.45">
      <c r="A10" s="14" t="s">
        <v>63</v>
      </c>
      <c r="B10" s="14" t="str">
        <f>VLOOKUP(A10,[16]LISTADHERENT!A$5:H$60,3,0)</f>
        <v>BOUTCHOUANG WILLIAM</v>
      </c>
      <c r="C10" s="109">
        <f>VLOOKUP(A10,[13]MVTRESUME24!$A$7:$Q$41,13,0)</f>
        <v>12000</v>
      </c>
      <c r="D10" s="111">
        <v>45292</v>
      </c>
      <c r="E10" s="14" t="s">
        <v>189</v>
      </c>
      <c r="F10" s="110">
        <f>[19]HISTOJANV24!$BQ$14</f>
        <v>0</v>
      </c>
    </row>
    <row r="11" spans="1:6" ht="18.5" x14ac:dyDescent="0.45">
      <c r="A11" s="14" t="s">
        <v>64</v>
      </c>
      <c r="B11" s="14" t="str">
        <f>VLOOKUP(A11,[16]LISTADHERENT!A$5:H$60,3,0)</f>
        <v xml:space="preserve">DJOMO JEAN PAUL </v>
      </c>
      <c r="C11" s="109">
        <f>VLOOKUP(A11,[13]MVTRESUME24!$A$7:$Q$41,13,0)</f>
        <v>12000</v>
      </c>
      <c r="D11" s="111">
        <v>45323</v>
      </c>
      <c r="E11" s="14" t="s">
        <v>169</v>
      </c>
      <c r="F11" s="110">
        <f>[19]HISTOFEV24!$BQ$6</f>
        <v>3000</v>
      </c>
    </row>
    <row r="12" spans="1:6" ht="18.5" x14ac:dyDescent="0.45">
      <c r="A12" s="14" t="s">
        <v>104</v>
      </c>
      <c r="B12" s="14" t="str">
        <f>VLOOKUP(A12,[16]LISTADHERENT!A$5:H$60,3,0)</f>
        <v>DJOMOU TCHAPDA</v>
      </c>
      <c r="C12" s="109">
        <f>VLOOKUP(A12,[13]MVTRESUME24!$A$7:$Q$41,13,0)</f>
        <v>12000</v>
      </c>
      <c r="D12" s="111">
        <v>45323</v>
      </c>
      <c r="E12" s="14" t="s">
        <v>176</v>
      </c>
      <c r="F12" s="110">
        <f>[19]HISTOFEV24!$BQ$8</f>
        <v>12000</v>
      </c>
    </row>
    <row r="13" spans="1:6" ht="18.5" x14ac:dyDescent="0.45">
      <c r="A13" s="14" t="s">
        <v>65</v>
      </c>
      <c r="B13" s="14" t="str">
        <f>VLOOKUP(A13,[16]LISTADHERENT!A$5:H$60,3,0)</f>
        <v>DJOUKWE NANGUEN GUY BLAISE</v>
      </c>
      <c r="C13" s="109">
        <f>VLOOKUP(A13,[13]MVTRESUME24!$A$7:$Q$41,13,0)</f>
        <v>12000</v>
      </c>
      <c r="D13" s="111">
        <v>45323</v>
      </c>
      <c r="E13" s="14" t="s">
        <v>177</v>
      </c>
      <c r="F13" s="110">
        <f>[19]HISTOFEV24!$BQ$13</f>
        <v>12000</v>
      </c>
    </row>
    <row r="14" spans="1:6" ht="18.5" x14ac:dyDescent="0.45">
      <c r="A14" s="14" t="s">
        <v>66</v>
      </c>
      <c r="B14" s="14" t="str">
        <f>VLOOKUP(A14,[16]LISTADHERENT!A$5:H$60,3,0)</f>
        <v>DJUOMBESSY ANTOINE</v>
      </c>
      <c r="C14" s="109">
        <f>VLOOKUP(A14,[13]MVTRESUME24!$A$7:$Q$41,13,0)</f>
        <v>12000</v>
      </c>
      <c r="D14" s="111">
        <v>45353</v>
      </c>
      <c r="E14" s="14" t="s">
        <v>179</v>
      </c>
      <c r="F14" s="110">
        <f>[19]HISTOMARS24!$BQ$11</f>
        <v>30000</v>
      </c>
    </row>
    <row r="15" spans="1:6" ht="18.5" x14ac:dyDescent="0.45">
      <c r="A15" s="14" t="s">
        <v>87</v>
      </c>
      <c r="B15" s="14" t="str">
        <f>VLOOKUP(A15,[16]LISTADHERENT!A$5:H$60,3,0)</f>
        <v>DOMOU FABIEN</v>
      </c>
      <c r="C15" s="109">
        <f>VLOOKUP(A15,[13]MVTRESUME24!$A$7:$Q$41,13,0)</f>
        <v>12000</v>
      </c>
      <c r="D15" s="111">
        <v>45354</v>
      </c>
      <c r="E15" s="14" t="s">
        <v>180</v>
      </c>
      <c r="F15" s="110">
        <f>[19]HISTOMARS24!$BQ$13</f>
        <v>18000</v>
      </c>
    </row>
    <row r="16" spans="1:6" ht="18.5" x14ac:dyDescent="0.45">
      <c r="A16" s="14" t="s">
        <v>67</v>
      </c>
      <c r="B16" s="14" t="str">
        <f>VLOOKUP(A16,[16]LISTADHERENT!A$5:H$60,3,0)</f>
        <v>DONHOU DAVID</v>
      </c>
      <c r="C16" s="109">
        <f>VLOOKUP(A16,[13]MVTRESUME24!$A$7:$Q$41,13,0)</f>
        <v>12000</v>
      </c>
      <c r="D16" s="111">
        <v>45385</v>
      </c>
      <c r="E16" s="14" t="s">
        <v>182</v>
      </c>
      <c r="F16" s="110">
        <f>[19]HISTOAVRIL24!$BQ$13</f>
        <v>6000</v>
      </c>
    </row>
    <row r="17" spans="1:6" ht="18.5" x14ac:dyDescent="0.45">
      <c r="A17" s="14" t="s">
        <v>68</v>
      </c>
      <c r="B17" s="14" t="str">
        <f>VLOOKUP(A17,[16]LISTADHERENT!A$5:H$60,3,0)</f>
        <v>HENGUE PAUL OMER</v>
      </c>
      <c r="C17" s="109">
        <f>VLOOKUP(A17,[13]MVTRESUME24!$A$7:$Q$41,13,0)</f>
        <v>12000</v>
      </c>
      <c r="D17" s="111">
        <v>45386</v>
      </c>
      <c r="E17" s="14" t="s">
        <v>176</v>
      </c>
      <c r="F17" s="110">
        <f>[19]HISTOAVRIL24!$BQ$8</f>
        <v>15000</v>
      </c>
    </row>
    <row r="18" spans="1:6" ht="18.5" x14ac:dyDescent="0.45">
      <c r="A18" s="14" t="s">
        <v>69</v>
      </c>
      <c r="B18" s="14" t="str">
        <f>VLOOKUP(A18,[16]LISTADHERENT!A$5:H$60,3,0)</f>
        <v>HOTCHO BENJAMIN</v>
      </c>
      <c r="C18" s="109">
        <f>VLOOKUP(A18,[13]MVTRESUME24!$A$7:$Q$41,13,0)</f>
        <v>12000</v>
      </c>
      <c r="D18" s="111">
        <v>45416</v>
      </c>
      <c r="E18" s="14" t="s">
        <v>182</v>
      </c>
      <c r="F18" s="110">
        <f>[19]HISTOMAI24!$BQ$13</f>
        <v>6000</v>
      </c>
    </row>
    <row r="19" spans="1:6" ht="18.5" x14ac:dyDescent="0.45">
      <c r="A19" s="14" t="s">
        <v>70</v>
      </c>
      <c r="B19" s="14" t="str">
        <f>VLOOKUP(A19,[16]LISTADHERENT!A$5:H$60,3,0)</f>
        <v>KOUAMOU MOISE</v>
      </c>
      <c r="C19" s="109">
        <f>VLOOKUP(A19,[13]MVTRESUME24!$A$7:$Q$41,13,0)</f>
        <v>12000</v>
      </c>
      <c r="D19" s="111">
        <v>45417</v>
      </c>
      <c r="E19" s="14" t="s">
        <v>183</v>
      </c>
      <c r="F19" s="110">
        <f>[19]HISTOMAI24!$BQ$8</f>
        <v>13000</v>
      </c>
    </row>
    <row r="20" spans="1:6" ht="18.5" x14ac:dyDescent="0.45">
      <c r="A20" s="14" t="s">
        <v>71</v>
      </c>
      <c r="B20" s="14" t="str">
        <f>VLOOKUP(A20,[16]LISTADHERENT!A$5:H$60,3,0)</f>
        <v>KOUATCHO MESSACK</v>
      </c>
      <c r="C20" s="109">
        <f>VLOOKUP(A20,[13]MVTRESUME24!$A$7:$Q$41,13,0)</f>
        <v>12000</v>
      </c>
      <c r="D20" s="111">
        <v>45449</v>
      </c>
      <c r="E20" s="14" t="s">
        <v>176</v>
      </c>
      <c r="F20" s="110">
        <f>+[19]HISTOJUIN24!$BQ$13</f>
        <v>12000</v>
      </c>
    </row>
    <row r="21" spans="1:6" ht="18.5" x14ac:dyDescent="0.45">
      <c r="A21" s="14" t="s">
        <v>72</v>
      </c>
      <c r="B21" s="14" t="str">
        <f>VLOOKUP(A21,[16]LISTADHERENT!A$5:H$60,3,0)</f>
        <v>LOWE JEAN</v>
      </c>
      <c r="C21" s="109">
        <f>VLOOKUP(A21,[13]MVTRESUME24!$A$7:$Q$41,13,0)</f>
        <v>0</v>
      </c>
      <c r="D21" s="111">
        <v>45477</v>
      </c>
      <c r="E21" s="14" t="s">
        <v>182</v>
      </c>
      <c r="F21" s="110">
        <f>+[19]HISTOJUIL24!$BQ$13</f>
        <v>6000</v>
      </c>
    </row>
    <row r="22" spans="1:6" ht="18.5" x14ac:dyDescent="0.45">
      <c r="A22" s="14" t="s">
        <v>166</v>
      </c>
      <c r="B22" s="14" t="str">
        <f>VLOOKUP(A22,[16]LISTADHERENT!A$5:H$60,3,0)</f>
        <v>MASSEUNGOUE DAGOBERT</v>
      </c>
      <c r="C22" s="109">
        <f>VLOOKUP(A22,[13]MVTRESUME24!$A$7:$Q$41,13,0)</f>
        <v>12000</v>
      </c>
      <c r="D22" s="111">
        <v>45477</v>
      </c>
      <c r="E22" s="14" t="s">
        <v>176</v>
      </c>
      <c r="F22" s="110">
        <f>+[19]HISTOJUIL24!$BQ$8</f>
        <v>36000</v>
      </c>
    </row>
    <row r="23" spans="1:6" ht="18.5" x14ac:dyDescent="0.45">
      <c r="A23" s="14" t="s">
        <v>86</v>
      </c>
      <c r="B23" s="14" t="str">
        <f>VLOOKUP(A23,[16]LISTADHERENT!A$5:H$60,3,0)</f>
        <v>MBOGNING TUGMA GUY</v>
      </c>
      <c r="C23" s="109">
        <f>VLOOKUP(A23,[13]MVTRESUME24!$A$7:$Q$41,13,0)</f>
        <v>12000</v>
      </c>
      <c r="D23" s="111">
        <v>45508</v>
      </c>
      <c r="E23" s="14" t="s">
        <v>182</v>
      </c>
      <c r="F23" s="110">
        <f>+[19]HISTOAOUT24!$BQ$13</f>
        <v>6000</v>
      </c>
    </row>
    <row r="24" spans="1:6" ht="18.5" x14ac:dyDescent="0.45">
      <c r="A24" s="14" t="s">
        <v>81</v>
      </c>
      <c r="B24" s="14" t="str">
        <f>VLOOKUP(A24,[16]LISTADHERENT!A$5:H$60,3,0)</f>
        <v>NANGUEN MARTIN</v>
      </c>
      <c r="C24" s="109">
        <f>VLOOKUP(A24,[13]MVTRESUME24!$A$7:$Q$41,13,0)</f>
        <v>12000</v>
      </c>
      <c r="D24" s="111">
        <v>45540</v>
      </c>
      <c r="E24" s="14" t="s">
        <v>182</v>
      </c>
      <c r="F24" s="110">
        <f>+[19]HISTOSEPT24!$BQ$13</f>
        <v>6000</v>
      </c>
    </row>
    <row r="25" spans="1:6" ht="18.5" x14ac:dyDescent="0.45">
      <c r="A25" s="14" t="s">
        <v>73</v>
      </c>
      <c r="B25" s="14" t="str">
        <f>VLOOKUP(A25,[16]LISTADHERENT!A$5:H$60,3,0)</f>
        <v>NANKAM APPOLINAIRE</v>
      </c>
      <c r="C25" s="109">
        <f>VLOOKUP(A25,[13]MVTRESUME24!$A$7:$Q$41,13,0)</f>
        <v>12000</v>
      </c>
      <c r="D25" s="111">
        <v>45570</v>
      </c>
      <c r="E25" s="14" t="s">
        <v>182</v>
      </c>
      <c r="F25" s="110">
        <f>[19]HISTOOCT24!$BQ$13</f>
        <v>6000</v>
      </c>
    </row>
    <row r="26" spans="1:6" ht="18.5" x14ac:dyDescent="0.45">
      <c r="A26" s="14" t="s">
        <v>74</v>
      </c>
      <c r="B26" s="14" t="str">
        <f>VLOOKUP(A26,[16]LISTADHERENT!A$5:H$60,3,0)</f>
        <v>NDJOMO ETIENNE</v>
      </c>
      <c r="C26" s="109">
        <f>VLOOKUP(A26,[13]MVTRESUME24!$A$7:$Q$41,13,0)</f>
        <v>12000</v>
      </c>
      <c r="D26" s="111">
        <v>45601</v>
      </c>
      <c r="E26" s="14" t="s">
        <v>182</v>
      </c>
      <c r="F26" s="110">
        <f>+[19]HISTONOV24!$BQ$13</f>
        <v>6000</v>
      </c>
    </row>
    <row r="27" spans="1:6" ht="18.5" x14ac:dyDescent="0.45">
      <c r="A27" s="14" t="s">
        <v>75</v>
      </c>
      <c r="B27" s="14" t="str">
        <f>VLOOKUP(A27,[16]LISTADHERENT!A$5:H$60,3,0)</f>
        <v>NGONDIEP CLAUDE</v>
      </c>
      <c r="C27" s="109">
        <f>VLOOKUP(A27,[13]MVTRESUME24!$A$7:$Q$41,13,0)</f>
        <v>12000</v>
      </c>
      <c r="D27" s="111">
        <v>45631</v>
      </c>
      <c r="E27" s="14" t="s">
        <v>176</v>
      </c>
      <c r="F27" s="110">
        <f>+[19]HISTODEC24!$BQ$8</f>
        <v>25000</v>
      </c>
    </row>
    <row r="28" spans="1:6" ht="18.5" x14ac:dyDescent="0.45">
      <c r="A28" s="14" t="s">
        <v>77</v>
      </c>
      <c r="B28" s="14" t="str">
        <f>VLOOKUP(A28,[16]LISTADHERENT!A$5:H$60,3,0)</f>
        <v>NGUIEMEGNI MATHIEU BLAISE</v>
      </c>
      <c r="C28" s="109">
        <f>VLOOKUP(A28,[13]MVTRESUME24!$A$7:$Q$41,13,0)</f>
        <v>12000</v>
      </c>
      <c r="D28" s="111">
        <v>45631</v>
      </c>
      <c r="E28" s="14"/>
      <c r="F28" s="110">
        <f>[19]HISTODEC24!$BQ$13</f>
        <v>6000</v>
      </c>
    </row>
    <row r="29" spans="1:6" ht="18.5" x14ac:dyDescent="0.45">
      <c r="A29" s="14" t="s">
        <v>78</v>
      </c>
      <c r="B29" s="14" t="str">
        <f>VLOOKUP(A29,[16]LISTADHERENT!A$5:H$60,3,0)</f>
        <v>NKAMGANG JUSTIN DEJOLIE</v>
      </c>
      <c r="C29" s="109">
        <f>VLOOKUP(A29,[13]MVTRESUME24!$A$7:$Q$41,13,0)</f>
        <v>12000</v>
      </c>
      <c r="D29" s="111"/>
      <c r="E29" s="14"/>
      <c r="F29" s="110"/>
    </row>
    <row r="30" spans="1:6" ht="18.5" x14ac:dyDescent="0.45">
      <c r="A30" s="14" t="s">
        <v>105</v>
      </c>
      <c r="B30" s="14" t="str">
        <f>VLOOKUP(A30,[16]LISTADHERENT!A$5:H$60,3,0)</f>
        <v>NOUBE ETIENNE</v>
      </c>
      <c r="C30" s="109">
        <f>VLOOKUP(A30,[13]MVTRESUME24!$A$7:$Q$41,13,0)</f>
        <v>12000</v>
      </c>
      <c r="D30" s="111"/>
      <c r="E30" s="14"/>
      <c r="F30" s="110"/>
    </row>
    <row r="31" spans="1:6" ht="18.5" x14ac:dyDescent="0.45">
      <c r="A31" s="14" t="s">
        <v>79</v>
      </c>
      <c r="B31" s="14" t="str">
        <f>VLOOKUP(A31,[16]LISTADHERENT!A$5:H$60,3,0)</f>
        <v>PATEGO NJOSSU GUSTAVE</v>
      </c>
      <c r="C31" s="109">
        <f>VLOOKUP(A31,[13]MVTRESUME24!$A$7:$Q$41,13,0)</f>
        <v>12000</v>
      </c>
      <c r="D31" s="14"/>
      <c r="E31" s="14"/>
      <c r="F31" s="110"/>
    </row>
    <row r="32" spans="1:6" ht="18.5" x14ac:dyDescent="0.45">
      <c r="A32" s="14" t="s">
        <v>128</v>
      </c>
      <c r="B32" s="14" t="str">
        <f>VLOOKUP(A32,[16]LISTADHERENT!A$5:H$60,3,0)</f>
        <v>SEUMO POLYCARPE</v>
      </c>
      <c r="C32" s="109">
        <f>VLOOKUP(A32,[13]MVTRESUME24!$A$7:$Q$41,13,0)</f>
        <v>12000</v>
      </c>
      <c r="D32" s="14"/>
      <c r="E32" s="14"/>
      <c r="F32" s="110"/>
    </row>
    <row r="33" spans="1:6" ht="18.5" x14ac:dyDescent="0.45">
      <c r="A33" s="14" t="s">
        <v>89</v>
      </c>
      <c r="B33" s="14" t="str">
        <f>VLOOKUP(A33,[16]LISTADHERENT!A$5:H$60,3,0)</f>
        <v>SIME BRICE</v>
      </c>
      <c r="C33" s="109">
        <f>VLOOKUP(A33,[13]MVTRESUME24!$A$7:$Q$41,13,0)</f>
        <v>12000</v>
      </c>
      <c r="D33" s="14"/>
      <c r="E33" s="14"/>
      <c r="F33" s="110"/>
    </row>
    <row r="34" spans="1:6" ht="18.5" x14ac:dyDescent="0.45">
      <c r="A34" s="14" t="s">
        <v>80</v>
      </c>
      <c r="B34" s="14" t="str">
        <f>VLOOKUP(A34,[16]LISTADHERENT!A$5:H$60,3,0)</f>
        <v>SIMO PIERRE</v>
      </c>
      <c r="C34" s="109">
        <f>VLOOKUP(A34,[13]MVTRESUME24!$A$7:$Q$41,13,0)</f>
        <v>12000</v>
      </c>
      <c r="D34" s="14"/>
      <c r="E34" s="14"/>
      <c r="F34" s="110"/>
    </row>
    <row r="35" spans="1:6" ht="18.5" x14ac:dyDescent="0.45">
      <c r="A35" s="14" t="s">
        <v>82</v>
      </c>
      <c r="B35" s="14" t="str">
        <f>VLOOKUP(A35,[16]LISTADHERENT!A$5:H$60,3,0)</f>
        <v>TCHOUAMOU MATHIEU</v>
      </c>
      <c r="C35" s="109">
        <f>VLOOKUP(A35,[13]MVTRESUME24!$A$7:$Q$41,13,0)</f>
        <v>12000</v>
      </c>
      <c r="D35" s="14"/>
      <c r="E35" s="14"/>
      <c r="F35" s="110"/>
    </row>
    <row r="36" spans="1:6" ht="18.5" x14ac:dyDescent="0.45">
      <c r="A36" s="14" t="s">
        <v>167</v>
      </c>
      <c r="B36" s="14" t="str">
        <f>VLOOKUP(A36,[16]LISTADHERENT!A$5:H$60,3,0)</f>
        <v>TCHOUATEU AUGUSTIN</v>
      </c>
      <c r="C36" s="109">
        <f>VLOOKUP(A36,[13]MVTRESUME24!$A$7:$Q$41,13,0)</f>
        <v>12000</v>
      </c>
      <c r="D36" s="14"/>
      <c r="E36" s="14"/>
      <c r="F36" s="110"/>
    </row>
    <row r="37" spans="1:6" ht="18.5" x14ac:dyDescent="0.45">
      <c r="A37" s="14" t="s">
        <v>83</v>
      </c>
      <c r="B37" s="14" t="str">
        <f>VLOOKUP(A37,[16]LISTADHERENT!A$5:H$60,3,0)</f>
        <v>TCHOUTOU NANA CLAUDE</v>
      </c>
      <c r="C37" s="109">
        <f>VLOOKUP(A37,[13]MVTRESUME24!$A$7:$Q$41,13,0)</f>
        <v>12000</v>
      </c>
      <c r="D37" s="14"/>
      <c r="E37" s="14"/>
      <c r="F37" s="110"/>
    </row>
    <row r="38" spans="1:6" ht="18.5" x14ac:dyDescent="0.45">
      <c r="A38" s="14" t="s">
        <v>129</v>
      </c>
      <c r="B38" s="14" t="str">
        <f>VLOOKUP(A38,[16]LISTADHERENT!A$5:H$60,3,0)</f>
        <v>YANTCHOU GERVAIS</v>
      </c>
      <c r="C38" s="109">
        <f>VLOOKUP(A38,[13]MVTRESUME24!$A$7:$Q$41,13,0)</f>
        <v>12000</v>
      </c>
      <c r="D38" s="14"/>
      <c r="E38" s="14"/>
      <c r="F38" s="110"/>
    </row>
    <row r="39" spans="1:6" ht="18.5" x14ac:dyDescent="0.45">
      <c r="A39" s="14" t="s">
        <v>84</v>
      </c>
      <c r="B39" s="14" t="str">
        <f>VLOOKUP(A39,[16]LISTADHERENT!A$5:H$60,3,0)</f>
        <v>YEPMOU JEAN JACQUES</v>
      </c>
      <c r="C39" s="109">
        <f>VLOOKUP(A39,[13]MVTRESUME24!$A$7:$Q$41,13,0)</f>
        <v>12000</v>
      </c>
      <c r="D39" s="14"/>
      <c r="E39" s="14"/>
      <c r="F39" s="110"/>
    </row>
    <row r="40" spans="1:6" ht="18.5" x14ac:dyDescent="0.45">
      <c r="A40" s="14" t="s">
        <v>168</v>
      </c>
      <c r="B40" s="14" t="str">
        <f>VLOOKUP(A40,[16]LISTADHERENT!A$5:H$60,3,0)</f>
        <v>YIALA ALAIN OSCAR</v>
      </c>
      <c r="C40" s="109">
        <f>VLOOKUP(A40,[13]MVTRESUME24!$A$7:$Q$41,13,0)</f>
        <v>12000</v>
      </c>
      <c r="D40" s="14"/>
      <c r="E40" s="14"/>
      <c r="F40" s="110"/>
    </row>
    <row r="41" spans="1:6" ht="18.5" x14ac:dyDescent="0.45">
      <c r="A41" s="14" t="s">
        <v>85</v>
      </c>
      <c r="B41" s="14" t="str">
        <f>VLOOKUP(A41,[16]LISTADHERENT!A$5:H$60,3,0)</f>
        <v>YOUMBI EMMANUEL</v>
      </c>
      <c r="C41" s="109">
        <f>VLOOKUP(A41,[13]MVTRESUME24!$A$7:$Q$41,13,0)</f>
        <v>12000</v>
      </c>
      <c r="D41" s="14"/>
      <c r="E41" s="14"/>
      <c r="F41" s="110"/>
    </row>
    <row r="42" spans="1:6" ht="18.5" x14ac:dyDescent="0.45">
      <c r="A42" s="13"/>
      <c r="B42" s="14"/>
      <c r="C42" s="109"/>
      <c r="D42" s="14"/>
      <c r="E42" s="14"/>
      <c r="F42" s="110"/>
    </row>
    <row r="43" spans="1:6" ht="18" thickBot="1" x14ac:dyDescent="0.4">
      <c r="A43" s="31" t="s">
        <v>23</v>
      </c>
      <c r="B43" s="58"/>
      <c r="C43" s="59">
        <f>SUM(C8:C42)</f>
        <v>384000</v>
      </c>
      <c r="D43" s="59"/>
      <c r="E43" s="59">
        <f>SUM(E6:E42)</f>
        <v>0</v>
      </c>
      <c r="F43" s="60">
        <f>SUM(F6:F42)</f>
        <v>251000</v>
      </c>
    </row>
    <row r="44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4"/>
  <sheetViews>
    <sheetView workbookViewId="0">
      <selection activeCell="F13" sqref="F13"/>
    </sheetView>
  </sheetViews>
  <sheetFormatPr baseColWidth="10" defaultRowHeight="14.5" x14ac:dyDescent="0.35"/>
  <cols>
    <col min="2" max="2" width="30" bestFit="1" customWidth="1"/>
    <col min="3" max="3" width="12.453125" bestFit="1" customWidth="1"/>
    <col min="4" max="4" width="8.1796875" bestFit="1" customWidth="1"/>
    <col min="5" max="5" width="43" bestFit="1" customWidth="1"/>
    <col min="6" max="6" width="12.45312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7" t="s">
        <v>137</v>
      </c>
      <c r="B4" s="148"/>
      <c r="C4" s="148"/>
      <c r="D4" s="148"/>
      <c r="E4" s="148"/>
      <c r="F4" s="148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54" t="s">
        <v>96</v>
      </c>
      <c r="B6" s="156" t="s">
        <v>52</v>
      </c>
      <c r="C6" s="107" t="s">
        <v>135</v>
      </c>
      <c r="D6" s="156" t="s">
        <v>132</v>
      </c>
      <c r="E6" s="156"/>
      <c r="F6" s="158"/>
    </row>
    <row r="7" spans="1:6" ht="21.75" customHeight="1" x14ac:dyDescent="0.35">
      <c r="A7" s="155"/>
      <c r="B7" s="157"/>
      <c r="C7" s="108" t="s">
        <v>131</v>
      </c>
      <c r="D7" s="108" t="s">
        <v>133</v>
      </c>
      <c r="E7" s="108" t="s">
        <v>134</v>
      </c>
      <c r="F7" s="26" t="s">
        <v>131</v>
      </c>
    </row>
    <row r="8" spans="1:6" ht="18.5" x14ac:dyDescent="0.45">
      <c r="A8" s="19" t="s">
        <v>90</v>
      </c>
      <c r="B8" s="14" t="str">
        <f>VLOOKUP(A8,[16]LISTADHERENT!A$5:H$60,3,0)</f>
        <v>ASELBY</v>
      </c>
      <c r="C8" s="109">
        <f>VLOOKUP(A8,[13]MVTRESUME24!$A$7:$Q$51,14,0)</f>
        <v>0</v>
      </c>
      <c r="D8" s="111">
        <v>45292</v>
      </c>
      <c r="E8" s="14" t="s">
        <v>171</v>
      </c>
      <c r="F8" s="110">
        <f>+[19]HISTOJANV24!$BQ$24</f>
        <v>200000</v>
      </c>
    </row>
    <row r="9" spans="1:6" ht="18.5" x14ac:dyDescent="0.45">
      <c r="A9" s="19" t="s">
        <v>62</v>
      </c>
      <c r="B9" s="14" t="str">
        <f>VLOOKUP(A9,[16]LISTADHERENT!A$5:H$60,3,0)</f>
        <v>BAKOP ACHILLE</v>
      </c>
      <c r="C9" s="109">
        <f>VLOOKUP(A9,[13]MVTRESUME24!$A$7:$Q$41,14,0)</f>
        <v>12000</v>
      </c>
      <c r="D9" s="111">
        <v>45292</v>
      </c>
      <c r="E9" s="14" t="s">
        <v>172</v>
      </c>
      <c r="F9" s="110">
        <f>[19]HISTOJANV24!$BQ$25</f>
        <v>0</v>
      </c>
    </row>
    <row r="10" spans="1:6" ht="18.5" x14ac:dyDescent="0.45">
      <c r="A10" s="19" t="s">
        <v>63</v>
      </c>
      <c r="B10" s="14" t="str">
        <f>VLOOKUP(A10,[16]LISTADHERENT!A$5:H$60,3,0)</f>
        <v>BOUTCHOUANG WILLIAM</v>
      </c>
      <c r="C10" s="109">
        <f>VLOOKUP(A10,[13]MVTRESUME24!$A$7:$Q$41,14,0)</f>
        <v>12000</v>
      </c>
      <c r="D10" s="111">
        <v>45384</v>
      </c>
      <c r="E10" s="14" t="s">
        <v>188</v>
      </c>
      <c r="F10" s="110">
        <f>[19]HISTOAVRIL24!$BQ$25</f>
        <v>100000</v>
      </c>
    </row>
    <row r="11" spans="1:6" ht="18.5" x14ac:dyDescent="0.45">
      <c r="A11" s="19" t="s">
        <v>64</v>
      </c>
      <c r="B11" s="14" t="str">
        <f>VLOOKUP(A11,[16]LISTADHERENT!A$5:H$60,3,0)</f>
        <v xml:space="preserve">DJOMO JEAN PAUL </v>
      </c>
      <c r="C11" s="109">
        <f>VLOOKUP(A11,[13]MVTRESUME24!$A$7:$Q$41,14,0)</f>
        <v>12000</v>
      </c>
      <c r="D11" s="111">
        <v>45475</v>
      </c>
      <c r="E11" s="14" t="s">
        <v>195</v>
      </c>
      <c r="F11" s="110">
        <f>+[19]HISTOJUIL24!$BQ$27</f>
        <v>238500</v>
      </c>
    </row>
    <row r="12" spans="1:6" ht="18.5" x14ac:dyDescent="0.45">
      <c r="A12" s="19" t="s">
        <v>104</v>
      </c>
      <c r="B12" s="14" t="str">
        <f>VLOOKUP(A12,[16]LISTADHERENT!A$5:H$60,3,0)</f>
        <v>DJOMOU TCHAPDA</v>
      </c>
      <c r="C12" s="109">
        <f>VLOOKUP(A12,[13]MVTRESUME24!$A$7:$Q$41,14,0)</f>
        <v>12000</v>
      </c>
      <c r="D12" s="111">
        <v>45475</v>
      </c>
      <c r="E12" t="s">
        <v>203</v>
      </c>
      <c r="F12" s="110">
        <f>[19]HISTOJUIL24!$BQ$25</f>
        <v>50000</v>
      </c>
    </row>
    <row r="13" spans="1:6" ht="18.5" x14ac:dyDescent="0.45">
      <c r="A13" s="19" t="s">
        <v>65</v>
      </c>
      <c r="B13" s="14" t="str">
        <f>VLOOKUP(A13,[16]LISTADHERENT!A$5:H$60,3,0)</f>
        <v>DJOUKWE NANGUEN GUY BLAISE</v>
      </c>
      <c r="C13" s="109">
        <f>VLOOKUP(A13,[13]MVTRESUME24!$A$7:$Q$41,14,0)</f>
        <v>12000</v>
      </c>
      <c r="D13" s="111">
        <v>45567</v>
      </c>
      <c r="E13" s="14" t="s">
        <v>196</v>
      </c>
      <c r="F13" s="110">
        <f>[19]HISTOOCT24!$BQ$26</f>
        <v>321500</v>
      </c>
    </row>
    <row r="14" spans="1:6" ht="18.5" x14ac:dyDescent="0.45">
      <c r="A14" s="19" t="s">
        <v>66</v>
      </c>
      <c r="B14" s="14" t="str">
        <f>VLOOKUP(A14,[16]LISTADHERENT!A$5:H$60,3,0)</f>
        <v>DJUOMBESSY ANTOINE</v>
      </c>
      <c r="C14" s="109">
        <f>VLOOKUP(A14,[13]MVTRESUME24!$A$7:$Q$41,14,0)</f>
        <v>12000</v>
      </c>
      <c r="D14" s="111">
        <v>45598</v>
      </c>
      <c r="E14" s="14" t="s">
        <v>204</v>
      </c>
      <c r="F14" s="110">
        <f>[19]HISTOJUIL24!$BQ$25</f>
        <v>50000</v>
      </c>
    </row>
    <row r="15" spans="1:6" ht="18.5" x14ac:dyDescent="0.45">
      <c r="A15" s="19" t="s">
        <v>87</v>
      </c>
      <c r="B15" s="14" t="str">
        <f>VLOOKUP(A15,[16]LISTADHERENT!A$5:H$60,3,0)</f>
        <v>DOMOU FABIEN</v>
      </c>
      <c r="C15" s="109">
        <f>VLOOKUP(A15,[13]MVTRESUME24!$A$7:$Q$41,14,0)</f>
        <v>12000</v>
      </c>
      <c r="D15" s="111"/>
      <c r="E15" s="14"/>
      <c r="F15" s="110"/>
    </row>
    <row r="16" spans="1:6" ht="18.5" x14ac:dyDescent="0.45">
      <c r="A16" s="19" t="s">
        <v>67</v>
      </c>
      <c r="B16" s="14" t="str">
        <f>VLOOKUP(A16,[16]LISTADHERENT!A$5:H$60,3,0)</f>
        <v>DONHOU DAVID</v>
      </c>
      <c r="C16" s="109">
        <f>VLOOKUP(A16,[13]MVTRESUME24!$A$7:$Q$41,14,0)</f>
        <v>12000</v>
      </c>
      <c r="D16" s="111"/>
      <c r="F16" s="110"/>
    </row>
    <row r="17" spans="1:6" ht="18.5" x14ac:dyDescent="0.45">
      <c r="A17" s="19" t="s">
        <v>68</v>
      </c>
      <c r="B17" s="14" t="str">
        <f>VLOOKUP(A17,[16]LISTADHERENT!A$5:H$60,3,0)</f>
        <v>HENGUE PAUL OMER</v>
      </c>
      <c r="C17" s="109">
        <f>VLOOKUP(A17,[13]MVTRESUME24!$A$7:$Q$41,14,0)</f>
        <v>12000</v>
      </c>
      <c r="D17" s="111"/>
      <c r="E17" s="14"/>
      <c r="F17" s="110"/>
    </row>
    <row r="18" spans="1:6" ht="18.5" x14ac:dyDescent="0.45">
      <c r="A18" s="19" t="s">
        <v>69</v>
      </c>
      <c r="B18" s="14" t="str">
        <f>VLOOKUP(A18,[16]LISTADHERENT!A$5:H$60,3,0)</f>
        <v>HOTCHO BENJAMIN</v>
      </c>
      <c r="C18" s="109">
        <f>VLOOKUP(A18,[13]MVTRESUME24!$A$7:$Q$41,14,0)</f>
        <v>12000</v>
      </c>
      <c r="D18" s="111"/>
      <c r="E18" s="14"/>
      <c r="F18" s="110"/>
    </row>
    <row r="19" spans="1:6" ht="18.5" x14ac:dyDescent="0.45">
      <c r="A19" s="19" t="s">
        <v>70</v>
      </c>
      <c r="B19" s="14" t="str">
        <f>VLOOKUP(A19,[16]LISTADHERENT!A$5:H$60,3,0)</f>
        <v>KOUAMOU MOISE</v>
      </c>
      <c r="C19" s="109">
        <f>VLOOKUP(A19,[13]MVTRESUME24!$A$7:$Q$41,14,0)</f>
        <v>12000</v>
      </c>
      <c r="D19" s="111"/>
      <c r="E19" s="14"/>
      <c r="F19" s="110"/>
    </row>
    <row r="20" spans="1:6" ht="18.5" x14ac:dyDescent="0.45">
      <c r="A20" s="19" t="s">
        <v>71</v>
      </c>
      <c r="B20" s="14" t="str">
        <f>VLOOKUP(A20,[16]LISTADHERENT!A$5:H$60,3,0)</f>
        <v>KOUATCHO MESSACK</v>
      </c>
      <c r="C20" s="109">
        <f>VLOOKUP(A20,[13]MVTRESUME24!$A$7:$Q$41,14,0)</f>
        <v>12000</v>
      </c>
      <c r="D20" s="111"/>
      <c r="E20" s="14"/>
      <c r="F20" s="110"/>
    </row>
    <row r="21" spans="1:6" ht="18.5" x14ac:dyDescent="0.45">
      <c r="A21" s="19" t="s">
        <v>72</v>
      </c>
      <c r="B21" s="14" t="str">
        <f>VLOOKUP(A21,[16]LISTADHERENT!A$5:H$60,3,0)</f>
        <v>LOWE JEAN</v>
      </c>
      <c r="C21" s="109">
        <f>VLOOKUP(A21,[13]MVTRESUME24!$A$7:$Q$41,14,0)</f>
        <v>0</v>
      </c>
      <c r="D21" s="111"/>
      <c r="E21" s="14"/>
      <c r="F21" s="110"/>
    </row>
    <row r="22" spans="1:6" ht="18.5" x14ac:dyDescent="0.45">
      <c r="A22" s="19" t="s">
        <v>166</v>
      </c>
      <c r="B22" s="14" t="str">
        <f>VLOOKUP(A22,[16]LISTADHERENT!A$5:H$60,3,0)</f>
        <v>MASSEUNGOUE DAGOBERT</v>
      </c>
      <c r="C22" s="109">
        <f>VLOOKUP(A22,[13]MVTRESUME24!$A$7:$Q$41,14,0)</f>
        <v>12000</v>
      </c>
      <c r="D22" s="111"/>
      <c r="E22" s="14"/>
      <c r="F22" s="110"/>
    </row>
    <row r="23" spans="1:6" ht="18.5" x14ac:dyDescent="0.45">
      <c r="A23" s="19" t="s">
        <v>86</v>
      </c>
      <c r="B23" s="14" t="str">
        <f>VLOOKUP(A23,[16]LISTADHERENT!A$5:H$60,3,0)</f>
        <v>MBOGNING TUGMA GUY</v>
      </c>
      <c r="C23" s="109">
        <f>VLOOKUP(A23,[13]MVTRESUME24!$A$7:$Q$41,14,0)</f>
        <v>12000</v>
      </c>
      <c r="D23" s="111"/>
      <c r="E23" s="14"/>
      <c r="F23" s="110"/>
    </row>
    <row r="24" spans="1:6" ht="18.5" x14ac:dyDescent="0.45">
      <c r="A24" s="19" t="s">
        <v>81</v>
      </c>
      <c r="B24" s="14" t="str">
        <f>VLOOKUP(A24,[16]LISTADHERENT!A$5:H$60,3,0)</f>
        <v>NANGUEN MARTIN</v>
      </c>
      <c r="C24" s="109">
        <f>VLOOKUP(A24,[13]MVTRESUME24!$A$7:$Q$41,14,0)</f>
        <v>12000</v>
      </c>
      <c r="D24" s="111"/>
      <c r="E24" s="14"/>
      <c r="F24" s="110"/>
    </row>
    <row r="25" spans="1:6" ht="18.5" x14ac:dyDescent="0.45">
      <c r="A25" s="19" t="s">
        <v>73</v>
      </c>
      <c r="B25" s="14" t="str">
        <f>VLOOKUP(A25,[16]LISTADHERENT!A$5:H$60,3,0)</f>
        <v>NANKAM APPOLINAIRE</v>
      </c>
      <c r="C25" s="109">
        <f>VLOOKUP(A25,[13]MVTRESUME24!$A$7:$Q$41,14,0)</f>
        <v>12000</v>
      </c>
      <c r="D25" s="111"/>
      <c r="E25" s="14"/>
      <c r="F25" s="110"/>
    </row>
    <row r="26" spans="1:6" ht="18.5" x14ac:dyDescent="0.45">
      <c r="A26" s="19" t="s">
        <v>74</v>
      </c>
      <c r="B26" s="14" t="str">
        <f>VLOOKUP(A26,[16]LISTADHERENT!A$5:H$60,3,0)</f>
        <v>NDJOMO ETIENNE</v>
      </c>
      <c r="C26" s="109">
        <f>VLOOKUP(A26,[13]MVTRESUME24!$A$7:$Q$41,14,0)</f>
        <v>12000</v>
      </c>
      <c r="D26" s="14"/>
      <c r="E26" s="14"/>
      <c r="F26" s="110"/>
    </row>
    <row r="27" spans="1:6" ht="18.5" x14ac:dyDescent="0.45">
      <c r="A27" s="19" t="s">
        <v>75</v>
      </c>
      <c r="B27" s="14" t="str">
        <f>VLOOKUP(A27,[16]LISTADHERENT!A$5:H$60,3,0)</f>
        <v>NGONDIEP CLAUDE</v>
      </c>
      <c r="C27" s="109">
        <f>VLOOKUP(A27,[13]MVTRESUME24!$A$7:$Q$41,14,0)</f>
        <v>12000</v>
      </c>
      <c r="D27" s="14"/>
      <c r="E27" s="14"/>
      <c r="F27" s="110"/>
    </row>
    <row r="28" spans="1:6" ht="18.5" x14ac:dyDescent="0.45">
      <c r="A28" s="19" t="s">
        <v>77</v>
      </c>
      <c r="B28" s="14" t="str">
        <f>VLOOKUP(A28,[16]LISTADHERENT!A$5:H$60,3,0)</f>
        <v>NGUIEMEGNI MATHIEU BLAISE</v>
      </c>
      <c r="C28" s="109">
        <f>VLOOKUP(A28,[13]MVTRESUME24!$A$7:$Q$41,14,0)</f>
        <v>12000</v>
      </c>
      <c r="D28" s="14"/>
      <c r="E28" s="14"/>
      <c r="F28" s="110"/>
    </row>
    <row r="29" spans="1:6" ht="18.5" x14ac:dyDescent="0.45">
      <c r="A29" s="19" t="s">
        <v>78</v>
      </c>
      <c r="B29" s="14" t="str">
        <f>VLOOKUP(A29,[16]LISTADHERENT!A$5:H$60,3,0)</f>
        <v>NKAMGANG JUSTIN DEJOLIE</v>
      </c>
      <c r="C29" s="109">
        <f>VLOOKUP(A29,[13]MVTRESUME24!$A$7:$Q$41,14,0)</f>
        <v>12000</v>
      </c>
      <c r="D29" s="14"/>
      <c r="E29" s="14"/>
      <c r="F29" s="110"/>
    </row>
    <row r="30" spans="1:6" ht="18.5" x14ac:dyDescent="0.45">
      <c r="A30" s="19" t="s">
        <v>105</v>
      </c>
      <c r="B30" s="14" t="str">
        <f>VLOOKUP(A30,[16]LISTADHERENT!A$5:H$60,3,0)</f>
        <v>NOUBE ETIENNE</v>
      </c>
      <c r="C30" s="109">
        <f>VLOOKUP(A30,[13]MVTRESUME24!$A$7:$Q$41,14,0)</f>
        <v>12000</v>
      </c>
      <c r="D30" s="14"/>
      <c r="E30" s="14"/>
      <c r="F30" s="110"/>
    </row>
    <row r="31" spans="1:6" ht="18.5" x14ac:dyDescent="0.45">
      <c r="A31" s="19" t="s">
        <v>79</v>
      </c>
      <c r="B31" s="14" t="str">
        <f>VLOOKUP(A31,[16]LISTADHERENT!A$5:H$60,3,0)</f>
        <v>PATEGO NJOSSU GUSTAVE</v>
      </c>
      <c r="C31" s="109">
        <f>VLOOKUP(A31,[13]MVTRESUME24!$A$7:$Q$41,14,0)</f>
        <v>12000</v>
      </c>
      <c r="D31" s="14"/>
      <c r="E31" s="14"/>
      <c r="F31" s="110"/>
    </row>
    <row r="32" spans="1:6" ht="18.5" x14ac:dyDescent="0.45">
      <c r="A32" s="19" t="s">
        <v>128</v>
      </c>
      <c r="B32" s="14" t="str">
        <f>VLOOKUP(A32,[16]LISTADHERENT!A$5:H$60,3,0)</f>
        <v>SEUMO POLYCARPE</v>
      </c>
      <c r="C32" s="109">
        <f>VLOOKUP(A32,[13]MVTRESUME24!$A$7:$Q$41,14,0)</f>
        <v>12000</v>
      </c>
      <c r="D32" s="14"/>
      <c r="E32" s="14"/>
      <c r="F32" s="110"/>
    </row>
    <row r="33" spans="1:6" ht="18.5" x14ac:dyDescent="0.45">
      <c r="A33" s="19" t="s">
        <v>89</v>
      </c>
      <c r="B33" s="14" t="str">
        <f>VLOOKUP(A33,[16]LISTADHERENT!A$5:H$60,3,0)</f>
        <v>SIME BRICE</v>
      </c>
      <c r="C33" s="109">
        <f>VLOOKUP(A33,[13]MVTRESUME24!$A$7:$Q$41,14,0)</f>
        <v>12000</v>
      </c>
      <c r="D33" s="14"/>
      <c r="E33" s="14"/>
      <c r="F33" s="110"/>
    </row>
    <row r="34" spans="1:6" ht="18.5" x14ac:dyDescent="0.45">
      <c r="A34" s="19" t="s">
        <v>80</v>
      </c>
      <c r="B34" s="14" t="str">
        <f>VLOOKUP(A34,[16]LISTADHERENT!A$5:H$60,3,0)</f>
        <v>SIMO PIERRE</v>
      </c>
      <c r="C34" s="109">
        <f>VLOOKUP(A34,[13]MVTRESUME24!$A$7:$Q$41,14,0)</f>
        <v>12000</v>
      </c>
      <c r="D34" s="14"/>
      <c r="E34" s="14"/>
      <c r="F34" s="110"/>
    </row>
    <row r="35" spans="1:6" ht="18.5" x14ac:dyDescent="0.45">
      <c r="A35" s="19" t="s">
        <v>82</v>
      </c>
      <c r="B35" s="14" t="str">
        <f>VLOOKUP(A35,[16]LISTADHERENT!A$5:H$60,3,0)</f>
        <v>TCHOUAMOU MATHIEU</v>
      </c>
      <c r="C35" s="109">
        <f>VLOOKUP(A35,[13]MVTRESUME24!$A$7:$Q$41,14,0)</f>
        <v>12000</v>
      </c>
      <c r="D35" s="14"/>
      <c r="E35" s="14"/>
      <c r="F35" s="110"/>
    </row>
    <row r="36" spans="1:6" ht="18.5" x14ac:dyDescent="0.45">
      <c r="A36" s="19" t="s">
        <v>167</v>
      </c>
      <c r="B36" s="14" t="str">
        <f>VLOOKUP(A36,[16]LISTADHERENT!A$5:H$60,3,0)</f>
        <v>TCHOUATEU AUGUSTIN</v>
      </c>
      <c r="C36" s="109">
        <f>VLOOKUP(A36,[13]MVTRESUME24!$A$7:$Q$41,14,0)</f>
        <v>12000</v>
      </c>
      <c r="D36" s="14"/>
      <c r="E36" s="14"/>
      <c r="F36" s="110"/>
    </row>
    <row r="37" spans="1:6" ht="18.5" x14ac:dyDescent="0.45">
      <c r="A37" s="19" t="s">
        <v>83</v>
      </c>
      <c r="B37" s="14" t="str">
        <f>VLOOKUP(A37,[16]LISTADHERENT!A$5:H$60,3,0)</f>
        <v>TCHOUTOU NANA CLAUDE</v>
      </c>
      <c r="C37" s="109">
        <f>VLOOKUP(A37,[13]MVTRESUME24!$A$7:$Q$41,14,0)</f>
        <v>12000</v>
      </c>
      <c r="D37" s="14"/>
      <c r="E37" s="14"/>
      <c r="F37" s="110"/>
    </row>
    <row r="38" spans="1:6" ht="18.5" x14ac:dyDescent="0.45">
      <c r="A38" s="19" t="s">
        <v>129</v>
      </c>
      <c r="B38" s="14" t="str">
        <f>VLOOKUP(A38,[16]LISTADHERENT!A$5:H$60,3,0)</f>
        <v>YANTCHOU GERVAIS</v>
      </c>
      <c r="C38" s="109">
        <f>VLOOKUP(A38,[13]MVTRESUME24!$A$7:$Q$41,14,0)</f>
        <v>12000</v>
      </c>
      <c r="D38" s="14"/>
      <c r="E38" s="14"/>
      <c r="F38" s="110"/>
    </row>
    <row r="39" spans="1:6" ht="17.5" x14ac:dyDescent="0.35">
      <c r="A39" s="19" t="s">
        <v>84</v>
      </c>
      <c r="B39" s="14" t="str">
        <f>VLOOKUP(A39,[16]LISTADHERENT!A$5:H$60,3,0)</f>
        <v>YEPMOU JEAN JACQUES</v>
      </c>
      <c r="C39" s="109">
        <f>VLOOKUP(A39,[13]MVTRESUME24!$A$7:$Q$41,14,0)</f>
        <v>12000</v>
      </c>
      <c r="D39" s="14"/>
      <c r="E39" s="14"/>
      <c r="F39" s="15"/>
    </row>
    <row r="40" spans="1:6" ht="17.5" x14ac:dyDescent="0.35">
      <c r="A40" s="19" t="s">
        <v>168</v>
      </c>
      <c r="B40" s="14" t="str">
        <f>VLOOKUP(A40,[16]LISTADHERENT!A$5:H$60,3,0)</f>
        <v>YIALA ALAIN OSCAR</v>
      </c>
      <c r="C40" s="109">
        <f>VLOOKUP(A40,[13]MVTRESUME24!$A$7:$Q$41,14,0)</f>
        <v>12000</v>
      </c>
      <c r="D40" s="125"/>
      <c r="E40" s="125"/>
      <c r="F40" s="126"/>
    </row>
    <row r="41" spans="1:6" ht="17.5" x14ac:dyDescent="0.35">
      <c r="A41" s="19" t="s">
        <v>85</v>
      </c>
      <c r="B41" s="14" t="str">
        <f>VLOOKUP(A41,[16]LISTADHERENT!A$5:H$60,3,0)</f>
        <v>YOUMBI EMMANUEL</v>
      </c>
      <c r="C41" s="109">
        <f>VLOOKUP(A41,[13]MVTRESUME24!$A$7:$Q$41,14,0)</f>
        <v>12000</v>
      </c>
      <c r="D41" s="14"/>
      <c r="E41" s="14"/>
      <c r="F41" s="15"/>
    </row>
    <row r="42" spans="1:6" ht="17.5" x14ac:dyDescent="0.35">
      <c r="A42" s="63"/>
      <c r="B42" s="128"/>
      <c r="C42" s="129"/>
      <c r="D42" s="128"/>
      <c r="E42" s="128"/>
      <c r="F42" s="130"/>
    </row>
    <row r="43" spans="1:6" ht="18" thickBot="1" x14ac:dyDescent="0.4">
      <c r="A43" s="68"/>
      <c r="B43" s="127"/>
      <c r="C43" s="60">
        <f>SUM(C8:C41)</f>
        <v>384000</v>
      </c>
      <c r="D43" s="127"/>
      <c r="E43" s="59">
        <f>SUM(E8:E41)</f>
        <v>0</v>
      </c>
      <c r="F43" s="60">
        <f>SUM(F8:F41)</f>
        <v>960000</v>
      </c>
    </row>
    <row r="44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4"/>
  <sheetViews>
    <sheetView topLeftCell="A31" workbookViewId="0">
      <selection activeCell="G19" sqref="G19"/>
    </sheetView>
  </sheetViews>
  <sheetFormatPr baseColWidth="10" defaultRowHeight="14.5" x14ac:dyDescent="0.35"/>
  <cols>
    <col min="2" max="2" width="30" bestFit="1" customWidth="1"/>
    <col min="3" max="3" width="15" bestFit="1" customWidth="1"/>
    <col min="5" max="5" width="36.4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7" t="s">
        <v>4</v>
      </c>
      <c r="B4" s="148"/>
      <c r="C4" s="148"/>
      <c r="D4" s="148"/>
      <c r="E4" s="148"/>
      <c r="F4" s="148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54" t="s">
        <v>96</v>
      </c>
      <c r="B6" s="156" t="s">
        <v>52</v>
      </c>
      <c r="C6" s="107" t="s">
        <v>135</v>
      </c>
      <c r="D6" s="156" t="s">
        <v>132</v>
      </c>
      <c r="E6" s="156"/>
      <c r="F6" s="158"/>
    </row>
    <row r="7" spans="1:6" ht="21.75" customHeight="1" x14ac:dyDescent="0.35">
      <c r="A7" s="155"/>
      <c r="B7" s="157"/>
      <c r="C7" s="108" t="s">
        <v>131</v>
      </c>
      <c r="D7" s="108" t="s">
        <v>133</v>
      </c>
      <c r="E7" s="108" t="s">
        <v>134</v>
      </c>
      <c r="F7" s="26" t="s">
        <v>131</v>
      </c>
    </row>
    <row r="8" spans="1:6" ht="18.5" x14ac:dyDescent="0.45">
      <c r="A8" s="19" t="s">
        <v>90</v>
      </c>
      <c r="B8" s="14" t="str">
        <f>VLOOKUP(A8,[16]LISTADHERENT!A$5:H$60,3,0)</f>
        <v>ASELBY</v>
      </c>
      <c r="C8" s="109">
        <f>VLOOKUP(A8,[13]MVTRESUME24!$A$7:$Q$51,15,0)</f>
        <v>0</v>
      </c>
      <c r="D8" s="111">
        <v>45292</v>
      </c>
      <c r="E8" s="14" t="s">
        <v>173</v>
      </c>
      <c r="F8" s="110">
        <f>+[19]HISTOJANV24!$BQ$36</f>
        <v>100000</v>
      </c>
    </row>
    <row r="9" spans="1:6" ht="18.5" x14ac:dyDescent="0.45">
      <c r="A9" s="19" t="s">
        <v>62</v>
      </c>
      <c r="B9" s="14" t="str">
        <f>VLOOKUP(A9,[16]LISTADHERENT!A$5:H$60,3,0)</f>
        <v>BAKOP ACHILLE</v>
      </c>
      <c r="C9" s="109">
        <f>VLOOKUP(A9,[13]MVTRESUME24!$A$7:$Q$51,15,0)</f>
        <v>48000</v>
      </c>
      <c r="D9" s="111">
        <v>45323</v>
      </c>
      <c r="E9" s="14" t="s">
        <v>174</v>
      </c>
      <c r="F9" s="110">
        <f>+[19]HISTOFEV24!$BQ$36</f>
        <v>100000</v>
      </c>
    </row>
    <row r="10" spans="1:6" ht="18.5" x14ac:dyDescent="0.45">
      <c r="A10" s="19" t="s">
        <v>63</v>
      </c>
      <c r="B10" s="14" t="str">
        <f>VLOOKUP(A10,[16]LISTADHERENT!A$5:H$60,3,0)</f>
        <v>BOUTCHOUANG WILLIAM</v>
      </c>
      <c r="C10" s="109">
        <f>VLOOKUP(A10,[13]MVTRESUME24!$A$7:$Q$51,15,0)</f>
        <v>48000</v>
      </c>
      <c r="D10" s="111">
        <v>45352</v>
      </c>
      <c r="E10" s="14" t="s">
        <v>175</v>
      </c>
      <c r="F10" s="110">
        <f>+[19]HISTOMARS24!$BQ$36</f>
        <v>100000</v>
      </c>
    </row>
    <row r="11" spans="1:6" ht="18.5" x14ac:dyDescent="0.45">
      <c r="A11" s="19" t="s">
        <v>64</v>
      </c>
      <c r="B11" s="14" t="str">
        <f>VLOOKUP(A11,[16]LISTADHERENT!A$5:H$60,3,0)</f>
        <v xml:space="preserve">DJOMO JEAN PAUL </v>
      </c>
      <c r="C11" s="109">
        <f>VLOOKUP(A11,[13]MVTRESUME24!$A$7:$Q$51,15,0)</f>
        <v>48000</v>
      </c>
      <c r="D11" s="111">
        <v>45383</v>
      </c>
      <c r="E11" s="14" t="s">
        <v>184</v>
      </c>
      <c r="F11" s="110">
        <v>100000</v>
      </c>
    </row>
    <row r="12" spans="1:6" ht="18.5" x14ac:dyDescent="0.45">
      <c r="A12" s="19" t="s">
        <v>104</v>
      </c>
      <c r="B12" s="14" t="str">
        <f>VLOOKUP(A12,[16]LISTADHERENT!A$5:H$60,3,0)</f>
        <v>DJOMOU TCHAPDA</v>
      </c>
      <c r="C12" s="109">
        <f>VLOOKUP(A12,[13]MVTRESUME24!$A$7:$Q$51,15,0)</f>
        <v>48000</v>
      </c>
      <c r="D12" s="111">
        <v>45413</v>
      </c>
      <c r="E12" s="14" t="s">
        <v>35</v>
      </c>
      <c r="F12" s="110">
        <v>100000</v>
      </c>
    </row>
    <row r="13" spans="1:6" ht="18.5" x14ac:dyDescent="0.45">
      <c r="A13" s="19" t="s">
        <v>65</v>
      </c>
      <c r="B13" s="14" t="str">
        <f>VLOOKUP(A13,[16]LISTADHERENT!A$5:H$60,3,0)</f>
        <v>DJOUKWE NANGUEN GUY BLAISE</v>
      </c>
      <c r="C13" s="109">
        <f>VLOOKUP(A13,[13]MVTRESUME24!$A$7:$Q$51,15,0)</f>
        <v>48000</v>
      </c>
      <c r="D13" s="111">
        <v>45444</v>
      </c>
      <c r="E13" s="14" t="s">
        <v>185</v>
      </c>
      <c r="F13" s="110">
        <v>100000</v>
      </c>
    </row>
    <row r="14" spans="1:6" ht="18.5" x14ac:dyDescent="0.45">
      <c r="A14" s="19" t="s">
        <v>66</v>
      </c>
      <c r="B14" s="14" t="str">
        <f>VLOOKUP(A14,[16]LISTADHERENT!A$5:H$60,3,0)</f>
        <v>DJUOMBESSY ANTOINE</v>
      </c>
      <c r="C14" s="109">
        <f>VLOOKUP(A14,[13]MVTRESUME24!$A$7:$Q$51,15,0)</f>
        <v>48000</v>
      </c>
      <c r="D14" s="111">
        <v>45474</v>
      </c>
      <c r="E14" s="14" t="s">
        <v>197</v>
      </c>
      <c r="F14" s="110">
        <v>100000</v>
      </c>
    </row>
    <row r="15" spans="1:6" ht="18.5" x14ac:dyDescent="0.45">
      <c r="A15" s="19" t="s">
        <v>87</v>
      </c>
      <c r="B15" s="14" t="str">
        <f>VLOOKUP(A15,[16]LISTADHERENT!A$5:H$60,3,0)</f>
        <v>DOMOU FABIEN</v>
      </c>
      <c r="C15" s="109">
        <f>VLOOKUP(A15,[13]MVTRESUME24!$A$7:$Q$51,15,0)</f>
        <v>48000</v>
      </c>
      <c r="D15" s="111">
        <v>45505</v>
      </c>
      <c r="E15" s="14" t="s">
        <v>198</v>
      </c>
      <c r="F15" s="110">
        <v>100000</v>
      </c>
    </row>
    <row r="16" spans="1:6" ht="18.5" x14ac:dyDescent="0.45">
      <c r="A16" s="19" t="s">
        <v>67</v>
      </c>
      <c r="B16" s="14" t="str">
        <f>VLOOKUP(A16,[16]LISTADHERENT!A$5:H$60,3,0)</f>
        <v>DONHOU DAVID</v>
      </c>
      <c r="C16" s="109">
        <f>VLOOKUP(A16,[13]MVTRESUME24!$A$7:$Q$51,15,0)</f>
        <v>48000</v>
      </c>
      <c r="D16" s="111">
        <v>45536</v>
      </c>
      <c r="E16" s="14" t="s">
        <v>199</v>
      </c>
      <c r="F16" s="110">
        <v>100000</v>
      </c>
    </row>
    <row r="17" spans="1:6" ht="18.5" x14ac:dyDescent="0.45">
      <c r="A17" s="19" t="s">
        <v>68</v>
      </c>
      <c r="B17" s="14" t="str">
        <f>VLOOKUP(A17,[16]LISTADHERENT!A$5:H$60,3,0)</f>
        <v>HENGUE PAUL OMER</v>
      </c>
      <c r="C17" s="109">
        <f>VLOOKUP(A17,[13]MVTRESUME24!$A$7:$Q$51,15,0)</f>
        <v>48000</v>
      </c>
      <c r="D17" s="111">
        <v>45566</v>
      </c>
      <c r="E17" s="14" t="s">
        <v>35</v>
      </c>
      <c r="F17" s="110">
        <v>100000</v>
      </c>
    </row>
    <row r="18" spans="1:6" ht="18.5" x14ac:dyDescent="0.45">
      <c r="A18" s="19" t="s">
        <v>69</v>
      </c>
      <c r="B18" s="14" t="str">
        <f>VLOOKUP(A18,[16]LISTADHERENT!A$5:H$60,3,0)</f>
        <v>HOTCHO BENJAMIN</v>
      </c>
      <c r="C18" s="109">
        <f>VLOOKUP(A18,[13]MVTRESUME24!$A$7:$Q$51,15,0)</f>
        <v>48000</v>
      </c>
      <c r="D18" s="111">
        <v>45597</v>
      </c>
      <c r="E18" s="14" t="s">
        <v>35</v>
      </c>
      <c r="F18" s="110">
        <v>100000</v>
      </c>
    </row>
    <row r="19" spans="1:6" ht="18.5" x14ac:dyDescent="0.45">
      <c r="A19" s="19" t="s">
        <v>70</v>
      </c>
      <c r="B19" s="14" t="str">
        <f>VLOOKUP(A19,[16]LISTADHERENT!A$5:H$60,3,0)</f>
        <v>KOUAMOU MOISE</v>
      </c>
      <c r="C19" s="109">
        <f>VLOOKUP(A19,[13]MVTRESUME24!$A$7:$Q$51,15,0)</f>
        <v>48000</v>
      </c>
      <c r="D19" s="111">
        <v>45627</v>
      </c>
      <c r="E19" s="14" t="s">
        <v>202</v>
      </c>
      <c r="F19" s="110">
        <v>100000</v>
      </c>
    </row>
    <row r="20" spans="1:6" ht="18.5" x14ac:dyDescent="0.45">
      <c r="A20" s="19" t="s">
        <v>71</v>
      </c>
      <c r="B20" s="14" t="str">
        <f>VLOOKUP(A20,[16]LISTADHERENT!A$5:H$60,3,0)</f>
        <v>KOUATCHO MESSACK</v>
      </c>
      <c r="C20" s="109">
        <f>VLOOKUP(A20,[13]MVTRESUME24!$A$7:$Q$51,15,0)</f>
        <v>48000</v>
      </c>
      <c r="D20" s="111"/>
      <c r="E20" s="14"/>
      <c r="F20" s="110"/>
    </row>
    <row r="21" spans="1:6" ht="18.5" x14ac:dyDescent="0.45">
      <c r="A21" s="19" t="s">
        <v>72</v>
      </c>
      <c r="B21" s="14" t="str">
        <f>VLOOKUP(A21,[16]LISTADHERENT!A$5:H$60,3,0)</f>
        <v>LOWE JEAN</v>
      </c>
      <c r="C21" s="109">
        <f>VLOOKUP(A21,[13]MVTRESUME24!$A$7:$Q$51,15,0)</f>
        <v>0</v>
      </c>
      <c r="D21" s="111"/>
      <c r="E21" s="14"/>
      <c r="F21" s="110"/>
    </row>
    <row r="22" spans="1:6" ht="18.5" x14ac:dyDescent="0.45">
      <c r="A22" s="19" t="s">
        <v>166</v>
      </c>
      <c r="B22" s="14" t="str">
        <f>VLOOKUP(A22,[16]LISTADHERENT!A$5:H$60,3,0)</f>
        <v>MASSEUNGOUE DAGOBERT</v>
      </c>
      <c r="C22" s="109">
        <f>VLOOKUP(A22,[13]MVTRESUME24!$A$7:$Q$51,15,0)</f>
        <v>48000</v>
      </c>
      <c r="D22" s="111"/>
      <c r="E22" s="14"/>
      <c r="F22" s="110"/>
    </row>
    <row r="23" spans="1:6" ht="18.5" x14ac:dyDescent="0.45">
      <c r="A23" s="19" t="s">
        <v>86</v>
      </c>
      <c r="B23" s="14" t="str">
        <f>VLOOKUP(A23,[16]LISTADHERENT!A$5:H$60,3,0)</f>
        <v>MBOGNING TUGMA GUY</v>
      </c>
      <c r="C23" s="109">
        <f>VLOOKUP(A23,[13]MVTRESUME24!$A$7:$Q$51,15,0)</f>
        <v>48000</v>
      </c>
      <c r="D23" s="111"/>
      <c r="E23" s="14"/>
      <c r="F23" s="110"/>
    </row>
    <row r="24" spans="1:6" ht="18.5" x14ac:dyDescent="0.45">
      <c r="A24" s="19" t="s">
        <v>81</v>
      </c>
      <c r="B24" s="14" t="str">
        <f>VLOOKUP(A24,[16]LISTADHERENT!A$5:H$60,3,0)</f>
        <v>NANGUEN MARTIN</v>
      </c>
      <c r="C24" s="109">
        <f>VLOOKUP(A24,[13]MVTRESUME24!$A$7:$Q$51,15,0)</f>
        <v>48000</v>
      </c>
      <c r="D24" s="111"/>
      <c r="E24" s="14"/>
      <c r="F24" s="110"/>
    </row>
    <row r="25" spans="1:6" ht="18.5" x14ac:dyDescent="0.45">
      <c r="A25" s="19" t="s">
        <v>73</v>
      </c>
      <c r="B25" s="14" t="str">
        <f>VLOOKUP(A25,[16]LISTADHERENT!A$5:H$60,3,0)</f>
        <v>NANKAM APPOLINAIRE</v>
      </c>
      <c r="C25" s="109">
        <f>VLOOKUP(A25,[13]MVTRESUME24!$A$7:$Q$51,15,0)</f>
        <v>48000</v>
      </c>
      <c r="D25" s="111"/>
      <c r="E25" s="14"/>
      <c r="F25" s="110"/>
    </row>
    <row r="26" spans="1:6" ht="18.5" x14ac:dyDescent="0.45">
      <c r="A26" s="19" t="s">
        <v>74</v>
      </c>
      <c r="B26" s="14" t="str">
        <f>VLOOKUP(A26,[16]LISTADHERENT!A$5:H$60,3,0)</f>
        <v>NDJOMO ETIENNE</v>
      </c>
      <c r="C26" s="109">
        <f>VLOOKUP(A26,[13]MVTRESUME24!$A$7:$Q$51,15,0)</f>
        <v>48000</v>
      </c>
      <c r="D26" s="14"/>
      <c r="E26" s="14"/>
      <c r="F26" s="110"/>
    </row>
    <row r="27" spans="1:6" ht="18.5" x14ac:dyDescent="0.45">
      <c r="A27" s="19" t="s">
        <v>75</v>
      </c>
      <c r="B27" s="14" t="str">
        <f>VLOOKUP(A27,[16]LISTADHERENT!A$5:H$60,3,0)</f>
        <v>NGONDIEP CLAUDE</v>
      </c>
      <c r="C27" s="109">
        <f>VLOOKUP(A27,[13]MVTRESUME24!$A$7:$Q$51,15,0)</f>
        <v>48000</v>
      </c>
      <c r="D27" s="14"/>
      <c r="E27" s="14"/>
      <c r="F27" s="110"/>
    </row>
    <row r="28" spans="1:6" ht="18.5" x14ac:dyDescent="0.45">
      <c r="A28" s="19" t="s">
        <v>77</v>
      </c>
      <c r="B28" s="14" t="str">
        <f>VLOOKUP(A28,[16]LISTADHERENT!A$5:H$60,3,0)</f>
        <v>NGUIEMEGNI MATHIEU BLAISE</v>
      </c>
      <c r="C28" s="109">
        <f>VLOOKUP(A28,[13]MVTRESUME24!$A$7:$Q$51,15,0)</f>
        <v>48000</v>
      </c>
      <c r="D28" s="14"/>
      <c r="E28" s="14"/>
      <c r="F28" s="110"/>
    </row>
    <row r="29" spans="1:6" ht="18.5" x14ac:dyDescent="0.45">
      <c r="A29" s="19" t="s">
        <v>78</v>
      </c>
      <c r="B29" s="14" t="str">
        <f>VLOOKUP(A29,[16]LISTADHERENT!A$5:H$60,3,0)</f>
        <v>NKAMGANG JUSTIN DEJOLIE</v>
      </c>
      <c r="C29" s="109">
        <f>VLOOKUP(A29,[13]MVTRESUME24!$A$7:$Q$51,15,0)</f>
        <v>48000</v>
      </c>
      <c r="D29" s="14"/>
      <c r="E29" s="14"/>
      <c r="F29" s="110"/>
    </row>
    <row r="30" spans="1:6" ht="18.5" x14ac:dyDescent="0.45">
      <c r="A30" s="19" t="s">
        <v>105</v>
      </c>
      <c r="B30" s="14" t="str">
        <f>VLOOKUP(A30,[16]LISTADHERENT!A$5:H$60,3,0)</f>
        <v>NOUBE ETIENNE</v>
      </c>
      <c r="C30" s="109">
        <f>VLOOKUP(A30,[13]MVTRESUME24!$A$7:$Q$51,15,0)</f>
        <v>48000</v>
      </c>
      <c r="D30" s="14"/>
      <c r="E30" s="14"/>
      <c r="F30" s="110"/>
    </row>
    <row r="31" spans="1:6" ht="18.5" x14ac:dyDescent="0.45">
      <c r="A31" s="19" t="s">
        <v>79</v>
      </c>
      <c r="B31" s="14" t="str">
        <f>VLOOKUP(A31,[16]LISTADHERENT!A$5:H$60,3,0)</f>
        <v>PATEGO NJOSSU GUSTAVE</v>
      </c>
      <c r="C31" s="109">
        <f>VLOOKUP(A31,[13]MVTRESUME24!$A$7:$Q$51,15,0)</f>
        <v>48000</v>
      </c>
      <c r="D31" s="14"/>
      <c r="E31" s="14"/>
      <c r="F31" s="110"/>
    </row>
    <row r="32" spans="1:6" ht="18.5" x14ac:dyDescent="0.45">
      <c r="A32" s="19" t="s">
        <v>128</v>
      </c>
      <c r="B32" s="14" t="str">
        <f>VLOOKUP(A32,[16]LISTADHERENT!A$5:H$60,3,0)</f>
        <v>SEUMO POLYCARPE</v>
      </c>
      <c r="C32" s="109">
        <f>VLOOKUP(A32,[13]MVTRESUME24!$A$7:$Q$51,15,0)</f>
        <v>48000</v>
      </c>
      <c r="D32" s="14"/>
      <c r="E32" s="14"/>
      <c r="F32" s="110"/>
    </row>
    <row r="33" spans="1:6" ht="18.5" x14ac:dyDescent="0.45">
      <c r="A33" s="19" t="s">
        <v>89</v>
      </c>
      <c r="B33" s="14" t="str">
        <f>VLOOKUP(A33,[16]LISTADHERENT!A$5:H$60,3,0)</f>
        <v>SIME BRICE</v>
      </c>
      <c r="C33" s="109">
        <f>VLOOKUP(A33,[13]MVTRESUME24!$A$7:$Q$51,15,0)</f>
        <v>48000</v>
      </c>
      <c r="D33" s="14"/>
      <c r="E33" s="14"/>
      <c r="F33" s="110"/>
    </row>
    <row r="34" spans="1:6" ht="18.5" x14ac:dyDescent="0.45">
      <c r="A34" s="19" t="s">
        <v>80</v>
      </c>
      <c r="B34" s="14" t="str">
        <f>VLOOKUP(A34,[16]LISTADHERENT!A$5:H$60,3,0)</f>
        <v>SIMO PIERRE</v>
      </c>
      <c r="C34" s="109">
        <f>VLOOKUP(A34,[13]MVTRESUME24!$A$7:$Q$51,15,0)</f>
        <v>48000</v>
      </c>
      <c r="D34" s="14"/>
      <c r="E34" s="14"/>
      <c r="F34" s="110"/>
    </row>
    <row r="35" spans="1:6" ht="18.5" x14ac:dyDescent="0.45">
      <c r="A35" s="19" t="s">
        <v>82</v>
      </c>
      <c r="B35" s="14" t="str">
        <f>VLOOKUP(A35,[16]LISTADHERENT!A$5:H$60,3,0)</f>
        <v>TCHOUAMOU MATHIEU</v>
      </c>
      <c r="C35" s="109">
        <f>VLOOKUP(A35,[13]MVTRESUME24!$A$7:$Q$51,15,0)</f>
        <v>48000</v>
      </c>
      <c r="D35" s="14"/>
      <c r="E35" s="14"/>
      <c r="F35" s="110"/>
    </row>
    <row r="36" spans="1:6" ht="18.5" x14ac:dyDescent="0.45">
      <c r="A36" s="19" t="s">
        <v>167</v>
      </c>
      <c r="B36" s="14" t="str">
        <f>VLOOKUP(A36,[16]LISTADHERENT!A$5:H$60,3,0)</f>
        <v>TCHOUATEU AUGUSTIN</v>
      </c>
      <c r="C36" s="109">
        <f>VLOOKUP(A36,[13]MVTRESUME24!$A$7:$Q$51,15,0)</f>
        <v>48000</v>
      </c>
      <c r="D36" s="14"/>
      <c r="E36" s="14"/>
      <c r="F36" s="110"/>
    </row>
    <row r="37" spans="1:6" ht="18.5" x14ac:dyDescent="0.45">
      <c r="A37" s="19" t="s">
        <v>83</v>
      </c>
      <c r="B37" s="14" t="str">
        <f>VLOOKUP(A37,[16]LISTADHERENT!A$5:H$60,3,0)</f>
        <v>TCHOUTOU NANA CLAUDE</v>
      </c>
      <c r="C37" s="109">
        <f>VLOOKUP(A37,[13]MVTRESUME24!$A$7:$Q$51,15,0)</f>
        <v>48000</v>
      </c>
      <c r="D37" s="14"/>
      <c r="E37" s="14"/>
      <c r="F37" s="110"/>
    </row>
    <row r="38" spans="1:6" ht="18.5" x14ac:dyDescent="0.45">
      <c r="A38" s="19" t="s">
        <v>129</v>
      </c>
      <c r="B38" s="14" t="str">
        <f>VLOOKUP(A38,[16]LISTADHERENT!A$5:H$60,3,0)</f>
        <v>YANTCHOU GERVAIS</v>
      </c>
      <c r="C38" s="109">
        <f>VLOOKUP(A38,[13]MVTRESUME24!$A$7:$Q$51,15,0)</f>
        <v>48000</v>
      </c>
      <c r="D38" s="14"/>
      <c r="E38" s="14"/>
      <c r="F38" s="110"/>
    </row>
    <row r="39" spans="1:6" ht="18.5" x14ac:dyDescent="0.45">
      <c r="A39" s="19" t="s">
        <v>84</v>
      </c>
      <c r="B39" s="14" t="str">
        <f>VLOOKUP(A39,[16]LISTADHERENT!A$5:H$60,3,0)</f>
        <v>YEPMOU JEAN JACQUES</v>
      </c>
      <c r="C39" s="109">
        <f>VLOOKUP(A39,[13]MVTRESUME24!$A$7:$Q$51,15,0)</f>
        <v>48000</v>
      </c>
      <c r="D39" s="14"/>
      <c r="E39" s="14"/>
      <c r="F39" s="110"/>
    </row>
    <row r="40" spans="1:6" ht="18.5" x14ac:dyDescent="0.45">
      <c r="A40" s="19" t="s">
        <v>168</v>
      </c>
      <c r="B40" s="14" t="str">
        <f>VLOOKUP(A40,[16]LISTADHERENT!A$5:H$60,3,0)</f>
        <v>YIALA ALAIN OSCAR</v>
      </c>
      <c r="C40" s="109">
        <f>VLOOKUP(A40,[13]MVTRESUME24!$A$7:$Q$51,15,0)</f>
        <v>48000</v>
      </c>
      <c r="D40" s="14"/>
      <c r="E40" s="14"/>
      <c r="F40" s="110"/>
    </row>
    <row r="41" spans="1:6" ht="18.5" x14ac:dyDescent="0.45">
      <c r="A41" s="19" t="s">
        <v>85</v>
      </c>
      <c r="B41" s="14" t="str">
        <f>VLOOKUP(A41,[16]LISTADHERENT!A$5:H$60,3,0)</f>
        <v>YOUMBI EMMANUEL</v>
      </c>
      <c r="C41" s="109">
        <f>VLOOKUP(A41,[13]MVTRESUME24!$A$7:$Q$51,15,0)</f>
        <v>48000</v>
      </c>
      <c r="D41" s="14"/>
      <c r="E41" s="14"/>
      <c r="F41" s="110"/>
    </row>
    <row r="42" spans="1:6" x14ac:dyDescent="0.35">
      <c r="A42" s="19"/>
      <c r="B42" s="14"/>
      <c r="C42" s="14"/>
      <c r="D42" s="14"/>
      <c r="E42" s="14"/>
      <c r="F42" s="15"/>
    </row>
    <row r="43" spans="1:6" ht="18" thickBot="1" x14ac:dyDescent="0.4">
      <c r="A43" s="31" t="s">
        <v>23</v>
      </c>
      <c r="B43" s="58"/>
      <c r="C43" s="59">
        <f>SUM(C8:C42)</f>
        <v>1536000</v>
      </c>
      <c r="D43" s="59"/>
      <c r="E43" s="59">
        <f>SUM(E6:E42)</f>
        <v>0</v>
      </c>
      <c r="F43" s="60">
        <f>SUM(F6:F42)</f>
        <v>1200000</v>
      </c>
    </row>
    <row r="44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4"/>
  <sheetViews>
    <sheetView workbookViewId="0">
      <selection activeCell="F8" sqref="F8"/>
    </sheetView>
  </sheetViews>
  <sheetFormatPr baseColWidth="10" defaultRowHeight="14.5" x14ac:dyDescent="0.35"/>
  <cols>
    <col min="2" max="2" width="30" bestFit="1" customWidth="1"/>
    <col min="3" max="3" width="18.26953125" customWidth="1"/>
    <col min="4" max="4" width="15" bestFit="1" customWidth="1"/>
    <col min="5" max="5" width="18.453125" customWidth="1"/>
    <col min="7" max="7" width="36.453125" bestFit="1" customWidth="1"/>
    <col min="8" max="8" width="20.7265625" customWidth="1"/>
  </cols>
  <sheetData>
    <row r="1" spans="1:8" x14ac:dyDescent="0.35">
      <c r="A1" s="1" t="s">
        <v>94</v>
      </c>
      <c r="B1" s="1" t="s">
        <v>95</v>
      </c>
    </row>
    <row r="2" spans="1:8" x14ac:dyDescent="0.35">
      <c r="A2" s="1" t="s">
        <v>10</v>
      </c>
      <c r="B2" s="1">
        <v>2024</v>
      </c>
    </row>
    <row r="4" spans="1:8" ht="26" x14ac:dyDescent="0.35">
      <c r="A4" s="147" t="s">
        <v>138</v>
      </c>
      <c r="B4" s="148"/>
      <c r="C4" s="148"/>
      <c r="D4" s="148"/>
      <c r="E4" s="148"/>
      <c r="F4" s="148"/>
      <c r="G4" s="148"/>
      <c r="H4" s="148"/>
    </row>
    <row r="5" spans="1:8" ht="15" thickBot="1" x14ac:dyDescent="0.4">
      <c r="A5" s="71"/>
      <c r="B5" s="72"/>
      <c r="C5" s="73"/>
      <c r="D5" s="73"/>
      <c r="E5" s="73"/>
      <c r="F5" s="73"/>
      <c r="G5" s="74"/>
      <c r="H5" s="73"/>
    </row>
    <row r="6" spans="1:8" ht="15.75" customHeight="1" thickTop="1" x14ac:dyDescent="0.4">
      <c r="A6" s="154" t="s">
        <v>96</v>
      </c>
      <c r="B6" s="156" t="s">
        <v>52</v>
      </c>
      <c r="C6" s="107" t="s">
        <v>135</v>
      </c>
      <c r="D6" s="107"/>
      <c r="E6" s="107"/>
      <c r="F6" s="156" t="s">
        <v>132</v>
      </c>
      <c r="G6" s="156"/>
      <c r="H6" s="158"/>
    </row>
    <row r="7" spans="1:8" ht="21.75" customHeight="1" x14ac:dyDescent="0.35">
      <c r="A7" s="155"/>
      <c r="B7" s="157"/>
      <c r="C7" s="108" t="s">
        <v>131</v>
      </c>
      <c r="D7" s="108" t="s">
        <v>157</v>
      </c>
      <c r="E7" s="108" t="s">
        <v>23</v>
      </c>
      <c r="F7" s="108" t="s">
        <v>133</v>
      </c>
      <c r="G7" s="108" t="s">
        <v>134</v>
      </c>
      <c r="H7" s="26" t="s">
        <v>131</v>
      </c>
    </row>
    <row r="8" spans="1:8" ht="18.5" x14ac:dyDescent="0.45">
      <c r="A8" s="19" t="s">
        <v>90</v>
      </c>
      <c r="B8" s="14" t="str">
        <f>VLOOKUP(A8,[16]LISTADHERENT!A$5:H$60,3,0)</f>
        <v>ASELBY</v>
      </c>
      <c r="C8" s="109">
        <f>VLOOKUP(A8,[13]MVTRESUME24!$A$7:$AQ$41,18,0)</f>
        <v>0</v>
      </c>
      <c r="D8" s="109">
        <f>DETAILFICHECASSATION!K6</f>
        <v>0</v>
      </c>
      <c r="E8" s="109">
        <f>C8+D8</f>
        <v>0</v>
      </c>
      <c r="F8" s="111">
        <v>45323</v>
      </c>
      <c r="G8" s="14" t="s">
        <v>178</v>
      </c>
      <c r="H8" s="110">
        <f>[19]HISTOFEV24!$BQ$32</f>
        <v>100000</v>
      </c>
    </row>
    <row r="9" spans="1:8" ht="18.5" x14ac:dyDescent="0.45">
      <c r="A9" s="19" t="s">
        <v>62</v>
      </c>
      <c r="B9" s="14" t="str">
        <f>VLOOKUP(A9,[16]LISTADHERENT!A$5:H$60,3,0)</f>
        <v>BAKOP ACHILLE</v>
      </c>
      <c r="C9" s="109">
        <f>VLOOKUP(A9,[13]MVTRESUME24!$A$7:$AQ$41,18,0)</f>
        <v>0</v>
      </c>
      <c r="D9" s="109">
        <f>DETAILFICHECASSATION!K7</f>
        <v>20000</v>
      </c>
      <c r="E9" s="109">
        <f t="shared" ref="E9:E41" si="0">C9+D9</f>
        <v>20000</v>
      </c>
      <c r="F9" s="111">
        <v>45597</v>
      </c>
      <c r="G9" s="14" t="s">
        <v>200</v>
      </c>
      <c r="H9" s="110">
        <f>+[19]HISTONOV24!$BQ$30</f>
        <v>100000</v>
      </c>
    </row>
    <row r="10" spans="1:8" ht="18.5" x14ac:dyDescent="0.45">
      <c r="A10" s="19" t="s">
        <v>63</v>
      </c>
      <c r="B10" s="14" t="str">
        <f>VLOOKUP(A10,[16]LISTADHERENT!A$5:H$60,3,0)</f>
        <v>BOUTCHOUANG WILLIAM</v>
      </c>
      <c r="C10" s="109">
        <f>VLOOKUP(A10,[13]MVTRESUME24!$A$7:$AQ$41,18,0)</f>
        <v>0</v>
      </c>
      <c r="D10" s="109">
        <f>DETAILFICHECASSATION!K8</f>
        <v>20000</v>
      </c>
      <c r="E10" s="109">
        <f t="shared" si="0"/>
        <v>20000</v>
      </c>
      <c r="F10" s="111"/>
      <c r="G10" s="14"/>
      <c r="H10" s="110"/>
    </row>
    <row r="11" spans="1:8" ht="18.5" x14ac:dyDescent="0.45">
      <c r="A11" s="19" t="s">
        <v>64</v>
      </c>
      <c r="B11" s="14" t="str">
        <f>VLOOKUP(A11,[16]LISTADHERENT!A$5:H$60,3,0)</f>
        <v xml:space="preserve">DJOMO JEAN PAUL </v>
      </c>
      <c r="C11" s="109">
        <f>VLOOKUP(A11,[13]MVTRESUME24!$A$7:$AQ$41,18,0)</f>
        <v>0</v>
      </c>
      <c r="D11" s="109">
        <f>DETAILFICHECASSATION!K9</f>
        <v>20000</v>
      </c>
      <c r="E11" s="109">
        <f t="shared" si="0"/>
        <v>20000</v>
      </c>
      <c r="F11" s="111"/>
      <c r="G11" s="14"/>
      <c r="H11" s="110"/>
    </row>
    <row r="12" spans="1:8" ht="18.5" x14ac:dyDescent="0.45">
      <c r="A12" s="19" t="s">
        <v>104</v>
      </c>
      <c r="B12" s="14" t="str">
        <f>VLOOKUP(A12,[16]LISTADHERENT!A$5:H$60,3,0)</f>
        <v>DJOMOU TCHAPDA</v>
      </c>
      <c r="C12" s="109">
        <f>VLOOKUP(A12,[13]MVTRESUME24!$A$7:$AQ$41,18,0)</f>
        <v>0</v>
      </c>
      <c r="D12" s="109">
        <f>DETAILFICHECASSATION!K10</f>
        <v>20000</v>
      </c>
      <c r="E12" s="109">
        <f t="shared" si="0"/>
        <v>20000</v>
      </c>
      <c r="F12" s="111"/>
      <c r="G12" s="14"/>
      <c r="H12" s="110"/>
    </row>
    <row r="13" spans="1:8" ht="18.5" x14ac:dyDescent="0.45">
      <c r="A13" s="19" t="s">
        <v>65</v>
      </c>
      <c r="B13" s="14" t="str">
        <f>VLOOKUP(A13,[16]LISTADHERENT!A$5:H$60,3,0)</f>
        <v>DJOUKWE NANGUEN GUY BLAISE</v>
      </c>
      <c r="C13" s="109">
        <f>VLOOKUP(A13,[13]MVTRESUME24!$A$7:$AQ$41,18,0)</f>
        <v>0</v>
      </c>
      <c r="D13" s="109">
        <f>DETAILFICHECASSATION!K11</f>
        <v>20000</v>
      </c>
      <c r="E13" s="109">
        <f t="shared" si="0"/>
        <v>20000</v>
      </c>
      <c r="F13" s="111"/>
      <c r="G13" s="14"/>
      <c r="H13" s="110"/>
    </row>
    <row r="14" spans="1:8" ht="18.5" x14ac:dyDescent="0.45">
      <c r="A14" s="19" t="s">
        <v>66</v>
      </c>
      <c r="B14" s="14" t="str">
        <f>VLOOKUP(A14,[16]LISTADHERENT!A$5:H$60,3,0)</f>
        <v>DJUOMBESSY ANTOINE</v>
      </c>
      <c r="C14" s="109">
        <f>VLOOKUP(A14,[13]MVTRESUME24!$A$7:$AQ$41,18,0)</f>
        <v>0</v>
      </c>
      <c r="D14" s="109">
        <f>DETAILFICHECASSATION!K12</f>
        <v>20000</v>
      </c>
      <c r="E14" s="109">
        <f t="shared" si="0"/>
        <v>20000</v>
      </c>
      <c r="F14" s="111"/>
      <c r="G14" s="14"/>
      <c r="H14" s="110"/>
    </row>
    <row r="15" spans="1:8" ht="18.5" x14ac:dyDescent="0.45">
      <c r="A15" s="19" t="s">
        <v>87</v>
      </c>
      <c r="B15" s="14" t="str">
        <f>VLOOKUP(A15,[16]LISTADHERENT!A$5:H$60,3,0)</f>
        <v>DOMOU FABIEN</v>
      </c>
      <c r="C15" s="109">
        <f>VLOOKUP(A15,[13]MVTRESUME24!$A$7:$AQ$41,18,0)</f>
        <v>0</v>
      </c>
      <c r="D15" s="109">
        <f>DETAILFICHECASSATION!K13</f>
        <v>20000</v>
      </c>
      <c r="E15" s="109">
        <f t="shared" si="0"/>
        <v>20000</v>
      </c>
      <c r="F15" s="111"/>
      <c r="G15" s="14"/>
      <c r="H15" s="110"/>
    </row>
    <row r="16" spans="1:8" ht="18.5" x14ac:dyDescent="0.45">
      <c r="A16" s="19" t="s">
        <v>67</v>
      </c>
      <c r="B16" s="14" t="str">
        <f>VLOOKUP(A16,[16]LISTADHERENT!A$5:H$60,3,0)</f>
        <v>DONHOU DAVID</v>
      </c>
      <c r="C16" s="109">
        <f>VLOOKUP(A16,[13]MVTRESUME24!$A$7:$AQ$41,18,0)</f>
        <v>0</v>
      </c>
      <c r="D16" s="109">
        <f>DETAILFICHECASSATION!K14</f>
        <v>20000</v>
      </c>
      <c r="E16" s="109">
        <f t="shared" si="0"/>
        <v>20000</v>
      </c>
      <c r="F16" s="111"/>
      <c r="G16" s="14"/>
      <c r="H16" s="110"/>
    </row>
    <row r="17" spans="1:8" ht="18.5" x14ac:dyDescent="0.45">
      <c r="A17" s="19" t="s">
        <v>68</v>
      </c>
      <c r="B17" s="14" t="str">
        <f>VLOOKUP(A17,[16]LISTADHERENT!A$5:H$60,3,0)</f>
        <v>HENGUE PAUL OMER</v>
      </c>
      <c r="C17" s="109">
        <f>VLOOKUP(A17,[13]MVTRESUME24!$A$7:$AQ$41,18,0)</f>
        <v>0</v>
      </c>
      <c r="D17" s="109">
        <f>DETAILFICHECASSATION!K15</f>
        <v>20000</v>
      </c>
      <c r="E17" s="109">
        <f t="shared" si="0"/>
        <v>20000</v>
      </c>
      <c r="F17" s="111"/>
      <c r="G17" s="14"/>
      <c r="H17" s="110"/>
    </row>
    <row r="18" spans="1:8" ht="18.5" x14ac:dyDescent="0.45">
      <c r="A18" s="19" t="s">
        <v>69</v>
      </c>
      <c r="B18" s="14" t="str">
        <f>VLOOKUP(A18,[16]LISTADHERENT!A$5:H$60,3,0)</f>
        <v>HOTCHO BENJAMIN</v>
      </c>
      <c r="C18" s="109">
        <f>VLOOKUP(A18,[13]MVTRESUME24!$A$7:$AQ$41,18,0)</f>
        <v>0</v>
      </c>
      <c r="D18" s="109">
        <f>DETAILFICHECASSATION!K16</f>
        <v>20000</v>
      </c>
      <c r="E18" s="109">
        <f t="shared" si="0"/>
        <v>20000</v>
      </c>
      <c r="F18" s="111"/>
      <c r="G18" s="14"/>
      <c r="H18" s="110"/>
    </row>
    <row r="19" spans="1:8" ht="18.5" x14ac:dyDescent="0.45">
      <c r="A19" s="19" t="s">
        <v>70</v>
      </c>
      <c r="B19" s="14" t="str">
        <f>VLOOKUP(A19,[16]LISTADHERENT!A$5:H$60,3,0)</f>
        <v>KOUAMOU MOISE</v>
      </c>
      <c r="C19" s="109">
        <f>VLOOKUP(A19,[13]MVTRESUME24!$A$7:$AQ$41,18,0)</f>
        <v>0</v>
      </c>
      <c r="D19" s="109">
        <f>DETAILFICHECASSATION!K17</f>
        <v>20000</v>
      </c>
      <c r="E19" s="109">
        <f t="shared" si="0"/>
        <v>20000</v>
      </c>
      <c r="F19" s="111"/>
      <c r="G19" s="14"/>
      <c r="H19" s="110"/>
    </row>
    <row r="20" spans="1:8" ht="18.5" x14ac:dyDescent="0.45">
      <c r="A20" s="19" t="s">
        <v>71</v>
      </c>
      <c r="B20" s="14" t="str">
        <f>VLOOKUP(A20,[16]LISTADHERENT!A$5:H$60,3,0)</f>
        <v>KOUATCHO MESSACK</v>
      </c>
      <c r="C20" s="109">
        <f>VLOOKUP(A20,[13]MVTRESUME24!$A$7:$AQ$41,18,0)</f>
        <v>0</v>
      </c>
      <c r="D20" s="109">
        <f>DETAILFICHECASSATION!K18</f>
        <v>20000</v>
      </c>
      <c r="E20" s="109">
        <f t="shared" si="0"/>
        <v>20000</v>
      </c>
      <c r="F20" s="111"/>
      <c r="G20" s="14"/>
      <c r="H20" s="110"/>
    </row>
    <row r="21" spans="1:8" ht="18.5" x14ac:dyDescent="0.45">
      <c r="A21" s="19" t="s">
        <v>72</v>
      </c>
      <c r="B21" s="14" t="str">
        <f>VLOOKUP(A21,[16]LISTADHERENT!A$5:H$60,3,0)</f>
        <v>LOWE JEAN</v>
      </c>
      <c r="C21" s="109">
        <f>VLOOKUP(A21,[13]MVTRESUME24!$A$7:$AQ$41,18,0)</f>
        <v>0</v>
      </c>
      <c r="D21" s="109">
        <f>DETAILFICHECASSATION!K19</f>
        <v>0</v>
      </c>
      <c r="E21" s="109">
        <f t="shared" si="0"/>
        <v>0</v>
      </c>
      <c r="F21" s="111"/>
      <c r="G21" s="14"/>
      <c r="H21" s="110"/>
    </row>
    <row r="22" spans="1:8" ht="18.5" x14ac:dyDescent="0.45">
      <c r="A22" s="19" t="s">
        <v>166</v>
      </c>
      <c r="B22" s="14" t="str">
        <f>VLOOKUP(A22,[16]LISTADHERENT!A$5:H$60,3,0)</f>
        <v>MASSEUNGOUE DAGOBERT</v>
      </c>
      <c r="C22" s="109">
        <f>VLOOKUP(A22,[13]MVTRESUME24!$A$7:$AQ$41,18,0)</f>
        <v>0</v>
      </c>
      <c r="D22" s="109">
        <f>DETAILFICHECASSATION!K20</f>
        <v>120000</v>
      </c>
      <c r="E22" s="109">
        <f t="shared" si="0"/>
        <v>120000</v>
      </c>
      <c r="F22" s="111"/>
      <c r="G22" s="14"/>
      <c r="H22" s="110"/>
    </row>
    <row r="23" spans="1:8" ht="18.5" x14ac:dyDescent="0.45">
      <c r="A23" s="19" t="s">
        <v>86</v>
      </c>
      <c r="B23" s="14" t="str">
        <f>VLOOKUP(A23,[16]LISTADHERENT!A$5:H$60,3,0)</f>
        <v>MBOGNING TUGMA GUY</v>
      </c>
      <c r="C23" s="109">
        <f>VLOOKUP(A23,[13]MVTRESUME24!$A$7:$AQ$41,18,0)</f>
        <v>0</v>
      </c>
      <c r="D23" s="109">
        <f>DETAILFICHECASSATION!K21</f>
        <v>20000</v>
      </c>
      <c r="E23" s="109">
        <f t="shared" si="0"/>
        <v>20000</v>
      </c>
      <c r="F23" s="111"/>
      <c r="G23" s="14"/>
      <c r="H23" s="110"/>
    </row>
    <row r="24" spans="1:8" ht="18.5" x14ac:dyDescent="0.45">
      <c r="A24" s="19" t="s">
        <v>81</v>
      </c>
      <c r="B24" s="14" t="str">
        <f>VLOOKUP(A24,[16]LISTADHERENT!A$5:H$60,3,0)</f>
        <v>NANGUEN MARTIN</v>
      </c>
      <c r="C24" s="109">
        <f>VLOOKUP(A24,[13]MVTRESUME24!$A$7:$AQ$41,18,0)</f>
        <v>0</v>
      </c>
      <c r="D24" s="109">
        <f>DETAILFICHECASSATION!K22</f>
        <v>20000</v>
      </c>
      <c r="E24" s="109">
        <f t="shared" si="0"/>
        <v>20000</v>
      </c>
      <c r="F24" s="111"/>
      <c r="G24" s="14"/>
      <c r="H24" s="110"/>
    </row>
    <row r="25" spans="1:8" ht="18.5" x14ac:dyDescent="0.45">
      <c r="A25" s="19" t="s">
        <v>73</v>
      </c>
      <c r="B25" s="14" t="str">
        <f>VLOOKUP(A25,[16]LISTADHERENT!A$5:H$60,3,0)</f>
        <v>NANKAM APPOLINAIRE</v>
      </c>
      <c r="C25" s="109">
        <f>VLOOKUP(A25,[13]MVTRESUME24!$A$7:$AQ$41,18,0)</f>
        <v>0</v>
      </c>
      <c r="D25" s="109">
        <f>DETAILFICHECASSATION!K23</f>
        <v>20000</v>
      </c>
      <c r="E25" s="109">
        <f t="shared" si="0"/>
        <v>20000</v>
      </c>
      <c r="F25" s="111"/>
      <c r="G25" s="14"/>
      <c r="H25" s="110"/>
    </row>
    <row r="26" spans="1:8" ht="18.5" x14ac:dyDescent="0.45">
      <c r="A26" s="19" t="s">
        <v>74</v>
      </c>
      <c r="B26" s="14" t="str">
        <f>VLOOKUP(A26,[16]LISTADHERENT!A$5:H$60,3,0)</f>
        <v>NDJOMO ETIENNE</v>
      </c>
      <c r="C26" s="109">
        <f>VLOOKUP(A26,[13]MVTRESUME24!$A$7:$AQ$41,18,0)</f>
        <v>0</v>
      </c>
      <c r="D26" s="109">
        <f>DETAILFICHECASSATION!K24</f>
        <v>20000</v>
      </c>
      <c r="E26" s="109">
        <f t="shared" si="0"/>
        <v>20000</v>
      </c>
      <c r="F26" s="14"/>
      <c r="G26" s="14"/>
      <c r="H26" s="110"/>
    </row>
    <row r="27" spans="1:8" ht="18.5" x14ac:dyDescent="0.45">
      <c r="A27" s="19" t="s">
        <v>75</v>
      </c>
      <c r="B27" s="14" t="str">
        <f>VLOOKUP(A27,[16]LISTADHERENT!A$5:H$60,3,0)</f>
        <v>NGONDIEP CLAUDE</v>
      </c>
      <c r="C27" s="109">
        <f>VLOOKUP(A27,[13]MVTRESUME24!$A$7:$AQ$41,18,0)</f>
        <v>0</v>
      </c>
      <c r="D27" s="109">
        <f>DETAILFICHECASSATION!K25</f>
        <v>20000</v>
      </c>
      <c r="E27" s="109">
        <f t="shared" si="0"/>
        <v>20000</v>
      </c>
      <c r="F27" s="14"/>
      <c r="G27" s="14"/>
      <c r="H27" s="110"/>
    </row>
    <row r="28" spans="1:8" ht="18.5" x14ac:dyDescent="0.45">
      <c r="A28" s="19" t="s">
        <v>77</v>
      </c>
      <c r="B28" s="14" t="str">
        <f>VLOOKUP(A28,[16]LISTADHERENT!A$5:H$60,3,0)</f>
        <v>NGUIEMEGNI MATHIEU BLAISE</v>
      </c>
      <c r="C28" s="109">
        <f>VLOOKUP(A28,[13]MVTRESUME24!$A$7:$AQ$41,18,0)</f>
        <v>0</v>
      </c>
      <c r="D28" s="109">
        <f>DETAILFICHECASSATION!K26</f>
        <v>20000</v>
      </c>
      <c r="E28" s="109">
        <f t="shared" si="0"/>
        <v>20000</v>
      </c>
      <c r="F28" s="14"/>
      <c r="G28" s="14"/>
      <c r="H28" s="110"/>
    </row>
    <row r="29" spans="1:8" ht="18.5" x14ac:dyDescent="0.45">
      <c r="A29" s="19" t="s">
        <v>78</v>
      </c>
      <c r="B29" s="14" t="str">
        <f>VLOOKUP(A29,[16]LISTADHERENT!A$5:H$60,3,0)</f>
        <v>NKAMGANG JUSTIN DEJOLIE</v>
      </c>
      <c r="C29" s="109">
        <f>VLOOKUP(A29,[13]MVTRESUME24!$A$7:$AQ$41,18,0)</f>
        <v>0</v>
      </c>
      <c r="D29" s="109">
        <f>DETAILFICHECASSATION!K27</f>
        <v>20000</v>
      </c>
      <c r="E29" s="109">
        <f t="shared" si="0"/>
        <v>20000</v>
      </c>
      <c r="F29" s="14"/>
      <c r="G29" s="14"/>
      <c r="H29" s="110"/>
    </row>
    <row r="30" spans="1:8" ht="18.5" x14ac:dyDescent="0.45">
      <c r="A30" s="19" t="s">
        <v>105</v>
      </c>
      <c r="B30" s="14" t="str">
        <f>VLOOKUP(A30,[16]LISTADHERENT!A$5:H$60,3,0)</f>
        <v>NOUBE ETIENNE</v>
      </c>
      <c r="C30" s="109">
        <f>VLOOKUP(A30,[13]MVTRESUME24!$A$7:$AQ$41,18,0)</f>
        <v>0</v>
      </c>
      <c r="D30" s="109">
        <f>DETAILFICHECASSATION!K28</f>
        <v>20000</v>
      </c>
      <c r="E30" s="109">
        <f t="shared" si="0"/>
        <v>20000</v>
      </c>
      <c r="F30" s="14"/>
      <c r="G30" s="14"/>
      <c r="H30" s="110"/>
    </row>
    <row r="31" spans="1:8" ht="18.5" x14ac:dyDescent="0.45">
      <c r="A31" s="19" t="s">
        <v>79</v>
      </c>
      <c r="B31" s="14" t="str">
        <f>VLOOKUP(A31,[16]LISTADHERENT!A$5:H$60,3,0)</f>
        <v>PATEGO NJOSSU GUSTAVE</v>
      </c>
      <c r="C31" s="109">
        <f>VLOOKUP(A31,[13]MVTRESUME24!$A$7:$AQ$41,18,0)</f>
        <v>0</v>
      </c>
      <c r="D31" s="109">
        <f>DETAILFICHECASSATION!K29</f>
        <v>20000</v>
      </c>
      <c r="E31" s="109">
        <f t="shared" si="0"/>
        <v>20000</v>
      </c>
      <c r="F31" s="14"/>
      <c r="G31" s="14"/>
      <c r="H31" s="110"/>
    </row>
    <row r="32" spans="1:8" ht="18.5" x14ac:dyDescent="0.45">
      <c r="A32" s="19" t="s">
        <v>128</v>
      </c>
      <c r="B32" s="14" t="str">
        <f>VLOOKUP(A32,[16]LISTADHERENT!A$5:H$60,3,0)</f>
        <v>SEUMO POLYCARPE</v>
      </c>
      <c r="C32" s="109">
        <f>VLOOKUP(A32,[13]MVTRESUME24!$A$7:$AQ$41,18,0)</f>
        <v>0</v>
      </c>
      <c r="D32" s="109">
        <f>DETAILFICHECASSATION!K30</f>
        <v>20000</v>
      </c>
      <c r="E32" s="109">
        <f t="shared" si="0"/>
        <v>20000</v>
      </c>
      <c r="F32" s="14"/>
      <c r="G32" s="14"/>
      <c r="H32" s="110"/>
    </row>
    <row r="33" spans="1:8" ht="18.5" x14ac:dyDescent="0.45">
      <c r="A33" s="19" t="s">
        <v>89</v>
      </c>
      <c r="B33" s="14" t="str">
        <f>VLOOKUP(A33,[16]LISTADHERENT!A$5:H$60,3,0)</f>
        <v>SIME BRICE</v>
      </c>
      <c r="C33" s="109">
        <f>VLOOKUP(A33,[13]MVTRESUME24!$A$7:$AQ$41,18,0)</f>
        <v>0</v>
      </c>
      <c r="D33" s="109">
        <f>DETAILFICHECASSATION!K31</f>
        <v>20000</v>
      </c>
      <c r="E33" s="109">
        <f t="shared" si="0"/>
        <v>20000</v>
      </c>
      <c r="F33" s="14"/>
      <c r="G33" s="14"/>
      <c r="H33" s="110"/>
    </row>
    <row r="34" spans="1:8" ht="18.5" x14ac:dyDescent="0.45">
      <c r="A34" s="19" t="s">
        <v>80</v>
      </c>
      <c r="B34" s="14" t="str">
        <f>VLOOKUP(A34,[16]LISTADHERENT!A$5:H$60,3,0)</f>
        <v>SIMO PIERRE</v>
      </c>
      <c r="C34" s="109">
        <f>VLOOKUP(A34,[13]MVTRESUME24!$A$7:$AQ$41,18,0)</f>
        <v>0</v>
      </c>
      <c r="D34" s="109">
        <f>DETAILFICHECASSATION!K32</f>
        <v>20000</v>
      </c>
      <c r="E34" s="109">
        <f t="shared" si="0"/>
        <v>20000</v>
      </c>
      <c r="F34" s="14"/>
      <c r="G34" s="14"/>
      <c r="H34" s="110"/>
    </row>
    <row r="35" spans="1:8" ht="18.5" x14ac:dyDescent="0.45">
      <c r="A35" s="19" t="s">
        <v>82</v>
      </c>
      <c r="B35" s="14" t="str">
        <f>VLOOKUP(A35,[16]LISTADHERENT!A$5:H$60,3,0)</f>
        <v>TCHOUAMOU MATHIEU</v>
      </c>
      <c r="C35" s="109">
        <f>VLOOKUP(A35,[13]MVTRESUME24!$A$7:$AQ$41,18,0)</f>
        <v>0</v>
      </c>
      <c r="D35" s="109">
        <f>DETAILFICHECASSATION!K33</f>
        <v>20000</v>
      </c>
      <c r="E35" s="109">
        <f t="shared" si="0"/>
        <v>20000</v>
      </c>
      <c r="F35" s="14"/>
      <c r="G35" s="14"/>
      <c r="H35" s="110"/>
    </row>
    <row r="36" spans="1:8" ht="18.5" x14ac:dyDescent="0.45">
      <c r="A36" s="19" t="s">
        <v>167</v>
      </c>
      <c r="B36" s="14" t="str">
        <f>VLOOKUP(A36,[16]LISTADHERENT!A$5:H$60,3,0)</f>
        <v>TCHOUATEU AUGUSTIN</v>
      </c>
      <c r="C36" s="109">
        <f>VLOOKUP(A36,[13]MVTRESUME24!$A$7:$AQ$41,18,0)</f>
        <v>120000</v>
      </c>
      <c r="D36" s="109">
        <f>DETAILFICHECASSATION!K34</f>
        <v>0</v>
      </c>
      <c r="E36" s="109">
        <f t="shared" si="0"/>
        <v>120000</v>
      </c>
      <c r="F36" s="14"/>
      <c r="G36" s="14"/>
      <c r="H36" s="110"/>
    </row>
    <row r="37" spans="1:8" ht="18.5" x14ac:dyDescent="0.45">
      <c r="A37" s="19" t="s">
        <v>83</v>
      </c>
      <c r="B37" s="14" t="str">
        <f>VLOOKUP(A37,[16]LISTADHERENT!A$5:H$60,3,0)</f>
        <v>TCHOUTOU NANA CLAUDE</v>
      </c>
      <c r="C37" s="109">
        <f>VLOOKUP(A37,[13]MVTRESUME24!$A$7:$AQ$41,18,0)</f>
        <v>0</v>
      </c>
      <c r="D37" s="109">
        <f>DETAILFICHECASSATION!K35</f>
        <v>120000</v>
      </c>
      <c r="E37" s="109">
        <f t="shared" si="0"/>
        <v>120000</v>
      </c>
      <c r="F37" s="14"/>
      <c r="G37" s="14"/>
      <c r="H37" s="110"/>
    </row>
    <row r="38" spans="1:8" ht="18.5" x14ac:dyDescent="0.45">
      <c r="A38" s="19" t="s">
        <v>129</v>
      </c>
      <c r="B38" s="14" t="str">
        <f>VLOOKUP(A38,[16]LISTADHERENT!A$5:H$60,3,0)</f>
        <v>YANTCHOU GERVAIS</v>
      </c>
      <c r="C38" s="109">
        <f>VLOOKUP(A38,[13]MVTRESUME24!$A$7:$AQ$41,18,0)</f>
        <v>0</v>
      </c>
      <c r="D38" s="109">
        <f>DETAILFICHECASSATION!K36</f>
        <v>20000</v>
      </c>
      <c r="E38" s="109">
        <f t="shared" si="0"/>
        <v>20000</v>
      </c>
      <c r="F38" s="14"/>
      <c r="G38" s="14"/>
      <c r="H38" s="110"/>
    </row>
    <row r="39" spans="1:8" ht="18.5" x14ac:dyDescent="0.45">
      <c r="A39" s="19" t="s">
        <v>84</v>
      </c>
      <c r="B39" s="14" t="str">
        <f>VLOOKUP(A39,[16]LISTADHERENT!A$5:H$60,3,0)</f>
        <v>YEPMOU JEAN JACQUES</v>
      </c>
      <c r="C39" s="109">
        <f>VLOOKUP(A39,[13]MVTRESUME24!$A$7:$AQ$41,18,0)</f>
        <v>0</v>
      </c>
      <c r="D39" s="109">
        <f>DETAILFICHECASSATION!K37</f>
        <v>20000</v>
      </c>
      <c r="E39" s="109">
        <f t="shared" si="0"/>
        <v>20000</v>
      </c>
      <c r="F39" s="14"/>
      <c r="G39" s="14"/>
      <c r="H39" s="110"/>
    </row>
    <row r="40" spans="1:8" ht="18.5" x14ac:dyDescent="0.45">
      <c r="A40" s="19" t="s">
        <v>168</v>
      </c>
      <c r="B40" s="14" t="str">
        <f>VLOOKUP(A40,[16]LISTADHERENT!A$5:H$60,3,0)</f>
        <v>YIALA ALAIN OSCAR</v>
      </c>
      <c r="C40" s="109">
        <f>VLOOKUP(A40,[13]MVTRESUME24!$A$7:$AQ$41,18,0)</f>
        <v>120000</v>
      </c>
      <c r="D40" s="109">
        <f>DETAILFICHECASSATION!K38</f>
        <v>0</v>
      </c>
      <c r="E40" s="109">
        <f t="shared" si="0"/>
        <v>120000</v>
      </c>
      <c r="F40" s="14"/>
      <c r="G40" s="14"/>
      <c r="H40" s="110"/>
    </row>
    <row r="41" spans="1:8" ht="17.5" x14ac:dyDescent="0.35">
      <c r="A41" s="19" t="s">
        <v>85</v>
      </c>
      <c r="B41" s="14" t="str">
        <f>VLOOKUP(A41,[16]LISTADHERENT!A$5:H$60,3,0)</f>
        <v>YOUMBI EMMANUEL</v>
      </c>
      <c r="C41" s="109">
        <f>VLOOKUP(A41,[13]MVTRESUME24!$A$7:$AQ$41,18,0)</f>
        <v>0</v>
      </c>
      <c r="D41" s="109">
        <f>DETAILFICHECASSATION!K39</f>
        <v>20000</v>
      </c>
      <c r="E41" s="109">
        <f t="shared" si="0"/>
        <v>20000</v>
      </c>
      <c r="F41" s="14"/>
      <c r="G41" s="14"/>
      <c r="H41" s="15"/>
    </row>
    <row r="42" spans="1:8" x14ac:dyDescent="0.35">
      <c r="A42" s="63"/>
      <c r="B42" s="128"/>
      <c r="C42" s="128"/>
      <c r="D42" s="128"/>
      <c r="E42" s="128"/>
      <c r="F42" s="128"/>
      <c r="G42" s="128"/>
      <c r="H42" s="130"/>
    </row>
    <row r="43" spans="1:8" ht="18" thickBot="1" x14ac:dyDescent="0.4">
      <c r="A43" s="31" t="s">
        <v>23</v>
      </c>
      <c r="B43" s="58"/>
      <c r="C43" s="59">
        <f>SUM(C8:C41)</f>
        <v>240000</v>
      </c>
      <c r="D43" s="59">
        <f t="shared" ref="D43:E43" si="1">SUM(D8:D41)</f>
        <v>800000</v>
      </c>
      <c r="E43" s="59">
        <f t="shared" si="1"/>
        <v>1040000</v>
      </c>
      <c r="F43" s="59"/>
      <c r="G43" s="59">
        <f t="shared" ref="G43:H43" si="2">SUM(G6:G41)</f>
        <v>0</v>
      </c>
      <c r="H43" s="60">
        <f t="shared" si="2"/>
        <v>200000</v>
      </c>
    </row>
    <row r="44" spans="1:8" ht="15" thickTop="1" x14ac:dyDescent="0.35"/>
  </sheetData>
  <mergeCells count="4">
    <mergeCell ref="A4:H4"/>
    <mergeCell ref="A6:A7"/>
    <mergeCell ref="B6:B7"/>
    <mergeCell ref="F6:H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4"/>
  <sheetViews>
    <sheetView workbookViewId="0">
      <selection activeCell="D37" sqref="D37"/>
    </sheetView>
  </sheetViews>
  <sheetFormatPr baseColWidth="10" defaultRowHeight="14.5" x14ac:dyDescent="0.35"/>
  <cols>
    <col min="2" max="2" width="30" bestFit="1" customWidth="1"/>
    <col min="3" max="3" width="15" bestFit="1" customWidth="1"/>
    <col min="4" max="5" width="15" customWidth="1"/>
    <col min="7" max="7" width="36.453125" bestFit="1" customWidth="1"/>
    <col min="8" max="8" width="15" bestFit="1" customWidth="1"/>
  </cols>
  <sheetData>
    <row r="1" spans="1:8" x14ac:dyDescent="0.35">
      <c r="A1" s="1" t="s">
        <v>94</v>
      </c>
      <c r="B1" s="1" t="s">
        <v>95</v>
      </c>
    </row>
    <row r="2" spans="1:8" x14ac:dyDescent="0.35">
      <c r="A2" s="1" t="s">
        <v>10</v>
      </c>
      <c r="B2" s="1">
        <v>2024</v>
      </c>
    </row>
    <row r="4" spans="1:8" ht="26" x14ac:dyDescent="0.35">
      <c r="A4" s="147" t="s">
        <v>111</v>
      </c>
      <c r="B4" s="148"/>
      <c r="C4" s="148"/>
      <c r="D4" s="148"/>
      <c r="E4" s="148"/>
      <c r="F4" s="148"/>
      <c r="G4" s="148"/>
      <c r="H4" s="148"/>
    </row>
    <row r="5" spans="1:8" ht="15" thickBot="1" x14ac:dyDescent="0.4">
      <c r="A5" s="71"/>
      <c r="B5" s="72"/>
      <c r="C5" s="73"/>
      <c r="D5" s="73"/>
      <c r="E5" s="73"/>
      <c r="F5" s="73"/>
      <c r="G5" s="74"/>
      <c r="H5" s="73"/>
    </row>
    <row r="6" spans="1:8" ht="15.75" customHeight="1" thickTop="1" x14ac:dyDescent="0.4">
      <c r="A6" s="154" t="s">
        <v>96</v>
      </c>
      <c r="B6" s="156" t="s">
        <v>52</v>
      </c>
      <c r="C6" s="107" t="s">
        <v>135</v>
      </c>
      <c r="D6" s="107"/>
      <c r="E6" s="107"/>
      <c r="F6" s="156" t="s">
        <v>132</v>
      </c>
      <c r="G6" s="156"/>
      <c r="H6" s="158"/>
    </row>
    <row r="7" spans="1:8" ht="21.75" customHeight="1" x14ac:dyDescent="0.35">
      <c r="A7" s="155"/>
      <c r="B7" s="157"/>
      <c r="C7" s="108" t="s">
        <v>155</v>
      </c>
      <c r="D7" s="108" t="s">
        <v>156</v>
      </c>
      <c r="E7" s="108" t="s">
        <v>23</v>
      </c>
      <c r="F7" s="108" t="s">
        <v>133</v>
      </c>
      <c r="G7" s="108" t="s">
        <v>134</v>
      </c>
      <c r="H7" s="26" t="s">
        <v>131</v>
      </c>
    </row>
    <row r="8" spans="1:8" ht="18.5" x14ac:dyDescent="0.45">
      <c r="A8" s="19" t="s">
        <v>90</v>
      </c>
      <c r="B8" s="14" t="str">
        <f>VLOOKUP(A8,[16]LISTADHERENT!A$5:H$60,3,0)</f>
        <v>ASELBY</v>
      </c>
      <c r="C8" s="109">
        <f>VLOOKUP(A8,[13]MVTRESUME24!$A$7:$Q$51,16,0)</f>
        <v>0</v>
      </c>
      <c r="D8" s="109">
        <f>VLOOKUP(A8,[13]MVTRESUME24!$A$7:$Q$51,10,0)</f>
        <v>0</v>
      </c>
      <c r="E8" s="109">
        <f>C8+D8</f>
        <v>0</v>
      </c>
      <c r="F8" s="111"/>
      <c r="H8" s="110"/>
    </row>
    <row r="9" spans="1:8" ht="18.5" x14ac:dyDescent="0.45">
      <c r="A9" s="19" t="s">
        <v>62</v>
      </c>
      <c r="B9" s="14" t="str">
        <f>VLOOKUP(A9,[16]LISTADHERENT!A$5:H$60,3,0)</f>
        <v>BAKOP ACHILLE</v>
      </c>
      <c r="C9" s="109">
        <f>VLOOKUP(A9,[13]MVTRESUME24!$A$7:$Q$51,16,0)</f>
        <v>15000</v>
      </c>
      <c r="D9" s="109">
        <f>VLOOKUP(A9,[13]MVTRESUME24!$A$7:$Q$51,10,0)</f>
        <v>0</v>
      </c>
      <c r="E9" s="109">
        <f t="shared" ref="E9:E41" si="0">C9+D9</f>
        <v>15000</v>
      </c>
      <c r="F9" s="111"/>
      <c r="G9" s="14"/>
      <c r="H9" s="110"/>
    </row>
    <row r="10" spans="1:8" ht="18.5" x14ac:dyDescent="0.45">
      <c r="A10" s="19" t="s">
        <v>63</v>
      </c>
      <c r="B10" s="14" t="str">
        <f>VLOOKUP(A10,[16]LISTADHERENT!A$5:H$60,3,0)</f>
        <v>BOUTCHOUANG WILLIAM</v>
      </c>
      <c r="C10" s="109">
        <f>VLOOKUP(A10,[13]MVTRESUME24!$A$7:$Q$51,16,0)</f>
        <v>6000</v>
      </c>
      <c r="D10" s="109">
        <f>VLOOKUP(A10,[13]MVTRESUME24!$A$7:$Q$51,10,0)</f>
        <v>0</v>
      </c>
      <c r="E10" s="109">
        <f t="shared" si="0"/>
        <v>6000</v>
      </c>
      <c r="F10" s="111"/>
      <c r="G10" s="14"/>
      <c r="H10" s="110"/>
    </row>
    <row r="11" spans="1:8" ht="18.5" x14ac:dyDescent="0.45">
      <c r="A11" s="19" t="s">
        <v>64</v>
      </c>
      <c r="B11" s="14" t="str">
        <f>VLOOKUP(A11,[16]LISTADHERENT!A$5:H$60,3,0)</f>
        <v xml:space="preserve">DJOMO JEAN PAUL </v>
      </c>
      <c r="C11" s="109">
        <f>VLOOKUP(A11,[13]MVTRESUME24!$A$7:$Q$51,16,0)</f>
        <v>0</v>
      </c>
      <c r="D11" s="109">
        <f>VLOOKUP(A11,[13]MVTRESUME24!$A$7:$Q$51,10,0)</f>
        <v>0</v>
      </c>
      <c r="E11" s="109">
        <f t="shared" si="0"/>
        <v>0</v>
      </c>
      <c r="F11" s="111"/>
      <c r="G11" s="14"/>
      <c r="H11" s="110"/>
    </row>
    <row r="12" spans="1:8" ht="18.5" x14ac:dyDescent="0.45">
      <c r="A12" s="19" t="s">
        <v>104</v>
      </c>
      <c r="B12" s="14" t="str">
        <f>VLOOKUP(A12,[16]LISTADHERENT!A$5:H$60,3,0)</f>
        <v>DJOMOU TCHAPDA</v>
      </c>
      <c r="C12" s="109">
        <f>VLOOKUP(A12,[13]MVTRESUME24!$A$7:$Q$51,16,0)</f>
        <v>9000</v>
      </c>
      <c r="D12" s="109">
        <f>VLOOKUP(A12,[13]MVTRESUME24!$A$7:$Q$51,10,0)</f>
        <v>0</v>
      </c>
      <c r="E12" s="109">
        <f t="shared" si="0"/>
        <v>9000</v>
      </c>
      <c r="F12" s="111"/>
      <c r="G12" s="14"/>
      <c r="H12" s="110"/>
    </row>
    <row r="13" spans="1:8" ht="18.5" x14ac:dyDescent="0.45">
      <c r="A13" s="19" t="s">
        <v>65</v>
      </c>
      <c r="B13" s="14" t="str">
        <f>VLOOKUP(A13,[16]LISTADHERENT!A$5:H$60,3,0)</f>
        <v>DJOUKWE NANGUEN GUY BLAISE</v>
      </c>
      <c r="C13" s="109">
        <f>VLOOKUP(A13,[13]MVTRESUME24!$A$7:$Q$51,16,0)</f>
        <v>3000</v>
      </c>
      <c r="D13" s="109">
        <f>VLOOKUP(A13,[13]MVTRESUME24!$A$7:$Q$51,10,0)</f>
        <v>0</v>
      </c>
      <c r="E13" s="109">
        <f t="shared" si="0"/>
        <v>3000</v>
      </c>
      <c r="F13" s="111"/>
      <c r="G13" s="14"/>
      <c r="H13" s="110"/>
    </row>
    <row r="14" spans="1:8" ht="18.5" x14ac:dyDescent="0.45">
      <c r="A14" s="19" t="s">
        <v>66</v>
      </c>
      <c r="B14" s="14" t="str">
        <f>VLOOKUP(A14,[16]LISTADHERENT!A$5:H$60,3,0)</f>
        <v>DJUOMBESSY ANTOINE</v>
      </c>
      <c r="C14" s="109">
        <f>VLOOKUP(A14,[13]MVTRESUME24!$A$7:$Q$51,16,0)</f>
        <v>0</v>
      </c>
      <c r="D14" s="109">
        <f>VLOOKUP(A14,[13]MVTRESUME24!$A$7:$Q$51,10,0)</f>
        <v>0</v>
      </c>
      <c r="E14" s="109">
        <f t="shared" si="0"/>
        <v>0</v>
      </c>
      <c r="F14" s="111"/>
      <c r="G14" s="14"/>
      <c r="H14" s="110"/>
    </row>
    <row r="15" spans="1:8" ht="18.5" x14ac:dyDescent="0.45">
      <c r="A15" s="19" t="s">
        <v>87</v>
      </c>
      <c r="B15" s="14" t="str">
        <f>VLOOKUP(A15,[16]LISTADHERENT!A$5:H$60,3,0)</f>
        <v>DOMOU FABIEN</v>
      </c>
      <c r="C15" s="109">
        <f>VLOOKUP(A15,[13]MVTRESUME24!$A$7:$Q$51,16,0)</f>
        <v>0</v>
      </c>
      <c r="D15" s="109">
        <f>VLOOKUP(A15,[13]MVTRESUME24!$A$7:$Q$51,10,0)</f>
        <v>0</v>
      </c>
      <c r="E15" s="109">
        <f t="shared" si="0"/>
        <v>0</v>
      </c>
      <c r="F15" s="111"/>
      <c r="G15" s="14"/>
      <c r="H15" s="110"/>
    </row>
    <row r="16" spans="1:8" ht="18.5" x14ac:dyDescent="0.45">
      <c r="A16" s="19" t="s">
        <v>67</v>
      </c>
      <c r="B16" s="14" t="str">
        <f>VLOOKUP(A16,[16]LISTADHERENT!A$5:H$60,3,0)</f>
        <v>DONHOU DAVID</v>
      </c>
      <c r="C16" s="109">
        <f>VLOOKUP(A16,[13]MVTRESUME24!$A$7:$Q$51,16,0)</f>
        <v>3000</v>
      </c>
      <c r="D16" s="109">
        <f>VLOOKUP(A16,[13]MVTRESUME24!$A$7:$Q$51,10,0)</f>
        <v>0</v>
      </c>
      <c r="E16" s="109">
        <f t="shared" si="0"/>
        <v>3000</v>
      </c>
      <c r="F16" s="111"/>
      <c r="G16" s="14"/>
      <c r="H16" s="110"/>
    </row>
    <row r="17" spans="1:8" ht="18.5" x14ac:dyDescent="0.45">
      <c r="A17" s="19" t="s">
        <v>68</v>
      </c>
      <c r="B17" s="14" t="str">
        <f>VLOOKUP(A17,[16]LISTADHERENT!A$5:H$60,3,0)</f>
        <v>HENGUE PAUL OMER</v>
      </c>
      <c r="C17" s="109">
        <f>VLOOKUP(A17,[13]MVTRESUME24!$A$7:$Q$51,16,0)</f>
        <v>0</v>
      </c>
      <c r="D17" s="109">
        <f>VLOOKUP(A17,[13]MVTRESUME24!$A$7:$Q$51,10,0)</f>
        <v>0</v>
      </c>
      <c r="E17" s="109">
        <f t="shared" si="0"/>
        <v>0</v>
      </c>
      <c r="F17" s="111"/>
      <c r="G17" s="14"/>
      <c r="H17" s="110"/>
    </row>
    <row r="18" spans="1:8" ht="18.5" x14ac:dyDescent="0.45">
      <c r="A18" s="19" t="s">
        <v>69</v>
      </c>
      <c r="B18" s="14" t="str">
        <f>VLOOKUP(A18,[16]LISTADHERENT!A$5:H$60,3,0)</f>
        <v>HOTCHO BENJAMIN</v>
      </c>
      <c r="C18" s="109">
        <f>VLOOKUP(A18,[13]MVTRESUME24!$A$7:$Q$51,16,0)</f>
        <v>0</v>
      </c>
      <c r="D18" s="109">
        <f>VLOOKUP(A18,[13]MVTRESUME24!$A$7:$Q$51,10,0)</f>
        <v>0</v>
      </c>
      <c r="E18" s="109">
        <f t="shared" si="0"/>
        <v>0</v>
      </c>
      <c r="F18" s="111"/>
      <c r="G18" s="14"/>
      <c r="H18" s="110"/>
    </row>
    <row r="19" spans="1:8" ht="18.5" x14ac:dyDescent="0.45">
      <c r="A19" s="19" t="s">
        <v>70</v>
      </c>
      <c r="B19" s="14" t="str">
        <f>VLOOKUP(A19,[16]LISTADHERENT!A$5:H$60,3,0)</f>
        <v>KOUAMOU MOISE</v>
      </c>
      <c r="C19" s="109">
        <f>VLOOKUP(A19,[13]MVTRESUME24!$A$7:$Q$51,16,0)</f>
        <v>6000</v>
      </c>
      <c r="D19" s="109">
        <f>VLOOKUP(A19,[13]MVTRESUME24!$A$7:$Q$51,10,0)</f>
        <v>0</v>
      </c>
      <c r="E19" s="109">
        <f t="shared" si="0"/>
        <v>6000</v>
      </c>
      <c r="F19" s="111"/>
      <c r="G19" s="14"/>
      <c r="H19" s="110"/>
    </row>
    <row r="20" spans="1:8" ht="18.5" x14ac:dyDescent="0.45">
      <c r="A20" s="19" t="s">
        <v>71</v>
      </c>
      <c r="B20" s="14" t="str">
        <f>VLOOKUP(A20,[16]LISTADHERENT!A$5:H$60,3,0)</f>
        <v>KOUATCHO MESSACK</v>
      </c>
      <c r="C20" s="109">
        <f>VLOOKUP(A20,[13]MVTRESUME24!$A$7:$Q$51,16,0)</f>
        <v>6000</v>
      </c>
      <c r="D20" s="109">
        <f>VLOOKUP(A20,[13]MVTRESUME24!$A$7:$Q$51,10,0)</f>
        <v>0</v>
      </c>
      <c r="E20" s="109">
        <f t="shared" si="0"/>
        <v>6000</v>
      </c>
      <c r="F20" s="111"/>
      <c r="G20" s="14"/>
      <c r="H20" s="110"/>
    </row>
    <row r="21" spans="1:8" ht="18.5" x14ac:dyDescent="0.45">
      <c r="A21" s="19" t="s">
        <v>72</v>
      </c>
      <c r="B21" s="14" t="str">
        <f>VLOOKUP(A21,[16]LISTADHERENT!A$5:H$60,3,0)</f>
        <v>LOWE JEAN</v>
      </c>
      <c r="C21" s="109">
        <f>VLOOKUP(A21,[13]MVTRESUME24!$A$7:$Q$51,16,0)</f>
        <v>0</v>
      </c>
      <c r="D21" s="109">
        <f>VLOOKUP(A21,[13]MVTRESUME24!$A$7:$Q$51,10,0)</f>
        <v>0</v>
      </c>
      <c r="E21" s="109">
        <f t="shared" si="0"/>
        <v>0</v>
      </c>
      <c r="F21" s="111"/>
      <c r="G21" s="14"/>
      <c r="H21" s="110"/>
    </row>
    <row r="22" spans="1:8" ht="18.5" x14ac:dyDescent="0.45">
      <c r="A22" s="19" t="s">
        <v>166</v>
      </c>
      <c r="B22" s="14" t="str">
        <f>VLOOKUP(A22,[16]LISTADHERENT!A$5:H$60,3,0)</f>
        <v>MASSEUNGOUE DAGOBERT</v>
      </c>
      <c r="C22" s="109">
        <f>VLOOKUP(A22,[13]MVTRESUME24!$A$7:$Q$51,16,0)</f>
        <v>0</v>
      </c>
      <c r="D22" s="109">
        <f>VLOOKUP(A22,[13]MVTRESUME24!$A$7:$Q$51,10,0)</f>
        <v>0</v>
      </c>
      <c r="E22" s="109">
        <f t="shared" si="0"/>
        <v>0</v>
      </c>
      <c r="F22" s="111"/>
      <c r="G22" s="14"/>
      <c r="H22" s="110"/>
    </row>
    <row r="23" spans="1:8" ht="18.5" x14ac:dyDescent="0.45">
      <c r="A23" s="19" t="s">
        <v>86</v>
      </c>
      <c r="B23" s="14" t="str">
        <f>VLOOKUP(A23,[16]LISTADHERENT!A$5:H$60,3,0)</f>
        <v>MBOGNING TUGMA GUY</v>
      </c>
      <c r="C23" s="109">
        <f>VLOOKUP(A23,[13]MVTRESUME24!$A$7:$Q$51,16,0)</f>
        <v>0</v>
      </c>
      <c r="D23" s="109">
        <f>VLOOKUP(A23,[13]MVTRESUME24!$A$7:$Q$51,10,0)</f>
        <v>0</v>
      </c>
      <c r="E23" s="109">
        <f t="shared" si="0"/>
        <v>0</v>
      </c>
      <c r="F23" s="111"/>
      <c r="G23" s="14"/>
      <c r="H23" s="110"/>
    </row>
    <row r="24" spans="1:8" ht="18.5" x14ac:dyDescent="0.45">
      <c r="A24" s="19" t="s">
        <v>81</v>
      </c>
      <c r="B24" s="14" t="str">
        <f>VLOOKUP(A24,[16]LISTADHERENT!A$5:H$60,3,0)</f>
        <v>NANGUEN MARTIN</v>
      </c>
      <c r="C24" s="109">
        <f>VLOOKUP(A24,[13]MVTRESUME24!$A$7:$Q$51,16,0)</f>
        <v>0</v>
      </c>
      <c r="D24" s="109">
        <f>VLOOKUP(A24,[13]MVTRESUME24!$A$7:$Q$51,10,0)</f>
        <v>0</v>
      </c>
      <c r="E24" s="109">
        <f t="shared" si="0"/>
        <v>0</v>
      </c>
      <c r="F24" s="111"/>
      <c r="G24" s="14"/>
      <c r="H24" s="110"/>
    </row>
    <row r="25" spans="1:8" ht="18.5" x14ac:dyDescent="0.45">
      <c r="A25" s="19" t="s">
        <v>73</v>
      </c>
      <c r="B25" s="14" t="str">
        <f>VLOOKUP(A25,[16]LISTADHERENT!A$5:H$60,3,0)</f>
        <v>NANKAM APPOLINAIRE</v>
      </c>
      <c r="C25" s="109">
        <f>VLOOKUP(A25,[13]MVTRESUME24!$A$7:$Q$51,16,0)</f>
        <v>3000</v>
      </c>
      <c r="D25" s="109">
        <f>VLOOKUP(A25,[13]MVTRESUME24!$A$7:$Q$51,10,0)</f>
        <v>0</v>
      </c>
      <c r="E25" s="109">
        <f t="shared" si="0"/>
        <v>3000</v>
      </c>
      <c r="F25" s="111"/>
      <c r="G25" s="14"/>
      <c r="H25" s="110"/>
    </row>
    <row r="26" spans="1:8" ht="18.5" x14ac:dyDescent="0.45">
      <c r="A26" s="19" t="s">
        <v>74</v>
      </c>
      <c r="B26" s="14" t="str">
        <f>VLOOKUP(A26,[16]LISTADHERENT!A$5:H$60,3,0)</f>
        <v>NDJOMO ETIENNE</v>
      </c>
      <c r="C26" s="109">
        <f>VLOOKUP(A26,[13]MVTRESUME24!$A$7:$Q$51,16,0)</f>
        <v>0</v>
      </c>
      <c r="D26" s="109">
        <f>VLOOKUP(A26,[13]MVTRESUME24!$A$7:$Q$51,10,0)</f>
        <v>0</v>
      </c>
      <c r="E26" s="109">
        <f t="shared" si="0"/>
        <v>0</v>
      </c>
      <c r="F26" s="14"/>
      <c r="G26" s="14"/>
      <c r="H26" s="110"/>
    </row>
    <row r="27" spans="1:8" ht="18.5" x14ac:dyDescent="0.45">
      <c r="A27" s="19" t="s">
        <v>75</v>
      </c>
      <c r="B27" s="14" t="str">
        <f>VLOOKUP(A27,[16]LISTADHERENT!A$5:H$60,3,0)</f>
        <v>NGONDIEP CLAUDE</v>
      </c>
      <c r="C27" s="109">
        <f>VLOOKUP(A27,[13]MVTRESUME24!$A$7:$Q$51,16,0)</f>
        <v>12000</v>
      </c>
      <c r="D27" s="109">
        <f>VLOOKUP(A27,[13]MVTRESUME24!$A$7:$Q$51,10,0)</f>
        <v>0</v>
      </c>
      <c r="E27" s="109">
        <f t="shared" si="0"/>
        <v>12000</v>
      </c>
      <c r="F27" s="14"/>
      <c r="G27" s="14"/>
      <c r="H27" s="110"/>
    </row>
    <row r="28" spans="1:8" ht="18.5" x14ac:dyDescent="0.45">
      <c r="A28" s="19" t="s">
        <v>77</v>
      </c>
      <c r="B28" s="14" t="str">
        <f>VLOOKUP(A28,[16]LISTADHERENT!A$5:H$60,3,0)</f>
        <v>NGUIEMEGNI MATHIEU BLAISE</v>
      </c>
      <c r="C28" s="109">
        <f>VLOOKUP(A28,[13]MVTRESUME24!$A$7:$Q$51,16,0)</f>
        <v>3000</v>
      </c>
      <c r="D28" s="109">
        <f>VLOOKUP(A28,[13]MVTRESUME24!$A$7:$Q$51,10,0)</f>
        <v>0</v>
      </c>
      <c r="E28" s="109">
        <f t="shared" si="0"/>
        <v>3000</v>
      </c>
      <c r="F28" s="14"/>
      <c r="G28" s="14"/>
      <c r="H28" s="110"/>
    </row>
    <row r="29" spans="1:8" ht="18.5" x14ac:dyDescent="0.45">
      <c r="A29" s="19" t="s">
        <v>78</v>
      </c>
      <c r="B29" s="14" t="str">
        <f>VLOOKUP(A29,[16]LISTADHERENT!A$5:H$60,3,0)</f>
        <v>NKAMGANG JUSTIN DEJOLIE</v>
      </c>
      <c r="C29" s="109">
        <f>VLOOKUP(A29,[13]MVTRESUME24!$A$7:$Q$51,16,0)</f>
        <v>0</v>
      </c>
      <c r="D29" s="109">
        <f>VLOOKUP(A29,[13]MVTRESUME24!$A$7:$Q$51,10,0)</f>
        <v>0</v>
      </c>
      <c r="E29" s="109">
        <f t="shared" si="0"/>
        <v>0</v>
      </c>
      <c r="F29" s="14"/>
      <c r="G29" s="14"/>
      <c r="H29" s="110"/>
    </row>
    <row r="30" spans="1:8" ht="18.5" x14ac:dyDescent="0.45">
      <c r="A30" s="19" t="s">
        <v>105</v>
      </c>
      <c r="B30" s="14" t="str">
        <f>VLOOKUP(A30,[16]LISTADHERENT!A$5:H$60,3,0)</f>
        <v>NOUBE ETIENNE</v>
      </c>
      <c r="C30" s="109">
        <f>VLOOKUP(A30,[13]MVTRESUME24!$A$7:$Q$51,16,0)</f>
        <v>0</v>
      </c>
      <c r="D30" s="109">
        <f>VLOOKUP(A30,[13]MVTRESUME24!$A$7:$Q$51,10,0)</f>
        <v>0</v>
      </c>
      <c r="E30" s="109">
        <f t="shared" si="0"/>
        <v>0</v>
      </c>
      <c r="F30" s="14"/>
      <c r="G30" s="14"/>
      <c r="H30" s="110"/>
    </row>
    <row r="31" spans="1:8" ht="18.5" x14ac:dyDescent="0.45">
      <c r="A31" s="19" t="s">
        <v>79</v>
      </c>
      <c r="B31" s="14" t="str">
        <f>VLOOKUP(A31,[16]LISTADHERENT!A$5:H$60,3,0)</f>
        <v>PATEGO NJOSSU GUSTAVE</v>
      </c>
      <c r="C31" s="109">
        <f>VLOOKUP(A31,[13]MVTRESUME24!$A$7:$Q$51,16,0)</f>
        <v>0</v>
      </c>
      <c r="D31" s="109">
        <f>VLOOKUP(A31,[13]MVTRESUME24!$A$7:$Q$51,10,0)</f>
        <v>0</v>
      </c>
      <c r="E31" s="109">
        <f t="shared" si="0"/>
        <v>0</v>
      </c>
      <c r="F31" s="14"/>
      <c r="G31" s="14"/>
      <c r="H31" s="110"/>
    </row>
    <row r="32" spans="1:8" ht="18.5" x14ac:dyDescent="0.45">
      <c r="A32" s="19" t="s">
        <v>128</v>
      </c>
      <c r="B32" s="14" t="str">
        <f>VLOOKUP(A32,[16]LISTADHERENT!A$5:H$60,3,0)</f>
        <v>SEUMO POLYCARPE</v>
      </c>
      <c r="C32" s="109">
        <f>VLOOKUP(A32,[13]MVTRESUME24!$A$7:$Q$51,16,0)</f>
        <v>0</v>
      </c>
      <c r="D32" s="109">
        <f>VLOOKUP(A32,[13]MVTRESUME24!$A$7:$Q$51,10,0)</f>
        <v>0</v>
      </c>
      <c r="E32" s="109">
        <f t="shared" si="0"/>
        <v>0</v>
      </c>
      <c r="F32" s="14"/>
      <c r="G32" s="14"/>
      <c r="H32" s="110"/>
    </row>
    <row r="33" spans="1:8" ht="18.5" x14ac:dyDescent="0.45">
      <c r="A33" s="19" t="s">
        <v>89</v>
      </c>
      <c r="B33" s="14" t="str">
        <f>VLOOKUP(A33,[16]LISTADHERENT!A$5:H$60,3,0)</f>
        <v>SIME BRICE</v>
      </c>
      <c r="C33" s="109">
        <f>VLOOKUP(A33,[13]MVTRESUME24!$A$7:$Q$51,16,0)</f>
        <v>0</v>
      </c>
      <c r="D33" s="109">
        <f>VLOOKUP(A33,[13]MVTRESUME24!$A$7:$Q$51,10,0)</f>
        <v>0</v>
      </c>
      <c r="E33" s="109">
        <f t="shared" si="0"/>
        <v>0</v>
      </c>
      <c r="F33" s="14"/>
      <c r="G33" s="14"/>
      <c r="H33" s="110"/>
    </row>
    <row r="34" spans="1:8" ht="18.5" x14ac:dyDescent="0.45">
      <c r="A34" s="19" t="s">
        <v>80</v>
      </c>
      <c r="B34" s="14" t="str">
        <f>VLOOKUP(A34,[16]LISTADHERENT!A$5:H$60,3,0)</f>
        <v>SIMO PIERRE</v>
      </c>
      <c r="C34" s="109">
        <f>VLOOKUP(A34,[13]MVTRESUME24!$A$7:$Q$51,16,0)</f>
        <v>0</v>
      </c>
      <c r="D34" s="109">
        <f>VLOOKUP(A34,[13]MVTRESUME24!$A$7:$Q$51,10,0)</f>
        <v>0</v>
      </c>
      <c r="E34" s="109">
        <f t="shared" si="0"/>
        <v>0</v>
      </c>
      <c r="F34" s="14"/>
      <c r="G34" s="14"/>
      <c r="H34" s="110"/>
    </row>
    <row r="35" spans="1:8" ht="18.5" x14ac:dyDescent="0.45">
      <c r="A35" s="19" t="s">
        <v>82</v>
      </c>
      <c r="B35" s="14" t="str">
        <f>VLOOKUP(A35,[16]LISTADHERENT!A$5:H$60,3,0)</f>
        <v>TCHOUAMOU MATHIEU</v>
      </c>
      <c r="C35" s="109">
        <f>VLOOKUP(A35,[13]MVTRESUME24!$A$7:$Q$51,16,0)</f>
        <v>0</v>
      </c>
      <c r="D35" s="109">
        <f>VLOOKUP(A35,[13]MVTRESUME24!$A$7:$Q$51,10,0)</f>
        <v>0</v>
      </c>
      <c r="E35" s="109">
        <f t="shared" si="0"/>
        <v>0</v>
      </c>
      <c r="F35" s="14"/>
      <c r="G35" s="14"/>
      <c r="H35" s="110"/>
    </row>
    <row r="36" spans="1:8" ht="18.5" x14ac:dyDescent="0.45">
      <c r="A36" s="19" t="s">
        <v>167</v>
      </c>
      <c r="B36" s="14" t="str">
        <f>VLOOKUP(A36,[16]LISTADHERENT!A$5:H$60,3,0)</f>
        <v>TCHOUATEU AUGUSTIN</v>
      </c>
      <c r="C36" s="109">
        <f>VLOOKUP(A36,[13]MVTRESUME24!$A$7:$Q$51,16,0)</f>
        <v>0</v>
      </c>
      <c r="D36" s="109">
        <f>VLOOKUP(A36,[13]MVTRESUME24!$A$7:$Q$51,10,0)</f>
        <v>0</v>
      </c>
      <c r="E36" s="109">
        <f t="shared" si="0"/>
        <v>0</v>
      </c>
      <c r="F36" s="14"/>
      <c r="G36" s="14"/>
      <c r="H36" s="110"/>
    </row>
    <row r="37" spans="1:8" ht="18.5" x14ac:dyDescent="0.45">
      <c r="A37" s="19" t="s">
        <v>83</v>
      </c>
      <c r="B37" s="14" t="str">
        <f>VLOOKUP(A37,[16]LISTADHERENT!A$5:H$60,3,0)</f>
        <v>TCHOUTOU NANA CLAUDE</v>
      </c>
      <c r="C37" s="109">
        <f>VLOOKUP(A37,[13]MVTRESUME24!$A$7:$Q$51,16,0)</f>
        <v>3000</v>
      </c>
      <c r="D37" s="109">
        <f>VLOOKUP(A37,[13]MVTRESUME24!$A$7:$Q$51,10,0)+3750</f>
        <v>3750</v>
      </c>
      <c r="E37" s="109">
        <f t="shared" si="0"/>
        <v>6750</v>
      </c>
      <c r="F37" s="14"/>
      <c r="G37" s="14"/>
      <c r="H37" s="110"/>
    </row>
    <row r="38" spans="1:8" ht="18.5" x14ac:dyDescent="0.45">
      <c r="A38" s="19" t="s">
        <v>129</v>
      </c>
      <c r="B38" s="14" t="str">
        <f>VLOOKUP(A38,[16]LISTADHERENT!A$5:H$60,3,0)</f>
        <v>YANTCHOU GERVAIS</v>
      </c>
      <c r="C38" s="109">
        <f>VLOOKUP(A38,[13]MVTRESUME24!$A$7:$Q$51,16,0)</f>
        <v>0</v>
      </c>
      <c r="D38" s="109">
        <f>VLOOKUP(A38,[13]MVTRESUME24!$A$7:$Q$51,10,0)</f>
        <v>0</v>
      </c>
      <c r="E38" s="109">
        <f t="shared" si="0"/>
        <v>0</v>
      </c>
      <c r="F38" s="14"/>
      <c r="G38" s="14"/>
      <c r="H38" s="110"/>
    </row>
    <row r="39" spans="1:8" ht="18.5" x14ac:dyDescent="0.45">
      <c r="A39" s="19" t="s">
        <v>84</v>
      </c>
      <c r="B39" s="14" t="str">
        <f>VLOOKUP(A39,[16]LISTADHERENT!A$5:H$60,3,0)</f>
        <v>YEPMOU JEAN JACQUES</v>
      </c>
      <c r="C39" s="109">
        <f>VLOOKUP(A39,[13]MVTRESUME24!$A$7:$Q$51,16,0)</f>
        <v>6000</v>
      </c>
      <c r="D39" s="109">
        <f>VLOOKUP(A39,[13]MVTRESUME24!$A$7:$Q$51,10,0)</f>
        <v>0</v>
      </c>
      <c r="E39" s="109">
        <f t="shared" si="0"/>
        <v>6000</v>
      </c>
      <c r="F39" s="14"/>
      <c r="G39" s="14"/>
      <c r="H39" s="110"/>
    </row>
    <row r="40" spans="1:8" ht="18.5" x14ac:dyDescent="0.45">
      <c r="A40" s="19" t="s">
        <v>168</v>
      </c>
      <c r="B40" s="14" t="str">
        <f>VLOOKUP(A40,[16]LISTADHERENT!A$5:H$60,3,0)</f>
        <v>YIALA ALAIN OSCAR</v>
      </c>
      <c r="C40" s="109">
        <f>VLOOKUP(A40,[13]MVTRESUME24!$A$7:$Q$51,16,0)</f>
        <v>18000</v>
      </c>
      <c r="D40" s="109">
        <f>VLOOKUP(A40,[13]MVTRESUME24!$A$7:$Q$51,10,0)</f>
        <v>0</v>
      </c>
      <c r="E40" s="109">
        <f t="shared" si="0"/>
        <v>18000</v>
      </c>
      <c r="F40" s="14"/>
      <c r="G40" s="14"/>
      <c r="H40" s="110"/>
    </row>
    <row r="41" spans="1:8" ht="18.5" x14ac:dyDescent="0.45">
      <c r="A41" s="19" t="s">
        <v>85</v>
      </c>
      <c r="B41" s="14" t="str">
        <f>VLOOKUP(A41,[16]LISTADHERENT!A$5:H$60,3,0)</f>
        <v>YOUMBI EMMANUEL</v>
      </c>
      <c r="C41" s="109">
        <f>VLOOKUP(A41,[13]MVTRESUME24!$A$7:$Q$51,16,0)</f>
        <v>0</v>
      </c>
      <c r="D41" s="109">
        <f>VLOOKUP(A41,[13]MVTRESUME24!$A$7:$Q$51,10,0)</f>
        <v>0</v>
      </c>
      <c r="E41" s="109">
        <f t="shared" si="0"/>
        <v>0</v>
      </c>
      <c r="F41" s="14"/>
      <c r="G41" s="14"/>
      <c r="H41" s="110"/>
    </row>
    <row r="42" spans="1:8" x14ac:dyDescent="0.35">
      <c r="A42" s="19"/>
      <c r="B42" s="14"/>
      <c r="C42" s="14"/>
      <c r="D42" s="14"/>
      <c r="E42" s="14"/>
      <c r="F42" s="14"/>
      <c r="G42" s="14"/>
      <c r="H42" s="15"/>
    </row>
    <row r="43" spans="1:8" ht="18" thickBot="1" x14ac:dyDescent="0.4">
      <c r="A43" s="31" t="s">
        <v>23</v>
      </c>
      <c r="B43" s="58"/>
      <c r="C43" s="59">
        <f>SUM(C8:C42)</f>
        <v>93000</v>
      </c>
      <c r="D43" s="59">
        <f>SUM(D8:D42)</f>
        <v>3750</v>
      </c>
      <c r="E43" s="59">
        <f>SUM(E8:E42)</f>
        <v>96750</v>
      </c>
      <c r="F43" s="59"/>
      <c r="G43" s="59">
        <f t="shared" ref="G43:H43" si="1">SUM(G6:G42)</f>
        <v>0</v>
      </c>
      <c r="H43" s="60">
        <f t="shared" si="1"/>
        <v>0</v>
      </c>
    </row>
    <row r="44" spans="1:8" ht="15" thickTop="1" x14ac:dyDescent="0.35"/>
  </sheetData>
  <mergeCells count="4">
    <mergeCell ref="A4:H4"/>
    <mergeCell ref="A6:A7"/>
    <mergeCell ref="B6:B7"/>
    <mergeCell ref="F6:H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4"/>
  <sheetViews>
    <sheetView topLeftCell="A34" workbookViewId="0">
      <selection activeCell="C40" sqref="C40"/>
    </sheetView>
  </sheetViews>
  <sheetFormatPr baseColWidth="10" defaultRowHeight="14.5" x14ac:dyDescent="0.35"/>
  <cols>
    <col min="1" max="1" width="18" customWidth="1"/>
    <col min="2" max="2" width="31.81640625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7" t="s">
        <v>35</v>
      </c>
      <c r="B4" s="148"/>
      <c r="C4" s="148"/>
      <c r="D4" s="148"/>
      <c r="E4" s="148"/>
      <c r="F4" s="148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54" t="s">
        <v>96</v>
      </c>
      <c r="B6" s="156" t="s">
        <v>52</v>
      </c>
      <c r="C6" s="107" t="s">
        <v>135</v>
      </c>
      <c r="D6" s="156" t="s">
        <v>132</v>
      </c>
      <c r="E6" s="156"/>
      <c r="F6" s="158"/>
    </row>
    <row r="7" spans="1:6" ht="21.75" customHeight="1" x14ac:dyDescent="0.35">
      <c r="A7" s="155"/>
      <c r="B7" s="157"/>
      <c r="C7" s="108" t="s">
        <v>131</v>
      </c>
      <c r="D7" s="108" t="s">
        <v>133</v>
      </c>
      <c r="E7" s="108" t="s">
        <v>134</v>
      </c>
      <c r="F7" s="26" t="s">
        <v>131</v>
      </c>
    </row>
    <row r="8" spans="1:6" ht="18.5" x14ac:dyDescent="0.45">
      <c r="A8" s="19" t="s">
        <v>90</v>
      </c>
      <c r="B8" s="14" t="str">
        <f>VLOOKUP(A8,[16]LISTADHERENT!A$5:H$60,3,0)</f>
        <v>ASELBY</v>
      </c>
      <c r="C8" s="109">
        <f>VLOOKUP(A8,[13]MVTRESUME24!$A$7:$AQ$41,31,0)</f>
        <v>0</v>
      </c>
      <c r="D8" s="111">
        <v>45566</v>
      </c>
      <c r="E8" s="14" t="s">
        <v>136</v>
      </c>
      <c r="F8" s="110">
        <v>1150000</v>
      </c>
    </row>
    <row r="9" spans="1:6" ht="17.5" x14ac:dyDescent="0.35">
      <c r="A9" s="19" t="s">
        <v>62</v>
      </c>
      <c r="B9" s="14" t="str">
        <f>VLOOKUP(A9,[16]LISTADHERENT!A$5:H$60,3,0)</f>
        <v>BAKOP ACHILLE</v>
      </c>
      <c r="C9" s="109">
        <f>VLOOKUP(A9,[13]MVTRESUME24!$A$7:$AQ$41,31,0)</f>
        <v>0</v>
      </c>
      <c r="D9" s="14"/>
      <c r="E9" s="14"/>
      <c r="F9" s="15"/>
    </row>
    <row r="10" spans="1:6" ht="17.5" x14ac:dyDescent="0.35">
      <c r="A10" s="19" t="s">
        <v>63</v>
      </c>
      <c r="B10" s="14" t="str">
        <f>VLOOKUP(A10,[16]LISTADHERENT!A$5:H$60,3,0)</f>
        <v>BOUTCHOUANG WILLIAM</v>
      </c>
      <c r="C10" s="109">
        <f>VLOOKUP(A10,[13]MVTRESUME24!$A$7:$AQ$41,31,0)</f>
        <v>0</v>
      </c>
      <c r="D10" s="14"/>
      <c r="E10" s="14"/>
      <c r="F10" s="15"/>
    </row>
    <row r="11" spans="1:6" ht="17.5" x14ac:dyDescent="0.35">
      <c r="A11" s="19" t="s">
        <v>64</v>
      </c>
      <c r="B11" s="14" t="str">
        <f>VLOOKUP(A11,[16]LISTADHERENT!A$5:H$60,3,0)</f>
        <v xml:space="preserve">DJOMO JEAN PAUL </v>
      </c>
      <c r="C11" s="109">
        <f>VLOOKUP(A11,[13]MVTRESUME24!$A$7:$AQ$41,31,0)</f>
        <v>0</v>
      </c>
      <c r="D11" s="14"/>
      <c r="E11" s="14"/>
      <c r="F11" s="15"/>
    </row>
    <row r="12" spans="1:6" ht="17.5" x14ac:dyDescent="0.35">
      <c r="A12" s="19" t="s">
        <v>104</v>
      </c>
      <c r="B12" s="14" t="str">
        <f>VLOOKUP(A12,[16]LISTADHERENT!A$5:H$60,3,0)</f>
        <v>DJOMOU TCHAPDA</v>
      </c>
      <c r="C12" s="109">
        <f>VLOOKUP(A12,[13]MVTRESUME24!$A$7:$AQ$41,31,0)</f>
        <v>0</v>
      </c>
      <c r="D12" s="14"/>
      <c r="E12" s="14"/>
      <c r="F12" s="15"/>
    </row>
    <row r="13" spans="1:6" ht="17.5" x14ac:dyDescent="0.35">
      <c r="A13" s="19" t="s">
        <v>65</v>
      </c>
      <c r="B13" s="14" t="str">
        <f>VLOOKUP(A13,[16]LISTADHERENT!A$5:H$60,3,0)</f>
        <v>DJOUKWE NANGUEN GUY BLAISE</v>
      </c>
      <c r="C13" s="109">
        <f>VLOOKUP(A13,[13]MVTRESUME24!$A$7:$AQ$41,31,0)</f>
        <v>0</v>
      </c>
      <c r="D13" s="14"/>
      <c r="E13" s="14"/>
      <c r="F13" s="15"/>
    </row>
    <row r="14" spans="1:6" ht="17.5" x14ac:dyDescent="0.35">
      <c r="A14" s="19" t="s">
        <v>66</v>
      </c>
      <c r="B14" s="14" t="str">
        <f>VLOOKUP(A14,[16]LISTADHERENT!A$5:H$60,3,0)</f>
        <v>DJUOMBESSY ANTOINE</v>
      </c>
      <c r="C14" s="109">
        <f>VLOOKUP(A14,[13]MVTRESUME24!$A$7:$AQ$41,31,0)</f>
        <v>0</v>
      </c>
      <c r="D14" s="14"/>
      <c r="E14" s="14"/>
      <c r="F14" s="15"/>
    </row>
    <row r="15" spans="1:6" ht="17.5" x14ac:dyDescent="0.35">
      <c r="A15" s="19" t="s">
        <v>87</v>
      </c>
      <c r="B15" s="14" t="str">
        <f>VLOOKUP(A15,[16]LISTADHERENT!A$5:H$60,3,0)</f>
        <v>DOMOU FABIEN</v>
      </c>
      <c r="C15" s="109">
        <f>VLOOKUP(A15,[13]MVTRESUME24!$A$7:$AQ$41,31,0)</f>
        <v>0</v>
      </c>
      <c r="D15" s="14"/>
      <c r="E15" s="14"/>
      <c r="F15" s="15"/>
    </row>
    <row r="16" spans="1:6" ht="17.5" x14ac:dyDescent="0.35">
      <c r="A16" s="19" t="s">
        <v>67</v>
      </c>
      <c r="B16" s="14" t="str">
        <f>VLOOKUP(A16,[16]LISTADHERENT!A$5:H$60,3,0)</f>
        <v>DONHOU DAVID</v>
      </c>
      <c r="C16" s="109">
        <f>VLOOKUP(A16,[13]MVTRESUME24!$A$7:$AQ$41,31,0)</f>
        <v>0</v>
      </c>
      <c r="D16" s="14"/>
      <c r="E16" s="14"/>
      <c r="F16" s="15"/>
    </row>
    <row r="17" spans="1:6" ht="17.5" x14ac:dyDescent="0.35">
      <c r="A17" s="19" t="s">
        <v>68</v>
      </c>
      <c r="B17" s="14" t="str">
        <f>VLOOKUP(A17,[16]LISTADHERENT!A$5:H$60,3,0)</f>
        <v>HENGUE PAUL OMER</v>
      </c>
      <c r="C17" s="109">
        <f>VLOOKUP(A17,[13]MVTRESUME24!$A$7:$AQ$41,31,0)</f>
        <v>0</v>
      </c>
      <c r="D17" s="14"/>
      <c r="E17" s="14"/>
      <c r="F17" s="15"/>
    </row>
    <row r="18" spans="1:6" ht="17.5" x14ac:dyDescent="0.35">
      <c r="A18" s="19" t="s">
        <v>69</v>
      </c>
      <c r="B18" s="14" t="str">
        <f>VLOOKUP(A18,[16]LISTADHERENT!A$5:H$60,3,0)</f>
        <v>HOTCHO BENJAMIN</v>
      </c>
      <c r="C18" s="109">
        <f>VLOOKUP(A18,[13]MVTRESUME24!$A$7:$AQ$41,31,0)</f>
        <v>0</v>
      </c>
      <c r="D18" s="14"/>
      <c r="E18" s="14"/>
      <c r="F18" s="15"/>
    </row>
    <row r="19" spans="1:6" ht="17.5" x14ac:dyDescent="0.35">
      <c r="A19" s="19" t="s">
        <v>70</v>
      </c>
      <c r="B19" s="14" t="str">
        <f>VLOOKUP(A19,[16]LISTADHERENT!A$5:H$60,3,0)</f>
        <v>KOUAMOU MOISE</v>
      </c>
      <c r="C19" s="109">
        <f>VLOOKUP(A19,[13]MVTRESUME24!$A$7:$AQ$41,31,0)</f>
        <v>0</v>
      </c>
      <c r="D19" s="14"/>
      <c r="E19" s="14"/>
      <c r="F19" s="15"/>
    </row>
    <row r="20" spans="1:6" ht="17.5" x14ac:dyDescent="0.35">
      <c r="A20" s="19" t="s">
        <v>71</v>
      </c>
      <c r="B20" s="14" t="str">
        <f>VLOOKUP(A20,[16]LISTADHERENT!A$5:H$60,3,0)</f>
        <v>KOUATCHO MESSACK</v>
      </c>
      <c r="C20" s="109">
        <f>VLOOKUP(A20,[13]MVTRESUME24!$A$7:$AQ$41,31,0)</f>
        <v>0</v>
      </c>
      <c r="D20" s="14"/>
      <c r="E20" s="14"/>
      <c r="F20" s="15"/>
    </row>
    <row r="21" spans="1:6" ht="17.5" x14ac:dyDescent="0.35">
      <c r="A21" s="19" t="s">
        <v>72</v>
      </c>
      <c r="B21" s="14" t="str">
        <f>VLOOKUP(A21,[16]LISTADHERENT!A$5:H$60,3,0)</f>
        <v>LOWE JEAN</v>
      </c>
      <c r="C21" s="109">
        <f>VLOOKUP(A21,[13]MVTRESUME24!$A$7:$AQ$41,31,0)</f>
        <v>0</v>
      </c>
      <c r="D21" s="14"/>
      <c r="E21" s="14"/>
      <c r="F21" s="15"/>
    </row>
    <row r="22" spans="1:6" ht="17.5" x14ac:dyDescent="0.35">
      <c r="A22" s="19" t="s">
        <v>166</v>
      </c>
      <c r="B22" s="14" t="str">
        <f>VLOOKUP(A22,[16]LISTADHERENT!A$5:H$60,3,0)</f>
        <v>MASSEUNGOUE DAGOBERT</v>
      </c>
      <c r="C22" s="109">
        <f>VLOOKUP(A22,[13]MVTRESUME24!$A$7:$AQ$41,31,0)</f>
        <v>190000</v>
      </c>
      <c r="D22" s="14"/>
      <c r="E22" s="14"/>
      <c r="F22" s="15"/>
    </row>
    <row r="23" spans="1:6" ht="17.5" x14ac:dyDescent="0.35">
      <c r="A23" s="19" t="s">
        <v>86</v>
      </c>
      <c r="B23" s="14" t="str">
        <f>VLOOKUP(A23,[16]LISTADHERENT!A$5:H$60,3,0)</f>
        <v>MBOGNING TUGMA GUY</v>
      </c>
      <c r="C23" s="109">
        <f>VLOOKUP(A23,[13]MVTRESUME24!$A$7:$AQ$41,31,0)</f>
        <v>66700</v>
      </c>
      <c r="D23" s="14"/>
      <c r="E23" s="14"/>
      <c r="F23" s="15"/>
    </row>
    <row r="24" spans="1:6" ht="17.5" x14ac:dyDescent="0.35">
      <c r="A24" s="19" t="s">
        <v>81</v>
      </c>
      <c r="B24" s="14" t="str">
        <f>VLOOKUP(A24,[16]LISTADHERENT!A$5:H$60,3,0)</f>
        <v>NANGUEN MARTIN</v>
      </c>
      <c r="C24" s="109">
        <f>VLOOKUP(A24,[13]MVTRESUME24!$A$7:$AQ$41,31,0)</f>
        <v>0</v>
      </c>
      <c r="D24" s="14"/>
      <c r="E24" s="14"/>
      <c r="F24" s="15"/>
    </row>
    <row r="25" spans="1:6" ht="17.5" x14ac:dyDescent="0.35">
      <c r="A25" s="19" t="s">
        <v>73</v>
      </c>
      <c r="B25" s="14" t="str">
        <f>VLOOKUP(A25,[16]LISTADHERENT!A$5:H$60,3,0)</f>
        <v>NANKAM APPOLINAIRE</v>
      </c>
      <c r="C25" s="109">
        <f>VLOOKUP(A25,[13]MVTRESUME24!$A$7:$AQ$41,31,0)</f>
        <v>0</v>
      </c>
      <c r="D25" s="14"/>
      <c r="E25" s="14"/>
      <c r="F25" s="15"/>
    </row>
    <row r="26" spans="1:6" ht="17.5" x14ac:dyDescent="0.35">
      <c r="A26" s="19" t="s">
        <v>74</v>
      </c>
      <c r="B26" s="14" t="str">
        <f>VLOOKUP(A26,[16]LISTADHERENT!A$5:H$60,3,0)</f>
        <v>NDJOMO ETIENNE</v>
      </c>
      <c r="C26" s="109">
        <f>VLOOKUP(A26,[13]MVTRESUME24!$A$7:$AQ$41,31,0)</f>
        <v>0</v>
      </c>
      <c r="D26" s="14"/>
      <c r="E26" s="14"/>
      <c r="F26" s="15"/>
    </row>
    <row r="27" spans="1:6" ht="17.5" x14ac:dyDescent="0.35">
      <c r="A27" s="19" t="s">
        <v>75</v>
      </c>
      <c r="B27" s="14" t="str">
        <f>VLOOKUP(A27,[16]LISTADHERENT!A$5:H$60,3,0)</f>
        <v>NGONDIEP CLAUDE</v>
      </c>
      <c r="C27" s="109">
        <f>VLOOKUP(A27,[13]MVTRESUME24!$A$7:$AQ$41,31,0)</f>
        <v>0</v>
      </c>
      <c r="D27" s="14"/>
      <c r="E27" s="14"/>
      <c r="F27" s="15"/>
    </row>
    <row r="28" spans="1:6" ht="17.5" x14ac:dyDescent="0.35">
      <c r="A28" s="19" t="s">
        <v>77</v>
      </c>
      <c r="B28" s="14" t="str">
        <f>VLOOKUP(A28,[16]LISTADHERENT!A$5:H$60,3,0)</f>
        <v>NGUIEMEGNI MATHIEU BLAISE</v>
      </c>
      <c r="C28" s="109">
        <f>VLOOKUP(A28,[13]MVTRESUME24!$A$7:$AQ$41,31,0)</f>
        <v>0</v>
      </c>
      <c r="D28" s="14"/>
      <c r="E28" s="14"/>
      <c r="F28" s="15"/>
    </row>
    <row r="29" spans="1:6" ht="17.5" x14ac:dyDescent="0.35">
      <c r="A29" s="19" t="s">
        <v>78</v>
      </c>
      <c r="B29" s="14" t="str">
        <f>VLOOKUP(A29,[16]LISTADHERENT!A$5:H$60,3,0)</f>
        <v>NKAMGANG JUSTIN DEJOLIE</v>
      </c>
      <c r="C29" s="109">
        <f>VLOOKUP(A29,[13]MVTRESUME24!$A$7:$AQ$41,31,0)</f>
        <v>0</v>
      </c>
      <c r="D29" s="14"/>
      <c r="E29" s="14"/>
      <c r="F29" s="15"/>
    </row>
    <row r="30" spans="1:6" ht="17.5" x14ac:dyDescent="0.35">
      <c r="A30" s="19" t="s">
        <v>105</v>
      </c>
      <c r="B30" s="14" t="str">
        <f>VLOOKUP(A30,[16]LISTADHERENT!A$5:H$60,3,0)</f>
        <v>NOUBE ETIENNE</v>
      </c>
      <c r="C30" s="109">
        <f>VLOOKUP(A30,[13]MVTRESUME24!$A$7:$AQ$41,31,0)</f>
        <v>20000</v>
      </c>
      <c r="D30" s="14"/>
      <c r="E30" s="14"/>
      <c r="F30" s="15"/>
    </row>
    <row r="31" spans="1:6" ht="17.5" x14ac:dyDescent="0.35">
      <c r="A31" s="19" t="s">
        <v>79</v>
      </c>
      <c r="B31" s="14" t="str">
        <f>VLOOKUP(A31,[16]LISTADHERENT!A$5:H$60,3,0)</f>
        <v>PATEGO NJOSSU GUSTAVE</v>
      </c>
      <c r="C31" s="109">
        <f>VLOOKUP(A31,[13]MVTRESUME24!$A$7:$AQ$41,31,0)</f>
        <v>0</v>
      </c>
      <c r="D31" s="14"/>
      <c r="E31" s="14"/>
      <c r="F31" s="15"/>
    </row>
    <row r="32" spans="1:6" ht="17.5" x14ac:dyDescent="0.35">
      <c r="A32" s="19" t="s">
        <v>128</v>
      </c>
      <c r="B32" s="14" t="str">
        <f>VLOOKUP(A32,[16]LISTADHERENT!A$5:H$60,3,0)</f>
        <v>SEUMO POLYCARPE</v>
      </c>
      <c r="C32" s="109">
        <f>VLOOKUP(A32,[13]MVTRESUME24!$A$7:$AQ$41,31,0)</f>
        <v>115000</v>
      </c>
      <c r="D32" s="14"/>
      <c r="E32" s="14"/>
      <c r="F32" s="15"/>
    </row>
    <row r="33" spans="1:6" ht="17.5" x14ac:dyDescent="0.35">
      <c r="A33" s="19" t="s">
        <v>89</v>
      </c>
      <c r="B33" s="14" t="str">
        <f>VLOOKUP(A33,[16]LISTADHERENT!A$5:H$60,3,0)</f>
        <v>SIME BRICE</v>
      </c>
      <c r="C33" s="109">
        <f>VLOOKUP(A33,[13]MVTRESUME24!$A$7:$AQ$41,31,0)</f>
        <v>0</v>
      </c>
      <c r="D33" s="14"/>
      <c r="E33" s="14"/>
      <c r="F33" s="15"/>
    </row>
    <row r="34" spans="1:6" ht="17.5" x14ac:dyDescent="0.35">
      <c r="A34" s="19" t="s">
        <v>80</v>
      </c>
      <c r="B34" s="14" t="str">
        <f>VLOOKUP(A34,[16]LISTADHERENT!A$5:H$60,3,0)</f>
        <v>SIMO PIERRE</v>
      </c>
      <c r="C34" s="109">
        <f>VLOOKUP(A34,[13]MVTRESUME24!$A$7:$AQ$41,31,0)</f>
        <v>0</v>
      </c>
      <c r="D34" s="14"/>
      <c r="E34" s="14"/>
      <c r="F34" s="15"/>
    </row>
    <row r="35" spans="1:6" ht="17.5" x14ac:dyDescent="0.35">
      <c r="A35" s="19" t="s">
        <v>82</v>
      </c>
      <c r="B35" s="14" t="str">
        <f>VLOOKUP(A35,[16]LISTADHERENT!A$5:H$60,3,0)</f>
        <v>TCHOUAMOU MATHIEU</v>
      </c>
      <c r="C35" s="109">
        <f>VLOOKUP(A35,[13]MVTRESUME24!$A$7:$AQ$41,31,0)</f>
        <v>0</v>
      </c>
      <c r="D35" s="14"/>
      <c r="E35" s="14"/>
      <c r="F35" s="15"/>
    </row>
    <row r="36" spans="1:6" ht="17.5" x14ac:dyDescent="0.35">
      <c r="A36" s="19" t="s">
        <v>167</v>
      </c>
      <c r="B36" s="14" t="str">
        <f>VLOOKUP(A36,[16]LISTADHERENT!A$5:H$60,3,0)</f>
        <v>TCHOUATEU AUGUSTIN</v>
      </c>
      <c r="C36" s="109">
        <f>VLOOKUP(A36,[13]MVTRESUME24!$A$7:$AQ$41,31,0)</f>
        <v>140000</v>
      </c>
      <c r="D36" s="14"/>
      <c r="E36" s="14"/>
      <c r="F36" s="15"/>
    </row>
    <row r="37" spans="1:6" ht="17.5" x14ac:dyDescent="0.35">
      <c r="A37" s="19" t="s">
        <v>83</v>
      </c>
      <c r="B37" s="14" t="str">
        <f>VLOOKUP(A37,[16]LISTADHERENT!A$5:H$60,3,0)</f>
        <v>TCHOUTOU NANA CLAUDE</v>
      </c>
      <c r="C37" s="109">
        <f>VLOOKUP(A37,[13]MVTRESUME24!$A$7:$AQ$41,31,0)</f>
        <v>0</v>
      </c>
      <c r="D37" s="14"/>
      <c r="E37" s="14"/>
      <c r="F37" s="15"/>
    </row>
    <row r="38" spans="1:6" ht="17.5" x14ac:dyDescent="0.35">
      <c r="A38" s="19" t="s">
        <v>129</v>
      </c>
      <c r="B38" s="14" t="str">
        <f>VLOOKUP(A38,[16]LISTADHERENT!A$5:H$60,3,0)</f>
        <v>YANTCHOU GERVAIS</v>
      </c>
      <c r="C38" s="109">
        <f>VLOOKUP(A38,[13]MVTRESUME24!$A$7:$AQ$41,31,0)</f>
        <v>0</v>
      </c>
      <c r="D38" s="14"/>
      <c r="E38" s="14"/>
      <c r="F38" s="15"/>
    </row>
    <row r="39" spans="1:6" ht="17.5" x14ac:dyDescent="0.35">
      <c r="A39" s="19" t="s">
        <v>84</v>
      </c>
      <c r="B39" s="14" t="str">
        <f>VLOOKUP(A39,[16]LISTADHERENT!A$5:H$60,3,0)</f>
        <v>YEPMOU JEAN JACQUES</v>
      </c>
      <c r="C39" s="109">
        <f>VLOOKUP(A39,[13]MVTRESUME24!$A$7:$AQ$41,31,0)</f>
        <v>0</v>
      </c>
      <c r="D39" s="14"/>
      <c r="E39" s="14"/>
      <c r="F39" s="15"/>
    </row>
    <row r="40" spans="1:6" ht="17.5" x14ac:dyDescent="0.35">
      <c r="A40" s="19" t="s">
        <v>168</v>
      </c>
      <c r="B40" s="14" t="str">
        <f>VLOOKUP(A40,[16]LISTADHERENT!A$5:H$60,3,0)</f>
        <v>YIALA ALAIN OSCAR</v>
      </c>
      <c r="C40" s="109">
        <f>VLOOKUP(A40,[13]MVTRESUME24!$A$7:$AQ$41,31,0)</f>
        <v>240000</v>
      </c>
      <c r="D40" s="14"/>
      <c r="E40" s="14"/>
      <c r="F40" s="15"/>
    </row>
    <row r="41" spans="1:6" ht="17.5" x14ac:dyDescent="0.35">
      <c r="A41" s="19" t="s">
        <v>85</v>
      </c>
      <c r="B41" s="14" t="str">
        <f>VLOOKUP(A41,[16]LISTADHERENT!A$5:H$60,3,0)</f>
        <v>YOUMBI EMMANUEL</v>
      </c>
      <c r="C41" s="109">
        <f>VLOOKUP(A41,[13]MVTRESUME24!$A$7:$AQ$41,31,0)</f>
        <v>0</v>
      </c>
      <c r="D41" s="14"/>
      <c r="E41" s="14"/>
      <c r="F41" s="15"/>
    </row>
    <row r="42" spans="1:6" ht="17.5" x14ac:dyDescent="0.35">
      <c r="A42" s="13"/>
      <c r="B42" s="14"/>
      <c r="C42" s="109"/>
      <c r="D42" s="14"/>
      <c r="E42" s="14"/>
      <c r="F42" s="15"/>
    </row>
    <row r="43" spans="1:6" ht="18" thickBot="1" x14ac:dyDescent="0.4">
      <c r="A43" s="31" t="s">
        <v>23</v>
      </c>
      <c r="B43" s="58"/>
      <c r="C43" s="59">
        <f>SUM(C8:C42)</f>
        <v>771700</v>
      </c>
      <c r="D43" s="59"/>
      <c r="E43" s="59">
        <f>SUM(E6:E42)</f>
        <v>0</v>
      </c>
      <c r="F43" s="60">
        <f>SUM(F6:F42)</f>
        <v>1150000</v>
      </c>
    </row>
    <row r="44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2"/>
  <sheetViews>
    <sheetView topLeftCell="A37" workbookViewId="0">
      <selection activeCell="D46" sqref="D46"/>
    </sheetView>
  </sheetViews>
  <sheetFormatPr baseColWidth="10" defaultRowHeight="14.5" x14ac:dyDescent="0.35"/>
  <cols>
    <col min="1" max="1" width="18.1796875" customWidth="1"/>
    <col min="2" max="2" width="30" bestFit="1" customWidth="1"/>
    <col min="3" max="3" width="16.81640625" bestFit="1" customWidth="1"/>
    <col min="4" max="4" width="15" bestFit="1" customWidth="1"/>
    <col min="5" max="5" width="30.26953125" bestFit="1" customWidth="1"/>
  </cols>
  <sheetData>
    <row r="1" spans="1:5" x14ac:dyDescent="0.35">
      <c r="A1" s="1" t="s">
        <v>94</v>
      </c>
      <c r="B1" s="1" t="s">
        <v>95</v>
      </c>
    </row>
    <row r="2" spans="1:5" x14ac:dyDescent="0.35">
      <c r="A2" s="1" t="s">
        <v>10</v>
      </c>
      <c r="B2" s="1">
        <v>2024</v>
      </c>
    </row>
    <row r="4" spans="1:5" ht="26" x14ac:dyDescent="0.35">
      <c r="A4" s="147" t="s">
        <v>126</v>
      </c>
      <c r="B4" s="148"/>
      <c r="C4" s="148"/>
      <c r="D4" s="148"/>
      <c r="E4" s="148"/>
    </row>
    <row r="5" spans="1:5" ht="15" thickBot="1" x14ac:dyDescent="0.4">
      <c r="A5" s="71"/>
      <c r="B5" s="72"/>
      <c r="C5" s="73"/>
      <c r="D5" s="73"/>
      <c r="E5" s="74"/>
    </row>
    <row r="6" spans="1:5" ht="48" customHeight="1" thickTop="1" x14ac:dyDescent="0.35">
      <c r="A6" s="113" t="s">
        <v>96</v>
      </c>
      <c r="B6" s="112" t="s">
        <v>52</v>
      </c>
      <c r="C6" s="114" t="s">
        <v>131</v>
      </c>
      <c r="D6" s="114" t="s">
        <v>92</v>
      </c>
      <c r="E6" s="115" t="s">
        <v>139</v>
      </c>
    </row>
    <row r="7" spans="1:5" ht="17.5" x14ac:dyDescent="0.35">
      <c r="A7" s="19" t="s">
        <v>90</v>
      </c>
      <c r="B7" s="14" t="str">
        <f>VLOOKUP(A7,[16]LISTADHERENT!A$5:H$60,3,0)</f>
        <v>ASELBY</v>
      </c>
      <c r="C7" s="109"/>
      <c r="D7" s="109"/>
      <c r="E7" s="116" t="str">
        <f>IF(C7=0,"",VLOOKUP(A7,[13]MVTRESUME24!$A$7:$AQ$41,38,0))</f>
        <v/>
      </c>
    </row>
    <row r="8" spans="1:5" ht="17.5" x14ac:dyDescent="0.35">
      <c r="A8" s="19" t="s">
        <v>62</v>
      </c>
      <c r="B8" s="14" t="str">
        <f>VLOOKUP(A8,[16]LISTADHERENT!A$5:H$60,3,0)</f>
        <v>BAKOP ACHILLE</v>
      </c>
      <c r="C8" s="109">
        <f>VLOOKUP(A8,[13]MVTDEC24!$A$7:$AQ$41,19,0)</f>
        <v>600000</v>
      </c>
      <c r="D8" s="109">
        <f>VLOOKUP(A8,[13]MVTDEC24!$A$7:$AQ$41,20,0)</f>
        <v>6000</v>
      </c>
      <c r="E8" s="116">
        <f>IF(C8=0,"",VLOOKUP(A8,[13]MVTRESUME24!$A$7:$AQ$41,38,0))</f>
        <v>45474</v>
      </c>
    </row>
    <row r="9" spans="1:5" ht="17.5" x14ac:dyDescent="0.35">
      <c r="A9" s="19" t="s">
        <v>63</v>
      </c>
      <c r="B9" s="14" t="str">
        <f>VLOOKUP(A9,[16]LISTADHERENT!A$5:H$60,3,0)</f>
        <v>BOUTCHOUANG WILLIAM</v>
      </c>
      <c r="C9" s="109">
        <f>VLOOKUP(A9,[13]MVTDEC24!$A$7:$AQ$41,19,0)</f>
        <v>500000</v>
      </c>
      <c r="D9" s="109">
        <f>VLOOKUP(A9,[13]MVTDEC24!$A$7:$AQ$41,20,0)</f>
        <v>15000</v>
      </c>
      <c r="E9" s="116">
        <f>IF(C9=0,"",VLOOKUP(A9,[13]MVTRESUME24!$A$7:$AQ$41,38,0))</f>
        <v>45352</v>
      </c>
    </row>
    <row r="10" spans="1:5" ht="17.5" x14ac:dyDescent="0.35">
      <c r="A10" s="19" t="s">
        <v>64</v>
      </c>
      <c r="B10" s="14" t="str">
        <f>VLOOKUP(A10,[16]LISTADHERENT!A$5:H$60,3,0)</f>
        <v xml:space="preserve">DJOMO JEAN PAUL </v>
      </c>
      <c r="C10" s="109">
        <f>VLOOKUP(A10,[13]MVTDEC24!$A$7:$AQ$41,19,0)</f>
        <v>1000000</v>
      </c>
      <c r="D10" s="109">
        <f>VLOOKUP(A10,[13]MVTDEC24!$A$7:$AQ$41,20,0)</f>
        <v>120000</v>
      </c>
      <c r="E10" s="116">
        <f>IF(C10=0,"",VLOOKUP(A10,[13]MVTRESUME24!$A$7:$AQ$41,38,0))</f>
        <v>45627</v>
      </c>
    </row>
    <row r="11" spans="1:5" ht="17.5" x14ac:dyDescent="0.35">
      <c r="A11" s="19" t="s">
        <v>104</v>
      </c>
      <c r="B11" s="14" t="str">
        <f>VLOOKUP(A11,[16]LISTADHERENT!A$5:H$60,3,0)</f>
        <v>DJOMOU TCHAPDA</v>
      </c>
      <c r="C11" s="109">
        <f>VLOOKUP(A11,[13]MVTDEC24!$A$7:$AQ$41,19,0)</f>
        <v>1000000</v>
      </c>
      <c r="D11" s="109">
        <f>VLOOKUP(A11,[13]MVTDEC24!$A$7:$AQ$41,20,0)</f>
        <v>120000</v>
      </c>
      <c r="E11" s="116">
        <f>IF(C11=0,"",VLOOKUP(A11,[13]MVTRESUME24!$A$7:$AQ$41,38,0))</f>
        <v>45627</v>
      </c>
    </row>
    <row r="12" spans="1:5" ht="17.5" x14ac:dyDescent="0.35">
      <c r="A12" s="19" t="s">
        <v>65</v>
      </c>
      <c r="B12" s="14" t="str">
        <f>VLOOKUP(A12,[16]LISTADHERENT!A$5:H$60,3,0)</f>
        <v>DJOUKWE NANGUEN GUY BLAISE</v>
      </c>
      <c r="C12" s="109">
        <f>VLOOKUP(A12,[13]MVTDEC24!$A$7:$AQ$41,19,0)+1135000</f>
        <v>2135000</v>
      </c>
      <c r="D12" s="109">
        <f>VLOOKUP(A12,[13]MVTDEC24!$A$7:$AQ$41,20,0)</f>
        <v>20000</v>
      </c>
      <c r="E12" s="116">
        <f>IF(C12=0,"",VLOOKUP(A12,[13]MVTRESUME24!$A$7:$AQ$41,38,0))</f>
        <v>45474</v>
      </c>
    </row>
    <row r="13" spans="1:5" ht="17.5" x14ac:dyDescent="0.35">
      <c r="A13" s="19" t="s">
        <v>66</v>
      </c>
      <c r="B13" s="14" t="str">
        <f>VLOOKUP(A13,[16]LISTADHERENT!A$5:H$60,3,0)</f>
        <v>DJUOMBESSY ANTOINE</v>
      </c>
      <c r="C13" s="109">
        <f>VLOOKUP(A13,[13]MVTDEC24!$A$7:$AQ$41,19,0)</f>
        <v>1000000</v>
      </c>
      <c r="D13" s="109">
        <f>VLOOKUP(A13,[13]MVTDEC24!$A$7:$AQ$41,20,0)</f>
        <v>60000</v>
      </c>
      <c r="E13" s="116">
        <f>IF(C13=0,"",VLOOKUP(A13,[13]MVTRESUME24!$A$7:$AQ$41,38,0))</f>
        <v>45627</v>
      </c>
    </row>
    <row r="14" spans="1:5" ht="17.5" x14ac:dyDescent="0.35">
      <c r="A14" s="19" t="s">
        <v>87</v>
      </c>
      <c r="B14" s="14" t="str">
        <f>VLOOKUP(A14,[16]LISTADHERENT!A$5:H$60,3,0)</f>
        <v>DOMOU FABIEN</v>
      </c>
      <c r="C14" s="109">
        <f>VLOOKUP(A14,[13]MVTDEC24!$A$7:$AQ$41,19,0)</f>
        <v>1000000</v>
      </c>
      <c r="D14" s="109">
        <f>VLOOKUP(A14,[13]MVTDEC24!$A$7:$AQ$41,20,0)</f>
        <v>120000</v>
      </c>
      <c r="E14" s="116">
        <f>IF(C14=0,"",VLOOKUP(A14,[13]MVTRESUME24!$A$7:$AQ$41,38,0))</f>
        <v>45627</v>
      </c>
    </row>
    <row r="15" spans="1:5" ht="17.5" x14ac:dyDescent="0.35">
      <c r="A15" s="19" t="s">
        <v>67</v>
      </c>
      <c r="B15" s="14" t="str">
        <f>VLOOKUP(A15,[16]LISTADHERENT!A$5:H$60,3,0)</f>
        <v>DONHOU DAVID</v>
      </c>
      <c r="C15" s="109">
        <f>VLOOKUP(A15,[13]MVTDEC24!$A$7:$AQ$41,19,0)</f>
        <v>0</v>
      </c>
      <c r="D15" s="109">
        <f>VLOOKUP(A15,[13]MVTDEC24!$A$7:$AQ$41,20,0)</f>
        <v>0</v>
      </c>
      <c r="E15" s="116" t="str">
        <f>IF(C15=0,"",VLOOKUP(A15,[13]MVTRESUME24!$A$7:$AQ$41,38,0))</f>
        <v/>
      </c>
    </row>
    <row r="16" spans="1:5" ht="17.5" x14ac:dyDescent="0.35">
      <c r="A16" s="19" t="s">
        <v>68</v>
      </c>
      <c r="B16" s="14" t="str">
        <f>VLOOKUP(A16,[16]LISTADHERENT!A$5:H$60,3,0)</f>
        <v>HENGUE PAUL OMER</v>
      </c>
      <c r="C16" s="109">
        <f>VLOOKUP(A16,[13]MVTDEC24!$A$7:$AQ$41,19,0)+1050000</f>
        <v>1050000</v>
      </c>
      <c r="D16" s="109">
        <f>VLOOKUP(A16,[13]MVTDEC24!$A$7:$AQ$41,20,0)</f>
        <v>0</v>
      </c>
      <c r="E16" s="116">
        <f>IF(C16=0,"",VLOOKUP(A16,[13]MVTRESUME24!$A$7:$AQ$41,38,0))</f>
        <v>45627</v>
      </c>
    </row>
    <row r="17" spans="1:5" ht="17.5" x14ac:dyDescent="0.35">
      <c r="A17" s="19" t="s">
        <v>69</v>
      </c>
      <c r="B17" s="14" t="str">
        <f>VLOOKUP(A17,[16]LISTADHERENT!A$5:H$60,3,0)</f>
        <v>HOTCHO BENJAMIN</v>
      </c>
      <c r="C17" s="109">
        <f>VLOOKUP(A17,[13]MVTDEC24!$A$7:$AQ$41,19,0)</f>
        <v>238500</v>
      </c>
      <c r="D17" s="109">
        <f>VLOOKUP(A17,[13]MVTDEC24!$A$7:$AQ$41,20,0)</f>
        <v>0</v>
      </c>
      <c r="E17" s="116">
        <f>IF(C17=0,"",VLOOKUP(A17,[13]MVTRESUME24!$A$7:$AQ$41,38,0))</f>
        <v>45627</v>
      </c>
    </row>
    <row r="18" spans="1:5" ht="17.5" x14ac:dyDescent="0.35">
      <c r="A18" s="19" t="s">
        <v>70</v>
      </c>
      <c r="B18" s="14" t="str">
        <f>VLOOKUP(A18,[16]LISTADHERENT!A$5:H$60,3,0)</f>
        <v>KOUAMOU MOISE</v>
      </c>
      <c r="C18" s="109">
        <f>VLOOKUP(A18,[13]MVTDEC24!$A$7:$AQ$41,19,0)+346500</f>
        <v>346500</v>
      </c>
      <c r="D18" s="109">
        <f>VLOOKUP(A18,[13]MVTDEC24!$A$7:$AQ$41,20,0)</f>
        <v>0</v>
      </c>
      <c r="E18" s="116">
        <f>IF(C18=0,"",VLOOKUP(A18,[13]MVTRESUME24!$A$7:$AQ$41,38,0))</f>
        <v>45627</v>
      </c>
    </row>
    <row r="19" spans="1:5" ht="17.5" x14ac:dyDescent="0.35">
      <c r="A19" s="19" t="s">
        <v>71</v>
      </c>
      <c r="B19" s="14" t="str">
        <f>VLOOKUP(A19,[16]LISTADHERENT!A$5:H$60,3,0)</f>
        <v>KOUATCHO MESSACK</v>
      </c>
      <c r="C19" s="109">
        <f>VLOOKUP(A19,[13]MVTDEC24!$A$7:$AQ$41,19,0)</f>
        <v>1000000</v>
      </c>
      <c r="D19" s="109">
        <f>VLOOKUP(A19,[13]MVTDEC24!$A$7:$AQ$41,20,0)</f>
        <v>50000</v>
      </c>
      <c r="E19" s="116">
        <f>IF(C19=0,"",VLOOKUP(A19,[13]MVTRESUME24!$A$7:$AQ$41,38,0))</f>
        <v>45627</v>
      </c>
    </row>
    <row r="20" spans="1:5" ht="17.5" x14ac:dyDescent="0.35">
      <c r="A20" s="19" t="s">
        <v>72</v>
      </c>
      <c r="B20" s="14" t="str">
        <f>VLOOKUP(A20,[16]LISTADHERENT!A$5:H$60,3,0)</f>
        <v>LOWE JEAN</v>
      </c>
      <c r="C20" s="109" t="e">
        <f>VLOOKUP(A20,[13]MVTDEC24!$A$7:$AQ$41,19,0)</f>
        <v>#N/A</v>
      </c>
      <c r="D20" s="109" t="e">
        <f>VLOOKUP(A20,[13]MVTDEC24!$A$7:$AQ$41,20,0)</f>
        <v>#N/A</v>
      </c>
      <c r="E20" s="116" t="e">
        <f>IF(C20=0,"",VLOOKUP(A20,[13]MVTRESUME24!$A$7:$AQ$41,38,0))</f>
        <v>#N/A</v>
      </c>
    </row>
    <row r="21" spans="1:5" ht="17.5" x14ac:dyDescent="0.35">
      <c r="A21" s="19" t="s">
        <v>166</v>
      </c>
      <c r="B21" s="14" t="str">
        <f>VLOOKUP(A21,[16]LISTADHERENT!A$5:H$60,3,0)</f>
        <v>MASSEUNGOUE DAGOBERT</v>
      </c>
      <c r="C21" s="109">
        <f>VLOOKUP(A21,[13]MVTDEC24!$A$7:$AQ$41,19,0)</f>
        <v>0</v>
      </c>
      <c r="D21" s="109">
        <f>VLOOKUP(A21,[13]MVTDEC24!$A$7:$AQ$41,20,0)</f>
        <v>0</v>
      </c>
      <c r="E21" s="116" t="str">
        <f>IF(C21=0,"",VLOOKUP(A21,[13]MVTRESUME24!$A$7:$AQ$41,38,0))</f>
        <v/>
      </c>
    </row>
    <row r="22" spans="1:5" ht="17.5" x14ac:dyDescent="0.35">
      <c r="A22" s="19" t="s">
        <v>86</v>
      </c>
      <c r="B22" s="14" t="str">
        <f>VLOOKUP(A22,[16]LISTADHERENT!A$5:H$60,3,0)</f>
        <v>MBOGNING TUGMA GUY</v>
      </c>
      <c r="C22" s="109">
        <f>VLOOKUP(A22,[13]MVTDEC24!$A$7:$AQ$41,19,0)</f>
        <v>0</v>
      </c>
      <c r="D22" s="109">
        <f>VLOOKUP(A22,[13]MVTDEC24!$A$7:$AQ$41,20,0)</f>
        <v>0</v>
      </c>
      <c r="E22" s="116" t="str">
        <f>IF(C22=0,"",VLOOKUP(A22,[13]MVTRESUME24!$A$7:$AQ$41,38,0))</f>
        <v/>
      </c>
    </row>
    <row r="23" spans="1:5" ht="17.5" x14ac:dyDescent="0.35">
      <c r="A23" s="19" t="s">
        <v>81</v>
      </c>
      <c r="B23" s="14" t="str">
        <f>VLOOKUP(A23,[16]LISTADHERENT!A$5:H$60,3,0)</f>
        <v>NANGUEN MARTIN</v>
      </c>
      <c r="C23" s="109">
        <f>VLOOKUP(A23,[13]MVTDEC24!$A$7:$AQ$41,19,0)</f>
        <v>300000</v>
      </c>
      <c r="D23" s="109">
        <f>VLOOKUP(A23,[13]MVTDEC24!$A$7:$AQ$41,20,0)</f>
        <v>18000</v>
      </c>
      <c r="E23" s="116">
        <f>IF(C23=0,"",VLOOKUP(A23,[13]MVTRESUME24!$A$7:$AQ$41,38,0))</f>
        <v>45474</v>
      </c>
    </row>
    <row r="24" spans="1:5" ht="17.5" x14ac:dyDescent="0.35">
      <c r="A24" s="19" t="s">
        <v>73</v>
      </c>
      <c r="B24" s="14" t="str">
        <f>VLOOKUP(A24,[16]LISTADHERENT!A$5:H$60,3,0)</f>
        <v>NANKAM APPOLINAIRE</v>
      </c>
      <c r="C24" s="109">
        <f>VLOOKUP(A24,[13]MVTDEC24!$A$7:$AQ$41,19,0)</f>
        <v>1000000</v>
      </c>
      <c r="D24" s="109">
        <f>VLOOKUP(A24,[13]MVTDEC24!$A$7:$AQ$41,20,0)</f>
        <v>120000</v>
      </c>
      <c r="E24" s="116">
        <f>IF(C24=0,"",VLOOKUP(A24,[13]MVTRESUME24!$A$7:$AQ$41,38,0))</f>
        <v>45627</v>
      </c>
    </row>
    <row r="25" spans="1:5" ht="17.5" x14ac:dyDescent="0.35">
      <c r="A25" s="19" t="s">
        <v>74</v>
      </c>
      <c r="B25" s="14" t="str">
        <f>VLOOKUP(A25,[16]LISTADHERENT!A$5:H$60,3,0)</f>
        <v>NDJOMO ETIENNE</v>
      </c>
      <c r="C25" s="109">
        <f>VLOOKUP(A25,[13]MVTDEC24!$A$7:$AQ$41,19,0)</f>
        <v>500000</v>
      </c>
      <c r="D25" s="109">
        <f>VLOOKUP(A25,[13]MVTDEC24!$A$7:$AQ$41,20,0)</f>
        <v>30000</v>
      </c>
      <c r="E25" s="116">
        <f>IF(C25=0,"",VLOOKUP(A25,[13]MVTRESUME24!$A$7:$AQ$41,38,0))</f>
        <v>45627</v>
      </c>
    </row>
    <row r="26" spans="1:5" ht="17.5" x14ac:dyDescent="0.35">
      <c r="A26" s="19" t="s">
        <v>75</v>
      </c>
      <c r="B26" s="14" t="str">
        <f>VLOOKUP(A26,[16]LISTADHERENT!A$5:H$60,3,0)</f>
        <v>NGONDIEP CLAUDE</v>
      </c>
      <c r="C26" s="109">
        <f>VLOOKUP(A26,[13]MVTDEC24!$A$7:$AQ$41,19,0)</f>
        <v>1000000</v>
      </c>
      <c r="D26" s="109">
        <f>VLOOKUP(A26,[13]MVTDEC24!$A$7:$AQ$41,20,0)</f>
        <v>120000</v>
      </c>
      <c r="E26" s="116">
        <f>IF(C26=0,"",VLOOKUP(A26,[13]MVTRESUME24!$A$7:$AQ$41,38,0))</f>
        <v>45627</v>
      </c>
    </row>
    <row r="27" spans="1:5" ht="17.5" x14ac:dyDescent="0.35">
      <c r="A27" s="19" t="s">
        <v>77</v>
      </c>
      <c r="B27" s="14" t="str">
        <f>VLOOKUP(A27,[16]LISTADHERENT!A$5:H$60,3,0)</f>
        <v>NGUIEMEGNI MATHIEU BLAISE</v>
      </c>
      <c r="C27" s="109">
        <f>VLOOKUP(A27,[13]MVTDEC24!$A$7:$AQ$41,19,0)</f>
        <v>1000000</v>
      </c>
      <c r="D27" s="109">
        <f>VLOOKUP(A27,[13]MVTDEC24!$A$7:$AQ$41,20,0)</f>
        <v>120000</v>
      </c>
      <c r="E27" s="116">
        <f>IF(C27=0,"",VLOOKUP(A27,[13]MVTRESUME24!$A$7:$AQ$41,38,0))</f>
        <v>45627</v>
      </c>
    </row>
    <row r="28" spans="1:5" ht="17.5" x14ac:dyDescent="0.35">
      <c r="A28" s="19" t="s">
        <v>78</v>
      </c>
      <c r="B28" s="14" t="str">
        <f>VLOOKUP(A28,[16]LISTADHERENT!A$5:H$60,3,0)</f>
        <v>NKAMGANG JUSTIN DEJOLIE</v>
      </c>
      <c r="C28" s="109">
        <f>VLOOKUP(A28,[13]MVTDEC24!$A$7:$AQ$41,19,0)</f>
        <v>1000000</v>
      </c>
      <c r="D28" s="109">
        <f>VLOOKUP(A28,[13]MVTDEC24!$A$7:$AQ$41,20,0)</f>
        <v>30000</v>
      </c>
      <c r="E28" s="116">
        <f>IF(C28=0,"",VLOOKUP(A28,[13]MVTRESUME24!$A$7:$AQ$41,38,0))</f>
        <v>45566</v>
      </c>
    </row>
    <row r="29" spans="1:5" ht="17.5" x14ac:dyDescent="0.35">
      <c r="A29" s="19" t="s">
        <v>105</v>
      </c>
      <c r="B29" s="14" t="str">
        <f>VLOOKUP(A29,[16]LISTADHERENT!A$5:H$60,3,0)</f>
        <v>NOUBE ETIENNE</v>
      </c>
      <c r="C29" s="109">
        <f>VLOOKUP(A29,[13]MVTDEC24!$A$7:$AQ$41,19,0)</f>
        <v>0</v>
      </c>
      <c r="D29" s="109">
        <f>VLOOKUP(A29,[13]MVTDEC24!$A$7:$AQ$41,20,0)</f>
        <v>0</v>
      </c>
      <c r="E29" s="116" t="str">
        <f>IF(C29=0,"",VLOOKUP(A29,[13]MVTRESUME24!$A$7:$AQ$41,38,0))</f>
        <v/>
      </c>
    </row>
    <row r="30" spans="1:5" ht="17.5" x14ac:dyDescent="0.35">
      <c r="A30" s="19" t="s">
        <v>79</v>
      </c>
      <c r="B30" s="14" t="str">
        <f>VLOOKUP(A30,[16]LISTADHERENT!A$5:H$60,3,0)</f>
        <v>PATEGO NJOSSU GUSTAVE</v>
      </c>
      <c r="C30" s="109">
        <f>VLOOKUP(A30,[13]MVTDEC24!$A$7:$AQ$41,19,0)</f>
        <v>0</v>
      </c>
      <c r="D30" s="109">
        <f>VLOOKUP(A30,[13]MVTDEC24!$A$7:$AQ$41,20,0)</f>
        <v>0</v>
      </c>
      <c r="E30" s="116" t="str">
        <f>IF(C30=0,"",VLOOKUP(A30,[13]MVTRESUME24!$A$7:$AQ$41,38,0))</f>
        <v/>
      </c>
    </row>
    <row r="31" spans="1:5" ht="17.5" x14ac:dyDescent="0.35">
      <c r="A31" s="19" t="s">
        <v>128</v>
      </c>
      <c r="B31" s="14" t="str">
        <f>VLOOKUP(A31,[16]LISTADHERENT!A$5:H$60,3,0)</f>
        <v>SEUMO POLYCARPE</v>
      </c>
      <c r="C31" s="109">
        <f>VLOOKUP(A31,[13]MVTDEC24!$A$7:$AQ$41,19,0)</f>
        <v>0</v>
      </c>
      <c r="D31" s="109">
        <f>VLOOKUP(A31,[13]MVTDEC24!$A$7:$AQ$41,20,0)</f>
        <v>0</v>
      </c>
      <c r="E31" s="116" t="str">
        <f>IF(C31=0,"",VLOOKUP(A31,[13]MVTRESUME24!$A$7:$AQ$41,38,0))</f>
        <v/>
      </c>
    </row>
    <row r="32" spans="1:5" ht="17.5" x14ac:dyDescent="0.35">
      <c r="A32" s="19" t="s">
        <v>89</v>
      </c>
      <c r="B32" s="14" t="str">
        <f>VLOOKUP(A32,[16]LISTADHERENT!A$5:H$60,3,0)</f>
        <v>SIME BRICE</v>
      </c>
      <c r="C32" s="109">
        <f>VLOOKUP(A32,[13]MVTDEC24!$A$7:$AQ$41,19,0)</f>
        <v>1000000</v>
      </c>
      <c r="D32" s="109">
        <f>VLOOKUP(A32,[13]MVTDEC24!$A$7:$AQ$41,20,0)</f>
        <v>60000</v>
      </c>
      <c r="E32" s="116">
        <f>IF(C32=0,"",VLOOKUP(A32,[13]MVTRESUME24!$A$7:$AQ$41,38,0))</f>
        <v>0</v>
      </c>
    </row>
    <row r="33" spans="1:5" ht="17.5" x14ac:dyDescent="0.35">
      <c r="A33" s="19" t="s">
        <v>80</v>
      </c>
      <c r="B33" s="14" t="str">
        <f>VLOOKUP(A33,[16]LISTADHERENT!A$5:H$60,3,0)</f>
        <v>SIMO PIERRE</v>
      </c>
      <c r="C33" s="109">
        <f>VLOOKUP(A33,[13]MVTDEC24!$A$7:$AQ$41,19,0)</f>
        <v>250000</v>
      </c>
      <c r="D33" s="109">
        <f>VLOOKUP(A33,[13]MVTDEC24!$A$7:$AQ$41,20,0)</f>
        <v>15000</v>
      </c>
      <c r="E33" s="116">
        <f>IF(C33=0,"",VLOOKUP(A33,[13]MVTRESUME24!$A$7:$AQ$41,38,0))</f>
        <v>45627</v>
      </c>
    </row>
    <row r="34" spans="1:5" ht="17.5" x14ac:dyDescent="0.35">
      <c r="A34" s="19" t="s">
        <v>82</v>
      </c>
      <c r="B34" s="14" t="str">
        <f>VLOOKUP(A34,[16]LISTADHERENT!A$5:H$60,3,0)</f>
        <v>TCHOUAMOU MATHIEU</v>
      </c>
      <c r="C34" s="109">
        <f>VLOOKUP(A34,[13]MVTDEC24!$A$7:$AQ$41,19,0)</f>
        <v>0</v>
      </c>
      <c r="D34" s="109">
        <f>VLOOKUP(A34,[13]MVTDEC24!$A$7:$AQ$41,20,0)</f>
        <v>0</v>
      </c>
      <c r="E34" s="116" t="str">
        <f>IF(C34=0,"",VLOOKUP(A34,[13]MVTRESUME24!$A$7:$AQ$41,38,0))</f>
        <v/>
      </c>
    </row>
    <row r="35" spans="1:5" ht="17.5" x14ac:dyDescent="0.35">
      <c r="A35" s="19" t="s">
        <v>167</v>
      </c>
      <c r="B35" s="14" t="str">
        <f>VLOOKUP(A35,[16]LISTADHERENT!A$5:H$60,3,0)</f>
        <v>TCHOUATEU AUGUSTIN</v>
      </c>
      <c r="C35" s="109">
        <f>VLOOKUP(A35,[13]MVTDEC24!$A$7:$AQ$41,19,0)</f>
        <v>1000000</v>
      </c>
      <c r="D35" s="109">
        <f>VLOOKUP(A35,[13]MVTDEC24!$A$7:$AQ$41,20,0)</f>
        <v>0</v>
      </c>
      <c r="E35" s="116">
        <f>IF(C35=0,"",VLOOKUP(A35,[13]MVTRESUME24!$A$7:$AQ$41,38,0))</f>
        <v>0</v>
      </c>
    </row>
    <row r="36" spans="1:5" ht="17.5" x14ac:dyDescent="0.35">
      <c r="A36" s="19" t="s">
        <v>83</v>
      </c>
      <c r="B36" s="14" t="str">
        <f>VLOOKUP(A36,[16]LISTADHERENT!A$5:H$60,3,0)</f>
        <v>TCHOUTOU NANA CLAUDE</v>
      </c>
      <c r="C36" s="109">
        <f>VLOOKUP(A36,[13]MVTDEC24!$A$7:$AQ$41,19,0)</f>
        <v>0</v>
      </c>
      <c r="D36" s="109">
        <f>VLOOKUP(A36,[13]MVTDEC24!$A$7:$AQ$41,20,0)</f>
        <v>0</v>
      </c>
      <c r="E36" s="116" t="str">
        <f>IF(C36=0,"",VLOOKUP(A36,[13]MVTRESUME24!$A$7:$AQ$41,38,0))</f>
        <v/>
      </c>
    </row>
    <row r="37" spans="1:5" ht="17.5" x14ac:dyDescent="0.35">
      <c r="A37" s="19" t="s">
        <v>129</v>
      </c>
      <c r="B37" s="14" t="str">
        <f>VLOOKUP(A37,[16]LISTADHERENT!A$5:H$60,3,0)</f>
        <v>YANTCHOU GERVAIS</v>
      </c>
      <c r="C37" s="109">
        <f>VLOOKUP(A37,[13]MVTDEC24!$A$7:$AQ$41,19,0)</f>
        <v>700000</v>
      </c>
      <c r="D37" s="109">
        <f>VLOOKUP(A37,[13]MVTDEC24!$A$7:$AQ$41,20,0)</f>
        <v>84000</v>
      </c>
      <c r="E37" s="116">
        <f>IF(C37=0,"",VLOOKUP(A37,[13]MVTRESUME24!$A$7:$AQ$41,38,0))</f>
        <v>0</v>
      </c>
    </row>
    <row r="38" spans="1:5" ht="17.5" x14ac:dyDescent="0.35">
      <c r="A38" s="19" t="s">
        <v>84</v>
      </c>
      <c r="B38" s="14" t="str">
        <f>VLOOKUP(A38,[16]LISTADHERENT!A$5:H$60,3,0)</f>
        <v>YEPMOU JEAN JACQUES</v>
      </c>
      <c r="C38" s="109">
        <f>VLOOKUP(A38,[13]MVTDEC24!$A$7:$AQ$41,19,0)</f>
        <v>0</v>
      </c>
      <c r="D38" s="109">
        <f>VLOOKUP(A38,[13]MVTDEC24!$A$7:$AQ$41,20,0)</f>
        <v>0</v>
      </c>
      <c r="E38" s="116" t="str">
        <f>IF(C38=0,"",VLOOKUP(A38,[13]MVTRESUME24!$A$7:$AQ$41,38,0))</f>
        <v/>
      </c>
    </row>
    <row r="39" spans="1:5" ht="17.5" x14ac:dyDescent="0.35">
      <c r="A39" s="19" t="s">
        <v>168</v>
      </c>
      <c r="B39" s="14" t="str">
        <f>VLOOKUP(A39,[16]LISTADHERENT!A$5:H$60,3,0)</f>
        <v>YIALA ALAIN OSCAR</v>
      </c>
      <c r="C39" s="109" t="e">
        <f>VLOOKUP(A39,[13]MVTDEC24!$A$7:$AQ$41,19,0)</f>
        <v>#N/A</v>
      </c>
      <c r="D39" s="109" t="e">
        <f>VLOOKUP(A39,[13]MVTDEC24!$A$7:$AQ$41,20,0)</f>
        <v>#N/A</v>
      </c>
      <c r="E39" s="116" t="e">
        <f>IF(C39=0,"",VLOOKUP(A39,[13]MVTRESUME24!$A$7:$AQ$41,38,0))</f>
        <v>#N/A</v>
      </c>
    </row>
    <row r="40" spans="1:5" ht="17.5" x14ac:dyDescent="0.35">
      <c r="A40" s="19" t="s">
        <v>85</v>
      </c>
      <c r="B40" s="14" t="str">
        <f>VLOOKUP(A40,[16]LISTADHERENT!A$5:H$60,3,0)</f>
        <v>YOUMBI EMMANUEL</v>
      </c>
      <c r="C40" s="109">
        <f>VLOOKUP(A40,[13]MVTDEC24!$A$7:$AQ$41,19,0)</f>
        <v>0</v>
      </c>
      <c r="D40" s="109">
        <f>VLOOKUP(A40,[13]MVTDEC24!$A$7:$AQ$41,20,0)</f>
        <v>0</v>
      </c>
      <c r="E40" s="116" t="str">
        <f>IF(C40=0,"",VLOOKUP(A40,[13]MVTRESUME24!$A$7:$AQ$41,38,0))</f>
        <v/>
      </c>
    </row>
    <row r="41" spans="1:5" ht="17.5" x14ac:dyDescent="0.35">
      <c r="A41" s="13"/>
      <c r="B41" s="14"/>
      <c r="C41" s="109"/>
      <c r="D41" s="109"/>
      <c r="E41" s="116"/>
    </row>
    <row r="42" spans="1:5" ht="18" thickBot="1" x14ac:dyDescent="0.4">
      <c r="A42" s="31" t="s">
        <v>23</v>
      </c>
      <c r="B42" s="58"/>
      <c r="C42" s="59" t="e">
        <f>SUM(C7:C41)</f>
        <v>#N/A</v>
      </c>
      <c r="D42" s="59" t="e">
        <f>SUM(D7:D41)</f>
        <v>#N/A</v>
      </c>
      <c r="E42" s="60"/>
    </row>
    <row r="43" spans="1:5" ht="15" thickTop="1" x14ac:dyDescent="0.35"/>
    <row r="44" spans="1:5" x14ac:dyDescent="0.35">
      <c r="A44" t="s">
        <v>205</v>
      </c>
    </row>
    <row r="46" spans="1:5" x14ac:dyDescent="0.35">
      <c r="A46" t="str">
        <f>DETAILLISTEROUGE!A7</f>
        <v>AS201648</v>
      </c>
      <c r="B46" t="str">
        <f>DETAILLISTEROUGE!B7</f>
        <v>FOTSO THOMAS</v>
      </c>
      <c r="C46" s="27">
        <f>DETAILLISTEROUGE!E7</f>
        <v>592079</v>
      </c>
    </row>
    <row r="47" spans="1:5" x14ac:dyDescent="0.35">
      <c r="A47" t="str">
        <f>DETAILLISTEROUGE!A9</f>
        <v>AS201602</v>
      </c>
      <c r="B47" t="str">
        <f>DETAILLISTEROUGE!B9</f>
        <v>TYAM ERNEST</v>
      </c>
      <c r="C47" s="27">
        <f>DETAILLISTEROUGE!E9</f>
        <v>529783</v>
      </c>
    </row>
    <row r="48" spans="1:5" x14ac:dyDescent="0.35">
      <c r="A48" t="str">
        <f>DETAILLISTEROUGE!A11</f>
        <v>AS201654</v>
      </c>
      <c r="B48" t="str">
        <f>DETAILLISTEROUGE!B11</f>
        <v>TCHOUANTE FRANCOIS</v>
      </c>
      <c r="C48" s="27">
        <f>DETAILLISTEROUGE!E11</f>
        <v>243805</v>
      </c>
    </row>
    <row r="49" spans="1:3" x14ac:dyDescent="0.35">
      <c r="A49" t="str">
        <f>DETAILLISTEROUGE!A12</f>
        <v>AS201605</v>
      </c>
      <c r="B49" t="str">
        <f>DETAILLISTEROUGE!B12</f>
        <v>CHINGUE FABRICE</v>
      </c>
      <c r="C49" s="27">
        <f>DETAILLISTEROUGE!E12</f>
        <v>428899.37129714503</v>
      </c>
    </row>
    <row r="50" spans="1:3" x14ac:dyDescent="0.35">
      <c r="A50" t="str">
        <f>DETAILLISTEROUGE!A13</f>
        <v>AS201608</v>
      </c>
      <c r="B50" t="str">
        <f>DETAILLISTEROUGE!B13</f>
        <v>NJEPDIO MBOUKAM DELUXE</v>
      </c>
      <c r="C50" s="27">
        <f>DETAILLISTEROUGE!E13</f>
        <v>496118</v>
      </c>
    </row>
    <row r="51" spans="1:3" x14ac:dyDescent="0.35">
      <c r="C51" s="27"/>
    </row>
    <row r="52" spans="1:3" x14ac:dyDescent="0.35">
      <c r="A52" t="str">
        <f>DETAILLISTEROUGE!A17</f>
        <v>TOTAL</v>
      </c>
      <c r="C52" s="30">
        <f>SUM(C46:C51)</f>
        <v>2290684.3712971453</v>
      </c>
    </row>
  </sheetData>
  <mergeCells count="1">
    <mergeCell ref="A4:E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"/>
  <sheetViews>
    <sheetView topLeftCell="A4" workbookViewId="0">
      <selection activeCell="B10" sqref="B10"/>
    </sheetView>
  </sheetViews>
  <sheetFormatPr baseColWidth="10" defaultRowHeight="14.5" x14ac:dyDescent="0.35"/>
  <cols>
    <col min="1" max="1" width="21.54296875" customWidth="1"/>
    <col min="2" max="2" width="30" bestFit="1" customWidth="1"/>
    <col min="3" max="3" width="16.81640625" bestFit="1" customWidth="1"/>
    <col min="4" max="4" width="18.7265625" customWidth="1"/>
    <col min="5" max="6" width="22.7265625" customWidth="1"/>
    <col min="7" max="7" width="19.453125" bestFit="1" customWidth="1"/>
  </cols>
  <sheetData>
    <row r="1" spans="1:7" x14ac:dyDescent="0.35">
      <c r="A1" s="1" t="s">
        <v>94</v>
      </c>
      <c r="B1" s="1" t="s">
        <v>95</v>
      </c>
    </row>
    <row r="2" spans="1:7" x14ac:dyDescent="0.35">
      <c r="A2" s="1" t="s">
        <v>10</v>
      </c>
      <c r="B2" s="1">
        <v>2024</v>
      </c>
    </row>
    <row r="4" spans="1:7" ht="26" x14ac:dyDescent="0.35">
      <c r="A4" s="147" t="s">
        <v>140</v>
      </c>
      <c r="B4" s="148"/>
      <c r="C4" s="148"/>
      <c r="D4" s="148"/>
      <c r="E4" s="148"/>
      <c r="F4" s="96"/>
    </row>
    <row r="5" spans="1:7" ht="15" thickBot="1" x14ac:dyDescent="0.4">
      <c r="A5" s="71"/>
      <c r="B5" s="72"/>
      <c r="C5" s="73"/>
      <c r="D5" s="73"/>
      <c r="E5" s="74"/>
      <c r="F5" s="74"/>
    </row>
    <row r="6" spans="1:7" ht="48" customHeight="1" thickTop="1" x14ac:dyDescent="0.35">
      <c r="A6" s="113" t="s">
        <v>96</v>
      </c>
      <c r="B6" s="112" t="s">
        <v>52</v>
      </c>
      <c r="C6" s="114" t="s">
        <v>9</v>
      </c>
      <c r="D6" s="114" t="s">
        <v>141</v>
      </c>
      <c r="E6" s="114" t="s">
        <v>30</v>
      </c>
      <c r="F6" s="121" t="s">
        <v>147</v>
      </c>
      <c r="G6" s="117" t="s">
        <v>143</v>
      </c>
    </row>
    <row r="7" spans="1:7" ht="17.5" x14ac:dyDescent="0.35">
      <c r="A7" s="13" t="s">
        <v>90</v>
      </c>
      <c r="B7" s="14" t="s">
        <v>142</v>
      </c>
      <c r="C7" s="120">
        <f>[13]CPTEFOTSOTHOMAS!$B$6</f>
        <v>1132500</v>
      </c>
      <c r="D7" s="109">
        <f>[13]CPTEFOTSOTHOMAS!$C$8</f>
        <v>540421</v>
      </c>
      <c r="E7" s="119">
        <f>C7-D7</f>
        <v>592079</v>
      </c>
      <c r="F7" s="122"/>
      <c r="G7" s="15" t="s">
        <v>186</v>
      </c>
    </row>
    <row r="8" spans="1:7" ht="17.5" x14ac:dyDescent="0.35">
      <c r="A8" s="13" t="s">
        <v>62</v>
      </c>
      <c r="B8" s="14" t="s">
        <v>144</v>
      </c>
      <c r="C8" s="120">
        <f>'[13]CPTEKEHEPDAVID)'!$B$6</f>
        <v>2518500</v>
      </c>
      <c r="D8" s="109">
        <f>'[13]CPTEKEHEPDAVID)'!$C$31</f>
        <v>2518500</v>
      </c>
      <c r="E8" s="119">
        <f>C8-D8</f>
        <v>0</v>
      </c>
      <c r="F8" s="122"/>
      <c r="G8" s="15" t="s">
        <v>186</v>
      </c>
    </row>
    <row r="9" spans="1:7" ht="17.5" x14ac:dyDescent="0.35">
      <c r="A9" s="13" t="s">
        <v>63</v>
      </c>
      <c r="B9" s="14" t="s">
        <v>145</v>
      </c>
      <c r="C9" s="120">
        <f>[13]CPTETYAMERNEST!$B$6</f>
        <v>1667000</v>
      </c>
      <c r="D9" s="109">
        <f>[13]CPTETYAMERNEST!$C$28</f>
        <v>1137217</v>
      </c>
      <c r="E9" s="119">
        <f t="shared" ref="E9:E13" si="0">C9-D9</f>
        <v>529783</v>
      </c>
      <c r="F9" s="122"/>
      <c r="G9" s="15" t="s">
        <v>186</v>
      </c>
    </row>
    <row r="10" spans="1:7" ht="17.5" x14ac:dyDescent="0.35">
      <c r="A10" s="13" t="s">
        <v>64</v>
      </c>
      <c r="B10" s="14" t="s">
        <v>146</v>
      </c>
      <c r="C10" s="120">
        <f>[13]CPTEFOGANGERIC!$B$6</f>
        <v>1553000</v>
      </c>
      <c r="D10" s="109">
        <f>[13]CPTEFOGANGERIC!$C$14</f>
        <v>1706468</v>
      </c>
      <c r="E10" s="109"/>
      <c r="F10" s="123">
        <f>D10-C10</f>
        <v>153468</v>
      </c>
      <c r="G10" s="15" t="s">
        <v>186</v>
      </c>
    </row>
    <row r="11" spans="1:7" ht="17.5" x14ac:dyDescent="0.35">
      <c r="A11" s="13" t="s">
        <v>104</v>
      </c>
      <c r="B11" s="14" t="s">
        <v>148</v>
      </c>
      <c r="C11" s="120">
        <f>[13]CPTETCHOUANTE!$B$6</f>
        <v>319855</v>
      </c>
      <c r="D11" s="109">
        <f>[13]CPTETCHOUANTE!$C$11</f>
        <v>76050</v>
      </c>
      <c r="E11" s="119">
        <f t="shared" si="0"/>
        <v>243805</v>
      </c>
      <c r="F11" s="122"/>
      <c r="G11" s="15" t="s">
        <v>186</v>
      </c>
    </row>
    <row r="12" spans="1:7" ht="17.5" x14ac:dyDescent="0.35">
      <c r="A12" s="13" t="s">
        <v>65</v>
      </c>
      <c r="B12" s="14" t="s">
        <v>149</v>
      </c>
      <c r="C12" s="120">
        <f>[13]CPTECHINGUE!$B$6</f>
        <v>763899.37129714503</v>
      </c>
      <c r="D12" s="109">
        <f>[13]CPTECHINGUE!$D$20</f>
        <v>335000</v>
      </c>
      <c r="E12" s="119">
        <f t="shared" si="0"/>
        <v>428899.37129714503</v>
      </c>
      <c r="F12" s="122"/>
      <c r="G12" s="15" t="s">
        <v>186</v>
      </c>
    </row>
    <row r="13" spans="1:7" ht="17.5" x14ac:dyDescent="0.35">
      <c r="A13" s="13" t="s">
        <v>66</v>
      </c>
      <c r="B13" s="14" t="s">
        <v>150</v>
      </c>
      <c r="C13" s="120">
        <f>[13]CPTENJEPDJIO!$B$6</f>
        <v>996118</v>
      </c>
      <c r="D13" s="109">
        <f>[13]CPTENJEPDJIO!$C$11</f>
        <v>500000</v>
      </c>
      <c r="E13" s="119">
        <f t="shared" si="0"/>
        <v>496118</v>
      </c>
      <c r="F13" s="122"/>
      <c r="G13" s="15" t="s">
        <v>186</v>
      </c>
    </row>
    <row r="14" spans="1:7" ht="17.5" x14ac:dyDescent="0.35">
      <c r="A14" s="13" t="s">
        <v>87</v>
      </c>
      <c r="B14" s="14" t="s">
        <v>151</v>
      </c>
      <c r="C14" s="120">
        <v>1011250</v>
      </c>
      <c r="D14" s="109">
        <v>227500</v>
      </c>
      <c r="E14" s="119">
        <f>C14-D14-267500-516250</f>
        <v>0</v>
      </c>
      <c r="F14" s="122"/>
      <c r="G14" s="15"/>
    </row>
    <row r="15" spans="1:7" ht="17.5" x14ac:dyDescent="0.35">
      <c r="A15" s="13" t="s">
        <v>67</v>
      </c>
      <c r="B15" s="14" t="s">
        <v>152</v>
      </c>
      <c r="C15" s="120">
        <f>[13]CPTETCHOUTOU!$B$6</f>
        <v>51453.696796924203</v>
      </c>
      <c r="D15" s="109">
        <f>[13]CPTETCHOUTOU!$C$12</f>
        <v>127454</v>
      </c>
      <c r="E15" s="119"/>
      <c r="F15" s="123">
        <v>76000</v>
      </c>
      <c r="G15" s="15" t="s">
        <v>186</v>
      </c>
    </row>
    <row r="16" spans="1:7" x14ac:dyDescent="0.35">
      <c r="A16" s="19"/>
      <c r="B16" s="14"/>
      <c r="C16" s="14"/>
      <c r="D16" s="14"/>
      <c r="E16" s="14"/>
      <c r="F16" s="44"/>
      <c r="G16" s="15"/>
    </row>
    <row r="17" spans="1:7" ht="18" thickBot="1" x14ac:dyDescent="0.4">
      <c r="A17" s="31" t="s">
        <v>23</v>
      </c>
      <c r="B17" s="58"/>
      <c r="C17" s="59">
        <f>SUM(C7:C16)</f>
        <v>10013576.068094069</v>
      </c>
      <c r="D17" s="59">
        <f>SUM(D7:D16)</f>
        <v>7168610</v>
      </c>
      <c r="E17" s="59">
        <f>SUM(E6:E16)</f>
        <v>2290684.3712971453</v>
      </c>
      <c r="F17" s="124"/>
      <c r="G17" s="118"/>
    </row>
    <row r="18" spans="1:7" ht="15" thickTop="1" x14ac:dyDescent="0.35"/>
    <row r="19" spans="1:7" ht="17.5" x14ac:dyDescent="0.35">
      <c r="F19" s="120"/>
    </row>
  </sheetData>
  <mergeCells count="1">
    <mergeCell ref="A4:E4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4"/>
  <sheetViews>
    <sheetView topLeftCell="A31" workbookViewId="0">
      <selection activeCell="C43" sqref="C43"/>
    </sheetView>
  </sheetViews>
  <sheetFormatPr baseColWidth="10" defaultRowHeight="14.5" x14ac:dyDescent="0.35"/>
  <cols>
    <col min="2" max="2" width="30" bestFit="1" customWidth="1"/>
    <col min="3" max="3" width="1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7" t="s">
        <v>6</v>
      </c>
      <c r="B4" s="148"/>
      <c r="C4" s="148"/>
      <c r="D4" s="148"/>
      <c r="E4" s="148"/>
      <c r="F4" s="148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54" t="s">
        <v>96</v>
      </c>
      <c r="B6" s="156" t="s">
        <v>52</v>
      </c>
      <c r="C6" s="107" t="s">
        <v>135</v>
      </c>
      <c r="D6" s="156" t="s">
        <v>132</v>
      </c>
      <c r="E6" s="156"/>
      <c r="F6" s="158"/>
    </row>
    <row r="7" spans="1:6" ht="21.75" customHeight="1" x14ac:dyDescent="0.35">
      <c r="A7" s="155"/>
      <c r="B7" s="157"/>
      <c r="C7" s="108" t="s">
        <v>131</v>
      </c>
      <c r="D7" s="108" t="s">
        <v>133</v>
      </c>
      <c r="E7" s="108" t="s">
        <v>134</v>
      </c>
      <c r="F7" s="26" t="s">
        <v>131</v>
      </c>
    </row>
    <row r="8" spans="1:6" ht="18.5" x14ac:dyDescent="0.45">
      <c r="A8" s="19" t="s">
        <v>90</v>
      </c>
      <c r="B8" s="14" t="str">
        <f>VLOOKUP(A8,[16]LISTADHERENT!A$5:H$60,3,0)</f>
        <v>ASELBY</v>
      </c>
      <c r="C8" s="109">
        <f>VLOOKUP(A8,[13]MVTRESUME24!$A$7:$Q$51,17,0)</f>
        <v>0</v>
      </c>
      <c r="D8" s="14"/>
      <c r="E8" s="14"/>
      <c r="F8" s="110"/>
    </row>
    <row r="9" spans="1:6" ht="17.5" x14ac:dyDescent="0.35">
      <c r="A9" s="19" t="s">
        <v>62</v>
      </c>
      <c r="B9" s="14" t="str">
        <f>VLOOKUP(A9,[16]LISTADHERENT!A$5:H$60,3,0)</f>
        <v>BAKOP ACHILLE</v>
      </c>
      <c r="C9" s="109">
        <f>VLOOKUP(A9,[13]MVTRESUME24!$A$7:$Q$51,17,0)</f>
        <v>0</v>
      </c>
      <c r="D9" s="14"/>
      <c r="E9" s="14"/>
      <c r="F9" s="15"/>
    </row>
    <row r="10" spans="1:6" ht="17.5" x14ac:dyDescent="0.35">
      <c r="A10" s="19" t="s">
        <v>63</v>
      </c>
      <c r="B10" s="14" t="str">
        <f>VLOOKUP(A10,[16]LISTADHERENT!A$5:H$60,3,0)</f>
        <v>BOUTCHOUANG WILLIAM</v>
      </c>
      <c r="C10" s="109">
        <f>VLOOKUP(A10,[13]MVTRESUME24!$A$7:$Q$51,17,0)</f>
        <v>0</v>
      </c>
      <c r="D10" s="14"/>
      <c r="E10" s="14"/>
      <c r="F10" s="15"/>
    </row>
    <row r="11" spans="1:6" ht="17.5" x14ac:dyDescent="0.35">
      <c r="A11" s="19" t="s">
        <v>64</v>
      </c>
      <c r="B11" s="14" t="str">
        <f>VLOOKUP(A11,[16]LISTADHERENT!A$5:H$60,3,0)</f>
        <v xml:space="preserve">DJOMO JEAN PAUL </v>
      </c>
      <c r="C11" s="109">
        <f>VLOOKUP(A11,[13]MVTRESUME24!$A$7:$Q$51,17,0)</f>
        <v>0</v>
      </c>
      <c r="D11" s="14"/>
      <c r="E11" s="14"/>
      <c r="F11" s="15"/>
    </row>
    <row r="12" spans="1:6" ht="17.5" x14ac:dyDescent="0.35">
      <c r="A12" s="19" t="s">
        <v>104</v>
      </c>
      <c r="B12" s="14" t="str">
        <f>VLOOKUP(A12,[16]LISTADHERENT!A$5:H$60,3,0)</f>
        <v>DJOMOU TCHAPDA</v>
      </c>
      <c r="C12" s="109">
        <f>VLOOKUP(A12,[13]MVTRESUME24!$A$7:$Q$51,17,0)</f>
        <v>0</v>
      </c>
      <c r="D12" s="14"/>
      <c r="E12" s="14"/>
      <c r="F12" s="15"/>
    </row>
    <row r="13" spans="1:6" ht="17.5" x14ac:dyDescent="0.35">
      <c r="A13" s="19" t="s">
        <v>65</v>
      </c>
      <c r="B13" s="14" t="str">
        <f>VLOOKUP(A13,[16]LISTADHERENT!A$5:H$60,3,0)</f>
        <v>DJOUKWE NANGUEN GUY BLAISE</v>
      </c>
      <c r="C13" s="109">
        <f>VLOOKUP(A13,[13]MVTRESUME24!$A$7:$Q$51,17,0)</f>
        <v>0</v>
      </c>
      <c r="D13" s="14"/>
      <c r="E13" s="14"/>
      <c r="F13" s="15"/>
    </row>
    <row r="14" spans="1:6" ht="17.5" x14ac:dyDescent="0.35">
      <c r="A14" s="19" t="s">
        <v>66</v>
      </c>
      <c r="B14" s="14" t="str">
        <f>VLOOKUP(A14,[16]LISTADHERENT!A$5:H$60,3,0)</f>
        <v>DJUOMBESSY ANTOINE</v>
      </c>
      <c r="C14" s="109">
        <f>VLOOKUP(A14,[13]MVTRESUME24!$A$7:$Q$51,17,0)</f>
        <v>0</v>
      </c>
      <c r="D14" s="14"/>
      <c r="E14" s="14"/>
      <c r="F14" s="15"/>
    </row>
    <row r="15" spans="1:6" ht="17.5" x14ac:dyDescent="0.35">
      <c r="A15" s="19" t="s">
        <v>87</v>
      </c>
      <c r="B15" s="14" t="str">
        <f>VLOOKUP(A15,[16]LISTADHERENT!A$5:H$60,3,0)</f>
        <v>DOMOU FABIEN</v>
      </c>
      <c r="C15" s="109">
        <f>VLOOKUP(A15,[13]MVTRESUME24!$A$7:$Q$51,17,0)</f>
        <v>0</v>
      </c>
      <c r="D15" s="14"/>
      <c r="E15" s="14"/>
      <c r="F15" s="15"/>
    </row>
    <row r="16" spans="1:6" ht="17.5" x14ac:dyDescent="0.35">
      <c r="A16" s="19" t="s">
        <v>67</v>
      </c>
      <c r="B16" s="14" t="str">
        <f>VLOOKUP(A16,[16]LISTADHERENT!A$5:H$60,3,0)</f>
        <v>DONHOU DAVID</v>
      </c>
      <c r="C16" s="109">
        <f>VLOOKUP(A16,[13]MVTRESUME24!$A$7:$Q$51,17,0)</f>
        <v>0</v>
      </c>
      <c r="D16" s="14"/>
      <c r="E16" s="14"/>
      <c r="F16" s="15"/>
    </row>
    <row r="17" spans="1:6" ht="17.5" x14ac:dyDescent="0.35">
      <c r="A17" s="19" t="s">
        <v>68</v>
      </c>
      <c r="B17" s="14" t="str">
        <f>VLOOKUP(A17,[16]LISTADHERENT!A$5:H$60,3,0)</f>
        <v>HENGUE PAUL OMER</v>
      </c>
      <c r="C17" s="109">
        <f>VLOOKUP(A17,[13]MVTRESUME24!$A$7:$Q$51,17,0)</f>
        <v>0</v>
      </c>
      <c r="D17" s="14"/>
      <c r="E17" s="14"/>
      <c r="F17" s="15"/>
    </row>
    <row r="18" spans="1:6" ht="17.5" x14ac:dyDescent="0.35">
      <c r="A18" s="19" t="s">
        <v>69</v>
      </c>
      <c r="B18" s="14" t="str">
        <f>VLOOKUP(A18,[16]LISTADHERENT!A$5:H$60,3,0)</f>
        <v>HOTCHO BENJAMIN</v>
      </c>
      <c r="C18" s="109">
        <f>VLOOKUP(A18,[13]MVTRESUME24!$A$7:$Q$51,17,0)</f>
        <v>0</v>
      </c>
      <c r="D18" s="14"/>
      <c r="E18" s="14"/>
      <c r="F18" s="15"/>
    </row>
    <row r="19" spans="1:6" ht="17.5" x14ac:dyDescent="0.35">
      <c r="A19" s="19" t="s">
        <v>70</v>
      </c>
      <c r="B19" s="14" t="str">
        <f>VLOOKUP(A19,[16]LISTADHERENT!A$5:H$60,3,0)</f>
        <v>KOUAMOU MOISE</v>
      </c>
      <c r="C19" s="109">
        <f>VLOOKUP(A19,[13]MVTRESUME24!$A$7:$Q$51,17,0)</f>
        <v>0</v>
      </c>
      <c r="D19" s="14"/>
      <c r="E19" s="14"/>
      <c r="F19" s="15"/>
    </row>
    <row r="20" spans="1:6" ht="17.5" x14ac:dyDescent="0.35">
      <c r="A20" s="19" t="s">
        <v>71</v>
      </c>
      <c r="B20" s="14" t="str">
        <f>VLOOKUP(A20,[16]LISTADHERENT!A$5:H$60,3,0)</f>
        <v>KOUATCHO MESSACK</v>
      </c>
      <c r="C20" s="109">
        <f>VLOOKUP(A20,[13]MVTRESUME24!$A$7:$Q$51,17,0)</f>
        <v>0</v>
      </c>
      <c r="D20" s="14"/>
      <c r="E20" s="14"/>
      <c r="F20" s="15"/>
    </row>
    <row r="21" spans="1:6" ht="17.5" x14ac:dyDescent="0.35">
      <c r="A21" s="19" t="s">
        <v>72</v>
      </c>
      <c r="B21" s="14" t="str">
        <f>VLOOKUP(A21,[16]LISTADHERENT!A$5:H$60,3,0)</f>
        <v>LOWE JEAN</v>
      </c>
      <c r="C21" s="109">
        <f>VLOOKUP(A21,[13]MVTRESUME24!$A$7:$Q$51,17,0)</f>
        <v>0</v>
      </c>
      <c r="D21" s="14"/>
      <c r="E21" s="14"/>
      <c r="F21" s="15"/>
    </row>
    <row r="22" spans="1:6" ht="17.5" x14ac:dyDescent="0.35">
      <c r="A22" s="19" t="s">
        <v>166</v>
      </c>
      <c r="B22" s="14" t="str">
        <f>VLOOKUP(A22,[16]LISTADHERENT!A$5:H$60,3,0)</f>
        <v>MASSEUNGOUE DAGOBERT</v>
      </c>
      <c r="C22" s="109">
        <f>VLOOKUP(A22,[13]MVTRESUME24!$A$7:$Q$51,17,0)</f>
        <v>25000</v>
      </c>
      <c r="D22" s="14"/>
      <c r="E22" s="14"/>
      <c r="F22" s="15"/>
    </row>
    <row r="23" spans="1:6" ht="17.5" x14ac:dyDescent="0.35">
      <c r="A23" s="19" t="s">
        <v>86</v>
      </c>
      <c r="B23" s="14" t="str">
        <f>VLOOKUP(A23,[16]LISTADHERENT!A$5:H$60,3,0)</f>
        <v>MBOGNING TUGMA GUY</v>
      </c>
      <c r="C23" s="109">
        <f>VLOOKUP(A23,[13]MVTRESUME24!$A$7:$Q$51,17,0)</f>
        <v>0</v>
      </c>
      <c r="D23" s="14"/>
      <c r="E23" s="14"/>
      <c r="F23" s="15"/>
    </row>
    <row r="24" spans="1:6" ht="17.5" x14ac:dyDescent="0.35">
      <c r="A24" s="19" t="s">
        <v>81</v>
      </c>
      <c r="B24" s="14" t="str">
        <f>VLOOKUP(A24,[16]LISTADHERENT!A$5:H$60,3,0)</f>
        <v>NANGUEN MARTIN</v>
      </c>
      <c r="C24" s="109">
        <f>VLOOKUP(A24,[13]MVTRESUME24!$A$7:$Q$51,17,0)</f>
        <v>0</v>
      </c>
      <c r="D24" s="14"/>
      <c r="E24" s="14"/>
      <c r="F24" s="15"/>
    </row>
    <row r="25" spans="1:6" ht="17.5" x14ac:dyDescent="0.35">
      <c r="A25" s="19" t="s">
        <v>73</v>
      </c>
      <c r="B25" s="14" t="str">
        <f>VLOOKUP(A25,[16]LISTADHERENT!A$5:H$60,3,0)</f>
        <v>NANKAM APPOLINAIRE</v>
      </c>
      <c r="C25" s="109">
        <f>VLOOKUP(A25,[13]MVTRESUME24!$A$7:$Q$51,17,0)</f>
        <v>0</v>
      </c>
      <c r="D25" s="14"/>
      <c r="E25" s="14"/>
      <c r="F25" s="15"/>
    </row>
    <row r="26" spans="1:6" ht="17.5" x14ac:dyDescent="0.35">
      <c r="A26" s="19" t="s">
        <v>74</v>
      </c>
      <c r="B26" s="14" t="str">
        <f>VLOOKUP(A26,[16]LISTADHERENT!A$5:H$60,3,0)</f>
        <v>NDJOMO ETIENNE</v>
      </c>
      <c r="C26" s="109">
        <f>VLOOKUP(A26,[13]MVTRESUME24!$A$7:$Q$51,17,0)</f>
        <v>0</v>
      </c>
      <c r="D26" s="14"/>
      <c r="E26" s="14"/>
      <c r="F26" s="15"/>
    </row>
    <row r="27" spans="1:6" ht="17.5" x14ac:dyDescent="0.35">
      <c r="A27" s="19" t="s">
        <v>75</v>
      </c>
      <c r="B27" s="14" t="str">
        <f>VLOOKUP(A27,[16]LISTADHERENT!A$5:H$60,3,0)</f>
        <v>NGONDIEP CLAUDE</v>
      </c>
      <c r="C27" s="109">
        <f>VLOOKUP(A27,[13]MVTRESUME24!$A$7:$Q$51,17,0)</f>
        <v>0</v>
      </c>
      <c r="D27" s="14"/>
      <c r="E27" s="14"/>
      <c r="F27" s="15"/>
    </row>
    <row r="28" spans="1:6" ht="17.5" x14ac:dyDescent="0.35">
      <c r="A28" s="19" t="s">
        <v>77</v>
      </c>
      <c r="B28" s="14" t="str">
        <f>VLOOKUP(A28,[16]LISTADHERENT!A$5:H$60,3,0)</f>
        <v>NGUIEMEGNI MATHIEU BLAISE</v>
      </c>
      <c r="C28" s="109">
        <f>VLOOKUP(A28,[13]MVTRESUME24!$A$7:$Q$51,17,0)</f>
        <v>0</v>
      </c>
      <c r="D28" s="14"/>
      <c r="E28" s="14"/>
      <c r="F28" s="15"/>
    </row>
    <row r="29" spans="1:6" ht="17.5" x14ac:dyDescent="0.35">
      <c r="A29" s="19" t="s">
        <v>78</v>
      </c>
      <c r="B29" s="14" t="str">
        <f>VLOOKUP(A29,[16]LISTADHERENT!A$5:H$60,3,0)</f>
        <v>NKAMGANG JUSTIN DEJOLIE</v>
      </c>
      <c r="C29" s="109">
        <f>VLOOKUP(A29,[13]MVTRESUME24!$A$7:$Q$51,17,0)</f>
        <v>0</v>
      </c>
      <c r="D29" s="14"/>
      <c r="E29" s="14"/>
      <c r="F29" s="15"/>
    </row>
    <row r="30" spans="1:6" ht="17.5" x14ac:dyDescent="0.35">
      <c r="A30" s="19" t="s">
        <v>105</v>
      </c>
      <c r="B30" s="14" t="str">
        <f>VLOOKUP(A30,[16]LISTADHERENT!A$5:H$60,3,0)</f>
        <v>NOUBE ETIENNE</v>
      </c>
      <c r="C30" s="109">
        <f>VLOOKUP(A30,[13]MVTRESUME24!$A$7:$Q$51,17,0)</f>
        <v>0</v>
      </c>
      <c r="D30" s="14"/>
      <c r="E30" s="14"/>
      <c r="F30" s="15"/>
    </row>
    <row r="31" spans="1:6" ht="17.5" x14ac:dyDescent="0.35">
      <c r="A31" s="19" t="s">
        <v>79</v>
      </c>
      <c r="B31" s="14" t="str">
        <f>VLOOKUP(A31,[16]LISTADHERENT!A$5:H$60,3,0)</f>
        <v>PATEGO NJOSSU GUSTAVE</v>
      </c>
      <c r="C31" s="109">
        <f>VLOOKUP(A31,[13]MVTRESUME24!$A$7:$Q$51,17,0)</f>
        <v>0</v>
      </c>
      <c r="D31" s="14"/>
      <c r="E31" s="14"/>
      <c r="F31" s="15"/>
    </row>
    <row r="32" spans="1:6" ht="17.5" x14ac:dyDescent="0.35">
      <c r="A32" s="19" t="s">
        <v>128</v>
      </c>
      <c r="B32" s="14" t="str">
        <f>VLOOKUP(A32,[16]LISTADHERENT!A$5:H$60,3,0)</f>
        <v>SEUMO POLYCARPE</v>
      </c>
      <c r="C32" s="109">
        <f>VLOOKUP(A32,[13]MVTRESUME24!$A$7:$Q$51,17,0)</f>
        <v>0</v>
      </c>
      <c r="D32" s="14"/>
      <c r="E32" s="14"/>
      <c r="F32" s="15"/>
    </row>
    <row r="33" spans="1:6" ht="17.5" x14ac:dyDescent="0.35">
      <c r="A33" s="19" t="s">
        <v>89</v>
      </c>
      <c r="B33" s="14" t="str">
        <f>VLOOKUP(A33,[16]LISTADHERENT!A$5:H$60,3,0)</f>
        <v>SIME BRICE</v>
      </c>
      <c r="C33" s="109">
        <f>VLOOKUP(A33,[13]MVTRESUME24!$A$7:$Q$51,17,0)</f>
        <v>0</v>
      </c>
      <c r="D33" s="14"/>
      <c r="E33" s="14"/>
      <c r="F33" s="15"/>
    </row>
    <row r="34" spans="1:6" ht="17.5" x14ac:dyDescent="0.35">
      <c r="A34" s="19" t="s">
        <v>80</v>
      </c>
      <c r="B34" s="14" t="str">
        <f>VLOOKUP(A34,[16]LISTADHERENT!A$5:H$60,3,0)</f>
        <v>SIMO PIERRE</v>
      </c>
      <c r="C34" s="109">
        <f>VLOOKUP(A34,[13]MVTRESUME24!$A$7:$Q$51,17,0)</f>
        <v>0</v>
      </c>
      <c r="D34" s="14"/>
      <c r="E34" s="14"/>
      <c r="F34" s="15"/>
    </row>
    <row r="35" spans="1:6" ht="17.5" x14ac:dyDescent="0.35">
      <c r="A35" s="19" t="s">
        <v>82</v>
      </c>
      <c r="B35" s="14" t="str">
        <f>VLOOKUP(A35,[16]LISTADHERENT!A$5:H$60,3,0)</f>
        <v>TCHOUAMOU MATHIEU</v>
      </c>
      <c r="C35" s="109">
        <f>VLOOKUP(A35,[13]MVTRESUME24!$A$7:$Q$51,17,0)</f>
        <v>0</v>
      </c>
      <c r="D35" s="14"/>
      <c r="E35" s="14"/>
      <c r="F35" s="15"/>
    </row>
    <row r="36" spans="1:6" ht="17.5" x14ac:dyDescent="0.35">
      <c r="A36" s="19" t="s">
        <v>167</v>
      </c>
      <c r="B36" s="14" t="str">
        <f>VLOOKUP(A36,[16]LISTADHERENT!A$5:H$60,3,0)</f>
        <v>TCHOUATEU AUGUSTIN</v>
      </c>
      <c r="C36" s="109">
        <f>VLOOKUP(A36,[13]MVTRESUME24!$A$7:$Q$51,17,0)</f>
        <v>25000</v>
      </c>
      <c r="D36" s="14"/>
      <c r="E36" s="14"/>
      <c r="F36" s="15"/>
    </row>
    <row r="37" spans="1:6" ht="17.5" x14ac:dyDescent="0.35">
      <c r="A37" s="19" t="s">
        <v>83</v>
      </c>
      <c r="B37" s="14" t="str">
        <f>VLOOKUP(A37,[16]LISTADHERENT!A$5:H$60,3,0)</f>
        <v>TCHOUTOU NANA CLAUDE</v>
      </c>
      <c r="C37" s="109">
        <f>VLOOKUP(A37,[13]MVTRESUME24!$A$7:$Q$51,17,0)</f>
        <v>0</v>
      </c>
      <c r="D37" s="14"/>
      <c r="E37" s="14"/>
      <c r="F37" s="15"/>
    </row>
    <row r="38" spans="1:6" ht="17.5" x14ac:dyDescent="0.35">
      <c r="A38" s="19" t="s">
        <v>129</v>
      </c>
      <c r="B38" s="14" t="str">
        <f>VLOOKUP(A38,[16]LISTADHERENT!A$5:H$60,3,0)</f>
        <v>YANTCHOU GERVAIS</v>
      </c>
      <c r="C38" s="109">
        <f>VLOOKUP(A38,[13]MVTRESUME24!$A$7:$Q$51,17,0)</f>
        <v>0</v>
      </c>
      <c r="D38" s="14"/>
      <c r="E38" s="14"/>
      <c r="F38" s="15"/>
    </row>
    <row r="39" spans="1:6" ht="17.5" x14ac:dyDescent="0.35">
      <c r="A39" s="19" t="s">
        <v>84</v>
      </c>
      <c r="B39" s="14" t="str">
        <f>VLOOKUP(A39,[16]LISTADHERENT!A$5:H$60,3,0)</f>
        <v>YEPMOU JEAN JACQUES</v>
      </c>
      <c r="C39" s="109">
        <f>VLOOKUP(A39,[13]MVTRESUME24!$A$7:$Q$51,17,0)</f>
        <v>0</v>
      </c>
      <c r="D39" s="14"/>
      <c r="E39" s="14"/>
      <c r="F39" s="15"/>
    </row>
    <row r="40" spans="1:6" ht="17.5" x14ac:dyDescent="0.35">
      <c r="A40" s="19" t="s">
        <v>168</v>
      </c>
      <c r="B40" s="14" t="str">
        <f>VLOOKUP(A40,[16]LISTADHERENT!A$5:H$60,3,0)</f>
        <v>YIALA ALAIN OSCAR</v>
      </c>
      <c r="C40" s="109">
        <f>VLOOKUP(A40,[13]MVTRESUME24!$A$7:$Q$51,17,0)</f>
        <v>25000</v>
      </c>
      <c r="D40" s="14"/>
      <c r="E40" s="14"/>
      <c r="F40" s="15"/>
    </row>
    <row r="41" spans="1:6" ht="17.5" x14ac:dyDescent="0.35">
      <c r="A41" s="19" t="s">
        <v>85</v>
      </c>
      <c r="B41" s="14" t="str">
        <f>VLOOKUP(A41,[16]LISTADHERENT!A$5:H$60,3,0)</f>
        <v>YOUMBI EMMANUEL</v>
      </c>
      <c r="C41" s="109">
        <f>VLOOKUP(A41,[13]MVTRESUME24!$A$7:$Q$51,17,0)</f>
        <v>0</v>
      </c>
      <c r="D41" s="14"/>
      <c r="E41" s="14"/>
      <c r="F41" s="15"/>
    </row>
    <row r="42" spans="1:6" x14ac:dyDescent="0.35">
      <c r="A42" s="19"/>
      <c r="B42" s="14"/>
      <c r="C42" s="14"/>
      <c r="D42" s="14"/>
      <c r="E42" s="14"/>
      <c r="F42" s="15"/>
    </row>
    <row r="43" spans="1:6" ht="18" thickBot="1" x14ac:dyDescent="0.4">
      <c r="A43" s="31" t="s">
        <v>23</v>
      </c>
      <c r="B43" s="58"/>
      <c r="C43" s="59">
        <f>SUM(C8:C42)</f>
        <v>75000</v>
      </c>
      <c r="D43" s="59"/>
      <c r="E43" s="59">
        <f t="shared" ref="E43:F43" si="0">SUM(E6:E42)</f>
        <v>0</v>
      </c>
      <c r="F43" s="60">
        <f t="shared" si="0"/>
        <v>0</v>
      </c>
    </row>
    <row r="44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C8"/>
  <sheetViews>
    <sheetView workbookViewId="0">
      <selection activeCell="G15" sqref="G15"/>
    </sheetView>
  </sheetViews>
  <sheetFormatPr baseColWidth="10" defaultRowHeight="14.5" x14ac:dyDescent="0.35"/>
  <cols>
    <col min="2" max="2" width="15.81640625" bestFit="1" customWidth="1"/>
    <col min="3" max="3" width="20.26953125" bestFit="1" customWidth="1"/>
  </cols>
  <sheetData>
    <row r="2" spans="1:3" ht="15.5" x14ac:dyDescent="0.35">
      <c r="B2" s="131" t="s">
        <v>161</v>
      </c>
      <c r="C2" s="131" t="s">
        <v>162</v>
      </c>
    </row>
    <row r="4" spans="1:3" ht="17.5" x14ac:dyDescent="0.35">
      <c r="A4" t="s">
        <v>158</v>
      </c>
      <c r="B4" s="109">
        <f>[20]TONTRESUME24!$R$44</f>
        <v>241000</v>
      </c>
      <c r="C4" s="109">
        <f>[20]TONTRESUME24!$R$46</f>
        <v>7531.25</v>
      </c>
    </row>
    <row r="5" spans="1:3" ht="17.5" x14ac:dyDescent="0.35">
      <c r="A5" t="s">
        <v>159</v>
      </c>
      <c r="B5" s="109">
        <f>[21]TONTRESUME24!$Q$26</f>
        <v>350500</v>
      </c>
      <c r="C5" s="109">
        <f>[21]TONTRESUME24!$Q$28</f>
        <v>21906.25</v>
      </c>
    </row>
    <row r="6" spans="1:3" ht="17.5" x14ac:dyDescent="0.35">
      <c r="A6" t="s">
        <v>160</v>
      </c>
      <c r="B6" s="109">
        <f>[22]TONTRESUME24!$Q$26</f>
        <v>795000</v>
      </c>
      <c r="C6" s="109">
        <f>[22]TONTRESUME24!$Q$28</f>
        <v>44166.666666666664</v>
      </c>
    </row>
    <row r="8" spans="1:3" ht="17.5" x14ac:dyDescent="0.35">
      <c r="A8" t="s">
        <v>163</v>
      </c>
      <c r="B8" s="109">
        <f>SUM(B4:B7)</f>
        <v>1386500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943B-BF10-4B11-A108-CC0F699323FD}">
  <dimension ref="A1:C44"/>
  <sheetViews>
    <sheetView topLeftCell="A10" workbookViewId="0">
      <selection activeCell="G10" sqref="G10"/>
    </sheetView>
  </sheetViews>
  <sheetFormatPr baseColWidth="10" defaultRowHeight="14.5" x14ac:dyDescent="0.35"/>
  <cols>
    <col min="1" max="1" width="14.81640625" customWidth="1"/>
    <col min="2" max="2" width="37.7265625" customWidth="1"/>
    <col min="3" max="3" width="27.54296875" bestFit="1" customWidth="1"/>
  </cols>
  <sheetData>
    <row r="1" spans="1:3" x14ac:dyDescent="0.35">
      <c r="A1" s="1" t="s">
        <v>94</v>
      </c>
      <c r="B1" s="1" t="s">
        <v>95</v>
      </c>
    </row>
    <row r="2" spans="1:3" x14ac:dyDescent="0.35">
      <c r="A2" s="1" t="s">
        <v>10</v>
      </c>
      <c r="B2" s="1">
        <v>2024</v>
      </c>
    </row>
    <row r="4" spans="1:3" ht="26" x14ac:dyDescent="0.35">
      <c r="A4" s="147" t="s">
        <v>190</v>
      </c>
      <c r="B4" s="148"/>
    </row>
    <row r="5" spans="1:3" ht="15" thickBot="1" x14ac:dyDescent="0.4">
      <c r="A5" s="71"/>
      <c r="B5" s="72"/>
    </row>
    <row r="6" spans="1:3" ht="15.75" customHeight="1" thickTop="1" x14ac:dyDescent="0.35">
      <c r="A6" s="154" t="s">
        <v>8</v>
      </c>
      <c r="B6" s="156" t="s">
        <v>193</v>
      </c>
      <c r="C6" s="158" t="s">
        <v>194</v>
      </c>
    </row>
    <row r="7" spans="1:3" ht="21.75" customHeight="1" x14ac:dyDescent="0.35">
      <c r="A7" s="155"/>
      <c r="B7" s="157"/>
      <c r="C7" s="159"/>
    </row>
    <row r="8" spans="1:3" x14ac:dyDescent="0.35">
      <c r="A8" s="19" t="s">
        <v>15</v>
      </c>
      <c r="B8" s="28">
        <f>[23]HISTOJANV24!$E$8</f>
        <v>1193</v>
      </c>
      <c r="C8" s="15"/>
    </row>
    <row r="9" spans="1:3" x14ac:dyDescent="0.35">
      <c r="A9" s="19" t="s">
        <v>191</v>
      </c>
      <c r="B9" s="28">
        <f>[23]HISTOFEV24!$E$8</f>
        <v>1193</v>
      </c>
      <c r="C9" s="15"/>
    </row>
    <row r="10" spans="1:3" x14ac:dyDescent="0.35">
      <c r="A10" s="19" t="s">
        <v>17</v>
      </c>
      <c r="B10" s="28">
        <f>[23]HISTOMARS24!$E$8</f>
        <v>1193</v>
      </c>
      <c r="C10" s="15"/>
    </row>
    <row r="11" spans="1:3" x14ac:dyDescent="0.35">
      <c r="A11" s="19" t="s">
        <v>18</v>
      </c>
      <c r="B11" s="28">
        <f>[23]HISTOAVRIL24!$E$8</f>
        <v>2385</v>
      </c>
      <c r="C11" s="15"/>
    </row>
    <row r="12" spans="1:3" x14ac:dyDescent="0.35">
      <c r="A12" s="19" t="s">
        <v>19</v>
      </c>
      <c r="B12" s="28">
        <f>[23]HISTOMAI24!$E$8</f>
        <v>2385</v>
      </c>
      <c r="C12" s="15"/>
    </row>
    <row r="13" spans="1:3" x14ac:dyDescent="0.35">
      <c r="A13" s="19" t="s">
        <v>20</v>
      </c>
      <c r="B13" s="28">
        <f>[23]HISTOJUIN24!$E$8</f>
        <v>0</v>
      </c>
      <c r="C13" s="15"/>
    </row>
    <row r="14" spans="1:3" x14ac:dyDescent="0.35">
      <c r="A14" s="19" t="s">
        <v>21</v>
      </c>
      <c r="B14" s="28">
        <f>[23]HISTOJUIL24!$E$8</f>
        <v>4770</v>
      </c>
      <c r="C14" s="29">
        <f>+[23]HISTOJUIL24!$F$8</f>
        <v>34360</v>
      </c>
    </row>
    <row r="15" spans="1:3" x14ac:dyDescent="0.35">
      <c r="A15" s="19" t="s">
        <v>22</v>
      </c>
      <c r="B15" s="28">
        <f>[23]HISTOAOUT24!$E$8</f>
        <v>2385</v>
      </c>
      <c r="C15" s="15"/>
    </row>
    <row r="16" spans="1:3" x14ac:dyDescent="0.35">
      <c r="A16" s="19" t="s">
        <v>11</v>
      </c>
      <c r="B16" s="28">
        <f>[23]HISTOSEPT24!$E$8</f>
        <v>2385</v>
      </c>
      <c r="C16" s="15"/>
    </row>
    <row r="17" spans="1:3" x14ac:dyDescent="0.35">
      <c r="A17" s="19" t="s">
        <v>12</v>
      </c>
      <c r="B17" s="28">
        <f>[23]HISTOOCT24!$E$8</f>
        <v>0</v>
      </c>
      <c r="C17" s="15"/>
    </row>
    <row r="18" spans="1:3" x14ac:dyDescent="0.35">
      <c r="A18" s="19" t="s">
        <v>13</v>
      </c>
      <c r="B18" s="28">
        <f>[23]HISTONOV24!$E$8</f>
        <v>2385</v>
      </c>
      <c r="C18" s="15"/>
    </row>
    <row r="19" spans="1:3" x14ac:dyDescent="0.35">
      <c r="A19" s="19" t="s">
        <v>14</v>
      </c>
      <c r="B19" s="28">
        <f>[23]HISTODEC24!$E$8</f>
        <v>2385</v>
      </c>
      <c r="C19" s="15"/>
    </row>
    <row r="20" spans="1:3" x14ac:dyDescent="0.35">
      <c r="A20" s="19"/>
      <c r="B20" s="14"/>
      <c r="C20" s="15"/>
    </row>
    <row r="21" spans="1:3" ht="18" thickBot="1" x14ac:dyDescent="0.4">
      <c r="A21" s="31" t="s">
        <v>23</v>
      </c>
      <c r="B21" s="59">
        <f>SUM(B8:B20)</f>
        <v>22659</v>
      </c>
      <c r="C21" s="60">
        <f>SUM(C8:C20)</f>
        <v>34360</v>
      </c>
    </row>
    <row r="22" spans="1:3" ht="15" thickTop="1" x14ac:dyDescent="0.35">
      <c r="A22" s="19"/>
      <c r="B22" s="14"/>
    </row>
    <row r="23" spans="1:3" x14ac:dyDescent="0.35">
      <c r="A23" s="19"/>
      <c r="B23" s="14"/>
    </row>
    <row r="24" spans="1:3" x14ac:dyDescent="0.35">
      <c r="A24" s="19"/>
      <c r="B24" s="14"/>
    </row>
    <row r="25" spans="1:3" x14ac:dyDescent="0.35">
      <c r="A25" s="19"/>
      <c r="B25" s="14"/>
    </row>
    <row r="26" spans="1:3" x14ac:dyDescent="0.35">
      <c r="A26" s="19"/>
      <c r="B26" s="14"/>
    </row>
    <row r="27" spans="1:3" x14ac:dyDescent="0.35">
      <c r="A27" s="19"/>
      <c r="B27" s="14"/>
    </row>
    <row r="28" spans="1:3" x14ac:dyDescent="0.35">
      <c r="A28" s="19"/>
      <c r="B28" s="14"/>
    </row>
    <row r="29" spans="1:3" x14ac:dyDescent="0.35">
      <c r="A29" s="19"/>
      <c r="B29" s="14"/>
    </row>
    <row r="30" spans="1:3" x14ac:dyDescent="0.35">
      <c r="A30" s="19"/>
      <c r="B30" s="14"/>
    </row>
    <row r="31" spans="1:3" x14ac:dyDescent="0.35">
      <c r="A31" s="19"/>
      <c r="B31" s="14"/>
    </row>
    <row r="32" spans="1:3" x14ac:dyDescent="0.35">
      <c r="A32" s="19"/>
      <c r="B32" s="14"/>
    </row>
    <row r="33" spans="1:2" x14ac:dyDescent="0.35">
      <c r="A33" s="19"/>
      <c r="B33" s="14"/>
    </row>
    <row r="34" spans="1:2" x14ac:dyDescent="0.35">
      <c r="A34" s="19"/>
      <c r="B34" s="14"/>
    </row>
    <row r="35" spans="1:2" x14ac:dyDescent="0.35">
      <c r="A35" s="19"/>
      <c r="B35" s="14"/>
    </row>
    <row r="36" spans="1:2" x14ac:dyDescent="0.35">
      <c r="A36" s="19"/>
      <c r="B36" s="14"/>
    </row>
    <row r="37" spans="1:2" x14ac:dyDescent="0.35">
      <c r="A37" s="19"/>
      <c r="B37" s="14"/>
    </row>
    <row r="38" spans="1:2" x14ac:dyDescent="0.35">
      <c r="A38" s="19"/>
      <c r="B38" s="14"/>
    </row>
    <row r="39" spans="1:2" x14ac:dyDescent="0.35">
      <c r="A39" s="19"/>
      <c r="B39" s="14"/>
    </row>
    <row r="40" spans="1:2" x14ac:dyDescent="0.35">
      <c r="A40" s="19"/>
      <c r="B40" s="14"/>
    </row>
    <row r="41" spans="1:2" x14ac:dyDescent="0.35">
      <c r="A41" s="19"/>
      <c r="B41" s="14"/>
    </row>
    <row r="42" spans="1:2" x14ac:dyDescent="0.35">
      <c r="A42" s="19"/>
      <c r="B42" s="14"/>
    </row>
    <row r="43" spans="1:2" ht="15" thickBot="1" x14ac:dyDescent="0.4">
      <c r="A43" s="31" t="s">
        <v>23</v>
      </c>
      <c r="B43" s="58"/>
    </row>
    <row r="44" spans="1:2" ht="15" thickTop="1" x14ac:dyDescent="0.35"/>
  </sheetData>
  <mergeCells count="4">
    <mergeCell ref="A4:B4"/>
    <mergeCell ref="A6:A7"/>
    <mergeCell ref="B6:B7"/>
    <mergeCell ref="C6:C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F7BB-89AA-481A-BDFC-845C55C4C6CC}">
  <dimension ref="A1:F32"/>
  <sheetViews>
    <sheetView workbookViewId="0">
      <selection activeCell="D11" sqref="D11"/>
    </sheetView>
  </sheetViews>
  <sheetFormatPr baseColWidth="10" defaultRowHeight="14.5" x14ac:dyDescent="0.35"/>
  <cols>
    <col min="1" max="1" width="13.81640625" bestFit="1" customWidth="1"/>
    <col min="2" max="2" width="30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2024</v>
      </c>
    </row>
    <row r="4" spans="1:6" ht="26" x14ac:dyDescent="0.35">
      <c r="A4" s="147" t="s">
        <v>192</v>
      </c>
      <c r="B4" s="148"/>
      <c r="C4" s="148"/>
      <c r="D4" s="148"/>
      <c r="E4" s="148"/>
      <c r="F4" s="148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35">
      <c r="A6" s="156" t="s">
        <v>132</v>
      </c>
      <c r="B6" s="156"/>
      <c r="C6" s="158"/>
    </row>
    <row r="7" spans="1:6" ht="21.75" customHeight="1" x14ac:dyDescent="0.35">
      <c r="A7" s="108" t="s">
        <v>133</v>
      </c>
      <c r="B7" s="108" t="s">
        <v>134</v>
      </c>
      <c r="C7" s="26" t="s">
        <v>131</v>
      </c>
    </row>
    <row r="8" spans="1:6" ht="18.5" x14ac:dyDescent="0.45">
      <c r="A8" s="111">
        <v>45292</v>
      </c>
      <c r="B8" s="14" t="s">
        <v>189</v>
      </c>
      <c r="C8" s="110">
        <f>[19]HISTOJANV24!$BQ$18</f>
        <v>300000</v>
      </c>
    </row>
    <row r="9" spans="1:6" ht="18.5" x14ac:dyDescent="0.45">
      <c r="A9" s="111">
        <v>45449</v>
      </c>
      <c r="B9" s="14" t="s">
        <v>187</v>
      </c>
      <c r="C9" s="110">
        <f>+[19]HISTOJUIN24!$BQ$18</f>
        <v>2000000</v>
      </c>
    </row>
    <row r="10" spans="1:6" ht="18.5" x14ac:dyDescent="0.45">
      <c r="A10" s="111">
        <v>45602</v>
      </c>
      <c r="B10" s="14" t="s">
        <v>187</v>
      </c>
      <c r="C10" s="110">
        <f>[19]HISTONOV24!$BQ$18</f>
        <v>2000000</v>
      </c>
    </row>
    <row r="11" spans="1:6" ht="18.5" x14ac:dyDescent="0.45">
      <c r="A11" s="111">
        <v>45633</v>
      </c>
      <c r="B11" s="14" t="s">
        <v>187</v>
      </c>
      <c r="C11" s="110">
        <v>5000000</v>
      </c>
    </row>
    <row r="12" spans="1:6" ht="18.5" x14ac:dyDescent="0.45">
      <c r="A12" s="111"/>
      <c r="B12" s="14"/>
      <c r="C12" s="110"/>
    </row>
    <row r="13" spans="1:6" ht="18.5" x14ac:dyDescent="0.45">
      <c r="A13" s="111"/>
      <c r="B13" s="14"/>
      <c r="C13" s="110"/>
    </row>
    <row r="14" spans="1:6" ht="18.5" x14ac:dyDescent="0.45">
      <c r="A14" s="111"/>
      <c r="B14" s="14"/>
      <c r="C14" s="110"/>
    </row>
    <row r="15" spans="1:6" ht="18.5" x14ac:dyDescent="0.45">
      <c r="A15" s="111"/>
      <c r="B15" s="14"/>
      <c r="C15" s="110"/>
    </row>
    <row r="16" spans="1:6" ht="18.5" x14ac:dyDescent="0.45">
      <c r="A16" s="14"/>
      <c r="B16" s="14"/>
      <c r="C16" s="110"/>
    </row>
    <row r="17" spans="1:3" ht="18.5" x14ac:dyDescent="0.45">
      <c r="A17" s="14"/>
      <c r="B17" s="14"/>
      <c r="C17" s="110"/>
    </row>
    <row r="18" spans="1:3" ht="18.5" x14ac:dyDescent="0.45">
      <c r="A18" s="14"/>
      <c r="B18" s="14"/>
      <c r="C18" s="110"/>
    </row>
    <row r="19" spans="1:3" ht="18.5" x14ac:dyDescent="0.45">
      <c r="A19" s="14"/>
      <c r="B19" s="14"/>
      <c r="C19" s="110"/>
    </row>
    <row r="20" spans="1:3" ht="18.5" x14ac:dyDescent="0.45">
      <c r="A20" s="14"/>
      <c r="B20" s="14"/>
      <c r="C20" s="110"/>
    </row>
    <row r="21" spans="1:3" ht="18.5" x14ac:dyDescent="0.45">
      <c r="A21" s="14"/>
      <c r="B21" s="14"/>
      <c r="C21" s="110"/>
    </row>
    <row r="22" spans="1:3" ht="18.5" x14ac:dyDescent="0.45">
      <c r="A22" s="14"/>
      <c r="B22" s="14"/>
      <c r="C22" s="110"/>
    </row>
    <row r="23" spans="1:3" ht="18.5" x14ac:dyDescent="0.45">
      <c r="A23" s="14"/>
      <c r="B23" s="14"/>
      <c r="C23" s="110"/>
    </row>
    <row r="24" spans="1:3" ht="18.5" x14ac:dyDescent="0.45">
      <c r="A24" s="14"/>
      <c r="B24" s="14"/>
      <c r="C24" s="110"/>
    </row>
    <row r="25" spans="1:3" ht="18.5" x14ac:dyDescent="0.45">
      <c r="A25" s="14"/>
      <c r="B25" s="14"/>
      <c r="C25" s="110"/>
    </row>
    <row r="26" spans="1:3" ht="18.5" x14ac:dyDescent="0.45">
      <c r="A26" s="14"/>
      <c r="B26" s="14"/>
      <c r="C26" s="110"/>
    </row>
    <row r="27" spans="1:3" ht="18.5" x14ac:dyDescent="0.45">
      <c r="A27" s="14"/>
      <c r="B27" s="14"/>
      <c r="C27" s="110"/>
    </row>
    <row r="28" spans="1:3" ht="18.5" x14ac:dyDescent="0.45">
      <c r="A28" s="14"/>
      <c r="B28" s="14"/>
      <c r="C28" s="110"/>
    </row>
    <row r="29" spans="1:3" ht="18.5" x14ac:dyDescent="0.45">
      <c r="A29" s="14"/>
      <c r="B29" s="14"/>
      <c r="C29" s="110"/>
    </row>
    <row r="30" spans="1:3" ht="18.5" x14ac:dyDescent="0.45">
      <c r="A30" s="14"/>
      <c r="B30" s="14"/>
      <c r="C30" s="110"/>
    </row>
    <row r="31" spans="1:3" ht="18" thickBot="1" x14ac:dyDescent="0.4">
      <c r="A31" s="59"/>
      <c r="B31" s="59">
        <f>SUM(B6:B30)</f>
        <v>0</v>
      </c>
      <c r="C31" s="60">
        <f>SUM(C6:C30)</f>
        <v>9300000</v>
      </c>
    </row>
    <row r="32" spans="1:3" ht="15" thickTop="1" x14ac:dyDescent="0.35"/>
  </sheetData>
  <mergeCells count="2">
    <mergeCell ref="A4:F4"/>
    <mergeCell ref="A6:C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D432-CD33-4833-91D5-DBFCA8759E5C}">
  <dimension ref="A1:E43"/>
  <sheetViews>
    <sheetView topLeftCell="A2" workbookViewId="0">
      <selection activeCell="C7" sqref="C7:E40"/>
    </sheetView>
  </sheetViews>
  <sheetFormatPr baseColWidth="10" defaultRowHeight="14.5" x14ac:dyDescent="0.35"/>
  <cols>
    <col min="1" max="1" width="18.1796875" customWidth="1"/>
    <col min="2" max="2" width="30" bestFit="1" customWidth="1"/>
    <col min="3" max="3" width="16.81640625" bestFit="1" customWidth="1"/>
    <col min="4" max="4" width="15" bestFit="1" customWidth="1"/>
    <col min="5" max="5" width="30.26953125" bestFit="1" customWidth="1"/>
  </cols>
  <sheetData>
    <row r="1" spans="1:5" x14ac:dyDescent="0.35">
      <c r="A1" s="1" t="s">
        <v>94</v>
      </c>
      <c r="B1" s="1" t="s">
        <v>95</v>
      </c>
    </row>
    <row r="2" spans="1:5" x14ac:dyDescent="0.35">
      <c r="A2" s="1" t="s">
        <v>10</v>
      </c>
      <c r="B2" s="1">
        <v>2024</v>
      </c>
    </row>
    <row r="4" spans="1:5" ht="26" x14ac:dyDescent="0.35">
      <c r="A4" s="147" t="s">
        <v>126</v>
      </c>
      <c r="B4" s="148"/>
      <c r="C4" s="148"/>
      <c r="D4" s="148"/>
      <c r="E4" s="148"/>
    </row>
    <row r="5" spans="1:5" ht="15" thickBot="1" x14ac:dyDescent="0.4">
      <c r="A5" s="71"/>
      <c r="B5" s="72"/>
      <c r="C5" s="73"/>
      <c r="D5" s="73"/>
      <c r="E5" s="74"/>
    </row>
    <row r="6" spans="1:5" ht="48" customHeight="1" thickTop="1" x14ac:dyDescent="0.35">
      <c r="A6" s="135" t="s">
        <v>96</v>
      </c>
      <c r="B6" s="136" t="s">
        <v>52</v>
      </c>
      <c r="C6" s="114" t="s">
        <v>131</v>
      </c>
      <c r="D6" s="114" t="s">
        <v>92</v>
      </c>
      <c r="E6" s="115" t="s">
        <v>139</v>
      </c>
    </row>
    <row r="7" spans="1:5" ht="17.5" x14ac:dyDescent="0.35">
      <c r="A7" s="19" t="s">
        <v>90</v>
      </c>
      <c r="B7" s="14" t="str">
        <f>VLOOKUP(A7,[16]LISTADHERENT!A$5:H$60,3,0)</f>
        <v>ASELBY</v>
      </c>
      <c r="C7" s="109"/>
      <c r="D7" s="109"/>
      <c r="E7" s="116" t="str">
        <f>IF(C7=0,"",VLOOKUP(A7,[13]MVTRESUME24!$A$7:$AQ$41,38,0))</f>
        <v/>
      </c>
    </row>
    <row r="8" spans="1:5" ht="17.5" x14ac:dyDescent="0.35">
      <c r="A8" s="19" t="s">
        <v>62</v>
      </c>
      <c r="B8" s="14" t="str">
        <f>VLOOKUP(A8,[16]LISTADHERENT!A$5:H$60,3,0)</f>
        <v>BAKOP ACHILLE</v>
      </c>
      <c r="C8" s="109">
        <f>VLOOKUP(A8,[13]MVTDEC24!$A$7:$AQ$41,19,0)</f>
        <v>600000</v>
      </c>
      <c r="D8" s="109">
        <f>VLOOKUP(A8,[13]MVTDEC24!$A$7:$AQ$41,20,0)</f>
        <v>6000</v>
      </c>
      <c r="E8" s="116">
        <f>IF(C8=0,"",VLOOKUP(A8,[13]MVTRESUME24!$A$7:$AQ$41,38,0))</f>
        <v>45474</v>
      </c>
    </row>
    <row r="9" spans="1:5" ht="17.5" x14ac:dyDescent="0.35">
      <c r="A9" s="19" t="s">
        <v>63</v>
      </c>
      <c r="B9" s="14" t="str">
        <f>VLOOKUP(A9,[16]LISTADHERENT!A$5:H$60,3,0)</f>
        <v>BOUTCHOUANG WILLIAM</v>
      </c>
      <c r="C9" s="109">
        <f>VLOOKUP(A9,[13]MVTDEC24!$A$7:$AQ$41,19,0)</f>
        <v>500000</v>
      </c>
      <c r="D9" s="109">
        <f>VLOOKUP(A9,[13]MVTDEC24!$A$7:$AQ$41,20,0)</f>
        <v>15000</v>
      </c>
      <c r="E9" s="116">
        <f>IF(C9=0,"",VLOOKUP(A9,[13]MVTRESUME24!$A$7:$AQ$41,38,0))</f>
        <v>45352</v>
      </c>
    </row>
    <row r="10" spans="1:5" ht="17.5" x14ac:dyDescent="0.35">
      <c r="A10" s="19" t="s">
        <v>64</v>
      </c>
      <c r="B10" s="14" t="str">
        <f>VLOOKUP(A10,[16]LISTADHERENT!A$5:H$60,3,0)</f>
        <v xml:space="preserve">DJOMO JEAN PAUL </v>
      </c>
      <c r="C10" s="109">
        <f>VLOOKUP(A10,[13]MVTDEC24!$A$7:$AQ$41,19,0)</f>
        <v>1000000</v>
      </c>
      <c r="D10" s="109">
        <f>VLOOKUP(A10,[13]MVTDEC24!$A$7:$AQ$41,20,0)</f>
        <v>120000</v>
      </c>
      <c r="E10" s="116">
        <f>IF(C10=0,"",VLOOKUP(A10,[13]MVTRESUME24!$A$7:$AQ$41,38,0))</f>
        <v>45627</v>
      </c>
    </row>
    <row r="11" spans="1:5" ht="17.5" x14ac:dyDescent="0.35">
      <c r="A11" s="19" t="s">
        <v>104</v>
      </c>
      <c r="B11" s="14" t="str">
        <f>VLOOKUP(A11,[16]LISTADHERENT!A$5:H$60,3,0)</f>
        <v>DJOMOU TCHAPDA</v>
      </c>
      <c r="C11" s="109">
        <f>VLOOKUP(A11,[13]MVTDEC24!$A$7:$AQ$41,19,0)</f>
        <v>1000000</v>
      </c>
      <c r="D11" s="109">
        <f>VLOOKUP(A11,[13]MVTDEC24!$A$7:$AQ$41,20,0)</f>
        <v>120000</v>
      </c>
      <c r="E11" s="116">
        <f>IF(C11=0,"",VLOOKUP(A11,[13]MVTRESUME24!$A$7:$AQ$41,38,0))</f>
        <v>45627</v>
      </c>
    </row>
    <row r="12" spans="1:5" ht="17.5" x14ac:dyDescent="0.35">
      <c r="A12" s="19" t="s">
        <v>65</v>
      </c>
      <c r="B12" s="14" t="str">
        <f>VLOOKUP(A12,[16]LISTADHERENT!A$5:H$60,3,0)</f>
        <v>DJOUKWE NANGUEN GUY BLAISE</v>
      </c>
      <c r="C12" s="109">
        <f>VLOOKUP(A12,[13]MVTDEC24!$A$7:$AQ$41,19,0)+1135000</f>
        <v>2135000</v>
      </c>
      <c r="D12" s="109">
        <f>VLOOKUP(A12,[13]MVTDEC24!$A$7:$AQ$41,20,0)</f>
        <v>20000</v>
      </c>
      <c r="E12" s="116">
        <f>IF(C12=0,"",VLOOKUP(A12,[13]MVTRESUME24!$A$7:$AQ$41,38,0))</f>
        <v>45474</v>
      </c>
    </row>
    <row r="13" spans="1:5" ht="17.5" x14ac:dyDescent="0.35">
      <c r="A13" s="19" t="s">
        <v>66</v>
      </c>
      <c r="B13" s="14" t="str">
        <f>VLOOKUP(A13,[16]LISTADHERENT!A$5:H$60,3,0)</f>
        <v>DJUOMBESSY ANTOINE</v>
      </c>
      <c r="C13" s="109">
        <f>VLOOKUP(A13,[13]MVTDEC24!$A$7:$AQ$41,19,0)</f>
        <v>1000000</v>
      </c>
      <c r="D13" s="109">
        <f>VLOOKUP(A13,[13]MVTDEC24!$A$7:$AQ$41,20,0)</f>
        <v>60000</v>
      </c>
      <c r="E13" s="116">
        <f>IF(C13=0,"",VLOOKUP(A13,[13]MVTRESUME24!$A$7:$AQ$41,38,0))</f>
        <v>45627</v>
      </c>
    </row>
    <row r="14" spans="1:5" ht="17.5" x14ac:dyDescent="0.35">
      <c r="A14" s="19" t="s">
        <v>87</v>
      </c>
      <c r="B14" s="14" t="str">
        <f>VLOOKUP(A14,[16]LISTADHERENT!A$5:H$60,3,0)</f>
        <v>DOMOU FABIEN</v>
      </c>
      <c r="C14" s="109">
        <f>VLOOKUP(A14,[13]MVTDEC24!$A$7:$AQ$41,19,0)</f>
        <v>1000000</v>
      </c>
      <c r="D14" s="109">
        <f>VLOOKUP(A14,[13]MVTDEC24!$A$7:$AQ$41,20,0)</f>
        <v>120000</v>
      </c>
      <c r="E14" s="116">
        <f>IF(C14=0,"",VLOOKUP(A14,[13]MVTRESUME24!$A$7:$AQ$41,38,0))</f>
        <v>45627</v>
      </c>
    </row>
    <row r="15" spans="1:5" ht="17.5" x14ac:dyDescent="0.35">
      <c r="A15" s="19" t="s">
        <v>67</v>
      </c>
      <c r="B15" s="14" t="str">
        <f>VLOOKUP(A15,[16]LISTADHERENT!A$5:H$60,3,0)</f>
        <v>DONHOU DAVID</v>
      </c>
      <c r="C15" s="109">
        <f>VLOOKUP(A15,[13]MVTDEC24!$A$7:$AQ$41,19,0)</f>
        <v>0</v>
      </c>
      <c r="D15" s="109">
        <f>VLOOKUP(A15,[13]MVTDEC24!$A$7:$AQ$41,20,0)</f>
        <v>0</v>
      </c>
      <c r="E15" s="116" t="str">
        <f>IF(C15=0,"",VLOOKUP(A15,[13]MVTRESUME24!$A$7:$AQ$41,38,0))</f>
        <v/>
      </c>
    </row>
    <row r="16" spans="1:5" ht="17.5" x14ac:dyDescent="0.35">
      <c r="A16" s="19" t="s">
        <v>68</v>
      </c>
      <c r="B16" s="14" t="str">
        <f>VLOOKUP(A16,[16]LISTADHERENT!A$5:H$60,3,0)</f>
        <v>HENGUE PAUL OMER</v>
      </c>
      <c r="C16" s="109">
        <f>VLOOKUP(A16,[13]MVTDEC24!$A$7:$AQ$41,19,0)+1050000</f>
        <v>1050000</v>
      </c>
      <c r="D16" s="109">
        <f>VLOOKUP(A16,[13]MVTDEC24!$A$7:$AQ$41,20,0)</f>
        <v>0</v>
      </c>
      <c r="E16" s="116">
        <f>IF(C16=0,"",VLOOKUP(A16,[13]MVTRESUME24!$A$7:$AQ$41,38,0))</f>
        <v>45627</v>
      </c>
    </row>
    <row r="17" spans="1:5" ht="17.5" x14ac:dyDescent="0.35">
      <c r="A17" s="19" t="s">
        <v>69</v>
      </c>
      <c r="B17" s="14" t="str">
        <f>VLOOKUP(A17,[16]LISTADHERENT!A$5:H$60,3,0)</f>
        <v>HOTCHO BENJAMIN</v>
      </c>
      <c r="C17" s="109">
        <f>VLOOKUP(A17,[13]MVTDEC24!$A$7:$AQ$41,19,0)</f>
        <v>238500</v>
      </c>
      <c r="D17" s="109">
        <f>VLOOKUP(A17,[13]MVTDEC24!$A$7:$AQ$41,20,0)</f>
        <v>0</v>
      </c>
      <c r="E17" s="116">
        <f>IF(C17=0,"",VLOOKUP(A17,[13]MVTRESUME24!$A$7:$AQ$41,38,0))</f>
        <v>45627</v>
      </c>
    </row>
    <row r="18" spans="1:5" ht="17.5" x14ac:dyDescent="0.35">
      <c r="A18" s="19" t="s">
        <v>70</v>
      </c>
      <c r="B18" s="14" t="str">
        <f>VLOOKUP(A18,[16]LISTADHERENT!A$5:H$60,3,0)</f>
        <v>KOUAMOU MOISE</v>
      </c>
      <c r="C18" s="109">
        <f>VLOOKUP(A18,[13]MVTDEC24!$A$7:$AQ$41,19,0)+346500</f>
        <v>346500</v>
      </c>
      <c r="D18" s="109">
        <f>VLOOKUP(A18,[13]MVTDEC24!$A$7:$AQ$41,20,0)</f>
        <v>0</v>
      </c>
      <c r="E18" s="116">
        <f>IF(C18=0,"",VLOOKUP(A18,[13]MVTRESUME24!$A$7:$AQ$41,38,0))</f>
        <v>45627</v>
      </c>
    </row>
    <row r="19" spans="1:5" ht="17.5" x14ac:dyDescent="0.35">
      <c r="A19" s="19" t="s">
        <v>71</v>
      </c>
      <c r="B19" s="14" t="str">
        <f>VLOOKUP(A19,[16]LISTADHERENT!A$5:H$60,3,0)</f>
        <v>KOUATCHO MESSACK</v>
      </c>
      <c r="C19" s="109">
        <f>VLOOKUP(A19,[13]MVTDEC24!$A$7:$AQ$41,19,0)</f>
        <v>1000000</v>
      </c>
      <c r="D19" s="109">
        <f>VLOOKUP(A19,[13]MVTDEC24!$A$7:$AQ$41,20,0)</f>
        <v>50000</v>
      </c>
      <c r="E19" s="116">
        <f>IF(C19=0,"",VLOOKUP(A19,[13]MVTRESUME24!$A$7:$AQ$41,38,0))</f>
        <v>45627</v>
      </c>
    </row>
    <row r="20" spans="1:5" ht="17.5" x14ac:dyDescent="0.35">
      <c r="A20" s="19" t="s">
        <v>72</v>
      </c>
      <c r="B20" s="14" t="str">
        <f>VLOOKUP(A20,[16]LISTADHERENT!A$5:H$60,3,0)</f>
        <v>LOWE JEAN</v>
      </c>
      <c r="C20" s="109" t="e">
        <f>VLOOKUP(A20,[13]MVTDEC24!$A$7:$AQ$41,19,0)</f>
        <v>#N/A</v>
      </c>
      <c r="D20" s="109" t="e">
        <f>VLOOKUP(A20,[13]MVTDEC24!$A$7:$AQ$41,20,0)</f>
        <v>#N/A</v>
      </c>
      <c r="E20" s="116" t="e">
        <f>IF(C20=0,"",VLOOKUP(A20,[13]MVTRESUME24!$A$7:$AQ$41,38,0))</f>
        <v>#N/A</v>
      </c>
    </row>
    <row r="21" spans="1:5" ht="17.5" x14ac:dyDescent="0.35">
      <c r="A21" s="19" t="s">
        <v>166</v>
      </c>
      <c r="B21" s="14" t="str">
        <f>VLOOKUP(A21,[16]LISTADHERENT!A$5:H$60,3,0)</f>
        <v>MASSEUNGOUE DAGOBERT</v>
      </c>
      <c r="C21" s="109">
        <f>VLOOKUP(A21,[13]MVTDEC24!$A$7:$AQ$41,19,0)</f>
        <v>0</v>
      </c>
      <c r="D21" s="109">
        <f>VLOOKUP(A21,[13]MVTDEC24!$A$7:$AQ$41,20,0)</f>
        <v>0</v>
      </c>
      <c r="E21" s="116" t="str">
        <f>IF(C21=0,"",VLOOKUP(A21,[13]MVTRESUME24!$A$7:$AQ$41,38,0))</f>
        <v/>
      </c>
    </row>
    <row r="22" spans="1:5" ht="17.5" x14ac:dyDescent="0.35">
      <c r="A22" s="19" t="s">
        <v>86</v>
      </c>
      <c r="B22" s="14" t="str">
        <f>VLOOKUP(A22,[16]LISTADHERENT!A$5:H$60,3,0)</f>
        <v>MBOGNING TUGMA GUY</v>
      </c>
      <c r="C22" s="109">
        <f>VLOOKUP(A22,[13]MVTDEC24!$A$7:$AQ$41,19,0)</f>
        <v>0</v>
      </c>
      <c r="D22" s="109">
        <f>VLOOKUP(A22,[13]MVTDEC24!$A$7:$AQ$41,20,0)</f>
        <v>0</v>
      </c>
      <c r="E22" s="116" t="str">
        <f>IF(C22=0,"",VLOOKUP(A22,[13]MVTRESUME24!$A$7:$AQ$41,38,0))</f>
        <v/>
      </c>
    </row>
    <row r="23" spans="1:5" ht="17.5" x14ac:dyDescent="0.35">
      <c r="A23" s="19" t="s">
        <v>81</v>
      </c>
      <c r="B23" s="14" t="str">
        <f>VLOOKUP(A23,[16]LISTADHERENT!A$5:H$60,3,0)</f>
        <v>NANGUEN MARTIN</v>
      </c>
      <c r="C23" s="109">
        <f>VLOOKUP(A23,[13]MVTDEC24!$A$7:$AQ$41,19,0)</f>
        <v>300000</v>
      </c>
      <c r="D23" s="109">
        <f>VLOOKUP(A23,[13]MVTDEC24!$A$7:$AQ$41,20,0)</f>
        <v>18000</v>
      </c>
      <c r="E23" s="116">
        <f>IF(C23=0,"",VLOOKUP(A23,[13]MVTRESUME24!$A$7:$AQ$41,38,0))</f>
        <v>45474</v>
      </c>
    </row>
    <row r="24" spans="1:5" ht="17.5" x14ac:dyDescent="0.35">
      <c r="A24" s="19" t="s">
        <v>73</v>
      </c>
      <c r="B24" s="14" t="str">
        <f>VLOOKUP(A24,[16]LISTADHERENT!A$5:H$60,3,0)</f>
        <v>NANKAM APPOLINAIRE</v>
      </c>
      <c r="C24" s="109">
        <f>VLOOKUP(A24,[13]MVTDEC24!$A$7:$AQ$41,19,0)</f>
        <v>1000000</v>
      </c>
      <c r="D24" s="109">
        <f>VLOOKUP(A24,[13]MVTDEC24!$A$7:$AQ$41,20,0)</f>
        <v>120000</v>
      </c>
      <c r="E24" s="116">
        <f>IF(C24=0,"",VLOOKUP(A24,[13]MVTRESUME24!$A$7:$AQ$41,38,0))</f>
        <v>45627</v>
      </c>
    </row>
    <row r="25" spans="1:5" ht="17.5" x14ac:dyDescent="0.35">
      <c r="A25" s="19" t="s">
        <v>74</v>
      </c>
      <c r="B25" s="14" t="str">
        <f>VLOOKUP(A25,[16]LISTADHERENT!A$5:H$60,3,0)</f>
        <v>NDJOMO ETIENNE</v>
      </c>
      <c r="C25" s="109">
        <f>VLOOKUP(A25,[13]MVTDEC24!$A$7:$AQ$41,19,0)</f>
        <v>500000</v>
      </c>
      <c r="D25" s="109">
        <f>VLOOKUP(A25,[13]MVTDEC24!$A$7:$AQ$41,20,0)</f>
        <v>30000</v>
      </c>
      <c r="E25" s="116">
        <f>IF(C25=0,"",VLOOKUP(A25,[13]MVTRESUME24!$A$7:$AQ$41,38,0))</f>
        <v>45627</v>
      </c>
    </row>
    <row r="26" spans="1:5" ht="17.5" x14ac:dyDescent="0.35">
      <c r="A26" s="19" t="s">
        <v>75</v>
      </c>
      <c r="B26" s="14" t="str">
        <f>VLOOKUP(A26,[16]LISTADHERENT!A$5:H$60,3,0)</f>
        <v>NGONDIEP CLAUDE</v>
      </c>
      <c r="C26" s="109">
        <f>VLOOKUP(A26,[13]MVTDEC24!$A$7:$AQ$41,19,0)</f>
        <v>1000000</v>
      </c>
      <c r="D26" s="109">
        <f>VLOOKUP(A26,[13]MVTDEC24!$A$7:$AQ$41,20,0)</f>
        <v>120000</v>
      </c>
      <c r="E26" s="116">
        <f>IF(C26=0,"",VLOOKUP(A26,[13]MVTRESUME24!$A$7:$AQ$41,38,0))</f>
        <v>45627</v>
      </c>
    </row>
    <row r="27" spans="1:5" ht="17.5" x14ac:dyDescent="0.35">
      <c r="A27" s="19" t="s">
        <v>77</v>
      </c>
      <c r="B27" s="14" t="str">
        <f>VLOOKUP(A27,[16]LISTADHERENT!A$5:H$60,3,0)</f>
        <v>NGUIEMEGNI MATHIEU BLAISE</v>
      </c>
      <c r="C27" s="109">
        <f>VLOOKUP(A27,[13]MVTDEC24!$A$7:$AQ$41,19,0)</f>
        <v>1000000</v>
      </c>
      <c r="D27" s="109">
        <f>VLOOKUP(A27,[13]MVTDEC24!$A$7:$AQ$41,20,0)</f>
        <v>120000</v>
      </c>
      <c r="E27" s="116">
        <f>IF(C27=0,"",VLOOKUP(A27,[13]MVTRESUME24!$A$7:$AQ$41,38,0))</f>
        <v>45627</v>
      </c>
    </row>
    <row r="28" spans="1:5" ht="17.5" x14ac:dyDescent="0.35">
      <c r="A28" s="19" t="s">
        <v>78</v>
      </c>
      <c r="B28" s="14" t="str">
        <f>VLOOKUP(A28,[16]LISTADHERENT!A$5:H$60,3,0)</f>
        <v>NKAMGANG JUSTIN DEJOLIE</v>
      </c>
      <c r="C28" s="109">
        <f>VLOOKUP(A28,[13]MVTDEC24!$A$7:$AQ$41,19,0)</f>
        <v>1000000</v>
      </c>
      <c r="D28" s="109">
        <f>VLOOKUP(A28,[13]MVTDEC24!$A$7:$AQ$41,20,0)</f>
        <v>30000</v>
      </c>
      <c r="E28" s="116">
        <f>IF(C28=0,"",VLOOKUP(A28,[13]MVTRESUME24!$A$7:$AQ$41,38,0))</f>
        <v>45566</v>
      </c>
    </row>
    <row r="29" spans="1:5" ht="17.5" x14ac:dyDescent="0.35">
      <c r="A29" s="19" t="s">
        <v>105</v>
      </c>
      <c r="B29" s="14" t="str">
        <f>VLOOKUP(A29,[16]LISTADHERENT!A$5:H$60,3,0)</f>
        <v>NOUBE ETIENNE</v>
      </c>
      <c r="C29" s="109">
        <f>VLOOKUP(A29,[13]MVTDEC24!$A$7:$AQ$41,19,0)</f>
        <v>0</v>
      </c>
      <c r="D29" s="109">
        <f>VLOOKUP(A29,[13]MVTDEC24!$A$7:$AQ$41,20,0)</f>
        <v>0</v>
      </c>
      <c r="E29" s="116" t="str">
        <f>IF(C29=0,"",VLOOKUP(A29,[13]MVTRESUME24!$A$7:$AQ$41,38,0))</f>
        <v/>
      </c>
    </row>
    <row r="30" spans="1:5" ht="17.5" x14ac:dyDescent="0.35">
      <c r="A30" s="19" t="s">
        <v>79</v>
      </c>
      <c r="B30" s="14" t="str">
        <f>VLOOKUP(A30,[16]LISTADHERENT!A$5:H$60,3,0)</f>
        <v>PATEGO NJOSSU GUSTAVE</v>
      </c>
      <c r="C30" s="109">
        <f>VLOOKUP(A30,[13]MVTDEC24!$A$7:$AQ$41,19,0)</f>
        <v>0</v>
      </c>
      <c r="D30" s="109">
        <f>VLOOKUP(A30,[13]MVTDEC24!$A$7:$AQ$41,20,0)</f>
        <v>0</v>
      </c>
      <c r="E30" s="116" t="str">
        <f>IF(C30=0,"",VLOOKUP(A30,[13]MVTRESUME24!$A$7:$AQ$41,38,0))</f>
        <v/>
      </c>
    </row>
    <row r="31" spans="1:5" ht="17.5" x14ac:dyDescent="0.35">
      <c r="A31" s="19" t="s">
        <v>128</v>
      </c>
      <c r="B31" s="14" t="str">
        <f>VLOOKUP(A31,[16]LISTADHERENT!A$5:H$60,3,0)</f>
        <v>SEUMO POLYCARPE</v>
      </c>
      <c r="C31" s="109">
        <f>VLOOKUP(A31,[13]MVTDEC24!$A$7:$AQ$41,19,0)</f>
        <v>0</v>
      </c>
      <c r="D31" s="109">
        <f>VLOOKUP(A31,[13]MVTDEC24!$A$7:$AQ$41,20,0)</f>
        <v>0</v>
      </c>
      <c r="E31" s="116" t="str">
        <f>IF(C31=0,"",VLOOKUP(A31,[13]MVTRESUME24!$A$7:$AQ$41,38,0))</f>
        <v/>
      </c>
    </row>
    <row r="32" spans="1:5" ht="17.5" x14ac:dyDescent="0.35">
      <c r="A32" s="19" t="s">
        <v>89</v>
      </c>
      <c r="B32" s="14" t="str">
        <f>VLOOKUP(A32,[16]LISTADHERENT!A$5:H$60,3,0)</f>
        <v>SIME BRICE</v>
      </c>
      <c r="C32" s="109">
        <f>VLOOKUP(A32,[13]MVTDEC24!$A$7:$AQ$41,19,0)</f>
        <v>1000000</v>
      </c>
      <c r="D32" s="109">
        <f>VLOOKUP(A32,[13]MVTDEC24!$A$7:$AQ$41,20,0)</f>
        <v>60000</v>
      </c>
      <c r="E32" s="116">
        <f>IF(C32=0,"",VLOOKUP(A32,[13]MVTRESUME24!$A$7:$AQ$41,38,0))</f>
        <v>0</v>
      </c>
    </row>
    <row r="33" spans="1:5" ht="17.5" x14ac:dyDescent="0.35">
      <c r="A33" s="19" t="s">
        <v>80</v>
      </c>
      <c r="B33" s="14" t="str">
        <f>VLOOKUP(A33,[16]LISTADHERENT!A$5:H$60,3,0)</f>
        <v>SIMO PIERRE</v>
      </c>
      <c r="C33" s="109">
        <f>VLOOKUP(A33,[13]MVTDEC24!$A$7:$AQ$41,19,0)</f>
        <v>250000</v>
      </c>
      <c r="D33" s="109">
        <f>VLOOKUP(A33,[13]MVTDEC24!$A$7:$AQ$41,20,0)</f>
        <v>15000</v>
      </c>
      <c r="E33" s="116">
        <f>IF(C33=0,"",VLOOKUP(A33,[13]MVTRESUME24!$A$7:$AQ$41,38,0))</f>
        <v>45627</v>
      </c>
    </row>
    <row r="34" spans="1:5" ht="17.5" x14ac:dyDescent="0.35">
      <c r="A34" s="19" t="s">
        <v>82</v>
      </c>
      <c r="B34" s="14" t="str">
        <f>VLOOKUP(A34,[16]LISTADHERENT!A$5:H$60,3,0)</f>
        <v>TCHOUAMOU MATHIEU</v>
      </c>
      <c r="C34" s="109">
        <f>VLOOKUP(A34,[13]MVTDEC24!$A$7:$AQ$41,19,0)</f>
        <v>0</v>
      </c>
      <c r="D34" s="109">
        <f>VLOOKUP(A34,[13]MVTDEC24!$A$7:$AQ$41,20,0)</f>
        <v>0</v>
      </c>
      <c r="E34" s="116" t="str">
        <f>IF(C34=0,"",VLOOKUP(A34,[13]MVTRESUME24!$A$7:$AQ$41,38,0))</f>
        <v/>
      </c>
    </row>
    <row r="35" spans="1:5" ht="17.5" x14ac:dyDescent="0.35">
      <c r="A35" s="19" t="s">
        <v>167</v>
      </c>
      <c r="B35" s="14" t="str">
        <f>VLOOKUP(A35,[16]LISTADHERENT!A$5:H$60,3,0)</f>
        <v>TCHOUATEU AUGUSTIN</v>
      </c>
      <c r="C35" s="109">
        <f>VLOOKUP(A35,[13]MVTDEC24!$A$7:$AQ$41,19,0)</f>
        <v>1000000</v>
      </c>
      <c r="D35" s="109">
        <f>VLOOKUP(A35,[13]MVTDEC24!$A$7:$AQ$41,20,0)</f>
        <v>0</v>
      </c>
      <c r="E35" s="116">
        <f>IF(C35=0,"",VLOOKUP(A35,[13]MVTRESUME24!$A$7:$AQ$41,38,0))</f>
        <v>0</v>
      </c>
    </row>
    <row r="36" spans="1:5" ht="17.5" x14ac:dyDescent="0.35">
      <c r="A36" s="19" t="s">
        <v>83</v>
      </c>
      <c r="B36" s="14" t="str">
        <f>VLOOKUP(A36,[16]LISTADHERENT!A$5:H$60,3,0)</f>
        <v>TCHOUTOU NANA CLAUDE</v>
      </c>
      <c r="C36" s="109">
        <f>VLOOKUP(A36,[13]MVTDEC24!$A$7:$AQ$41,19,0)</f>
        <v>0</v>
      </c>
      <c r="D36" s="109">
        <f>VLOOKUP(A36,[13]MVTDEC24!$A$7:$AQ$41,20,0)</f>
        <v>0</v>
      </c>
      <c r="E36" s="116" t="str">
        <f>IF(C36=0,"",VLOOKUP(A36,[13]MVTRESUME24!$A$7:$AQ$41,38,0))</f>
        <v/>
      </c>
    </row>
    <row r="37" spans="1:5" ht="17.5" x14ac:dyDescent="0.35">
      <c r="A37" s="19" t="s">
        <v>129</v>
      </c>
      <c r="B37" s="14" t="str">
        <f>VLOOKUP(A37,[16]LISTADHERENT!A$5:H$60,3,0)</f>
        <v>YANTCHOU GERVAIS</v>
      </c>
      <c r="C37" s="109">
        <f>VLOOKUP(A37,[13]MVTDEC24!$A$7:$AQ$41,19,0)</f>
        <v>700000</v>
      </c>
      <c r="D37" s="109">
        <f>VLOOKUP(A37,[13]MVTDEC24!$A$7:$AQ$41,20,0)</f>
        <v>84000</v>
      </c>
      <c r="E37" s="116">
        <f>IF(C37=0,"",VLOOKUP(A37,[13]MVTRESUME24!$A$7:$AQ$41,38,0))</f>
        <v>0</v>
      </c>
    </row>
    <row r="38" spans="1:5" ht="17.5" x14ac:dyDescent="0.35">
      <c r="A38" s="19" t="s">
        <v>84</v>
      </c>
      <c r="B38" s="14" t="str">
        <f>VLOOKUP(A38,[16]LISTADHERENT!A$5:H$60,3,0)</f>
        <v>YEPMOU JEAN JACQUES</v>
      </c>
      <c r="C38" s="109">
        <f>VLOOKUP(A38,[13]MVTDEC24!$A$7:$AQ$41,19,0)</f>
        <v>0</v>
      </c>
      <c r="D38" s="109">
        <f>VLOOKUP(A38,[13]MVTDEC24!$A$7:$AQ$41,20,0)</f>
        <v>0</v>
      </c>
      <c r="E38" s="116" t="str">
        <f>IF(C38=0,"",VLOOKUP(A38,[13]MVTRESUME24!$A$7:$AQ$41,38,0))</f>
        <v/>
      </c>
    </row>
    <row r="39" spans="1:5" ht="17.5" x14ac:dyDescent="0.35">
      <c r="A39" s="19" t="s">
        <v>168</v>
      </c>
      <c r="B39" s="14" t="str">
        <f>VLOOKUP(A39,[16]LISTADHERENT!A$5:H$60,3,0)</f>
        <v>YIALA ALAIN OSCAR</v>
      </c>
      <c r="C39" s="109" t="e">
        <f>VLOOKUP(A39,[13]MVTDEC24!$A$7:$AQ$41,19,0)</f>
        <v>#N/A</v>
      </c>
      <c r="D39" s="109" t="e">
        <f>VLOOKUP(A39,[13]MVTDEC24!$A$7:$AQ$41,20,0)</f>
        <v>#N/A</v>
      </c>
      <c r="E39" s="116" t="e">
        <f>IF(C39=0,"",VLOOKUP(A39,[13]MVTRESUME24!$A$7:$AQ$41,38,0))</f>
        <v>#N/A</v>
      </c>
    </row>
    <row r="40" spans="1:5" ht="17.5" x14ac:dyDescent="0.35">
      <c r="A40" s="19" t="s">
        <v>85</v>
      </c>
      <c r="B40" s="14" t="str">
        <f>VLOOKUP(A40,[16]LISTADHERENT!A$5:H$60,3,0)</f>
        <v>YOUMBI EMMANUEL</v>
      </c>
      <c r="C40" s="109">
        <f>VLOOKUP(A40,[13]MVTDEC24!$A$7:$AQ$41,19,0)</f>
        <v>0</v>
      </c>
      <c r="D40" s="109">
        <f>VLOOKUP(A40,[13]MVTDEC24!$A$7:$AQ$41,20,0)</f>
        <v>0</v>
      </c>
      <c r="E40" s="116" t="str">
        <f>IF(C40=0,"",VLOOKUP(A40,[13]MVTRESUME24!$A$7:$AQ$41,38,0))</f>
        <v/>
      </c>
    </row>
    <row r="41" spans="1:5" ht="17.5" x14ac:dyDescent="0.35">
      <c r="A41" s="13"/>
      <c r="B41" s="14"/>
      <c r="C41" s="109"/>
      <c r="D41" s="109"/>
      <c r="E41" s="116"/>
    </row>
    <row r="42" spans="1:5" ht="18" thickBot="1" x14ac:dyDescent="0.4">
      <c r="A42" s="31" t="s">
        <v>23</v>
      </c>
      <c r="B42" s="58"/>
      <c r="C42" s="59" t="e">
        <f>SUM(C7:C41)</f>
        <v>#N/A</v>
      </c>
      <c r="D42" s="59" t="e">
        <f>SUM(D7:D41)</f>
        <v>#N/A</v>
      </c>
      <c r="E42" s="60"/>
    </row>
    <row r="43" spans="1:5" ht="15" thickTop="1" x14ac:dyDescent="0.35"/>
  </sheetData>
  <mergeCells count="1"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BILAN 2016</vt:lpstr>
      <vt:lpstr>BILAN 2017</vt:lpstr>
      <vt:lpstr>BILAN 2022</vt:lpstr>
      <vt:lpstr>BILAN 2024</vt:lpstr>
      <vt:lpstr>ENTREE</vt:lpstr>
      <vt:lpstr>SORTIE</vt:lpstr>
      <vt:lpstr>SYNTHESECOMPTE</vt:lpstr>
      <vt:lpstr>DETAILFICHECASSATION</vt:lpstr>
      <vt:lpstr>DISPOFONDS</vt:lpstr>
      <vt:lpstr>DETAILFPNDSROULT</vt:lpstr>
      <vt:lpstr>DETAILFRAISEXCEPTIONNEL</vt:lpstr>
      <vt:lpstr>DETAILCOLLATION</vt:lpstr>
      <vt:lpstr>DETAILFONDSMUTUEL</vt:lpstr>
      <vt:lpstr>DETAILPENALITES</vt:lpstr>
      <vt:lpstr>DETAILFOYER</vt:lpstr>
      <vt:lpstr>DETAIL PRETENCIRCULATION</vt:lpstr>
      <vt:lpstr>DETAILLISTEROUGE</vt:lpstr>
      <vt:lpstr>DETAILINSCRIPTION</vt:lpstr>
      <vt:lpstr>DETAIL INTERETTONTINE</vt:lpstr>
      <vt:lpstr>DETAILAGIOS</vt:lpstr>
      <vt:lpstr>DETAILAUTREDEPENSE</vt:lpstr>
      <vt:lpstr>DETAIL PRETENCIRCULATION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HP</cp:lastModifiedBy>
  <cp:lastPrinted>2018-08-03T12:05:54Z</cp:lastPrinted>
  <dcterms:created xsi:type="dcterms:W3CDTF">2018-07-05T07:24:12Z</dcterms:created>
  <dcterms:modified xsi:type="dcterms:W3CDTF">2025-12-19T15:50:15Z</dcterms:modified>
</cp:coreProperties>
</file>