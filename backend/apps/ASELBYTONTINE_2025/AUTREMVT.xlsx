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9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ELBYTONTINE_2024\"/>
    </mc:Choice>
  </mc:AlternateContent>
  <xr:revisionPtr revIDLastSave="0" documentId="13_ncr:1_{9743FC8C-49E4-4C09-9866-0DD4A1E56DD3}" xr6:coauthVersionLast="37" xr6:coauthVersionMax="37" xr10:uidLastSave="{00000000-0000-0000-0000-000000000000}"/>
  <bookViews>
    <workbookView xWindow="0" yWindow="0" windowWidth="19200" windowHeight="6240" xr2:uid="{8C6596CC-DB9B-4C9E-9E4B-D1C21E8F3EF6}"/>
  </bookViews>
  <sheets>
    <sheet name="MVTRESUME24AUTREMVT" sheetId="10" r:id="rId1"/>
    <sheet name="TONTRESUME24T25" sheetId="8" r:id="rId2"/>
    <sheet name="TONTRESUME24T75" sheetId="9" r:id="rId3"/>
    <sheet name="TONTRESUME24T100" sheetId="7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0" hidden="1">MVTRESUME24AUTREMVT!$A$5:$J$39</definedName>
    <definedName name="_xlnm._FilterDatabase" localSheetId="3" hidden="1">TONTRESUME24T100!$A$4:$J$20</definedName>
    <definedName name="_xlnm._FilterDatabase" localSheetId="1" hidden="1">TONTRESUME24T25!$A$4:$J$36</definedName>
    <definedName name="_xlnm._FilterDatabase" localSheetId="2" hidden="1">TONTRESUME24T75!$A$4:$F$16</definedName>
    <definedName name="BANQUE" localSheetId="0">#REF!</definedName>
    <definedName name="BANQUE" localSheetId="3">#REF!</definedName>
    <definedName name="BANQUE" localSheetId="1">#REF!</definedName>
    <definedName name="BANQUE" localSheetId="2">#REF!</definedName>
    <definedName name="BANQUE">#REF!</definedName>
    <definedName name="_xlnm.Print_Titles" localSheetId="0">MVTRESUME24AUTREMVT!$A:$B</definedName>
    <definedName name="_xlnm.Print_Titles" localSheetId="3">TONTRESUME24T100!$A:$A</definedName>
    <definedName name="_xlnm.Print_Titles" localSheetId="1">TONTRESUME24T25!$A:$B</definedName>
    <definedName name="_xlnm.Print_Titles" localSheetId="2">TONTRESUME24T75!$A:$B</definedName>
    <definedName name="MODEET30000" localSheetId="0">[1]MODEVERSEMENT!$A$1:$A$3</definedName>
    <definedName name="MODEET30000">[2]MODEVERSEMENT!$A$1:$A$3</definedName>
    <definedName name="MODEPAID" localSheetId="3">[3]Feuil2!$A$1:$A$3</definedName>
    <definedName name="MODEPAID" localSheetId="2">[3]Feuil2!$A$1:$A$3</definedName>
    <definedName name="MODEPAID">[3]Feuil2!$A$1:$A$3</definedName>
    <definedName name="MODEPAID30000" localSheetId="0">MVTRESUME24AUTREMVT!#REF!</definedName>
    <definedName name="MODEPAIDOK" localSheetId="0">[4]MODEVERSEMENT!$A$1:$A$4</definedName>
    <definedName name="MODEPAIDS" localSheetId="0">[1]MODEVERSEMENT!$A$1:$A$3</definedName>
    <definedName name="MODEPAIDS">[2]MODEVERSEMENT!$A$1:$A$3</definedName>
    <definedName name="MODET25000" localSheetId="3">[5]MODEVERSEMENT!$A$1:$A$3</definedName>
    <definedName name="MODET25000" localSheetId="1">[5]MODEVERSEMENT!$A$1:$A$3</definedName>
    <definedName name="MODET25000" localSheetId="2">[5]MODEVERSEMENT!$A$1:$A$3</definedName>
    <definedName name="MODET25000">[6]MODEVERSEMENT!$A$1:$A$3</definedName>
    <definedName name="MODET3000" localSheetId="0">[1]MODEVERSEMENT!$A$1:$A$3</definedName>
    <definedName name="MODET3000">[2]MODEVERSEMENT!$A$1:$A$3</definedName>
    <definedName name="MODET30000" localSheetId="0">MVTRESUME24AUTREMVT!#REF!</definedName>
    <definedName name="MODEVERSEMENT" localSheetId="0">#REF!</definedName>
    <definedName name="MODEVERSEMENT" localSheetId="3">#REF!</definedName>
    <definedName name="MODEVERSEMENT" localSheetId="1">#REF!</definedName>
    <definedName name="MODEVERSEMENT" localSheetId="2">#REF!</definedName>
    <definedName name="MODEVERSEMENT">#REF!</definedName>
    <definedName name="MODEVERSEMENTS" localSheetId="3">[7]MODEVERSEMENT!$A$1:$A$3</definedName>
    <definedName name="MODEVERSEMENTS" localSheetId="1">[7]MODEVERSEMENT!$A$1:$A$3</definedName>
    <definedName name="MODEVERSEMENTS" localSheetId="2">[7]MODEVERSEMENT!$A$1:$A$3</definedName>
    <definedName name="MODEVERSEMENTS">[8]MODEVERSEMENT!$A$1:$A$3</definedName>
    <definedName name="MODPAID" localSheetId="0">MVTRESUME24AUTREMVT!#REF!</definedName>
    <definedName name="MODPAID" localSheetId="3">TONTRESUME24T100!#REF!</definedName>
    <definedName name="MODPAID" localSheetId="1">TONTRESUME24T25!#REF!</definedName>
    <definedName name="MODPAID" localSheetId="2">TONTRESUME24T75!#REF!</definedName>
    <definedName name="VALMODEPAID" localSheetId="0">[9]MODEPAID!$A$1:$A$3</definedName>
    <definedName name="VALMODEPAID" localSheetId="3">[10]MODEPAID!$A$1:$A$3</definedName>
    <definedName name="VALMODEPAID" localSheetId="1">[10]MODEPAID!$A$1:$A$3</definedName>
    <definedName name="VALMODEPAID" localSheetId="2">[10]MODEPAID!$A$1:$A$3</definedName>
    <definedName name="VALMODEPAID">[11]MODEPAID!$A$1:$A$3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9" i="10" l="1"/>
  <c r="M39" i="10" s="1"/>
  <c r="K39" i="10"/>
  <c r="J39" i="10"/>
  <c r="I39" i="10"/>
  <c r="H39" i="10"/>
  <c r="G39" i="10"/>
  <c r="F39" i="10"/>
  <c r="E39" i="10"/>
  <c r="D39" i="10"/>
  <c r="C39" i="10"/>
  <c r="B39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L37" i="10"/>
  <c r="M37" i="10" s="1"/>
  <c r="K37" i="10"/>
  <c r="J37" i="10"/>
  <c r="I37" i="10"/>
  <c r="H37" i="10"/>
  <c r="G37" i="10"/>
  <c r="F37" i="10"/>
  <c r="E37" i="10"/>
  <c r="D37" i="10"/>
  <c r="C37" i="10"/>
  <c r="B37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L35" i="10"/>
  <c r="M35" i="10" s="1"/>
  <c r="K35" i="10"/>
  <c r="J35" i="10"/>
  <c r="I35" i="10"/>
  <c r="H35" i="10"/>
  <c r="G35" i="10"/>
  <c r="F35" i="10"/>
  <c r="E35" i="10"/>
  <c r="D35" i="10"/>
  <c r="C35" i="10"/>
  <c r="B35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L33" i="10"/>
  <c r="M33" i="10" s="1"/>
  <c r="K33" i="10"/>
  <c r="J33" i="10"/>
  <c r="I33" i="10"/>
  <c r="H33" i="10"/>
  <c r="G33" i="10"/>
  <c r="F33" i="10"/>
  <c r="E33" i="10"/>
  <c r="D33" i="10"/>
  <c r="C33" i="10"/>
  <c r="B33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L31" i="10"/>
  <c r="M31" i="10" s="1"/>
  <c r="K31" i="10"/>
  <c r="J31" i="10"/>
  <c r="I31" i="10"/>
  <c r="H31" i="10"/>
  <c r="G31" i="10"/>
  <c r="F31" i="10"/>
  <c r="E31" i="10"/>
  <c r="D31" i="10"/>
  <c r="C31" i="10"/>
  <c r="B31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L29" i="10"/>
  <c r="M29" i="10" s="1"/>
  <c r="K29" i="10"/>
  <c r="J29" i="10"/>
  <c r="I29" i="10"/>
  <c r="H29" i="10"/>
  <c r="G29" i="10"/>
  <c r="F29" i="10"/>
  <c r="E29" i="10"/>
  <c r="D29" i="10"/>
  <c r="C29" i="10"/>
  <c r="B29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L27" i="10"/>
  <c r="M27" i="10" s="1"/>
  <c r="K27" i="10"/>
  <c r="J27" i="10"/>
  <c r="I27" i="10"/>
  <c r="H27" i="10"/>
  <c r="G27" i="10"/>
  <c r="F27" i="10"/>
  <c r="E27" i="10"/>
  <c r="D27" i="10"/>
  <c r="C27" i="10"/>
  <c r="B27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L25" i="10"/>
  <c r="M25" i="10" s="1"/>
  <c r="K25" i="10"/>
  <c r="J25" i="10"/>
  <c r="I25" i="10"/>
  <c r="H25" i="10"/>
  <c r="G25" i="10"/>
  <c r="F25" i="10"/>
  <c r="E25" i="10"/>
  <c r="D25" i="10"/>
  <c r="C25" i="10"/>
  <c r="B25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L23" i="10"/>
  <c r="M23" i="10" s="1"/>
  <c r="K23" i="10"/>
  <c r="J23" i="10"/>
  <c r="I23" i="10"/>
  <c r="H23" i="10"/>
  <c r="G23" i="10"/>
  <c r="F23" i="10"/>
  <c r="E23" i="10"/>
  <c r="D23" i="10"/>
  <c r="C23" i="10"/>
  <c r="B23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L21" i="10"/>
  <c r="M21" i="10" s="1"/>
  <c r="K21" i="10"/>
  <c r="J21" i="10"/>
  <c r="I21" i="10"/>
  <c r="H21" i="10"/>
  <c r="G21" i="10"/>
  <c r="F21" i="10"/>
  <c r="E21" i="10"/>
  <c r="D21" i="10"/>
  <c r="C21" i="10"/>
  <c r="B21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L19" i="10"/>
  <c r="M19" i="10" s="1"/>
  <c r="K19" i="10"/>
  <c r="J19" i="10"/>
  <c r="I19" i="10"/>
  <c r="H19" i="10"/>
  <c r="G19" i="10"/>
  <c r="F19" i="10"/>
  <c r="E19" i="10"/>
  <c r="D19" i="10"/>
  <c r="C19" i="10"/>
  <c r="B19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L17" i="10"/>
  <c r="M17" i="10" s="1"/>
  <c r="K17" i="10"/>
  <c r="J17" i="10"/>
  <c r="I17" i="10"/>
  <c r="H17" i="10"/>
  <c r="G17" i="10"/>
  <c r="F17" i="10"/>
  <c r="E17" i="10"/>
  <c r="D17" i="10"/>
  <c r="C17" i="10"/>
  <c r="B17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L15" i="10"/>
  <c r="M15" i="10" s="1"/>
  <c r="K15" i="10"/>
  <c r="J15" i="10"/>
  <c r="I15" i="10"/>
  <c r="H15" i="10"/>
  <c r="G15" i="10"/>
  <c r="F15" i="10"/>
  <c r="E15" i="10"/>
  <c r="D15" i="10"/>
  <c r="C15" i="10"/>
  <c r="B15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L13" i="10"/>
  <c r="M13" i="10" s="1"/>
  <c r="K13" i="10"/>
  <c r="J13" i="10"/>
  <c r="I13" i="10"/>
  <c r="H13" i="10"/>
  <c r="G13" i="10"/>
  <c r="F13" i="10"/>
  <c r="E13" i="10"/>
  <c r="D13" i="10"/>
  <c r="C13" i="10"/>
  <c r="B13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L11" i="10"/>
  <c r="M11" i="10" s="1"/>
  <c r="K11" i="10"/>
  <c r="J11" i="10"/>
  <c r="I11" i="10"/>
  <c r="H11" i="10"/>
  <c r="G11" i="10"/>
  <c r="F11" i="10"/>
  <c r="E11" i="10"/>
  <c r="D11" i="10"/>
  <c r="C11" i="10"/>
  <c r="B11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L9" i="10"/>
  <c r="M9" i="10" s="1"/>
  <c r="K9" i="10"/>
  <c r="J9" i="10"/>
  <c r="I9" i="10"/>
  <c r="H9" i="10"/>
  <c r="G9" i="10"/>
  <c r="F9" i="10"/>
  <c r="E9" i="10"/>
  <c r="D9" i="10"/>
  <c r="C9" i="10"/>
  <c r="B9" i="10"/>
  <c r="M8" i="10"/>
  <c r="L8" i="10"/>
  <c r="L41" i="10" s="1"/>
  <c r="K8" i="10"/>
  <c r="J8" i="10"/>
  <c r="I8" i="10"/>
  <c r="H8" i="10"/>
  <c r="G8" i="10"/>
  <c r="F8" i="10"/>
  <c r="E8" i="10"/>
  <c r="D8" i="10"/>
  <c r="C8" i="10"/>
  <c r="B8" i="10"/>
  <c r="L7" i="10"/>
  <c r="M7" i="10" s="1"/>
  <c r="K7" i="10"/>
  <c r="J7" i="10"/>
  <c r="I7" i="10"/>
  <c r="H7" i="10"/>
  <c r="G7" i="10"/>
  <c r="F7" i="10"/>
  <c r="E7" i="10"/>
  <c r="D7" i="10"/>
  <c r="C7" i="10"/>
  <c r="B7" i="10"/>
  <c r="R6" i="10"/>
  <c r="R41" i="10" s="1"/>
  <c r="Q6" i="10"/>
  <c r="Q41" i="10" s="1"/>
  <c r="P6" i="10"/>
  <c r="P41" i="10" s="1"/>
  <c r="O6" i="10"/>
  <c r="O41" i="10" s="1"/>
  <c r="N6" i="10"/>
  <c r="N41" i="10" s="1"/>
  <c r="L6" i="10"/>
  <c r="M6" i="10" s="1"/>
  <c r="K6" i="10"/>
  <c r="K41" i="10" s="1"/>
  <c r="J6" i="10"/>
  <c r="J41" i="10" s="1"/>
  <c r="I6" i="10"/>
  <c r="I41" i="10" s="1"/>
  <c r="H6" i="10"/>
  <c r="H41" i="10" s="1"/>
  <c r="G6" i="10"/>
  <c r="F6" i="10"/>
  <c r="E6" i="10"/>
  <c r="D6" i="10"/>
  <c r="D41" i="10" s="1"/>
  <c r="C6" i="10"/>
  <c r="C41" i="10" s="1"/>
  <c r="B6" i="10"/>
  <c r="J18" i="9"/>
  <c r="I18" i="9"/>
  <c r="F18" i="9"/>
  <c r="G18" i="9" s="1"/>
  <c r="E18" i="9"/>
  <c r="D18" i="9"/>
  <c r="C18" i="9"/>
  <c r="H18" i="9" s="1"/>
  <c r="B18" i="9"/>
  <c r="J17" i="9"/>
  <c r="I17" i="9"/>
  <c r="F17" i="9"/>
  <c r="G17" i="9" s="1"/>
  <c r="E17" i="9"/>
  <c r="D17" i="9"/>
  <c r="C17" i="9"/>
  <c r="H17" i="9" s="1"/>
  <c r="B17" i="9"/>
  <c r="J16" i="9"/>
  <c r="I16" i="9"/>
  <c r="G16" i="9"/>
  <c r="F16" i="9"/>
  <c r="E16" i="9"/>
  <c r="D16" i="9"/>
  <c r="C16" i="9"/>
  <c r="H16" i="9" s="1"/>
  <c r="B16" i="9"/>
  <c r="J15" i="9"/>
  <c r="I15" i="9"/>
  <c r="F15" i="9"/>
  <c r="G15" i="9" s="1"/>
  <c r="E15" i="9"/>
  <c r="D15" i="9"/>
  <c r="C15" i="9"/>
  <c r="H15" i="9" s="1"/>
  <c r="B15" i="9"/>
  <c r="J14" i="9"/>
  <c r="I14" i="9"/>
  <c r="F14" i="9"/>
  <c r="G14" i="9" s="1"/>
  <c r="E14" i="9"/>
  <c r="D14" i="9"/>
  <c r="C14" i="9"/>
  <c r="H14" i="9" s="1"/>
  <c r="B14" i="9"/>
  <c r="J13" i="9"/>
  <c r="I13" i="9"/>
  <c r="F13" i="9"/>
  <c r="G13" i="9" s="1"/>
  <c r="E13" i="9"/>
  <c r="D13" i="9"/>
  <c r="C13" i="9"/>
  <c r="H13" i="9" s="1"/>
  <c r="B13" i="9"/>
  <c r="J12" i="9"/>
  <c r="I12" i="9"/>
  <c r="H12" i="9"/>
  <c r="G12" i="9"/>
  <c r="F12" i="9"/>
  <c r="E12" i="9"/>
  <c r="D12" i="9"/>
  <c r="C12" i="9"/>
  <c r="B12" i="9"/>
  <c r="J11" i="9"/>
  <c r="I11" i="9"/>
  <c r="H11" i="9"/>
  <c r="G11" i="9"/>
  <c r="F11" i="9"/>
  <c r="E11" i="9"/>
  <c r="D11" i="9"/>
  <c r="C11" i="9"/>
  <c r="B11" i="9"/>
  <c r="J10" i="9"/>
  <c r="I10" i="9"/>
  <c r="H10" i="9"/>
  <c r="F10" i="9"/>
  <c r="G10" i="9" s="1"/>
  <c r="E10" i="9"/>
  <c r="D10" i="9"/>
  <c r="C10" i="9"/>
  <c r="B10" i="9"/>
  <c r="J9" i="9"/>
  <c r="I9" i="9"/>
  <c r="G9" i="9"/>
  <c r="F9" i="9"/>
  <c r="E9" i="9"/>
  <c r="D9" i="9"/>
  <c r="C9" i="9"/>
  <c r="H9" i="9" s="1"/>
  <c r="B9" i="9"/>
  <c r="J8" i="9"/>
  <c r="I8" i="9"/>
  <c r="F8" i="9"/>
  <c r="G8" i="9" s="1"/>
  <c r="E8" i="9"/>
  <c r="D8" i="9"/>
  <c r="C8" i="9"/>
  <c r="H8" i="9" s="1"/>
  <c r="B8" i="9"/>
  <c r="J7" i="9"/>
  <c r="J20" i="9" s="1"/>
  <c r="I7" i="9"/>
  <c r="I20" i="9" s="1"/>
  <c r="G7" i="9"/>
  <c r="F7" i="9"/>
  <c r="E7" i="9"/>
  <c r="D7" i="9"/>
  <c r="C7" i="9"/>
  <c r="H7" i="9" s="1"/>
  <c r="B7" i="9"/>
  <c r="J6" i="9"/>
  <c r="I6" i="9"/>
  <c r="F6" i="9"/>
  <c r="G6" i="9" s="1"/>
  <c r="E6" i="9"/>
  <c r="D6" i="9"/>
  <c r="C6" i="9"/>
  <c r="H6" i="9" s="1"/>
  <c r="B6" i="9"/>
  <c r="J5" i="9"/>
  <c r="I5" i="9"/>
  <c r="F5" i="9"/>
  <c r="F20" i="9" s="1"/>
  <c r="E5" i="9"/>
  <c r="E20" i="9" s="1"/>
  <c r="D5" i="9"/>
  <c r="D20" i="9" s="1"/>
  <c r="C5" i="9"/>
  <c r="C20" i="9" s="1"/>
  <c r="B5" i="9"/>
  <c r="J36" i="8"/>
  <c r="I36" i="8"/>
  <c r="G36" i="8"/>
  <c r="H36" i="8" s="1"/>
  <c r="F36" i="8"/>
  <c r="E36" i="8"/>
  <c r="D36" i="8"/>
  <c r="C36" i="8"/>
  <c r="B36" i="8"/>
  <c r="J35" i="8"/>
  <c r="I35" i="8"/>
  <c r="H35" i="8"/>
  <c r="G35" i="8"/>
  <c r="F35" i="8"/>
  <c r="E35" i="8"/>
  <c r="D35" i="8"/>
  <c r="C35" i="8"/>
  <c r="B35" i="8"/>
  <c r="J34" i="8"/>
  <c r="I34" i="8"/>
  <c r="G34" i="8"/>
  <c r="H34" i="8" s="1"/>
  <c r="F34" i="8"/>
  <c r="E34" i="8"/>
  <c r="D34" i="8"/>
  <c r="C34" i="8"/>
  <c r="B34" i="8"/>
  <c r="J33" i="8"/>
  <c r="I33" i="8"/>
  <c r="G33" i="8"/>
  <c r="H33" i="8" s="1"/>
  <c r="F33" i="8"/>
  <c r="E33" i="8"/>
  <c r="D33" i="8"/>
  <c r="C33" i="8"/>
  <c r="B33" i="8"/>
  <c r="J32" i="8"/>
  <c r="I32" i="8"/>
  <c r="G32" i="8"/>
  <c r="H32" i="8" s="1"/>
  <c r="F32" i="8"/>
  <c r="E32" i="8"/>
  <c r="D32" i="8"/>
  <c r="C32" i="8"/>
  <c r="B32" i="8"/>
  <c r="J31" i="8"/>
  <c r="I31" i="8"/>
  <c r="G31" i="8"/>
  <c r="H31" i="8" s="1"/>
  <c r="F31" i="8"/>
  <c r="E31" i="8"/>
  <c r="D31" i="8"/>
  <c r="C31" i="8"/>
  <c r="B31" i="8"/>
  <c r="J30" i="8"/>
  <c r="I30" i="8"/>
  <c r="H30" i="8"/>
  <c r="G30" i="8"/>
  <c r="F30" i="8"/>
  <c r="E30" i="8"/>
  <c r="D30" i="8"/>
  <c r="C30" i="8"/>
  <c r="B30" i="8"/>
  <c r="J29" i="8"/>
  <c r="I29" i="8"/>
  <c r="H29" i="8"/>
  <c r="G29" i="8"/>
  <c r="F29" i="8"/>
  <c r="E29" i="8"/>
  <c r="D29" i="8"/>
  <c r="C29" i="8"/>
  <c r="B29" i="8"/>
  <c r="J28" i="8"/>
  <c r="I28" i="8"/>
  <c r="G28" i="8"/>
  <c r="H28" i="8" s="1"/>
  <c r="F28" i="8"/>
  <c r="E28" i="8"/>
  <c r="D28" i="8"/>
  <c r="C28" i="8"/>
  <c r="B28" i="8"/>
  <c r="J27" i="8"/>
  <c r="I27" i="8"/>
  <c r="H27" i="8"/>
  <c r="G27" i="8"/>
  <c r="F27" i="8"/>
  <c r="E27" i="8"/>
  <c r="D27" i="8"/>
  <c r="C27" i="8"/>
  <c r="B27" i="8"/>
  <c r="J26" i="8"/>
  <c r="I26" i="8"/>
  <c r="G26" i="8"/>
  <c r="H26" i="8" s="1"/>
  <c r="F26" i="8"/>
  <c r="E26" i="8"/>
  <c r="D26" i="8"/>
  <c r="C26" i="8"/>
  <c r="B26" i="8"/>
  <c r="J25" i="8"/>
  <c r="I25" i="8"/>
  <c r="H25" i="8"/>
  <c r="G25" i="8"/>
  <c r="F25" i="8"/>
  <c r="E25" i="8"/>
  <c r="D25" i="8"/>
  <c r="C25" i="8"/>
  <c r="B25" i="8"/>
  <c r="J24" i="8"/>
  <c r="I24" i="8"/>
  <c r="G24" i="8"/>
  <c r="H24" i="8" s="1"/>
  <c r="F24" i="8"/>
  <c r="E24" i="8"/>
  <c r="D24" i="8"/>
  <c r="C24" i="8"/>
  <c r="B24" i="8"/>
  <c r="J23" i="8"/>
  <c r="I23" i="8"/>
  <c r="G23" i="8"/>
  <c r="H23" i="8" s="1"/>
  <c r="F23" i="8"/>
  <c r="E23" i="8"/>
  <c r="D23" i="8"/>
  <c r="C23" i="8"/>
  <c r="B23" i="8"/>
  <c r="J22" i="8"/>
  <c r="I22" i="8"/>
  <c r="H22" i="8"/>
  <c r="G22" i="8"/>
  <c r="F22" i="8"/>
  <c r="E22" i="8"/>
  <c r="D22" i="8"/>
  <c r="C22" i="8"/>
  <c r="B22" i="8"/>
  <c r="J21" i="8"/>
  <c r="I21" i="8"/>
  <c r="H21" i="8"/>
  <c r="G21" i="8"/>
  <c r="F21" i="8"/>
  <c r="E21" i="8"/>
  <c r="D21" i="8"/>
  <c r="C21" i="8"/>
  <c r="B21" i="8"/>
  <c r="J20" i="8"/>
  <c r="I20" i="8"/>
  <c r="G20" i="8"/>
  <c r="H20" i="8" s="1"/>
  <c r="F20" i="8"/>
  <c r="E20" i="8"/>
  <c r="D20" i="8"/>
  <c r="C20" i="8"/>
  <c r="B20" i="8"/>
  <c r="J19" i="8"/>
  <c r="I19" i="8"/>
  <c r="H19" i="8"/>
  <c r="G19" i="8"/>
  <c r="F19" i="8"/>
  <c r="E19" i="8"/>
  <c r="D19" i="8"/>
  <c r="C19" i="8"/>
  <c r="B19" i="8"/>
  <c r="J18" i="8"/>
  <c r="I18" i="8"/>
  <c r="G18" i="8"/>
  <c r="H18" i="8" s="1"/>
  <c r="F18" i="8"/>
  <c r="E18" i="8"/>
  <c r="D18" i="8"/>
  <c r="C18" i="8"/>
  <c r="B18" i="8"/>
  <c r="J17" i="8"/>
  <c r="I17" i="8"/>
  <c r="H17" i="8"/>
  <c r="G17" i="8"/>
  <c r="F17" i="8"/>
  <c r="E17" i="8"/>
  <c r="D17" i="8"/>
  <c r="C17" i="8"/>
  <c r="B17" i="8"/>
  <c r="J16" i="8"/>
  <c r="I16" i="8"/>
  <c r="G16" i="8"/>
  <c r="H16" i="8" s="1"/>
  <c r="F16" i="8"/>
  <c r="E16" i="8"/>
  <c r="D16" i="8"/>
  <c r="C16" i="8"/>
  <c r="B16" i="8"/>
  <c r="J15" i="8"/>
  <c r="I15" i="8"/>
  <c r="G15" i="8"/>
  <c r="H15" i="8" s="1"/>
  <c r="F15" i="8"/>
  <c r="E15" i="8"/>
  <c r="D15" i="8"/>
  <c r="C15" i="8"/>
  <c r="B15" i="8"/>
  <c r="J14" i="8"/>
  <c r="I14" i="8"/>
  <c r="H14" i="8"/>
  <c r="G14" i="8"/>
  <c r="F14" i="8"/>
  <c r="E14" i="8"/>
  <c r="D14" i="8"/>
  <c r="C14" i="8"/>
  <c r="B14" i="8"/>
  <c r="J13" i="8"/>
  <c r="I13" i="8"/>
  <c r="H13" i="8"/>
  <c r="G13" i="8"/>
  <c r="F13" i="8"/>
  <c r="E13" i="8"/>
  <c r="D13" i="8"/>
  <c r="C13" i="8"/>
  <c r="B13" i="8"/>
  <c r="J12" i="8"/>
  <c r="I12" i="8"/>
  <c r="G12" i="8"/>
  <c r="H12" i="8" s="1"/>
  <c r="F12" i="8"/>
  <c r="E12" i="8"/>
  <c r="D12" i="8"/>
  <c r="C12" i="8"/>
  <c r="B12" i="8"/>
  <c r="J11" i="8"/>
  <c r="I11" i="8"/>
  <c r="H11" i="8"/>
  <c r="G11" i="8"/>
  <c r="F11" i="8"/>
  <c r="E11" i="8"/>
  <c r="D11" i="8"/>
  <c r="C11" i="8"/>
  <c r="B11" i="8"/>
  <c r="J10" i="8"/>
  <c r="I10" i="8"/>
  <c r="G10" i="8"/>
  <c r="H10" i="8" s="1"/>
  <c r="F10" i="8"/>
  <c r="E10" i="8"/>
  <c r="D10" i="8"/>
  <c r="C10" i="8"/>
  <c r="B10" i="8"/>
  <c r="J9" i="8"/>
  <c r="I9" i="8"/>
  <c r="H9" i="8"/>
  <c r="G9" i="8"/>
  <c r="F9" i="8"/>
  <c r="E9" i="8"/>
  <c r="D9" i="8"/>
  <c r="C9" i="8"/>
  <c r="B9" i="8"/>
  <c r="J8" i="8"/>
  <c r="I8" i="8"/>
  <c r="G8" i="8"/>
  <c r="H8" i="8" s="1"/>
  <c r="F8" i="8"/>
  <c r="E8" i="8"/>
  <c r="D8" i="8"/>
  <c r="C8" i="8"/>
  <c r="B8" i="8"/>
  <c r="J7" i="8"/>
  <c r="I7" i="8"/>
  <c r="G7" i="8"/>
  <c r="H7" i="8" s="1"/>
  <c r="F7" i="8"/>
  <c r="E7" i="8"/>
  <c r="D7" i="8"/>
  <c r="C7" i="8"/>
  <c r="B7" i="8"/>
  <c r="J6" i="8"/>
  <c r="J38" i="8" s="1"/>
  <c r="I6" i="8"/>
  <c r="I38" i="8" s="1"/>
  <c r="G6" i="8"/>
  <c r="H6" i="8" s="1"/>
  <c r="F6" i="8"/>
  <c r="E6" i="8"/>
  <c r="D6" i="8"/>
  <c r="C6" i="8"/>
  <c r="B6" i="8"/>
  <c r="J5" i="8"/>
  <c r="I5" i="8"/>
  <c r="H5" i="8"/>
  <c r="G5" i="8"/>
  <c r="F5" i="8"/>
  <c r="E5" i="8"/>
  <c r="D5" i="8"/>
  <c r="C5" i="8"/>
  <c r="B5" i="8"/>
  <c r="I18" i="7"/>
  <c r="H18" i="7"/>
  <c r="F18" i="7"/>
  <c r="G18" i="7" s="1"/>
  <c r="E18" i="7"/>
  <c r="D18" i="7"/>
  <c r="C18" i="7"/>
  <c r="B18" i="7"/>
  <c r="I17" i="7"/>
  <c r="H17" i="7"/>
  <c r="F17" i="7"/>
  <c r="G17" i="7" s="1"/>
  <c r="E17" i="7"/>
  <c r="D17" i="7"/>
  <c r="C17" i="7"/>
  <c r="B17" i="7"/>
  <c r="J16" i="7"/>
  <c r="I16" i="7"/>
  <c r="G16" i="7"/>
  <c r="F16" i="7"/>
  <c r="E16" i="7"/>
  <c r="D16" i="7"/>
  <c r="C16" i="7"/>
  <c r="H16" i="7" s="1"/>
  <c r="B16" i="7"/>
  <c r="J15" i="7"/>
  <c r="I15" i="7"/>
  <c r="F15" i="7"/>
  <c r="G15" i="7" s="1"/>
  <c r="E15" i="7"/>
  <c r="D15" i="7"/>
  <c r="C15" i="7"/>
  <c r="H15" i="7" s="1"/>
  <c r="B15" i="7"/>
  <c r="J14" i="7"/>
  <c r="I14" i="7"/>
  <c r="F14" i="7"/>
  <c r="G14" i="7" s="1"/>
  <c r="E14" i="7"/>
  <c r="D14" i="7"/>
  <c r="C14" i="7"/>
  <c r="H14" i="7" s="1"/>
  <c r="B14" i="7"/>
  <c r="J13" i="7"/>
  <c r="I13" i="7"/>
  <c r="F13" i="7"/>
  <c r="G13" i="7" s="1"/>
  <c r="E13" i="7"/>
  <c r="D13" i="7"/>
  <c r="C13" i="7"/>
  <c r="H13" i="7" s="1"/>
  <c r="B13" i="7"/>
  <c r="J12" i="7"/>
  <c r="I12" i="7"/>
  <c r="F12" i="7"/>
  <c r="G12" i="7" s="1"/>
  <c r="E12" i="7"/>
  <c r="D12" i="7"/>
  <c r="C12" i="7"/>
  <c r="B12" i="7"/>
  <c r="J11" i="7"/>
  <c r="I11" i="7"/>
  <c r="G11" i="7"/>
  <c r="F11" i="7"/>
  <c r="E11" i="7"/>
  <c r="D11" i="7"/>
  <c r="C11" i="7"/>
  <c r="H11" i="7" s="1"/>
  <c r="B11" i="7"/>
  <c r="J10" i="7"/>
  <c r="I10" i="7"/>
  <c r="H10" i="7"/>
  <c r="F10" i="7"/>
  <c r="G10" i="7" s="1"/>
  <c r="E10" i="7"/>
  <c r="D10" i="7"/>
  <c r="C10" i="7"/>
  <c r="B10" i="7"/>
  <c r="J9" i="7"/>
  <c r="I9" i="7"/>
  <c r="H9" i="7"/>
  <c r="G9" i="7"/>
  <c r="F9" i="7"/>
  <c r="E9" i="7"/>
  <c r="D9" i="7"/>
  <c r="C9" i="7"/>
  <c r="B9" i="7"/>
  <c r="J8" i="7"/>
  <c r="I8" i="7"/>
  <c r="H8" i="7"/>
  <c r="F8" i="7"/>
  <c r="G8" i="7" s="1"/>
  <c r="E8" i="7"/>
  <c r="D8" i="7"/>
  <c r="C8" i="7"/>
  <c r="B8" i="7"/>
  <c r="J7" i="7"/>
  <c r="I7" i="7"/>
  <c r="F7" i="7"/>
  <c r="G7" i="7" s="1"/>
  <c r="E7" i="7"/>
  <c r="D7" i="7"/>
  <c r="C7" i="7"/>
  <c r="B7" i="7"/>
  <c r="J6" i="7"/>
  <c r="I6" i="7"/>
  <c r="I20" i="7" s="1"/>
  <c r="F6" i="7"/>
  <c r="G6" i="7" s="1"/>
  <c r="E6" i="7"/>
  <c r="D6" i="7"/>
  <c r="C6" i="7"/>
  <c r="B6" i="7"/>
  <c r="J5" i="7"/>
  <c r="J20" i="7" s="1"/>
  <c r="H5" i="7"/>
  <c r="F5" i="7"/>
  <c r="G5" i="7" s="1"/>
  <c r="E5" i="7"/>
  <c r="E20" i="7" s="1"/>
  <c r="D5" i="7"/>
  <c r="D20" i="7" s="1"/>
  <c r="C5" i="7"/>
  <c r="B5" i="7"/>
  <c r="E41" i="10" l="1"/>
  <c r="F41" i="10"/>
  <c r="G41" i="10"/>
  <c r="H5" i="9"/>
  <c r="G5" i="9"/>
  <c r="C20" i="7"/>
  <c r="F20" i="7"/>
  <c r="E38" i="8" l="1"/>
  <c r="D38" i="8"/>
  <c r="G38" i="8"/>
  <c r="F38" i="8"/>
  <c r="C38" i="8"/>
</calcChain>
</file>

<file path=xl/sharedStrings.xml><?xml version="1.0" encoding="utf-8"?>
<sst xmlns="http://schemas.openxmlformats.org/spreadsheetml/2006/main" count="162" uniqueCount="68">
  <si>
    <t>ASSOCIATION</t>
  </si>
  <si>
    <t>ASELBY</t>
  </si>
  <si>
    <t>ANNEE</t>
  </si>
  <si>
    <t>MATRICULE</t>
  </si>
  <si>
    <t>NOM ET PRENOM</t>
  </si>
  <si>
    <t>FONDS DEFINITIF</t>
  </si>
  <si>
    <t>EPARGNE</t>
  </si>
  <si>
    <t>FONDS DE ROULEMENT</t>
  </si>
  <si>
    <t>FRAIS EXCEPTIONNEL</t>
  </si>
  <si>
    <t>COLLATION</t>
  </si>
  <si>
    <t>PENALITE VST ESPECES</t>
  </si>
  <si>
    <t>INSCRISPTION</t>
  </si>
  <si>
    <t>MUTUELLE</t>
  </si>
  <si>
    <t>DETTE DEFINITIVE</t>
  </si>
  <si>
    <t>FONDS MUTUELLE</t>
  </si>
  <si>
    <t>COLLATION RECEPTION</t>
  </si>
  <si>
    <t>DATE REMBOURSEMENT</t>
  </si>
  <si>
    <t>INTERET  PRÊT EXERCISE</t>
  </si>
  <si>
    <t>AS201648</t>
  </si>
  <si>
    <t>AS201601</t>
  </si>
  <si>
    <t>AS201602</t>
  </si>
  <si>
    <t>AS201604</t>
  </si>
  <si>
    <t>AS201654</t>
  </si>
  <si>
    <t>AS201605</t>
  </si>
  <si>
    <t>AS201608</t>
  </si>
  <si>
    <t>AS201651</t>
  </si>
  <si>
    <t>AS201609</t>
  </si>
  <si>
    <t>AS201611</t>
  </si>
  <si>
    <t>AS201613</t>
  </si>
  <si>
    <t>AS201617</t>
  </si>
  <si>
    <t>AS201619</t>
  </si>
  <si>
    <t>AS201620</t>
  </si>
  <si>
    <t>AS201661</t>
  </si>
  <si>
    <t>AS201649</t>
  </si>
  <si>
    <t>AS201639</t>
  </si>
  <si>
    <t>AS201621</t>
  </si>
  <si>
    <t>AS201622</t>
  </si>
  <si>
    <t>AS201624</t>
  </si>
  <si>
    <t>AS201626</t>
  </si>
  <si>
    <t>AS201628</t>
  </si>
  <si>
    <t>AS201656</t>
  </si>
  <si>
    <t>AS201633</t>
  </si>
  <si>
    <t>AS201657</t>
  </si>
  <si>
    <t>AS201653</t>
  </si>
  <si>
    <t>AS201638</t>
  </si>
  <si>
    <t>AS201641</t>
  </si>
  <si>
    <t>AS201660</t>
  </si>
  <si>
    <t>AS201643</t>
  </si>
  <si>
    <t>AS201658</t>
  </si>
  <si>
    <t>AS201646</t>
  </si>
  <si>
    <t>AS201659</t>
  </si>
  <si>
    <t>AS201647</t>
  </si>
  <si>
    <t>TOTAL</t>
  </si>
  <si>
    <t>MONTANT TONTINE</t>
  </si>
  <si>
    <t>PENALITE VERSEMENT ESPECES</t>
  </si>
  <si>
    <t>INTERET PETIT LOT</t>
  </si>
  <si>
    <t>INTERET LOT PRINCIPAL</t>
  </si>
  <si>
    <t>MOIS OBTENTION</t>
  </si>
  <si>
    <t>REPARTITION INTERET</t>
  </si>
  <si>
    <t>INTERET PERCU PAR ADHERENT</t>
  </si>
  <si>
    <t>TOTAL PART</t>
  </si>
  <si>
    <t>MOIS OBTENTION 2</t>
  </si>
  <si>
    <t>BILAN MI PARCOURS TONTINE 25 000</t>
  </si>
  <si>
    <t>MONTANT  LOT PRINCIPAL PERCU</t>
  </si>
  <si>
    <t>BILAN MI PARCOURS TONTINE 75 000</t>
  </si>
  <si>
    <t>BILAN MI PARCOURS TONTINE 100 000</t>
  </si>
  <si>
    <t>AUTRES DEPENSES</t>
  </si>
  <si>
    <t>BILAN MI PARCOURS AUTRES MOUVEMENTS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</si>
</sst>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C]mmm\-yy;@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Britannic Bold"/>
      <family val="2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Britannic Bold"/>
      <family val="2"/>
    </font>
    <font>
      <sz val="11"/>
      <color rgb="FF00B050"/>
      <name val="Britannic Bold"/>
      <family val="2"/>
    </font>
    <font>
      <b/>
      <sz val="12"/>
      <color rgb="FFFF0000"/>
      <name val="Calibri"/>
      <family val="2"/>
      <scheme val="minor"/>
    </font>
    <font>
      <sz val="11"/>
      <color theme="1"/>
      <name val="Castellar"/>
      <family val="1"/>
    </font>
    <font>
      <b/>
      <sz val="12"/>
      <name val="Calibri"/>
      <family val="2"/>
      <scheme val="minor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b/>
      <sz val="11"/>
      <color theme="1"/>
      <name val="Castellar"/>
      <family val="1"/>
    </font>
    <font>
      <sz val="11"/>
      <name val="Britannic Bold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3" fontId="0" fillId="0" borderId="0" xfId="0" applyNumberForma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/>
    <xf numFmtId="3" fontId="5" fillId="0" borderId="0" xfId="0" applyNumberFormat="1" applyFont="1"/>
    <xf numFmtId="3" fontId="8" fillId="0" borderId="0" xfId="0" applyNumberFormat="1" applyFont="1"/>
    <xf numFmtId="0" fontId="2" fillId="0" borderId="1" xfId="0" applyFont="1" applyBorder="1"/>
    <xf numFmtId="3" fontId="0" fillId="0" borderId="0" xfId="0" applyNumberFormat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2" fillId="0" borderId="6" xfId="0" applyFont="1" applyBorder="1"/>
    <xf numFmtId="3" fontId="12" fillId="0" borderId="6" xfId="0" applyNumberFormat="1" applyFont="1" applyBorder="1"/>
    <xf numFmtId="165" fontId="7" fillId="0" borderId="6" xfId="0" applyNumberFormat="1" applyFont="1" applyBorder="1"/>
    <xf numFmtId="3" fontId="5" fillId="0" borderId="6" xfId="0" applyNumberFormat="1" applyFont="1" applyBorder="1"/>
    <xf numFmtId="3" fontId="5" fillId="0" borderId="7" xfId="0" applyNumberFormat="1" applyFont="1" applyBorder="1"/>
    <xf numFmtId="0" fontId="0" fillId="0" borderId="6" xfId="0" applyBorder="1"/>
    <xf numFmtId="0" fontId="0" fillId="0" borderId="6" xfId="0" applyBorder="1" applyAlignment="1">
      <alignment horizontal="center"/>
    </xf>
    <xf numFmtId="3" fontId="0" fillId="0" borderId="6" xfId="0" applyNumberFormat="1" applyBorder="1"/>
    <xf numFmtId="0" fontId="2" fillId="0" borderId="8" xfId="0" applyFont="1" applyBorder="1"/>
    <xf numFmtId="3" fontId="5" fillId="0" borderId="9" xfId="0" applyNumberFormat="1" applyFont="1" applyBorder="1"/>
    <xf numFmtId="3" fontId="0" fillId="0" borderId="9" xfId="0" applyNumberFormat="1" applyBorder="1"/>
    <xf numFmtId="3" fontId="5" fillId="0" borderId="10" xfId="0" applyNumberFormat="1" applyFont="1" applyBorder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0" xfId="0" applyNumberFormat="1" applyFont="1"/>
    <xf numFmtId="0" fontId="13" fillId="0" borderId="0" xfId="0" applyFont="1"/>
    <xf numFmtId="0" fontId="2" fillId="2" borderId="3" xfId="0" applyFont="1" applyFill="1" applyBorder="1"/>
    <xf numFmtId="0" fontId="2" fillId="2" borderId="4" xfId="0" applyFont="1" applyFill="1" applyBorder="1"/>
    <xf numFmtId="3" fontId="2" fillId="2" borderId="4" xfId="0" applyNumberFormat="1" applyFont="1" applyFill="1" applyBorder="1" applyAlignment="1">
      <alignment wrapText="1"/>
    </xf>
    <xf numFmtId="3" fontId="2" fillId="2" borderId="5" xfId="0" applyNumberFormat="1" applyFont="1" applyFill="1" applyBorder="1" applyAlignment="1">
      <alignment wrapText="1"/>
    </xf>
    <xf numFmtId="0" fontId="0" fillId="0" borderId="7" xfId="0" applyBorder="1"/>
    <xf numFmtId="3" fontId="8" fillId="0" borderId="6" xfId="0" applyNumberFormat="1" applyFont="1" applyBorder="1"/>
    <xf numFmtId="0" fontId="2" fillId="2" borderId="0" xfId="0" applyFont="1" applyFill="1"/>
    <xf numFmtId="3" fontId="2" fillId="2" borderId="0" xfId="0" applyNumberFormat="1" applyFont="1" applyFill="1" applyAlignment="1">
      <alignment wrapText="1"/>
    </xf>
    <xf numFmtId="3" fontId="10" fillId="0" borderId="0" xfId="0" applyNumberFormat="1" applyFont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3" fontId="13" fillId="0" borderId="6" xfId="0" applyNumberFormat="1" applyFont="1" applyBorder="1"/>
    <xf numFmtId="3" fontId="9" fillId="0" borderId="6" xfId="0" applyNumberFormat="1" applyFont="1" applyBorder="1"/>
    <xf numFmtId="165" fontId="13" fillId="0" borderId="6" xfId="0" applyNumberFormat="1" applyFont="1" applyBorder="1"/>
    <xf numFmtId="3" fontId="13" fillId="0" borderId="7" xfId="0" applyNumberFormat="1" applyFont="1" applyBorder="1"/>
    <xf numFmtId="0" fontId="14" fillId="0" borderId="7" xfId="0" applyFont="1" applyBorder="1"/>
    <xf numFmtId="3" fontId="6" fillId="0" borderId="6" xfId="0" applyNumberFormat="1" applyFont="1" applyBorder="1"/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SELBYTONTINE3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30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AUTREMOUVEMEN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5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TONTINE10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0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SELBYTONTINE1000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100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LISTEADHEREN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5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75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10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AUTREMOUV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6">
          <cell r="C6">
            <v>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0</v>
          </cell>
        </row>
      </sheetData>
      <sheetData sheetId="14">
        <row r="7">
          <cell r="C7">
            <v>0</v>
          </cell>
        </row>
      </sheetData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TONTJANVTEST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7">
          <cell r="C7">
            <v>10000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10000</v>
          </cell>
        </row>
      </sheetData>
      <sheetData sheetId="14">
        <row r="7">
          <cell r="C7">
            <v>10000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DEC20"/>
      <sheetName val="MVTJANV21"/>
      <sheetName val="MVTFEV21"/>
      <sheetName val="MVTMARS21"/>
      <sheetName val="MVTAVRIL21"/>
      <sheetName val="MVTMAI21"/>
      <sheetName val="MVTJUIN21"/>
      <sheetName val="MVTJUIL21"/>
      <sheetName val="MVTAOUT21"/>
      <sheetName val="MVTSEPT21"/>
      <sheetName val="MVTOCT21"/>
      <sheetName val="MVTNOV21"/>
      <sheetName val="MVTDEC21"/>
      <sheetName val="MVTRESUME21"/>
      <sheetName val="GESTIONINTERET21"/>
      <sheetName val="DISTINTERET21"/>
      <sheetName val="CALCULINTASS"/>
      <sheetName val="AIDEDEUIL"/>
      <sheetName val="MVTDEC20BACKUP"/>
      <sheetName val="MVTDEC20BACKUPMAJ"/>
      <sheetName val="Aide"/>
      <sheetName val="dETTE ENVELLOPP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  <sheetName val="TONTSEPT2018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>
        <row r="6">
          <cell r="C6">
            <v>0</v>
          </cell>
        </row>
      </sheetData>
      <sheetData sheetId="3">
        <row r="6">
          <cell r="C6">
            <v>7000</v>
          </cell>
        </row>
      </sheetData>
      <sheetData sheetId="4">
        <row r="6">
          <cell r="C6">
            <v>6000</v>
          </cell>
        </row>
      </sheetData>
      <sheetData sheetId="5">
        <row r="6">
          <cell r="C6">
            <v>0</v>
          </cell>
        </row>
      </sheetData>
      <sheetData sheetId="6">
        <row r="6">
          <cell r="C6">
            <v>0</v>
          </cell>
        </row>
      </sheetData>
      <sheetData sheetId="7">
        <row r="6">
          <cell r="C6">
            <v>0</v>
          </cell>
        </row>
      </sheetData>
      <sheetData sheetId="8">
        <row r="6">
          <cell r="C6">
            <v>0</v>
          </cell>
        </row>
      </sheetData>
      <sheetData sheetId="9">
        <row r="6">
          <cell r="C6">
            <v>21000</v>
          </cell>
        </row>
      </sheetData>
      <sheetData sheetId="10">
        <row r="6">
          <cell r="C6">
            <v>7000</v>
          </cell>
        </row>
      </sheetData>
      <sheetData sheetId="11">
        <row r="6">
          <cell r="C6">
            <v>7000</v>
          </cell>
        </row>
      </sheetData>
      <sheetData sheetId="12">
        <row r="6">
          <cell r="C6">
            <v>7000</v>
          </cell>
        </row>
      </sheetData>
      <sheetData sheetId="13">
        <row r="6">
          <cell r="C6">
            <v>35000</v>
          </cell>
        </row>
      </sheetData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1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RESUMETONTINE"/>
      <sheetName val="TONTOCT (2)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0CT"/>
      <sheetName val="TONTNOV20"/>
      <sheetName val="TONTDEC20"/>
      <sheetName val="TONTRESUME"/>
      <sheetName val="TONTOCT"/>
      <sheetName val="TONTAOUT2019"/>
      <sheetName val="TONTSEPT2019"/>
      <sheetName val="TONTOCT2019"/>
    </sheetNames>
    <sheetDataSet>
      <sheetData sheetId="0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7">
          <cell r="J27">
            <v>426500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HISTORIQUE OCT"/>
      <sheetName val="TONT0CT"/>
      <sheetName val="TONTAOUT2019"/>
      <sheetName val="TONTSEPT2019"/>
      <sheetName val="TONTOCT2019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/>
          <cell r="F5">
            <v>677841881</v>
          </cell>
          <cell r="G5"/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/>
          <cell r="F6">
            <v>677704694</v>
          </cell>
          <cell r="G6"/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/>
          <cell r="F7">
            <v>677986676</v>
          </cell>
          <cell r="G7"/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/>
          <cell r="F8">
            <v>675250451</v>
          </cell>
          <cell r="G8"/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/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/>
          <cell r="F10">
            <v>699908065</v>
          </cell>
          <cell r="G10"/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/>
          <cell r="F11">
            <v>694468080</v>
          </cell>
          <cell r="G11"/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/>
          <cell r="F12">
            <v>699956355</v>
          </cell>
          <cell r="G12"/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/>
          <cell r="F13">
            <v>675836725</v>
          </cell>
          <cell r="G13"/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/>
          <cell r="F14">
            <v>677735778</v>
          </cell>
          <cell r="G14"/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/>
          <cell r="F15"/>
          <cell r="G15"/>
          <cell r="H15"/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/>
          <cell r="F16">
            <v>693055118</v>
          </cell>
          <cell r="G16"/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/>
          <cell r="F17">
            <v>677553702</v>
          </cell>
          <cell r="G17"/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/>
          <cell r="F18">
            <v>675249207</v>
          </cell>
          <cell r="G18"/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/>
          <cell r="F19">
            <v>677068360</v>
          </cell>
          <cell r="G19"/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/>
          <cell r="F20">
            <v>676659191</v>
          </cell>
          <cell r="G20"/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/>
          <cell r="F21">
            <v>699995086</v>
          </cell>
          <cell r="G21"/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/>
          <cell r="F22">
            <v>677546060</v>
          </cell>
          <cell r="G22"/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/>
          <cell r="F23">
            <v>677648306</v>
          </cell>
          <cell r="G23"/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/>
          <cell r="F24">
            <v>699778906</v>
          </cell>
          <cell r="G24"/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/>
          <cell r="F25">
            <v>677775940</v>
          </cell>
          <cell r="G25"/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/>
          <cell r="F26">
            <v>699663416</v>
          </cell>
          <cell r="G26"/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/>
          <cell r="F27">
            <v>677547311</v>
          </cell>
          <cell r="G27"/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/>
          <cell r="F28"/>
          <cell r="G28"/>
          <cell r="H28"/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/>
          <cell r="F29">
            <v>694452000</v>
          </cell>
          <cell r="G29"/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/>
          <cell r="E30"/>
          <cell r="F30"/>
          <cell r="G30"/>
          <cell r="H30"/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/>
          <cell r="E31"/>
          <cell r="F31"/>
          <cell r="G31"/>
          <cell r="H31"/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/>
          <cell r="E32"/>
          <cell r="F32"/>
          <cell r="G32"/>
          <cell r="H32"/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/>
          <cell r="E33"/>
          <cell r="F33"/>
          <cell r="G33"/>
          <cell r="H33"/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/>
          <cell r="E34"/>
          <cell r="F34">
            <v>696585118</v>
          </cell>
          <cell r="G34"/>
          <cell r="H34"/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/>
          <cell r="E35"/>
          <cell r="F35"/>
          <cell r="G35"/>
          <cell r="H35"/>
        </row>
        <row r="36">
          <cell r="A36" t="str">
            <v>AS201629</v>
          </cell>
          <cell r="B36"/>
          <cell r="C36" t="str">
            <v>NKEPSEU DIEUDONNE</v>
          </cell>
          <cell r="D36"/>
          <cell r="E36"/>
          <cell r="F36"/>
          <cell r="G36"/>
          <cell r="H36"/>
        </row>
        <row r="37">
          <cell r="A37" t="str">
            <v>AS201659</v>
          </cell>
          <cell r="B37">
            <v>32</v>
          </cell>
          <cell r="C37" t="str">
            <v>YIALA ALAIN OSCAR</v>
          </cell>
          <cell r="D37"/>
          <cell r="E37"/>
          <cell r="F37"/>
          <cell r="G37"/>
          <cell r="H37"/>
        </row>
        <row r="38">
          <cell r="A38" t="str">
            <v>AS201660</v>
          </cell>
          <cell r="B38">
            <v>33</v>
          </cell>
          <cell r="C38" t="str">
            <v>TCHOUATEU AUGUSTIN</v>
          </cell>
          <cell r="D38"/>
          <cell r="E38"/>
          <cell r="F38"/>
          <cell r="G38"/>
          <cell r="H38"/>
        </row>
        <row r="39">
          <cell r="A39" t="str">
            <v>AS201661</v>
          </cell>
          <cell r="B39">
            <v>34</v>
          </cell>
          <cell r="C39" t="str">
            <v>MASSEUNGOUE DAGOBERT</v>
          </cell>
          <cell r="D39"/>
          <cell r="E39"/>
          <cell r="F39"/>
          <cell r="G39"/>
          <cell r="H39"/>
        </row>
      </sheetData>
      <sheetData sheetId="1"/>
      <sheetData sheetId="2"/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RESUME24EDIT"/>
      <sheetName val="DEFAILLANCETONT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AS201601</v>
          </cell>
          <cell r="B6">
            <v>6</v>
          </cell>
          <cell r="C6" t="str">
            <v>BAKOP ACHILLE</v>
          </cell>
          <cell r="D6">
            <v>150000</v>
          </cell>
          <cell r="E6">
            <v>318000</v>
          </cell>
          <cell r="F6">
            <v>3000</v>
          </cell>
          <cell r="H6">
            <v>60000</v>
          </cell>
          <cell r="I6">
            <v>1000</v>
          </cell>
          <cell r="K6">
            <v>0</v>
          </cell>
          <cell r="L6">
            <v>61000</v>
          </cell>
          <cell r="M6">
            <v>61000</v>
          </cell>
          <cell r="P6">
            <v>0</v>
          </cell>
          <cell r="Q6">
            <v>290000</v>
          </cell>
          <cell r="R6">
            <v>10000</v>
          </cell>
          <cell r="S6">
            <v>45352</v>
          </cell>
          <cell r="T6">
            <v>5515.625</v>
          </cell>
        </row>
        <row r="7">
          <cell r="A7" t="str">
            <v>AS201602</v>
          </cell>
          <cell r="B7">
            <v>6</v>
          </cell>
          <cell r="C7" t="str">
            <v>BOUTCHOUANG WILLIAM</v>
          </cell>
          <cell r="D7">
            <v>150000</v>
          </cell>
          <cell r="E7">
            <v>300000</v>
          </cell>
          <cell r="F7">
            <v>3000</v>
          </cell>
          <cell r="H7">
            <v>0</v>
          </cell>
          <cell r="I7">
            <v>0</v>
          </cell>
          <cell r="K7">
            <v>0</v>
          </cell>
          <cell r="L7">
            <v>0</v>
          </cell>
          <cell r="M7">
            <v>0</v>
          </cell>
          <cell r="P7">
            <v>0</v>
          </cell>
          <cell r="Q7">
            <v>0</v>
          </cell>
          <cell r="R7">
            <v>0</v>
          </cell>
          <cell r="T7">
            <v>5515.625</v>
          </cell>
        </row>
        <row r="8">
          <cell r="A8" t="str">
            <v>AS201604</v>
          </cell>
          <cell r="B8">
            <v>6</v>
          </cell>
          <cell r="C8" t="str">
            <v xml:space="preserve">DJOMO JEAN PAUL </v>
          </cell>
          <cell r="D8">
            <v>150000</v>
          </cell>
          <cell r="E8">
            <v>297500</v>
          </cell>
          <cell r="F8">
            <v>0</v>
          </cell>
          <cell r="H8">
            <v>0</v>
          </cell>
          <cell r="I8">
            <v>0</v>
          </cell>
          <cell r="K8">
            <v>0</v>
          </cell>
          <cell r="L8">
            <v>0</v>
          </cell>
          <cell r="M8">
            <v>0</v>
          </cell>
          <cell r="P8">
            <v>0</v>
          </cell>
          <cell r="Q8">
            <v>282000</v>
          </cell>
          <cell r="R8">
            <v>18000</v>
          </cell>
          <cell r="S8">
            <v>45352</v>
          </cell>
          <cell r="T8">
            <v>5515.625</v>
          </cell>
        </row>
        <row r="9">
          <cell r="A9" t="str">
            <v>AS201654</v>
          </cell>
          <cell r="B9">
            <v>6</v>
          </cell>
          <cell r="C9" t="str">
            <v>DJOMOU TCHAPDA</v>
          </cell>
          <cell r="D9">
            <v>150000</v>
          </cell>
          <cell r="E9">
            <v>298000</v>
          </cell>
          <cell r="F9">
            <v>6000</v>
          </cell>
          <cell r="H9">
            <v>129000</v>
          </cell>
          <cell r="I9">
            <v>2500</v>
          </cell>
          <cell r="K9">
            <v>0</v>
          </cell>
          <cell r="L9">
            <v>131500</v>
          </cell>
          <cell r="M9">
            <v>131500</v>
          </cell>
          <cell r="P9">
            <v>0</v>
          </cell>
          <cell r="Q9">
            <v>0</v>
          </cell>
          <cell r="R9">
            <v>0</v>
          </cell>
          <cell r="T9">
            <v>5515.625</v>
          </cell>
        </row>
        <row r="10">
          <cell r="A10" t="str">
            <v>AS201605</v>
          </cell>
          <cell r="B10">
            <v>6</v>
          </cell>
          <cell r="C10" t="str">
            <v>DJOUKWE NANGUEN GUY BLAISE</v>
          </cell>
          <cell r="D10">
            <v>150000</v>
          </cell>
          <cell r="E10">
            <v>320000</v>
          </cell>
          <cell r="F10">
            <v>0</v>
          </cell>
          <cell r="H10">
            <v>111000</v>
          </cell>
          <cell r="I10">
            <v>3500</v>
          </cell>
          <cell r="K10">
            <v>0</v>
          </cell>
          <cell r="L10">
            <v>114500</v>
          </cell>
          <cell r="M10">
            <v>114500</v>
          </cell>
          <cell r="P10">
            <v>0</v>
          </cell>
          <cell r="Q10">
            <v>284000</v>
          </cell>
          <cell r="R10">
            <v>16000</v>
          </cell>
          <cell r="S10">
            <v>45323</v>
          </cell>
          <cell r="T10">
            <v>5515.625</v>
          </cell>
        </row>
        <row r="11">
          <cell r="A11" t="str">
            <v>AS201608</v>
          </cell>
          <cell r="B11">
            <v>6</v>
          </cell>
          <cell r="C11" t="str">
            <v>DJUOMBESSY ANTOINE</v>
          </cell>
          <cell r="D11">
            <v>150000</v>
          </cell>
          <cell r="E11">
            <v>334000</v>
          </cell>
          <cell r="F11">
            <v>0</v>
          </cell>
          <cell r="H11">
            <v>0</v>
          </cell>
          <cell r="I11">
            <v>0</v>
          </cell>
          <cell r="K11">
            <v>0</v>
          </cell>
          <cell r="L11">
            <v>0</v>
          </cell>
          <cell r="M11">
            <v>0</v>
          </cell>
          <cell r="P11">
            <v>0</v>
          </cell>
          <cell r="Q11">
            <v>0</v>
          </cell>
          <cell r="R11">
            <v>0</v>
          </cell>
          <cell r="T11">
            <v>5515.625</v>
          </cell>
        </row>
        <row r="12">
          <cell r="A12" t="str">
            <v>AS201651</v>
          </cell>
          <cell r="B12">
            <v>6</v>
          </cell>
          <cell r="C12" t="str">
            <v>DOMOU FABIEN</v>
          </cell>
          <cell r="D12">
            <v>150000</v>
          </cell>
          <cell r="E12">
            <v>300000</v>
          </cell>
          <cell r="F12">
            <v>0</v>
          </cell>
          <cell r="H12">
            <v>0</v>
          </cell>
          <cell r="I12">
            <v>0</v>
          </cell>
          <cell r="K12">
            <v>0</v>
          </cell>
          <cell r="L12">
            <v>0</v>
          </cell>
          <cell r="M12">
            <v>0</v>
          </cell>
          <cell r="P12">
            <v>0</v>
          </cell>
          <cell r="Q12">
            <v>0</v>
          </cell>
          <cell r="R12">
            <v>0</v>
          </cell>
          <cell r="T12">
            <v>5515.625</v>
          </cell>
        </row>
        <row r="13">
          <cell r="A13" t="str">
            <v>AS201609</v>
          </cell>
          <cell r="B13">
            <v>6</v>
          </cell>
          <cell r="C13" t="str">
            <v>DONHOU DAVID</v>
          </cell>
          <cell r="D13">
            <v>150000</v>
          </cell>
          <cell r="E13">
            <v>300000</v>
          </cell>
          <cell r="F13">
            <v>0</v>
          </cell>
          <cell r="H13">
            <v>0</v>
          </cell>
          <cell r="I13">
            <v>0</v>
          </cell>
          <cell r="K13">
            <v>0</v>
          </cell>
          <cell r="L13">
            <v>0</v>
          </cell>
          <cell r="M13">
            <v>0</v>
          </cell>
          <cell r="P13">
            <v>0</v>
          </cell>
          <cell r="Q13">
            <v>0</v>
          </cell>
          <cell r="R13">
            <v>0</v>
          </cell>
          <cell r="T13">
            <v>5515.625</v>
          </cell>
        </row>
        <row r="14">
          <cell r="A14" t="str">
            <v>AS201611</v>
          </cell>
          <cell r="B14">
            <v>6</v>
          </cell>
          <cell r="C14" t="str">
            <v>HENGUE PAUL OMER</v>
          </cell>
          <cell r="D14">
            <v>150000</v>
          </cell>
          <cell r="E14">
            <v>300000</v>
          </cell>
          <cell r="F14">
            <v>0</v>
          </cell>
          <cell r="H14">
            <v>0</v>
          </cell>
          <cell r="I14">
            <v>0</v>
          </cell>
          <cell r="K14">
            <v>0</v>
          </cell>
          <cell r="L14">
            <v>0</v>
          </cell>
          <cell r="M14">
            <v>0</v>
          </cell>
          <cell r="P14">
            <v>0</v>
          </cell>
          <cell r="Q14">
            <v>290000</v>
          </cell>
          <cell r="R14">
            <v>10000</v>
          </cell>
          <cell r="S14">
            <v>45383</v>
          </cell>
          <cell r="T14">
            <v>5515.625</v>
          </cell>
        </row>
        <row r="15">
          <cell r="A15" t="str">
            <v>AS201613</v>
          </cell>
          <cell r="B15">
            <v>6</v>
          </cell>
          <cell r="C15" t="str">
            <v>HOTCHO BENJAMIN</v>
          </cell>
          <cell r="D15">
            <v>150000</v>
          </cell>
          <cell r="E15">
            <v>510000</v>
          </cell>
          <cell r="F15">
            <v>0</v>
          </cell>
          <cell r="H15">
            <v>0</v>
          </cell>
          <cell r="I15">
            <v>0</v>
          </cell>
          <cell r="K15">
            <v>0</v>
          </cell>
          <cell r="L15">
            <v>0</v>
          </cell>
          <cell r="M15">
            <v>0</v>
          </cell>
          <cell r="P15">
            <v>0</v>
          </cell>
          <cell r="Q15">
            <v>288000</v>
          </cell>
          <cell r="R15">
            <v>12000</v>
          </cell>
          <cell r="S15">
            <v>45292</v>
          </cell>
          <cell r="T15">
            <v>5515.625</v>
          </cell>
        </row>
        <row r="16">
          <cell r="A16" t="str">
            <v>AS201617</v>
          </cell>
          <cell r="B16">
            <v>6</v>
          </cell>
          <cell r="C16" t="str">
            <v>KOUAMOU MOISE</v>
          </cell>
          <cell r="D16">
            <v>150000</v>
          </cell>
          <cell r="E16">
            <v>300500</v>
          </cell>
          <cell r="F16">
            <v>0</v>
          </cell>
          <cell r="H16">
            <v>50000</v>
          </cell>
          <cell r="I16">
            <v>500</v>
          </cell>
          <cell r="K16">
            <v>0</v>
          </cell>
          <cell r="L16">
            <v>50500</v>
          </cell>
          <cell r="M16">
            <v>50500</v>
          </cell>
          <cell r="P16">
            <v>0</v>
          </cell>
          <cell r="Q16">
            <v>283000</v>
          </cell>
          <cell r="R16">
            <v>17000</v>
          </cell>
          <cell r="S16">
            <v>45323</v>
          </cell>
          <cell r="T16">
            <v>5515.625</v>
          </cell>
        </row>
        <row r="17">
          <cell r="A17" t="str">
            <v>AS201619</v>
          </cell>
          <cell r="B17">
            <v>6</v>
          </cell>
          <cell r="C17" t="str">
            <v>KOUATCHO MESSACK</v>
          </cell>
          <cell r="D17">
            <v>150000</v>
          </cell>
          <cell r="E17">
            <v>353000</v>
          </cell>
          <cell r="F17">
            <v>3000</v>
          </cell>
          <cell r="H17">
            <v>0</v>
          </cell>
          <cell r="I17">
            <v>0</v>
          </cell>
          <cell r="K17">
            <v>0</v>
          </cell>
          <cell r="L17">
            <v>0</v>
          </cell>
          <cell r="M17">
            <v>0</v>
          </cell>
          <cell r="P17">
            <v>0</v>
          </cell>
          <cell r="Q17">
            <v>287000</v>
          </cell>
          <cell r="R17">
            <v>13000</v>
          </cell>
          <cell r="S17">
            <v>45292</v>
          </cell>
          <cell r="T17">
            <v>5515.625</v>
          </cell>
        </row>
        <row r="18">
          <cell r="A18" t="str">
            <v>AS201661</v>
          </cell>
          <cell r="B18">
            <v>6</v>
          </cell>
          <cell r="C18" t="str">
            <v>MASSEUNGOUE DAGOBERT</v>
          </cell>
          <cell r="D18">
            <v>150000</v>
          </cell>
          <cell r="E18">
            <v>300000</v>
          </cell>
          <cell r="F18">
            <v>0</v>
          </cell>
          <cell r="H18">
            <v>0</v>
          </cell>
          <cell r="I18">
            <v>0</v>
          </cell>
          <cell r="K18">
            <v>0</v>
          </cell>
          <cell r="L18">
            <v>0</v>
          </cell>
          <cell r="M18">
            <v>0</v>
          </cell>
          <cell r="P18">
            <v>0</v>
          </cell>
          <cell r="Q18">
            <v>0</v>
          </cell>
          <cell r="R18">
            <v>0</v>
          </cell>
          <cell r="T18">
            <v>5515.625</v>
          </cell>
        </row>
        <row r="19">
          <cell r="A19" t="str">
            <v>AS201649</v>
          </cell>
          <cell r="B19">
            <v>6</v>
          </cell>
          <cell r="C19" t="str">
            <v>MBOGNING TUGMA GUY</v>
          </cell>
          <cell r="D19">
            <v>150000</v>
          </cell>
          <cell r="E19">
            <v>298500</v>
          </cell>
          <cell r="F19">
            <v>0</v>
          </cell>
          <cell r="H19">
            <v>30000</v>
          </cell>
          <cell r="I19">
            <v>500</v>
          </cell>
          <cell r="K19">
            <v>0</v>
          </cell>
          <cell r="L19">
            <v>30500</v>
          </cell>
          <cell r="M19">
            <v>30500</v>
          </cell>
          <cell r="P19">
            <v>0</v>
          </cell>
          <cell r="Q19">
            <v>0</v>
          </cell>
          <cell r="R19">
            <v>0</v>
          </cell>
          <cell r="T19">
            <v>5515.625</v>
          </cell>
        </row>
        <row r="20">
          <cell r="A20" t="str">
            <v>AS201639</v>
          </cell>
          <cell r="B20">
            <v>6</v>
          </cell>
          <cell r="C20" t="str">
            <v>NANGUEN MARTIN</v>
          </cell>
          <cell r="D20">
            <v>150000</v>
          </cell>
          <cell r="E20">
            <v>300000</v>
          </cell>
          <cell r="F20">
            <v>0</v>
          </cell>
          <cell r="H20">
            <v>0</v>
          </cell>
          <cell r="I20">
            <v>0</v>
          </cell>
          <cell r="K20">
            <v>0</v>
          </cell>
          <cell r="L20">
            <v>0</v>
          </cell>
          <cell r="M20">
            <v>0</v>
          </cell>
          <cell r="P20">
            <v>0</v>
          </cell>
          <cell r="Q20">
            <v>297000</v>
          </cell>
          <cell r="R20">
            <v>3000</v>
          </cell>
          <cell r="S20">
            <v>45413</v>
          </cell>
          <cell r="T20">
            <v>5515.625</v>
          </cell>
        </row>
        <row r="21">
          <cell r="A21" t="str">
            <v>AS201621</v>
          </cell>
          <cell r="B21">
            <v>6</v>
          </cell>
          <cell r="C21" t="str">
            <v>NANKAM APPOLINAIRE</v>
          </cell>
          <cell r="D21">
            <v>150000</v>
          </cell>
          <cell r="E21">
            <v>303000</v>
          </cell>
          <cell r="F21">
            <v>3000</v>
          </cell>
          <cell r="H21">
            <v>0</v>
          </cell>
          <cell r="I21">
            <v>0</v>
          </cell>
          <cell r="K21">
            <v>0</v>
          </cell>
          <cell r="L21">
            <v>0</v>
          </cell>
          <cell r="M21">
            <v>0</v>
          </cell>
          <cell r="P21">
            <v>0</v>
          </cell>
          <cell r="Q21">
            <v>283000</v>
          </cell>
          <cell r="R21">
            <v>17000</v>
          </cell>
          <cell r="S21">
            <v>45352</v>
          </cell>
          <cell r="T21">
            <v>5515.625</v>
          </cell>
        </row>
        <row r="22">
          <cell r="A22" t="str">
            <v>AS201622</v>
          </cell>
          <cell r="B22">
            <v>6</v>
          </cell>
          <cell r="C22" t="str">
            <v>NDJOMO ETIENNE</v>
          </cell>
          <cell r="D22">
            <v>150000</v>
          </cell>
          <cell r="E22">
            <v>370000</v>
          </cell>
          <cell r="F22">
            <v>0</v>
          </cell>
          <cell r="H22">
            <v>0</v>
          </cell>
          <cell r="I22">
            <v>0</v>
          </cell>
          <cell r="K22">
            <v>0</v>
          </cell>
          <cell r="L22">
            <v>0</v>
          </cell>
          <cell r="M22">
            <v>0</v>
          </cell>
          <cell r="P22">
            <v>0</v>
          </cell>
          <cell r="Q22">
            <v>297000</v>
          </cell>
          <cell r="R22">
            <v>3000</v>
          </cell>
          <cell r="S22">
            <v>45444</v>
          </cell>
          <cell r="T22">
            <v>5515.625</v>
          </cell>
        </row>
        <row r="23">
          <cell r="A23" t="str">
            <v>AS201624</v>
          </cell>
          <cell r="B23">
            <v>6</v>
          </cell>
          <cell r="C23" t="str">
            <v>NGONDIEP CLAUDE</v>
          </cell>
          <cell r="D23">
            <v>150000</v>
          </cell>
          <cell r="E23">
            <v>395000</v>
          </cell>
          <cell r="F23">
            <v>3000</v>
          </cell>
          <cell r="H23">
            <v>0</v>
          </cell>
          <cell r="I23">
            <v>0</v>
          </cell>
          <cell r="K23">
            <v>0</v>
          </cell>
          <cell r="L23">
            <v>0</v>
          </cell>
          <cell r="M23">
            <v>0</v>
          </cell>
          <cell r="P23">
            <v>0</v>
          </cell>
          <cell r="Q23">
            <v>297000</v>
          </cell>
          <cell r="R23">
            <v>3000</v>
          </cell>
          <cell r="S23">
            <v>45444</v>
          </cell>
          <cell r="T23">
            <v>5515.625</v>
          </cell>
        </row>
        <row r="24">
          <cell r="A24" t="str">
            <v>AS201626</v>
          </cell>
          <cell r="B24">
            <v>6</v>
          </cell>
          <cell r="C24" t="str">
            <v>NGUIEMEGNI MATHIEU BLAISE</v>
          </cell>
          <cell r="D24">
            <v>150000</v>
          </cell>
          <cell r="E24">
            <v>306000</v>
          </cell>
          <cell r="F24">
            <v>3000</v>
          </cell>
          <cell r="H24">
            <v>60000</v>
          </cell>
          <cell r="I24">
            <v>1000</v>
          </cell>
          <cell r="K24">
            <v>0</v>
          </cell>
          <cell r="L24">
            <v>61000</v>
          </cell>
          <cell r="M24">
            <v>61000</v>
          </cell>
          <cell r="P24">
            <v>0</v>
          </cell>
          <cell r="Q24">
            <v>289000</v>
          </cell>
          <cell r="R24">
            <v>11000</v>
          </cell>
          <cell r="S24">
            <v>45383</v>
          </cell>
          <cell r="T24">
            <v>5515.625</v>
          </cell>
        </row>
        <row r="25">
          <cell r="A25" t="str">
            <v>AS201628</v>
          </cell>
          <cell r="B25">
            <v>6</v>
          </cell>
          <cell r="C25" t="str">
            <v>NKAMGANG JUSTIN DEJOLIE</v>
          </cell>
          <cell r="D25">
            <v>150000</v>
          </cell>
          <cell r="E25">
            <v>300500</v>
          </cell>
          <cell r="F25">
            <v>0</v>
          </cell>
          <cell r="H25">
            <v>73500</v>
          </cell>
          <cell r="I25">
            <v>1000</v>
          </cell>
          <cell r="K25">
            <v>0</v>
          </cell>
          <cell r="L25">
            <v>74500</v>
          </cell>
          <cell r="M25">
            <v>74500</v>
          </cell>
          <cell r="P25">
            <v>0</v>
          </cell>
          <cell r="Q25">
            <v>287000</v>
          </cell>
          <cell r="R25">
            <v>13000</v>
          </cell>
          <cell r="S25">
            <v>45292</v>
          </cell>
          <cell r="T25">
            <v>5515.625</v>
          </cell>
        </row>
        <row r="26">
          <cell r="A26" t="str">
            <v>AS201656</v>
          </cell>
          <cell r="B26">
            <v>6</v>
          </cell>
          <cell r="C26" t="str">
            <v>NOUBE ETIENNE</v>
          </cell>
          <cell r="D26">
            <v>150000</v>
          </cell>
          <cell r="E26">
            <v>300000</v>
          </cell>
          <cell r="F26">
            <v>0</v>
          </cell>
          <cell r="H26">
            <v>0</v>
          </cell>
          <cell r="I26">
            <v>0</v>
          </cell>
          <cell r="K26">
            <v>0</v>
          </cell>
          <cell r="L26">
            <v>0</v>
          </cell>
          <cell r="M26">
            <v>0</v>
          </cell>
          <cell r="P26">
            <v>0</v>
          </cell>
          <cell r="Q26">
            <v>0</v>
          </cell>
          <cell r="R26">
            <v>0</v>
          </cell>
          <cell r="T26">
            <v>5515.625</v>
          </cell>
        </row>
        <row r="27">
          <cell r="A27" t="str">
            <v>AS201633</v>
          </cell>
          <cell r="B27">
            <v>6</v>
          </cell>
          <cell r="C27" t="str">
            <v>PATEGO NJOSSU GUSTAVE</v>
          </cell>
          <cell r="D27">
            <v>150000</v>
          </cell>
          <cell r="E27">
            <v>300000</v>
          </cell>
          <cell r="F27">
            <v>0</v>
          </cell>
          <cell r="H27">
            <v>0</v>
          </cell>
          <cell r="I27">
            <v>0</v>
          </cell>
          <cell r="K27">
            <v>0</v>
          </cell>
          <cell r="L27">
            <v>0</v>
          </cell>
          <cell r="M27">
            <v>0</v>
          </cell>
          <cell r="P27">
            <v>0</v>
          </cell>
          <cell r="Q27">
            <v>0</v>
          </cell>
          <cell r="R27">
            <v>0</v>
          </cell>
          <cell r="T27">
            <v>5515.625</v>
          </cell>
        </row>
        <row r="28">
          <cell r="A28" t="str">
            <v>AS201657</v>
          </cell>
          <cell r="B28">
            <v>6</v>
          </cell>
          <cell r="C28" t="str">
            <v>SEUMO POLYCARPE</v>
          </cell>
          <cell r="D28">
            <v>150000</v>
          </cell>
          <cell r="E28">
            <v>750000</v>
          </cell>
          <cell r="F28">
            <v>0</v>
          </cell>
          <cell r="H28">
            <v>91000</v>
          </cell>
          <cell r="I28">
            <v>3500</v>
          </cell>
          <cell r="K28">
            <v>0</v>
          </cell>
          <cell r="L28">
            <v>94500</v>
          </cell>
          <cell r="M28">
            <v>94500</v>
          </cell>
          <cell r="P28">
            <v>0</v>
          </cell>
          <cell r="Q28">
            <v>0</v>
          </cell>
          <cell r="R28">
            <v>0</v>
          </cell>
          <cell r="T28">
            <v>5515.625</v>
          </cell>
        </row>
        <row r="29">
          <cell r="A29" t="str">
            <v>AS201653</v>
          </cell>
          <cell r="B29">
            <v>6</v>
          </cell>
          <cell r="C29" t="str">
            <v>SIME BRICE</v>
          </cell>
          <cell r="D29">
            <v>150000</v>
          </cell>
          <cell r="E29">
            <v>300000</v>
          </cell>
          <cell r="F29">
            <v>0</v>
          </cell>
          <cell r="H29">
            <v>0</v>
          </cell>
          <cell r="I29">
            <v>0</v>
          </cell>
          <cell r="K29">
            <v>0</v>
          </cell>
          <cell r="L29">
            <v>0</v>
          </cell>
          <cell r="M29">
            <v>0</v>
          </cell>
          <cell r="P29">
            <v>0</v>
          </cell>
          <cell r="Q29">
            <v>297000</v>
          </cell>
          <cell r="R29">
            <v>3000</v>
          </cell>
          <cell r="S29">
            <v>45444</v>
          </cell>
          <cell r="T29">
            <v>5515.625</v>
          </cell>
        </row>
        <row r="30">
          <cell r="A30" t="str">
            <v>AS201638</v>
          </cell>
          <cell r="B30">
            <v>6</v>
          </cell>
          <cell r="C30" t="str">
            <v>SIMO PIERRE</v>
          </cell>
          <cell r="D30">
            <v>150000</v>
          </cell>
          <cell r="E30">
            <v>300000</v>
          </cell>
          <cell r="F30">
            <v>0</v>
          </cell>
          <cell r="H30">
            <v>0</v>
          </cell>
          <cell r="I30">
            <v>0</v>
          </cell>
          <cell r="K30">
            <v>0</v>
          </cell>
          <cell r="L30">
            <v>0</v>
          </cell>
          <cell r="M30">
            <v>0</v>
          </cell>
          <cell r="P30">
            <v>0</v>
          </cell>
          <cell r="Q30">
            <v>296500</v>
          </cell>
          <cell r="R30">
            <v>3500</v>
          </cell>
          <cell r="S30">
            <v>45413</v>
          </cell>
          <cell r="T30">
            <v>5515.625</v>
          </cell>
        </row>
        <row r="31">
          <cell r="A31" t="str">
            <v>AS201641</v>
          </cell>
          <cell r="B31">
            <v>6</v>
          </cell>
          <cell r="C31" t="str">
            <v>TCHOUAMOU MATHIEU</v>
          </cell>
          <cell r="D31">
            <v>150000</v>
          </cell>
          <cell r="E31">
            <v>300000</v>
          </cell>
          <cell r="F31">
            <v>0</v>
          </cell>
          <cell r="H31">
            <v>0</v>
          </cell>
          <cell r="I31">
            <v>0</v>
          </cell>
          <cell r="K31">
            <v>0</v>
          </cell>
          <cell r="L31">
            <v>0</v>
          </cell>
          <cell r="M31">
            <v>0</v>
          </cell>
          <cell r="P31">
            <v>0</v>
          </cell>
          <cell r="Q31">
            <v>289500</v>
          </cell>
          <cell r="R31">
            <v>10500</v>
          </cell>
          <cell r="S31">
            <v>45383</v>
          </cell>
          <cell r="T31">
            <v>5515.625</v>
          </cell>
        </row>
        <row r="32">
          <cell r="A32" t="str">
            <v>AS201660</v>
          </cell>
          <cell r="B32">
            <v>6</v>
          </cell>
          <cell r="C32" t="str">
            <v>TCHOUATEU AUGUSTIN</v>
          </cell>
          <cell r="D32">
            <v>150000</v>
          </cell>
          <cell r="E32">
            <v>735000</v>
          </cell>
          <cell r="F32">
            <v>0</v>
          </cell>
          <cell r="H32">
            <v>0</v>
          </cell>
          <cell r="I32">
            <v>0</v>
          </cell>
          <cell r="K32">
            <v>0</v>
          </cell>
          <cell r="L32">
            <v>0</v>
          </cell>
          <cell r="M32">
            <v>0</v>
          </cell>
          <cell r="P32">
            <v>0</v>
          </cell>
          <cell r="Q32">
            <v>0</v>
          </cell>
          <cell r="R32">
            <v>0</v>
          </cell>
          <cell r="T32">
            <v>5515.625</v>
          </cell>
        </row>
        <row r="33">
          <cell r="A33" t="str">
            <v>AS201643</v>
          </cell>
          <cell r="B33">
            <v>6</v>
          </cell>
          <cell r="C33" t="str">
            <v>TCHOUTOU NANA CLAUDE</v>
          </cell>
          <cell r="D33">
            <v>150000</v>
          </cell>
          <cell r="E33">
            <v>300000</v>
          </cell>
          <cell r="F33">
            <v>3000</v>
          </cell>
          <cell r="H33">
            <v>0</v>
          </cell>
          <cell r="I33">
            <v>0</v>
          </cell>
          <cell r="K33">
            <v>0</v>
          </cell>
          <cell r="L33">
            <v>0</v>
          </cell>
          <cell r="M33">
            <v>0</v>
          </cell>
          <cell r="P33">
            <v>0</v>
          </cell>
          <cell r="Q33">
            <v>0</v>
          </cell>
          <cell r="R33">
            <v>0</v>
          </cell>
          <cell r="T33">
            <v>5515.625</v>
          </cell>
        </row>
        <row r="34">
          <cell r="A34" t="str">
            <v>AS201658</v>
          </cell>
          <cell r="B34">
            <v>6</v>
          </cell>
          <cell r="C34" t="str">
            <v>YANTCHOU GERVAIS</v>
          </cell>
          <cell r="D34">
            <v>150000</v>
          </cell>
          <cell r="E34">
            <v>360000</v>
          </cell>
          <cell r="F34">
            <v>0</v>
          </cell>
          <cell r="H34">
            <v>0</v>
          </cell>
          <cell r="I34">
            <v>0</v>
          </cell>
          <cell r="K34">
            <v>0</v>
          </cell>
          <cell r="L34">
            <v>0</v>
          </cell>
          <cell r="M34">
            <v>0</v>
          </cell>
          <cell r="P34">
            <v>0</v>
          </cell>
          <cell r="Q34">
            <v>0</v>
          </cell>
          <cell r="R34">
            <v>0</v>
          </cell>
          <cell r="T34">
            <v>5515.625</v>
          </cell>
        </row>
        <row r="35">
          <cell r="A35" t="str">
            <v>AS201646</v>
          </cell>
          <cell r="B35">
            <v>6</v>
          </cell>
          <cell r="C35" t="str">
            <v>YEPMOU JEAN JACQUES</v>
          </cell>
          <cell r="D35">
            <v>150000</v>
          </cell>
          <cell r="E35">
            <v>306000</v>
          </cell>
          <cell r="F35">
            <v>6000</v>
          </cell>
          <cell r="H35">
            <v>0</v>
          </cell>
          <cell r="I35">
            <v>0</v>
          </cell>
          <cell r="K35">
            <v>0</v>
          </cell>
          <cell r="L35">
            <v>0</v>
          </cell>
          <cell r="M35">
            <v>0</v>
          </cell>
          <cell r="P35">
            <v>0</v>
          </cell>
          <cell r="Q35">
            <v>0</v>
          </cell>
          <cell r="R35">
            <v>0</v>
          </cell>
          <cell r="T35">
            <v>5515.625</v>
          </cell>
        </row>
        <row r="36">
          <cell r="A36" t="str">
            <v>AS201659</v>
          </cell>
          <cell r="B36">
            <v>6</v>
          </cell>
          <cell r="C36" t="str">
            <v>YIALA ALAIN OSCAR</v>
          </cell>
          <cell r="D36">
            <v>150000</v>
          </cell>
          <cell r="E36">
            <v>309000</v>
          </cell>
          <cell r="F36">
            <v>9000</v>
          </cell>
          <cell r="H36">
            <v>0</v>
          </cell>
          <cell r="I36">
            <v>0</v>
          </cell>
          <cell r="K36">
            <v>0</v>
          </cell>
          <cell r="L36">
            <v>0</v>
          </cell>
          <cell r="M36">
            <v>0</v>
          </cell>
          <cell r="P36">
            <v>0</v>
          </cell>
          <cell r="Q36">
            <v>0</v>
          </cell>
          <cell r="R36">
            <v>0</v>
          </cell>
          <cell r="T36">
            <v>5515.625</v>
          </cell>
        </row>
        <row r="37">
          <cell r="A37" t="str">
            <v>AS201647</v>
          </cell>
          <cell r="B37">
            <v>6</v>
          </cell>
          <cell r="C37" t="str">
            <v>YOUMBI EMMANUEL</v>
          </cell>
          <cell r="D37">
            <v>150000</v>
          </cell>
          <cell r="E37">
            <v>300000</v>
          </cell>
          <cell r="F37">
            <v>0</v>
          </cell>
          <cell r="H37">
            <v>0</v>
          </cell>
          <cell r="I37">
            <v>0</v>
          </cell>
          <cell r="K37">
            <v>0</v>
          </cell>
          <cell r="L37">
            <v>0</v>
          </cell>
          <cell r="M37">
            <v>0</v>
          </cell>
          <cell r="P37">
            <v>0</v>
          </cell>
          <cell r="Q37">
            <v>0</v>
          </cell>
          <cell r="R37">
            <v>0</v>
          </cell>
          <cell r="T37">
            <v>5515.625</v>
          </cell>
        </row>
        <row r="39">
          <cell r="A39" t="str">
            <v>TOTAL PART</v>
          </cell>
          <cell r="B39">
            <v>192</v>
          </cell>
          <cell r="T39">
            <v>170984.375</v>
          </cell>
          <cell r="U39">
            <v>0</v>
          </cell>
        </row>
        <row r="40">
          <cell r="A40" t="str">
            <v>NBRE ADHERENT</v>
          </cell>
          <cell r="B40">
            <v>32</v>
          </cell>
          <cell r="D40">
            <v>4800000</v>
          </cell>
          <cell r="F40">
            <v>42000</v>
          </cell>
          <cell r="G40">
            <v>0</v>
          </cell>
          <cell r="H40">
            <v>604500</v>
          </cell>
          <cell r="I40">
            <v>13500</v>
          </cell>
          <cell r="J40">
            <v>0</v>
          </cell>
          <cell r="K40">
            <v>0</v>
          </cell>
          <cell r="L40">
            <v>618000</v>
          </cell>
          <cell r="M40">
            <v>618000</v>
          </cell>
          <cell r="N40">
            <v>0</v>
          </cell>
          <cell r="O40">
            <v>0</v>
          </cell>
          <cell r="P40">
            <v>0</v>
          </cell>
          <cell r="Q40">
            <v>4637000</v>
          </cell>
          <cell r="R40">
            <v>163000</v>
          </cell>
        </row>
        <row r="41">
          <cell r="N41" t="str">
            <v>NBRE PART</v>
          </cell>
          <cell r="O41" t="str">
            <v>PART VENDUE</v>
          </cell>
        </row>
        <row r="42">
          <cell r="D42" t="str">
            <v>MONTANT TONTINE</v>
          </cell>
          <cell r="G42" t="str">
            <v>REMBOURSEMENT PETIT LOT</v>
          </cell>
          <cell r="H42" t="str">
            <v>VENTE PETIT LOT</v>
          </cell>
          <cell r="I42" t="str">
            <v>VENTE LOT PRINCIPAL</v>
          </cell>
          <cell r="J42" t="str">
            <v>SOLDE EN CAISSE</v>
          </cell>
          <cell r="L42" t="str">
            <v>TONTINE + REMB + INTERET VENTE</v>
          </cell>
          <cell r="M42">
            <v>163000</v>
          </cell>
          <cell r="Q42" t="str">
            <v>INTERET PETIT LOT</v>
          </cell>
          <cell r="R42">
            <v>13500</v>
          </cell>
        </row>
        <row r="43">
          <cell r="D43">
            <v>0</v>
          </cell>
          <cell r="F43" t="str">
            <v>ESPECES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 t="str">
            <v>LOT PRINCIPAL</v>
          </cell>
          <cell r="M43">
            <v>4800000</v>
          </cell>
          <cell r="N43">
            <v>0</v>
          </cell>
          <cell r="O43">
            <v>16</v>
          </cell>
        </row>
        <row r="44">
          <cell r="D44">
            <v>0</v>
          </cell>
          <cell r="F44" t="str">
            <v>BANQUE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Q44" t="str">
            <v>INTERET A REPARTIR</v>
          </cell>
          <cell r="R44">
            <v>176500</v>
          </cell>
        </row>
        <row r="45">
          <cell r="L45" t="str">
            <v>PETIT LOT</v>
          </cell>
          <cell r="M45">
            <v>-4637000</v>
          </cell>
        </row>
        <row r="46">
          <cell r="D46">
            <v>0</v>
          </cell>
          <cell r="F46" t="str">
            <v>TOTAL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Q46" t="str">
            <v>INTERET/ADHERENT</v>
          </cell>
          <cell r="R46">
            <v>5515.625</v>
          </cell>
        </row>
        <row r="47">
          <cell r="F47" t="str">
            <v>TOTAL+DEPOT</v>
          </cell>
          <cell r="L47" t="str">
            <v>RELIQUAT</v>
          </cell>
          <cell r="M47">
            <v>-5241500</v>
          </cell>
          <cell r="O47">
            <v>-5241500</v>
          </cell>
          <cell r="P47" t="str">
            <v>CUMUL</v>
          </cell>
        </row>
        <row r="49">
          <cell r="L49" t="str">
            <v>ECHEC TONTINE MOIS</v>
          </cell>
          <cell r="M49">
            <v>0</v>
          </cell>
          <cell r="O49">
            <v>0</v>
          </cell>
          <cell r="P49" t="str">
            <v>CUMUL</v>
          </cell>
        </row>
        <row r="50">
          <cell r="L50" t="str">
            <v>ECHEC REMBOURSEMENT MOIS</v>
          </cell>
          <cell r="M50">
            <v>618000</v>
          </cell>
          <cell r="O50">
            <v>618000</v>
          </cell>
          <cell r="P50" t="str">
            <v>CUMUL</v>
          </cell>
        </row>
      </sheetData>
      <sheetData sheetId="14"/>
      <sheetData sheetId="1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RESUME24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AS201648</v>
          </cell>
          <cell r="B6">
            <v>6</v>
          </cell>
          <cell r="C6" t="str">
            <v>ASELBY</v>
          </cell>
          <cell r="D6">
            <v>450000</v>
          </cell>
          <cell r="F6">
            <v>0</v>
          </cell>
          <cell r="G6">
            <v>0</v>
          </cell>
          <cell r="J6">
            <v>0</v>
          </cell>
          <cell r="K6">
            <v>0</v>
          </cell>
          <cell r="O6">
            <v>0</v>
          </cell>
          <cell r="P6">
            <v>0</v>
          </cell>
          <cell r="S6">
            <v>14555.555555555555</v>
          </cell>
        </row>
        <row r="7">
          <cell r="A7" t="str">
            <v>AS201602</v>
          </cell>
          <cell r="B7">
            <v>6</v>
          </cell>
          <cell r="C7" t="str">
            <v>BOUTCHOUANG WILLIAM</v>
          </cell>
          <cell r="D7">
            <v>450000</v>
          </cell>
          <cell r="F7">
            <v>0</v>
          </cell>
          <cell r="G7">
            <v>0</v>
          </cell>
          <cell r="J7">
            <v>0</v>
          </cell>
          <cell r="K7">
            <v>0</v>
          </cell>
          <cell r="O7">
            <v>0</v>
          </cell>
          <cell r="P7">
            <v>0</v>
          </cell>
          <cell r="S7">
            <v>14555.555555555555</v>
          </cell>
        </row>
        <row r="8">
          <cell r="A8" t="str">
            <v>AS201654</v>
          </cell>
          <cell r="B8">
            <v>6</v>
          </cell>
          <cell r="C8" t="str">
            <v>DJOMOU TCHAPDA</v>
          </cell>
          <cell r="D8">
            <v>450000</v>
          </cell>
          <cell r="F8">
            <v>201500</v>
          </cell>
          <cell r="G8">
            <v>4500</v>
          </cell>
          <cell r="J8">
            <v>206000</v>
          </cell>
          <cell r="K8">
            <v>206000</v>
          </cell>
          <cell r="O8">
            <v>872000</v>
          </cell>
          <cell r="P8">
            <v>28000</v>
          </cell>
          <cell r="Q8">
            <v>45352</v>
          </cell>
          <cell r="S8">
            <v>14555.555555555555</v>
          </cell>
        </row>
        <row r="9">
          <cell r="A9" t="str">
            <v>AS201605</v>
          </cell>
          <cell r="B9">
            <v>6</v>
          </cell>
          <cell r="C9" t="str">
            <v>DJOUKWE NANGUEN GUY BLAISE</v>
          </cell>
          <cell r="D9">
            <v>450000</v>
          </cell>
          <cell r="F9">
            <v>606500</v>
          </cell>
          <cell r="G9">
            <v>11000</v>
          </cell>
          <cell r="J9">
            <v>617500</v>
          </cell>
          <cell r="K9">
            <v>617500</v>
          </cell>
          <cell r="O9">
            <v>884000</v>
          </cell>
          <cell r="P9">
            <v>16000</v>
          </cell>
          <cell r="Q9">
            <v>45323</v>
          </cell>
          <cell r="S9">
            <v>14555.555555555555</v>
          </cell>
        </row>
        <row r="10">
          <cell r="A10" t="str">
            <v>AS201608</v>
          </cell>
          <cell r="B10">
            <v>6</v>
          </cell>
          <cell r="C10" t="str">
            <v>DJUOMBESSY ANTOINE</v>
          </cell>
          <cell r="D10">
            <v>450000</v>
          </cell>
          <cell r="F10">
            <v>100000</v>
          </cell>
          <cell r="G10">
            <v>1000</v>
          </cell>
          <cell r="J10">
            <v>101000</v>
          </cell>
          <cell r="K10">
            <v>101000</v>
          </cell>
          <cell r="O10">
            <v>840000</v>
          </cell>
          <cell r="P10">
            <v>60000</v>
          </cell>
          <cell r="Q10">
            <v>45292</v>
          </cell>
          <cell r="S10">
            <v>14555.555555555555</v>
          </cell>
        </row>
        <row r="11">
          <cell r="A11" t="str">
            <v>AS201613</v>
          </cell>
          <cell r="B11">
            <v>6</v>
          </cell>
          <cell r="C11" t="str">
            <v>HOTCHO BENJAMIN</v>
          </cell>
          <cell r="D11">
            <v>450000</v>
          </cell>
          <cell r="F11">
            <v>0</v>
          </cell>
          <cell r="G11">
            <v>0</v>
          </cell>
          <cell r="J11">
            <v>0</v>
          </cell>
          <cell r="K11">
            <v>0</v>
          </cell>
          <cell r="O11">
            <v>892500</v>
          </cell>
          <cell r="P11">
            <v>7500</v>
          </cell>
          <cell r="Q11">
            <v>45444</v>
          </cell>
          <cell r="S11">
            <v>14555.555555555555</v>
          </cell>
        </row>
        <row r="12">
          <cell r="A12" t="str">
            <v>AS201611</v>
          </cell>
          <cell r="B12">
            <v>6</v>
          </cell>
          <cell r="C12" t="str">
            <v>HENGUE PAUL OMER</v>
          </cell>
          <cell r="D12">
            <v>450000</v>
          </cell>
          <cell r="F12">
            <v>0</v>
          </cell>
          <cell r="G12">
            <v>0</v>
          </cell>
          <cell r="J12">
            <v>0</v>
          </cell>
          <cell r="K12">
            <v>0</v>
          </cell>
          <cell r="O12">
            <v>892500</v>
          </cell>
          <cell r="P12">
            <v>7500</v>
          </cell>
          <cell r="Q12">
            <v>45444</v>
          </cell>
          <cell r="S12">
            <v>14555.555555555555</v>
          </cell>
        </row>
        <row r="13">
          <cell r="A13" t="str">
            <v>AS201649</v>
          </cell>
          <cell r="B13">
            <v>6</v>
          </cell>
          <cell r="C13" t="str">
            <v>MBOGNING TUGMA GUY</v>
          </cell>
          <cell r="D13">
            <v>450000</v>
          </cell>
          <cell r="F13">
            <v>489000</v>
          </cell>
          <cell r="G13">
            <v>7500</v>
          </cell>
          <cell r="J13">
            <v>496500</v>
          </cell>
          <cell r="K13">
            <v>496500</v>
          </cell>
          <cell r="O13">
            <v>884000</v>
          </cell>
          <cell r="P13">
            <v>16000</v>
          </cell>
          <cell r="Q13">
            <v>45323</v>
          </cell>
          <cell r="S13">
            <v>29111.111111111109</v>
          </cell>
        </row>
        <row r="14">
          <cell r="A14" t="str">
            <v>AS201621</v>
          </cell>
          <cell r="B14">
            <v>6</v>
          </cell>
          <cell r="C14" t="str">
            <v>NANKAM APPOLINAIRE</v>
          </cell>
          <cell r="D14">
            <v>450000</v>
          </cell>
          <cell r="F14">
            <v>0</v>
          </cell>
          <cell r="G14">
            <v>0</v>
          </cell>
          <cell r="J14">
            <v>0</v>
          </cell>
          <cell r="K14">
            <v>0</v>
          </cell>
          <cell r="O14">
            <v>0</v>
          </cell>
          <cell r="P14">
            <v>0</v>
          </cell>
          <cell r="S14">
            <v>14555.555555555555</v>
          </cell>
        </row>
        <row r="15">
          <cell r="A15" t="str">
            <v>AS201624</v>
          </cell>
          <cell r="B15">
            <v>6</v>
          </cell>
          <cell r="C15" t="str">
            <v>NGONDIEP CLAUDE</v>
          </cell>
          <cell r="D15">
            <v>450000</v>
          </cell>
          <cell r="F15">
            <v>0</v>
          </cell>
          <cell r="G15">
            <v>0</v>
          </cell>
          <cell r="J15">
            <v>0</v>
          </cell>
          <cell r="K15">
            <v>0</v>
          </cell>
          <cell r="O15">
            <v>0</v>
          </cell>
          <cell r="P15">
            <v>0</v>
          </cell>
          <cell r="S15">
            <v>14555.555555555555</v>
          </cell>
        </row>
        <row r="16">
          <cell r="A16" t="str">
            <v>AS201626</v>
          </cell>
          <cell r="B16">
            <v>18</v>
          </cell>
          <cell r="C16" t="str">
            <v>NGUIEMEGNI MATHIEU BLAISE</v>
          </cell>
          <cell r="D16">
            <v>1350000</v>
          </cell>
          <cell r="F16">
            <v>34000</v>
          </cell>
          <cell r="G16">
            <v>500</v>
          </cell>
          <cell r="J16">
            <v>34500</v>
          </cell>
          <cell r="K16">
            <v>34500</v>
          </cell>
          <cell r="O16">
            <v>1710000</v>
          </cell>
          <cell r="P16">
            <v>90000</v>
          </cell>
          <cell r="Q16">
            <v>45292</v>
          </cell>
          <cell r="R16">
            <v>45413</v>
          </cell>
          <cell r="S16">
            <v>43666.666666666664</v>
          </cell>
        </row>
        <row r="17">
          <cell r="A17" t="str">
            <v>AS201633</v>
          </cell>
          <cell r="B17">
            <v>6</v>
          </cell>
          <cell r="C17" t="str">
            <v>PATEGO NJOSSU GUSTAVE</v>
          </cell>
          <cell r="D17">
            <v>450000</v>
          </cell>
          <cell r="F17">
            <v>0</v>
          </cell>
          <cell r="G17">
            <v>0</v>
          </cell>
          <cell r="J17">
            <v>0</v>
          </cell>
          <cell r="K17">
            <v>0</v>
          </cell>
          <cell r="O17">
            <v>0</v>
          </cell>
          <cell r="P17">
            <v>0</v>
          </cell>
          <cell r="S17">
            <v>14555.555555555555</v>
          </cell>
        </row>
        <row r="18">
          <cell r="A18" t="str">
            <v>AS201641</v>
          </cell>
          <cell r="B18">
            <v>6</v>
          </cell>
          <cell r="C18" t="str">
            <v>TCHOUAMOU MATHIEU</v>
          </cell>
          <cell r="D18">
            <v>450000</v>
          </cell>
          <cell r="F18">
            <v>400000</v>
          </cell>
          <cell r="G18">
            <v>5000</v>
          </cell>
          <cell r="J18">
            <v>405000</v>
          </cell>
          <cell r="K18">
            <v>405000</v>
          </cell>
          <cell r="O18">
            <v>892500</v>
          </cell>
          <cell r="P18">
            <v>7500</v>
          </cell>
          <cell r="Q18">
            <v>45383</v>
          </cell>
          <cell r="S18">
            <v>14555.555555555555</v>
          </cell>
        </row>
        <row r="19">
          <cell r="A19" t="str">
            <v>AS201647</v>
          </cell>
          <cell r="B19">
            <v>6</v>
          </cell>
          <cell r="C19" t="str">
            <v>YOUMBI EMMANUEL</v>
          </cell>
          <cell r="D19">
            <v>450000</v>
          </cell>
          <cell r="F19">
            <v>0</v>
          </cell>
          <cell r="G19">
            <v>0</v>
          </cell>
          <cell r="J19">
            <v>0</v>
          </cell>
          <cell r="K19">
            <v>0</v>
          </cell>
          <cell r="O19">
            <v>0</v>
          </cell>
          <cell r="P19">
            <v>0</v>
          </cell>
          <cell r="S19">
            <v>14555.555555555555</v>
          </cell>
        </row>
        <row r="21">
          <cell r="A21" t="str">
            <v>TOTAL PART</v>
          </cell>
          <cell r="B21">
            <v>96</v>
          </cell>
        </row>
        <row r="22">
          <cell r="A22" t="str">
            <v>NBRE ADHERENT</v>
          </cell>
          <cell r="B22">
            <v>14</v>
          </cell>
          <cell r="D22">
            <v>7200000</v>
          </cell>
          <cell r="E22">
            <v>0</v>
          </cell>
          <cell r="F22">
            <v>1831000</v>
          </cell>
          <cell r="G22">
            <v>29500</v>
          </cell>
          <cell r="H22">
            <v>0</v>
          </cell>
          <cell r="I22">
            <v>0</v>
          </cell>
          <cell r="J22">
            <v>1860500</v>
          </cell>
          <cell r="K22">
            <v>1860500</v>
          </cell>
          <cell r="L22">
            <v>0</v>
          </cell>
          <cell r="M22">
            <v>0</v>
          </cell>
          <cell r="N22">
            <v>0</v>
          </cell>
          <cell r="O22">
            <v>7867500</v>
          </cell>
          <cell r="P22">
            <v>232500</v>
          </cell>
          <cell r="S22">
            <v>218333.33333333334</v>
          </cell>
          <cell r="T22">
            <v>0</v>
          </cell>
        </row>
        <row r="23">
          <cell r="L23" t="str">
            <v>NBRE PART</v>
          </cell>
          <cell r="M23" t="str">
            <v>PART VENDUE</v>
          </cell>
        </row>
        <row r="24">
          <cell r="D24" t="str">
            <v>MONTANT TONTINE</v>
          </cell>
          <cell r="E24" t="str">
            <v>REMBOURSEMENT PETIT LOT</v>
          </cell>
          <cell r="F24" t="str">
            <v>VENTE PETIT LOT</v>
          </cell>
          <cell r="G24" t="str">
            <v>VENTE LOT PRINCIPAL</v>
          </cell>
          <cell r="H24" t="str">
            <v>SOLDE EN CAISSE</v>
          </cell>
          <cell r="J24" t="str">
            <v>TONTINE + REMB + INTERET VENTE+RELIQUAT</v>
          </cell>
          <cell r="K24">
            <v>7432500</v>
          </cell>
          <cell r="P24" t="str">
            <v>INTERET PETIT LOT</v>
          </cell>
          <cell r="Q24">
            <v>29500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J25" t="str">
            <v>LOT PRINCIPAL</v>
          </cell>
          <cell r="K25">
            <v>7200000</v>
          </cell>
          <cell r="L25">
            <v>8</v>
          </cell>
          <cell r="M25">
            <v>8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P26" t="str">
            <v>INTERET A REPARTIR</v>
          </cell>
          <cell r="Q26">
            <v>262000</v>
          </cell>
        </row>
        <row r="27">
          <cell r="J27" t="str">
            <v>PETIT LOT</v>
          </cell>
          <cell r="K27">
            <v>232500</v>
          </cell>
        </row>
        <row r="28"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P28" t="str">
            <v>INTERET/ADHERENT</v>
          </cell>
          <cell r="Q28">
            <v>14555.555555555555</v>
          </cell>
        </row>
        <row r="29">
          <cell r="J29" t="str">
            <v>RELIQUAT</v>
          </cell>
          <cell r="K29">
            <v>-1598500</v>
          </cell>
          <cell r="M29">
            <v>-1598500</v>
          </cell>
          <cell r="N29" t="str">
            <v>CUMUL</v>
          </cell>
        </row>
        <row r="31">
          <cell r="J31" t="str">
            <v>ECHEC TONTINE MOIS</v>
          </cell>
          <cell r="K31">
            <v>0</v>
          </cell>
          <cell r="M31">
            <v>0</v>
          </cell>
          <cell r="N31" t="str">
            <v>CUMUL</v>
          </cell>
        </row>
        <row r="32">
          <cell r="J32" t="str">
            <v>ECHEC REMBOURSEMENT MOIS</v>
          </cell>
          <cell r="K32">
            <v>1860500</v>
          </cell>
          <cell r="M32">
            <v>1860500</v>
          </cell>
          <cell r="N32" t="str">
            <v>CUMUL</v>
          </cell>
        </row>
      </sheetData>
      <sheetData sheetId="1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RESUME24EDIT"/>
      <sheetName val="SYNTHE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AS201648</v>
          </cell>
          <cell r="B6">
            <v>6</v>
          </cell>
          <cell r="C6" t="str">
            <v>ASELBY</v>
          </cell>
          <cell r="D6">
            <v>600000</v>
          </cell>
          <cell r="F6">
            <v>0</v>
          </cell>
          <cell r="G6">
            <v>0</v>
          </cell>
          <cell r="I6">
            <v>0</v>
          </cell>
          <cell r="J6">
            <v>0</v>
          </cell>
          <cell r="K6">
            <v>0</v>
          </cell>
          <cell r="N6">
            <v>0</v>
          </cell>
          <cell r="O6">
            <v>0</v>
          </cell>
          <cell r="P6">
            <v>0</v>
          </cell>
          <cell r="S6">
            <v>35111.111111111109</v>
          </cell>
        </row>
        <row r="7">
          <cell r="A7" t="str">
            <v>AS201604</v>
          </cell>
          <cell r="B7">
            <v>12</v>
          </cell>
          <cell r="C7" t="str">
            <v xml:space="preserve">DJOMO JEAN PAUL </v>
          </cell>
          <cell r="D7">
            <v>1200000</v>
          </cell>
          <cell r="F7">
            <v>205500</v>
          </cell>
          <cell r="G7">
            <v>2000</v>
          </cell>
          <cell r="I7">
            <v>0</v>
          </cell>
          <cell r="J7">
            <v>207500</v>
          </cell>
          <cell r="K7">
            <v>207500</v>
          </cell>
          <cell r="N7">
            <v>0</v>
          </cell>
          <cell r="O7">
            <v>1085000</v>
          </cell>
          <cell r="P7">
            <v>115000</v>
          </cell>
          <cell r="Q7">
            <v>45292</v>
          </cell>
          <cell r="S7">
            <v>70222.222222222219</v>
          </cell>
        </row>
        <row r="8">
          <cell r="A8" t="str">
            <v>AS201608</v>
          </cell>
          <cell r="B8">
            <v>12</v>
          </cell>
          <cell r="C8" t="str">
            <v>DJUOMBESSY ANTOINE</v>
          </cell>
          <cell r="D8">
            <v>1200000</v>
          </cell>
          <cell r="F8">
            <v>131000</v>
          </cell>
          <cell r="G8">
            <v>1000</v>
          </cell>
          <cell r="I8">
            <v>0</v>
          </cell>
          <cell r="J8">
            <v>132000</v>
          </cell>
          <cell r="K8">
            <v>132000</v>
          </cell>
          <cell r="N8">
            <v>0</v>
          </cell>
          <cell r="O8">
            <v>1190000</v>
          </cell>
          <cell r="P8">
            <v>10000</v>
          </cell>
          <cell r="Q8">
            <v>45413</v>
          </cell>
          <cell r="S8">
            <v>70222.222222222219</v>
          </cell>
        </row>
        <row r="9">
          <cell r="A9" t="str">
            <v>AS201613</v>
          </cell>
          <cell r="B9">
            <v>6</v>
          </cell>
          <cell r="C9" t="str">
            <v>HOTCHO BENJAMIN</v>
          </cell>
          <cell r="D9">
            <v>600000</v>
          </cell>
          <cell r="F9">
            <v>0</v>
          </cell>
          <cell r="G9">
            <v>0</v>
          </cell>
          <cell r="I9">
            <v>0</v>
          </cell>
          <cell r="J9">
            <v>0</v>
          </cell>
          <cell r="K9">
            <v>0</v>
          </cell>
          <cell r="N9">
            <v>0</v>
          </cell>
          <cell r="O9">
            <v>1185000</v>
          </cell>
          <cell r="P9">
            <v>15000</v>
          </cell>
          <cell r="Q9">
            <v>45383</v>
          </cell>
          <cell r="S9">
            <v>35111.111111111109</v>
          </cell>
        </row>
        <row r="10">
          <cell r="A10" t="str">
            <v>AS201617</v>
          </cell>
          <cell r="B10">
            <v>6</v>
          </cell>
          <cell r="C10" t="str">
            <v>KOUAMOU MOISE</v>
          </cell>
          <cell r="D10">
            <v>600000</v>
          </cell>
          <cell r="F10">
            <v>200000</v>
          </cell>
          <cell r="G10">
            <v>2000</v>
          </cell>
          <cell r="I10">
            <v>0</v>
          </cell>
          <cell r="J10">
            <v>202000</v>
          </cell>
          <cell r="K10">
            <v>202000</v>
          </cell>
          <cell r="N10">
            <v>0</v>
          </cell>
          <cell r="O10">
            <v>1130000</v>
          </cell>
          <cell r="P10">
            <v>70000</v>
          </cell>
          <cell r="Q10">
            <v>45352</v>
          </cell>
          <cell r="S10">
            <v>35111.111111111109</v>
          </cell>
        </row>
        <row r="11">
          <cell r="A11" t="str">
            <v>AS201619</v>
          </cell>
          <cell r="B11">
            <v>6</v>
          </cell>
          <cell r="C11" t="str">
            <v>KOUATCHO MESSACK</v>
          </cell>
          <cell r="D11">
            <v>600000</v>
          </cell>
          <cell r="F11">
            <v>400000</v>
          </cell>
          <cell r="G11">
            <v>7000</v>
          </cell>
          <cell r="I11">
            <v>0</v>
          </cell>
          <cell r="J11">
            <v>407000</v>
          </cell>
          <cell r="K11">
            <v>407000</v>
          </cell>
          <cell r="N11">
            <v>0</v>
          </cell>
          <cell r="O11">
            <v>1160000</v>
          </cell>
          <cell r="P11">
            <v>40000</v>
          </cell>
          <cell r="Q11">
            <v>45323</v>
          </cell>
          <cell r="S11">
            <v>35111.111111111109</v>
          </cell>
        </row>
        <row r="12">
          <cell r="A12" t="str">
            <v>AS201649</v>
          </cell>
          <cell r="B12">
            <v>6</v>
          </cell>
          <cell r="C12" t="str">
            <v>MBOGNING TUGMA GUY</v>
          </cell>
          <cell r="D12">
            <v>600000</v>
          </cell>
          <cell r="F12">
            <v>570500</v>
          </cell>
          <cell r="G12">
            <v>6000</v>
          </cell>
          <cell r="I12">
            <v>0</v>
          </cell>
          <cell r="J12">
            <v>576500</v>
          </cell>
          <cell r="K12">
            <v>576500</v>
          </cell>
          <cell r="N12">
            <v>0</v>
          </cell>
          <cell r="O12">
            <v>1085000</v>
          </cell>
          <cell r="P12">
            <v>115000</v>
          </cell>
          <cell r="Q12">
            <v>45292</v>
          </cell>
          <cell r="S12">
            <v>35111.111111111109</v>
          </cell>
        </row>
        <row r="13">
          <cell r="A13" t="str">
            <v>AS201622</v>
          </cell>
          <cell r="B13">
            <v>12</v>
          </cell>
          <cell r="C13" t="str">
            <v>NDJOMO ETIENNE</v>
          </cell>
          <cell r="D13">
            <v>1200000</v>
          </cell>
          <cell r="F13">
            <v>400000</v>
          </cell>
          <cell r="G13">
            <v>4000</v>
          </cell>
          <cell r="I13">
            <v>0</v>
          </cell>
          <cell r="J13">
            <v>404000</v>
          </cell>
          <cell r="K13">
            <v>404000</v>
          </cell>
          <cell r="N13">
            <v>0</v>
          </cell>
          <cell r="O13">
            <v>0</v>
          </cell>
          <cell r="P13">
            <v>0</v>
          </cell>
          <cell r="S13">
            <v>70222.222222222219</v>
          </cell>
        </row>
        <row r="14">
          <cell r="A14" t="str">
            <v>AS201624</v>
          </cell>
          <cell r="B14">
            <v>6</v>
          </cell>
          <cell r="C14" t="str">
            <v>NGONDIEP CLAUDE</v>
          </cell>
          <cell r="D14">
            <v>600000</v>
          </cell>
          <cell r="F14">
            <v>404500</v>
          </cell>
          <cell r="G14">
            <v>5000</v>
          </cell>
          <cell r="I14">
            <v>0</v>
          </cell>
          <cell r="J14">
            <v>409500</v>
          </cell>
          <cell r="K14">
            <v>306500</v>
          </cell>
          <cell r="N14">
            <v>0</v>
          </cell>
          <cell r="O14">
            <v>1185000</v>
          </cell>
          <cell r="P14">
            <v>15000</v>
          </cell>
          <cell r="Q14">
            <v>45444</v>
          </cell>
          <cell r="S14">
            <v>35111.111111111109</v>
          </cell>
        </row>
        <row r="15">
          <cell r="A15" t="str">
            <v>AS201626</v>
          </cell>
          <cell r="B15">
            <v>6</v>
          </cell>
          <cell r="C15" t="str">
            <v>NGUIEMEGNI MATHIEU BLAISE</v>
          </cell>
          <cell r="D15">
            <v>600000</v>
          </cell>
          <cell r="F15">
            <v>500000</v>
          </cell>
          <cell r="G15">
            <v>9000</v>
          </cell>
          <cell r="I15">
            <v>0</v>
          </cell>
          <cell r="J15">
            <v>509000</v>
          </cell>
          <cell r="K15">
            <v>509000</v>
          </cell>
          <cell r="N15">
            <v>0</v>
          </cell>
          <cell r="O15">
            <v>1075000</v>
          </cell>
          <cell r="P15">
            <v>125000</v>
          </cell>
          <cell r="Q15">
            <v>45292</v>
          </cell>
          <cell r="S15">
            <v>35111.111111111109</v>
          </cell>
        </row>
        <row r="16">
          <cell r="A16" t="str">
            <v>AS201653</v>
          </cell>
          <cell r="B16">
            <v>12</v>
          </cell>
          <cell r="C16" t="str">
            <v>SIME BRICE</v>
          </cell>
          <cell r="D16">
            <v>1200000</v>
          </cell>
          <cell r="F16">
            <v>125000</v>
          </cell>
          <cell r="G16">
            <v>1000</v>
          </cell>
          <cell r="I16">
            <v>0</v>
          </cell>
          <cell r="J16">
            <v>126000</v>
          </cell>
          <cell r="K16">
            <v>126000</v>
          </cell>
          <cell r="N16">
            <v>0</v>
          </cell>
          <cell r="O16">
            <v>2350000</v>
          </cell>
          <cell r="P16">
            <v>50000</v>
          </cell>
          <cell r="Q16">
            <v>45323</v>
          </cell>
          <cell r="R16">
            <v>45444</v>
          </cell>
          <cell r="S16">
            <v>70222.222222222219</v>
          </cell>
        </row>
        <row r="17">
          <cell r="A17" t="str">
            <v>AS201660</v>
          </cell>
          <cell r="B17">
            <v>6</v>
          </cell>
          <cell r="C17" t="str">
            <v>TCHOUATEU AUGUSTIN</v>
          </cell>
          <cell r="D17">
            <v>600000</v>
          </cell>
          <cell r="F17">
            <v>0</v>
          </cell>
          <cell r="G17">
            <v>0</v>
          </cell>
          <cell r="I17">
            <v>0</v>
          </cell>
          <cell r="J17">
            <v>0</v>
          </cell>
          <cell r="K17">
            <v>0</v>
          </cell>
          <cell r="N17">
            <v>0</v>
          </cell>
          <cell r="O17">
            <v>0</v>
          </cell>
          <cell r="P17">
            <v>0</v>
          </cell>
          <cell r="S17">
            <v>35111.111111111109</v>
          </cell>
        </row>
        <row r="18">
          <cell r="A18" t="str">
            <v>AS201638</v>
          </cell>
          <cell r="B18">
            <v>6</v>
          </cell>
          <cell r="C18" t="str">
            <v>SIMO PIERRE</v>
          </cell>
          <cell r="D18">
            <v>600000</v>
          </cell>
          <cell r="F18">
            <v>0</v>
          </cell>
          <cell r="G18">
            <v>0</v>
          </cell>
          <cell r="I18">
            <v>0</v>
          </cell>
          <cell r="J18">
            <v>0</v>
          </cell>
          <cell r="K18">
            <v>0</v>
          </cell>
          <cell r="N18">
            <v>0</v>
          </cell>
          <cell r="O18">
            <v>1160000</v>
          </cell>
          <cell r="P18">
            <v>40000</v>
          </cell>
          <cell r="Q18">
            <v>45383</v>
          </cell>
          <cell r="S18">
            <v>35111.111111111109</v>
          </cell>
        </row>
        <row r="19">
          <cell r="A19" t="str">
            <v>AS201659</v>
          </cell>
          <cell r="B19">
            <v>6</v>
          </cell>
          <cell r="C19" t="str">
            <v>YIALA ALAIN OSCAR</v>
          </cell>
          <cell r="D19">
            <v>600000</v>
          </cell>
          <cell r="F19">
            <v>0</v>
          </cell>
          <cell r="G19">
            <v>0</v>
          </cell>
          <cell r="I19">
            <v>0</v>
          </cell>
          <cell r="J19">
            <v>0</v>
          </cell>
          <cell r="K19">
            <v>0</v>
          </cell>
          <cell r="N19">
            <v>0</v>
          </cell>
          <cell r="O19">
            <v>0</v>
          </cell>
          <cell r="P19">
            <v>0</v>
          </cell>
          <cell r="S19">
            <v>35111.111111111109</v>
          </cell>
        </row>
        <row r="21">
          <cell r="A21" t="str">
            <v>TOTAL PART</v>
          </cell>
          <cell r="B21">
            <v>108</v>
          </cell>
        </row>
        <row r="22">
          <cell r="A22" t="str">
            <v>NBRE ADHERENT</v>
          </cell>
          <cell r="B22">
            <v>14</v>
          </cell>
          <cell r="D22">
            <v>10800000</v>
          </cell>
          <cell r="E22">
            <v>0</v>
          </cell>
          <cell r="F22">
            <v>2936500</v>
          </cell>
          <cell r="G22">
            <v>37000</v>
          </cell>
          <cell r="H22">
            <v>0</v>
          </cell>
          <cell r="I22">
            <v>0</v>
          </cell>
          <cell r="J22">
            <v>2973500</v>
          </cell>
          <cell r="K22">
            <v>2870500</v>
          </cell>
          <cell r="L22">
            <v>0</v>
          </cell>
          <cell r="M22">
            <v>0</v>
          </cell>
          <cell r="N22">
            <v>0</v>
          </cell>
          <cell r="O22">
            <v>12605000</v>
          </cell>
          <cell r="P22">
            <v>595000</v>
          </cell>
          <cell r="S22">
            <v>596888.88888888899</v>
          </cell>
          <cell r="T22">
            <v>0</v>
          </cell>
        </row>
        <row r="23">
          <cell r="M23" t="str">
            <v>NBRE PART</v>
          </cell>
          <cell r="N23" t="str">
            <v>PART VENDUE</v>
          </cell>
        </row>
        <row r="24">
          <cell r="D24" t="str">
            <v>MONTANT TONTINE</v>
          </cell>
          <cell r="E24" t="str">
            <v>REMBOURSEMENT PETIT LOT</v>
          </cell>
          <cell r="F24" t="str">
            <v>VENTE PETIT LOT</v>
          </cell>
          <cell r="G24" t="str">
            <v>VENTE LOT PRINCIPAL</v>
          </cell>
          <cell r="H24" t="str">
            <v>SOLDE EN CAISSE</v>
          </cell>
          <cell r="K24" t="str">
            <v>TONTINE + REMB + INTERET VENTE</v>
          </cell>
          <cell r="L24">
            <v>595000</v>
          </cell>
          <cell r="P24" t="str">
            <v>INTERET PETIT LOT</v>
          </cell>
          <cell r="Q24">
            <v>37000</v>
          </cell>
          <cell r="S24">
            <v>46499.999999999854</v>
          </cell>
        </row>
        <row r="25">
          <cell r="C25" t="str">
            <v>ESPECES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K25" t="str">
            <v>LOT PRINCIPAL</v>
          </cell>
          <cell r="L25">
            <v>12000000</v>
          </cell>
          <cell r="M25">
            <v>0</v>
          </cell>
          <cell r="N25">
            <v>9</v>
          </cell>
          <cell r="T25">
            <v>6642.8571428571222</v>
          </cell>
        </row>
        <row r="26">
          <cell r="C26" t="str">
            <v>BANQUE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P26" t="str">
            <v>INTERET A REPARTIR</v>
          </cell>
          <cell r="Q26">
            <v>632000</v>
          </cell>
        </row>
        <row r="27">
          <cell r="K27" t="str">
            <v>PETIT LOT</v>
          </cell>
          <cell r="L27">
            <v>-11405000</v>
          </cell>
        </row>
        <row r="28">
          <cell r="C28" t="str">
            <v>TOTAL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P28" t="str">
            <v>INTERET/ADHERENT</v>
          </cell>
          <cell r="Q28">
            <v>35111.111111111109</v>
          </cell>
        </row>
        <row r="29">
          <cell r="K29" t="str">
            <v>RELIQUAT</v>
          </cell>
          <cell r="L29">
            <v>-14341500</v>
          </cell>
          <cell r="N29">
            <v>-14341500</v>
          </cell>
          <cell r="O29" t="str">
            <v>CUMUL</v>
          </cell>
        </row>
        <row r="31">
          <cell r="K31" t="str">
            <v>ECHEC TONTINE MOIS</v>
          </cell>
          <cell r="L31">
            <v>0</v>
          </cell>
          <cell r="N31">
            <v>0</v>
          </cell>
          <cell r="O31" t="str">
            <v>CUMUL</v>
          </cell>
        </row>
        <row r="32">
          <cell r="K32" t="str">
            <v>ECHEC REMBOURSEMENT MOIS</v>
          </cell>
          <cell r="L32">
            <v>2973500</v>
          </cell>
          <cell r="N32">
            <v>2973500</v>
          </cell>
          <cell r="O32" t="str">
            <v>CUMUL</v>
          </cell>
        </row>
      </sheetData>
      <sheetData sheetId="14"/>
      <sheetData sheetId="1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F"/>
      <sheetName val="MODEVERSEMENT"/>
      <sheetName val="MODET25000"/>
      <sheetName val="MVTDEC21"/>
      <sheetName val="MVTDEC22"/>
      <sheetName val="MVTDEC23"/>
      <sheetName val="MVTJANV24"/>
      <sheetName val="MVTFEV24"/>
      <sheetName val="MVTMARS24"/>
      <sheetName val="MVTAVRIL24"/>
      <sheetName val="MVTMAI24"/>
      <sheetName val="MVTJUIN24"/>
      <sheetName val="MVTJUIL24"/>
      <sheetName val="MVTAOUT24"/>
      <sheetName val="MVTSEPT24"/>
      <sheetName val="MVTOCT24"/>
      <sheetName val="MVTNOV24"/>
      <sheetName val="MVTDEC24"/>
      <sheetName val="MVTRESUME24"/>
      <sheetName val="MVTRESUME24EDIT"/>
      <sheetName val="MVTREPARTITION2022"/>
      <sheetName val="BILAN 2022"/>
      <sheetName val="MVTREPARTITIONEDIT (2)"/>
      <sheetName val="MVTREPARTITION2021 (2)"/>
      <sheetName val="MVTREPARTITION2021DEF"/>
      <sheetName val="PARTAGE INTERET T100"/>
      <sheetName val="CPTECHINGUE"/>
      <sheetName val="CPTEKEHEPDAVID)"/>
      <sheetName val="CPTEKOUAMOEMMANUEL"/>
      <sheetName val="CPTETCHOUANTE"/>
      <sheetName val="CPTENJEPDJIO"/>
      <sheetName val="CPTETCHOUTOU"/>
      <sheetName val="MVTRESUME2019"/>
      <sheetName val="CPTETYAMERNEST"/>
      <sheetName val="CPTEFOGANGERIC"/>
      <sheetName val="CPTEFOTSOTHOMAS"/>
      <sheetName val="VP KOUAMOPEGUY"/>
      <sheetName val="SITUATION KEPSEU"/>
      <sheetName val="BAKOPACHILLE"/>
      <sheetName val="Feuil1"/>
      <sheetName val="MVTRESUMEEDIT2019"/>
      <sheetName val="MVTRESUMETAB"/>
      <sheetName val="MVTRESUME20BACKUP"/>
      <sheetName val="GESTTRESORERIE"/>
      <sheetName val="MVTJANV212"/>
      <sheetName val="MVTREPARTITION202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7" t="str">
            <v>AS201648</v>
          </cell>
          <cell r="B7" t="str">
            <v>ASELBY</v>
          </cell>
          <cell r="C7">
            <v>0</v>
          </cell>
          <cell r="D7">
            <v>886523.25892224163</v>
          </cell>
          <cell r="E7">
            <v>0</v>
          </cell>
          <cell r="F7">
            <v>951365.38403375773</v>
          </cell>
          <cell r="G7">
            <v>951365.38403375773</v>
          </cell>
          <cell r="H7">
            <v>64842.125111516056</v>
          </cell>
          <cell r="I7">
            <v>1016207.5091452738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V7">
            <v>0</v>
          </cell>
          <cell r="W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154000</v>
          </cell>
          <cell r="AG7">
            <v>300000</v>
          </cell>
          <cell r="AH7">
            <v>100000</v>
          </cell>
          <cell r="AI7">
            <v>200000</v>
          </cell>
          <cell r="AJ7">
            <v>0</v>
          </cell>
          <cell r="AK7">
            <v>0</v>
          </cell>
          <cell r="AM7">
            <v>0</v>
          </cell>
          <cell r="AN7">
            <v>0</v>
          </cell>
        </row>
        <row r="8">
          <cell r="A8" t="str">
            <v>AS201601</v>
          </cell>
          <cell r="B8" t="str">
            <v>BAKOP ACHILLE</v>
          </cell>
          <cell r="C8">
            <v>678482.49636100209</v>
          </cell>
          <cell r="D8">
            <v>0</v>
          </cell>
          <cell r="E8">
            <v>0</v>
          </cell>
          <cell r="F8">
            <v>816187.32857611415</v>
          </cell>
          <cell r="G8">
            <v>816187.32857611415</v>
          </cell>
          <cell r="H8">
            <v>8704.8322151120447</v>
          </cell>
          <cell r="I8">
            <v>824892.1607912262</v>
          </cell>
          <cell r="J8">
            <v>0</v>
          </cell>
          <cell r="K8">
            <v>165000</v>
          </cell>
          <cell r="L8">
            <v>129000</v>
          </cell>
          <cell r="M8">
            <v>6000</v>
          </cell>
          <cell r="N8">
            <v>6000</v>
          </cell>
          <cell r="O8">
            <v>24000</v>
          </cell>
          <cell r="P8">
            <v>3000</v>
          </cell>
          <cell r="Q8">
            <v>0</v>
          </cell>
          <cell r="R8">
            <v>0</v>
          </cell>
          <cell r="S8">
            <v>600000</v>
          </cell>
          <cell r="T8">
            <v>24000</v>
          </cell>
          <cell r="V8">
            <v>0</v>
          </cell>
          <cell r="W8">
            <v>600000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45474</v>
          </cell>
          <cell r="AM8">
            <v>24000</v>
          </cell>
          <cell r="AN8">
            <v>0</v>
          </cell>
        </row>
        <row r="9">
          <cell r="A9" t="str">
            <v>AS201602</v>
          </cell>
          <cell r="B9" t="str">
            <v>BOUTCHOUANG WILLIAM</v>
          </cell>
          <cell r="C9">
            <v>700000</v>
          </cell>
          <cell r="D9">
            <v>33.12626320522395</v>
          </cell>
          <cell r="E9">
            <v>0</v>
          </cell>
          <cell r="F9">
            <v>863289.68077018973</v>
          </cell>
          <cell r="G9">
            <v>863289.68077018973</v>
          </cell>
          <cell r="H9">
            <v>52256.554506984525</v>
          </cell>
          <cell r="I9">
            <v>915546.23527717427</v>
          </cell>
          <cell r="J9">
            <v>0</v>
          </cell>
          <cell r="K9">
            <v>147000</v>
          </cell>
          <cell r="L9">
            <v>111000</v>
          </cell>
          <cell r="M9">
            <v>6000</v>
          </cell>
          <cell r="N9">
            <v>6000</v>
          </cell>
          <cell r="O9">
            <v>24000</v>
          </cell>
          <cell r="P9">
            <v>3000</v>
          </cell>
          <cell r="Q9">
            <v>0</v>
          </cell>
          <cell r="R9">
            <v>0</v>
          </cell>
          <cell r="S9">
            <v>500000</v>
          </cell>
          <cell r="T9">
            <v>40000</v>
          </cell>
          <cell r="V9">
            <v>0</v>
          </cell>
          <cell r="W9">
            <v>500000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45352</v>
          </cell>
          <cell r="AM9">
            <v>40000</v>
          </cell>
          <cell r="AN9">
            <v>0</v>
          </cell>
        </row>
        <row r="10">
          <cell r="A10" t="str">
            <v>AS201604</v>
          </cell>
          <cell r="B10" t="str">
            <v xml:space="preserve">DJOMO JEAN PAUL </v>
          </cell>
          <cell r="C10">
            <v>700000</v>
          </cell>
          <cell r="D10">
            <v>53357.826243040035</v>
          </cell>
          <cell r="E10">
            <v>0</v>
          </cell>
          <cell r="F10">
            <v>921031.30840952636</v>
          </cell>
          <cell r="G10">
            <v>921031.30840952636</v>
          </cell>
          <cell r="H10">
            <v>56173.482166486319</v>
          </cell>
          <cell r="I10">
            <v>977204.79057601269</v>
          </cell>
          <cell r="J10">
            <v>0</v>
          </cell>
          <cell r="K10">
            <v>147500</v>
          </cell>
          <cell r="L10">
            <v>111500</v>
          </cell>
          <cell r="M10">
            <v>6000</v>
          </cell>
          <cell r="N10">
            <v>6000</v>
          </cell>
          <cell r="O10">
            <v>24000</v>
          </cell>
          <cell r="P10">
            <v>0</v>
          </cell>
          <cell r="Q10">
            <v>0</v>
          </cell>
          <cell r="R10">
            <v>0</v>
          </cell>
          <cell r="S10">
            <v>1000000</v>
          </cell>
          <cell r="T10">
            <v>120000</v>
          </cell>
          <cell r="V10">
            <v>0</v>
          </cell>
          <cell r="W10">
            <v>1000000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45627</v>
          </cell>
          <cell r="AM10">
            <v>120000</v>
          </cell>
          <cell r="AN10">
            <v>0</v>
          </cell>
        </row>
        <row r="11">
          <cell r="A11" t="str">
            <v>AS201654</v>
          </cell>
          <cell r="B11" t="str">
            <v>DJOMOU TCHAPDA</v>
          </cell>
          <cell r="C11">
            <v>700000</v>
          </cell>
          <cell r="D11">
            <v>294.67929590542917</v>
          </cell>
          <cell r="E11">
            <v>0</v>
          </cell>
          <cell r="F11">
            <v>858529.37897520629</v>
          </cell>
          <cell r="G11">
            <v>858529.37897520629</v>
          </cell>
          <cell r="H11">
            <v>52234.699679300953</v>
          </cell>
          <cell r="I11">
            <v>910764.07865450729</v>
          </cell>
          <cell r="J11">
            <v>0</v>
          </cell>
          <cell r="K11">
            <v>142000</v>
          </cell>
          <cell r="L11">
            <v>106000</v>
          </cell>
          <cell r="M11">
            <v>6000</v>
          </cell>
          <cell r="N11">
            <v>6000</v>
          </cell>
          <cell r="O11">
            <v>24000</v>
          </cell>
          <cell r="P11">
            <v>6000</v>
          </cell>
          <cell r="Q11">
            <v>0</v>
          </cell>
          <cell r="R11">
            <v>0</v>
          </cell>
          <cell r="S11">
            <v>1000000</v>
          </cell>
          <cell r="T11">
            <v>120000</v>
          </cell>
          <cell r="V11">
            <v>0</v>
          </cell>
          <cell r="W11">
            <v>1000000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45627</v>
          </cell>
          <cell r="AM11">
            <v>120000</v>
          </cell>
          <cell r="AN11">
            <v>0</v>
          </cell>
        </row>
        <row r="12">
          <cell r="A12" t="str">
            <v>AS201605</v>
          </cell>
          <cell r="B12" t="str">
            <v>DJOUKWE NANGUEN GUY BLAISE</v>
          </cell>
          <cell r="C12">
            <v>700000</v>
          </cell>
          <cell r="D12">
            <v>2196.7678974067676</v>
          </cell>
          <cell r="E12">
            <v>0</v>
          </cell>
          <cell r="F12">
            <v>888764.88145503635</v>
          </cell>
          <cell r="G12">
            <v>888764.88145503635</v>
          </cell>
          <cell r="H12">
            <v>52568.11355762944</v>
          </cell>
          <cell r="I12">
            <v>941332.99501266575</v>
          </cell>
          <cell r="J12">
            <v>0</v>
          </cell>
          <cell r="K12">
            <v>170000</v>
          </cell>
          <cell r="L12">
            <v>134000</v>
          </cell>
          <cell r="M12">
            <v>6000</v>
          </cell>
          <cell r="N12">
            <v>6000</v>
          </cell>
          <cell r="O12">
            <v>24000</v>
          </cell>
          <cell r="P12">
            <v>0</v>
          </cell>
          <cell r="Q12">
            <v>0</v>
          </cell>
          <cell r="R12">
            <v>0</v>
          </cell>
          <cell r="S12">
            <v>2000000</v>
          </cell>
          <cell r="T12">
            <v>60000</v>
          </cell>
          <cell r="V12">
            <v>1000000</v>
          </cell>
          <cell r="W12">
            <v>1000000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45352</v>
          </cell>
          <cell r="AM12">
            <v>60000</v>
          </cell>
          <cell r="AN12">
            <v>0</v>
          </cell>
        </row>
        <row r="13">
          <cell r="A13" t="str">
            <v>AS201608</v>
          </cell>
          <cell r="B13" t="str">
            <v>DJUOMBESSY ANTOINE</v>
          </cell>
          <cell r="C13">
            <v>700000</v>
          </cell>
          <cell r="D13">
            <v>14513.277451620379</v>
          </cell>
          <cell r="E13">
            <v>0</v>
          </cell>
          <cell r="F13">
            <v>916163.8615737675</v>
          </cell>
          <cell r="G13">
            <v>916163.8615737675</v>
          </cell>
          <cell r="H13">
            <v>53650.58412214696</v>
          </cell>
          <cell r="I13">
            <v>969814.44569591444</v>
          </cell>
          <cell r="J13">
            <v>0</v>
          </cell>
          <cell r="K13">
            <v>184000</v>
          </cell>
          <cell r="L13">
            <v>148000</v>
          </cell>
          <cell r="M13">
            <v>6000</v>
          </cell>
          <cell r="N13">
            <v>6000</v>
          </cell>
          <cell r="O13">
            <v>24000</v>
          </cell>
          <cell r="P13">
            <v>0</v>
          </cell>
          <cell r="Q13">
            <v>0</v>
          </cell>
          <cell r="R13">
            <v>0</v>
          </cell>
          <cell r="S13">
            <v>1000000</v>
          </cell>
          <cell r="T13">
            <v>60000</v>
          </cell>
          <cell r="V13">
            <v>860000</v>
          </cell>
          <cell r="W13">
            <v>140000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45474</v>
          </cell>
          <cell r="AM13">
            <v>60000</v>
          </cell>
          <cell r="AN13">
            <v>0</v>
          </cell>
        </row>
        <row r="14">
          <cell r="A14" t="str">
            <v>AS201651</v>
          </cell>
          <cell r="B14" t="str">
            <v>DOMOU FABIEN</v>
          </cell>
          <cell r="C14">
            <v>700000</v>
          </cell>
          <cell r="D14">
            <v>41.235805909789633</v>
          </cell>
          <cell r="E14">
            <v>0</v>
          </cell>
          <cell r="F14">
            <v>866331.86297870718</v>
          </cell>
          <cell r="G14">
            <v>866331.86297870718</v>
          </cell>
          <cell r="H14">
            <v>52290.627172797205</v>
          </cell>
          <cell r="I14">
            <v>918622.4901515044</v>
          </cell>
          <cell r="J14">
            <v>0</v>
          </cell>
          <cell r="K14">
            <v>150000</v>
          </cell>
          <cell r="L14">
            <v>114000</v>
          </cell>
          <cell r="M14">
            <v>6000</v>
          </cell>
          <cell r="N14">
            <v>6000</v>
          </cell>
          <cell r="O14">
            <v>24000</v>
          </cell>
          <cell r="P14">
            <v>0</v>
          </cell>
          <cell r="Q14">
            <v>0</v>
          </cell>
          <cell r="R14">
            <v>0</v>
          </cell>
          <cell r="S14">
            <v>1000000</v>
          </cell>
          <cell r="T14">
            <v>120000</v>
          </cell>
          <cell r="V14">
            <v>0</v>
          </cell>
          <cell r="W14">
            <v>1000000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45627</v>
          </cell>
          <cell r="AM14">
            <v>120000</v>
          </cell>
          <cell r="AN14">
            <v>0</v>
          </cell>
        </row>
        <row r="15">
          <cell r="A15" t="str">
            <v>AS201609</v>
          </cell>
          <cell r="B15" t="str">
            <v>DONHOU DAVID</v>
          </cell>
          <cell r="C15">
            <v>700000</v>
          </cell>
          <cell r="D15">
            <v>518031.2910165739</v>
          </cell>
          <cell r="E15">
            <v>0</v>
          </cell>
          <cell r="F15">
            <v>1422208.7707095454</v>
          </cell>
          <cell r="G15">
            <v>1422208.7707095454</v>
          </cell>
          <cell r="H15">
            <v>90177.479692971174</v>
          </cell>
          <cell r="I15">
            <v>1512386.2504025165</v>
          </cell>
          <cell r="J15">
            <v>0</v>
          </cell>
          <cell r="K15">
            <v>150000</v>
          </cell>
          <cell r="L15">
            <v>114000</v>
          </cell>
          <cell r="M15">
            <v>6000</v>
          </cell>
          <cell r="N15">
            <v>6000</v>
          </cell>
          <cell r="O15">
            <v>24000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V15">
            <v>0</v>
          </cell>
          <cell r="W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M15">
            <v>0</v>
          </cell>
          <cell r="AN15">
            <v>0</v>
          </cell>
        </row>
        <row r="16">
          <cell r="A16" t="str">
            <v>AS201611</v>
          </cell>
          <cell r="B16" t="str">
            <v>HENGUE PAUL OMER</v>
          </cell>
          <cell r="C16">
            <v>700000</v>
          </cell>
          <cell r="D16">
            <v>57899.603500921949</v>
          </cell>
          <cell r="E16">
            <v>0</v>
          </cell>
          <cell r="F16">
            <v>928422.11007346434</v>
          </cell>
          <cell r="G16">
            <v>928422.11007346434</v>
          </cell>
          <cell r="H16">
            <v>56522.506572542472</v>
          </cell>
          <cell r="I16">
            <v>984944.61664600682</v>
          </cell>
          <cell r="J16">
            <v>0</v>
          </cell>
          <cell r="K16">
            <v>150000</v>
          </cell>
          <cell r="L16">
            <v>114000</v>
          </cell>
          <cell r="M16">
            <v>6000</v>
          </cell>
          <cell r="N16">
            <v>6000</v>
          </cell>
          <cell r="O16">
            <v>24000</v>
          </cell>
          <cell r="P16">
            <v>0</v>
          </cell>
          <cell r="Q16">
            <v>0</v>
          </cell>
          <cell r="R16">
            <v>0</v>
          </cell>
          <cell r="S16">
            <v>1000000</v>
          </cell>
          <cell r="T16">
            <v>70000</v>
          </cell>
          <cell r="V16">
            <v>0</v>
          </cell>
          <cell r="W16">
            <v>1000000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45627</v>
          </cell>
          <cell r="AM16">
            <v>70000</v>
          </cell>
          <cell r="AN16">
            <v>0</v>
          </cell>
        </row>
        <row r="17">
          <cell r="A17" t="str">
            <v>AS201613</v>
          </cell>
          <cell r="B17" t="str">
            <v>HOTCHO BENJAMIN</v>
          </cell>
          <cell r="C17">
            <v>700000</v>
          </cell>
          <cell r="D17">
            <v>29661.208104101592</v>
          </cell>
          <cell r="E17">
            <v>0</v>
          </cell>
          <cell r="F17">
            <v>1110122.84055412</v>
          </cell>
          <cell r="G17">
            <v>1110122.84055412</v>
          </cell>
          <cell r="H17">
            <v>56461.632450018325</v>
          </cell>
          <cell r="I17">
            <v>1166584.4730041383</v>
          </cell>
          <cell r="J17">
            <v>0</v>
          </cell>
          <cell r="K17">
            <v>360000</v>
          </cell>
          <cell r="L17">
            <v>324000</v>
          </cell>
          <cell r="M17">
            <v>6000</v>
          </cell>
          <cell r="N17">
            <v>6000</v>
          </cell>
          <cell r="O17">
            <v>24000</v>
          </cell>
          <cell r="P17">
            <v>0</v>
          </cell>
          <cell r="Q17">
            <v>0</v>
          </cell>
          <cell r="R17">
            <v>0</v>
          </cell>
          <cell r="S17">
            <v>238500</v>
          </cell>
          <cell r="T17">
            <v>0</v>
          </cell>
          <cell r="V17">
            <v>0</v>
          </cell>
          <cell r="W17">
            <v>238500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M17">
            <v>0</v>
          </cell>
          <cell r="AN17">
            <v>0</v>
          </cell>
        </row>
        <row r="18">
          <cell r="A18" t="str">
            <v>AS201617</v>
          </cell>
          <cell r="B18" t="str">
            <v>KOUAMOU MOISE</v>
          </cell>
          <cell r="C18">
            <v>700000</v>
          </cell>
          <cell r="D18">
            <v>9267.5051528789336</v>
          </cell>
          <cell r="E18">
            <v>0</v>
          </cell>
          <cell r="F18">
            <v>876734.8454651275</v>
          </cell>
          <cell r="G18">
            <v>876734.8454651275</v>
          </cell>
          <cell r="H18">
            <v>52967.340312248642</v>
          </cell>
          <cell r="I18">
            <v>929702.18577737617</v>
          </cell>
          <cell r="J18">
            <v>0</v>
          </cell>
          <cell r="K18">
            <v>150500</v>
          </cell>
          <cell r="L18">
            <v>114500</v>
          </cell>
          <cell r="M18">
            <v>6000</v>
          </cell>
          <cell r="N18">
            <v>6000</v>
          </cell>
          <cell r="O18">
            <v>24000</v>
          </cell>
          <cell r="P18">
            <v>0</v>
          </cell>
          <cell r="Q18">
            <v>0</v>
          </cell>
          <cell r="R18">
            <v>0</v>
          </cell>
          <cell r="S18">
            <v>1000000</v>
          </cell>
          <cell r="T18">
            <v>110000</v>
          </cell>
          <cell r="V18">
            <v>500000</v>
          </cell>
          <cell r="W18">
            <v>500000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100000</v>
          </cell>
          <cell r="AJ18">
            <v>0</v>
          </cell>
          <cell r="AK18">
            <v>0</v>
          </cell>
          <cell r="AL18">
            <v>45627</v>
          </cell>
          <cell r="AM18">
            <v>110000</v>
          </cell>
          <cell r="AN18">
            <v>0</v>
          </cell>
        </row>
        <row r="19">
          <cell r="A19" t="str">
            <v>AS201619</v>
          </cell>
          <cell r="B19" t="str">
            <v>KOUATCHO MESSACK</v>
          </cell>
          <cell r="C19">
            <v>700000</v>
          </cell>
          <cell r="D19">
            <v>24428.628065245139</v>
          </cell>
          <cell r="E19">
            <v>0</v>
          </cell>
          <cell r="F19">
            <v>942888.6007651838</v>
          </cell>
          <cell r="G19">
            <v>942888.6007651838</v>
          </cell>
          <cell r="H19">
            <v>54459.972699938706</v>
          </cell>
          <cell r="I19">
            <v>997348.57346512249</v>
          </cell>
          <cell r="J19">
            <v>0</v>
          </cell>
          <cell r="K19">
            <v>200000</v>
          </cell>
          <cell r="L19">
            <v>164000</v>
          </cell>
          <cell r="M19">
            <v>6000</v>
          </cell>
          <cell r="N19">
            <v>6000</v>
          </cell>
          <cell r="O19">
            <v>24000</v>
          </cell>
          <cell r="P19">
            <v>3000</v>
          </cell>
          <cell r="Q19">
            <v>0</v>
          </cell>
          <cell r="R19">
            <v>0</v>
          </cell>
          <cell r="S19">
            <v>1350000</v>
          </cell>
          <cell r="T19">
            <v>64000</v>
          </cell>
          <cell r="V19">
            <v>1000000</v>
          </cell>
          <cell r="W19">
            <v>350000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45474</v>
          </cell>
          <cell r="AM19">
            <v>64000</v>
          </cell>
          <cell r="AN19">
            <v>0</v>
          </cell>
        </row>
        <row r="20">
          <cell r="A20" t="str">
            <v>AS201620</v>
          </cell>
          <cell r="B20" t="str">
            <v>LOWE JEAN</v>
          </cell>
          <cell r="C20">
            <v>676217.13072703336</v>
          </cell>
          <cell r="D20">
            <v>0</v>
          </cell>
          <cell r="F20">
            <v>676217.13072703336</v>
          </cell>
          <cell r="G20">
            <v>0</v>
          </cell>
          <cell r="H20">
            <v>0</v>
          </cell>
          <cell r="I20">
            <v>676217.13072703336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V20">
            <v>0</v>
          </cell>
          <cell r="W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M20">
            <v>0</v>
          </cell>
          <cell r="AN20">
            <v>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0</v>
          </cell>
          <cell r="E21">
            <v>0</v>
          </cell>
          <cell r="F21">
            <v>114000</v>
          </cell>
          <cell r="G21">
            <v>0</v>
          </cell>
          <cell r="H21">
            <v>0</v>
          </cell>
          <cell r="I21">
            <v>114000</v>
          </cell>
          <cell r="J21">
            <v>0</v>
          </cell>
          <cell r="K21">
            <v>150000</v>
          </cell>
          <cell r="L21">
            <v>114000</v>
          </cell>
          <cell r="M21">
            <v>6000</v>
          </cell>
          <cell r="N21">
            <v>6000</v>
          </cell>
          <cell r="O21">
            <v>24000</v>
          </cell>
          <cell r="P21">
            <v>0</v>
          </cell>
          <cell r="Q21">
            <v>25000</v>
          </cell>
          <cell r="R21">
            <v>0</v>
          </cell>
          <cell r="S21">
            <v>0</v>
          </cell>
          <cell r="T21">
            <v>0</v>
          </cell>
          <cell r="V21">
            <v>0</v>
          </cell>
          <cell r="W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M21">
            <v>0</v>
          </cell>
          <cell r="AN21">
            <v>0</v>
          </cell>
        </row>
        <row r="22">
          <cell r="A22" t="str">
            <v>AS201649</v>
          </cell>
          <cell r="B22" t="str">
            <v>MBOGNING TUGMA GUY</v>
          </cell>
          <cell r="C22">
            <v>700000</v>
          </cell>
          <cell r="D22">
            <v>31709.397241182596</v>
          </cell>
          <cell r="E22">
            <v>0</v>
          </cell>
          <cell r="F22">
            <v>898806.20082439168</v>
          </cell>
          <cell r="G22">
            <v>898806.20082439168</v>
          </cell>
          <cell r="H22">
            <v>54596.803583209148</v>
          </cell>
          <cell r="I22">
            <v>953403.00440760085</v>
          </cell>
          <cell r="J22">
            <v>0</v>
          </cell>
          <cell r="K22">
            <v>148500</v>
          </cell>
          <cell r="L22">
            <v>112500</v>
          </cell>
          <cell r="M22">
            <v>6000</v>
          </cell>
          <cell r="N22">
            <v>6000</v>
          </cell>
          <cell r="O22">
            <v>24000</v>
          </cell>
          <cell r="P22">
            <v>0</v>
          </cell>
          <cell r="Q22">
            <v>0</v>
          </cell>
          <cell r="R22">
            <v>0</v>
          </cell>
          <cell r="S22">
            <v>1000000</v>
          </cell>
          <cell r="T22">
            <v>60000</v>
          </cell>
          <cell r="V22">
            <v>0</v>
          </cell>
          <cell r="W22">
            <v>1000000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45352</v>
          </cell>
          <cell r="AM22">
            <v>60000</v>
          </cell>
          <cell r="AN22">
            <v>0</v>
          </cell>
        </row>
        <row r="23">
          <cell r="A23" t="str">
            <v>AS201639</v>
          </cell>
          <cell r="B23" t="str">
            <v>NANGUEN MARTIN</v>
          </cell>
          <cell r="C23">
            <v>700000</v>
          </cell>
          <cell r="D23">
            <v>1150.3620808817795</v>
          </cell>
          <cell r="E23">
            <v>0</v>
          </cell>
          <cell r="F23">
            <v>867522.1130188622</v>
          </cell>
          <cell r="G23">
            <v>867522.1130188622</v>
          </cell>
          <cell r="H23">
            <v>52371.750937980338</v>
          </cell>
          <cell r="I23">
            <v>919893.86395684257</v>
          </cell>
          <cell r="J23">
            <v>0</v>
          </cell>
          <cell r="K23">
            <v>150000</v>
          </cell>
          <cell r="L23">
            <v>114000</v>
          </cell>
          <cell r="M23">
            <v>6000</v>
          </cell>
          <cell r="N23">
            <v>6000</v>
          </cell>
          <cell r="O23">
            <v>24000</v>
          </cell>
          <cell r="P23">
            <v>0</v>
          </cell>
          <cell r="Q23">
            <v>0</v>
          </cell>
          <cell r="R23">
            <v>0</v>
          </cell>
          <cell r="S23">
            <v>300000</v>
          </cell>
          <cell r="T23">
            <v>18000</v>
          </cell>
          <cell r="V23">
            <v>0</v>
          </cell>
          <cell r="W23">
            <v>300000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45474</v>
          </cell>
          <cell r="AM23">
            <v>18000</v>
          </cell>
          <cell r="AN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700000</v>
          </cell>
          <cell r="D24">
            <v>100402.23439018801</v>
          </cell>
          <cell r="E24">
            <v>0</v>
          </cell>
          <cell r="F24">
            <v>974033.47035246005</v>
          </cell>
          <cell r="G24">
            <v>974033.47035246005</v>
          </cell>
          <cell r="H24">
            <v>59631.235962271996</v>
          </cell>
          <cell r="I24">
            <v>1033664.7063147321</v>
          </cell>
          <cell r="J24">
            <v>0</v>
          </cell>
          <cell r="K24">
            <v>150000</v>
          </cell>
          <cell r="L24">
            <v>114000</v>
          </cell>
          <cell r="M24">
            <v>6000</v>
          </cell>
          <cell r="N24">
            <v>6000</v>
          </cell>
          <cell r="O24">
            <v>24000</v>
          </cell>
          <cell r="P24">
            <v>3000</v>
          </cell>
          <cell r="Q24">
            <v>0</v>
          </cell>
          <cell r="R24">
            <v>0</v>
          </cell>
          <cell r="S24">
            <v>1000000</v>
          </cell>
          <cell r="T24">
            <v>120000</v>
          </cell>
          <cell r="V24">
            <v>0</v>
          </cell>
          <cell r="W24">
            <v>1000000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45627</v>
          </cell>
          <cell r="AM24">
            <v>120000</v>
          </cell>
          <cell r="AN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700000</v>
          </cell>
          <cell r="D25">
            <v>224970.61781197961</v>
          </cell>
          <cell r="E25">
            <v>0</v>
          </cell>
          <cell r="F25">
            <v>1178353.0840044196</v>
          </cell>
          <cell r="G25">
            <v>1178353.0840044196</v>
          </cell>
          <cell r="H25">
            <v>69382.466192439751</v>
          </cell>
          <cell r="I25">
            <v>1247735.5501968593</v>
          </cell>
          <cell r="J25">
            <v>0</v>
          </cell>
          <cell r="K25">
            <v>220000</v>
          </cell>
          <cell r="L25">
            <v>184000</v>
          </cell>
          <cell r="M25">
            <v>6000</v>
          </cell>
          <cell r="N25">
            <v>6000</v>
          </cell>
          <cell r="O25">
            <v>24000</v>
          </cell>
          <cell r="P25">
            <v>0</v>
          </cell>
          <cell r="Q25">
            <v>0</v>
          </cell>
          <cell r="R25">
            <v>0</v>
          </cell>
          <cell r="S25">
            <v>500000</v>
          </cell>
          <cell r="T25">
            <v>30000</v>
          </cell>
          <cell r="V25">
            <v>0</v>
          </cell>
          <cell r="W25">
            <v>500000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45474</v>
          </cell>
          <cell r="AM25">
            <v>30000</v>
          </cell>
          <cell r="AN25">
            <v>0</v>
          </cell>
        </row>
        <row r="26">
          <cell r="A26" t="str">
            <v>AS201624</v>
          </cell>
          <cell r="B26" t="str">
            <v>NGONDIEP CLAUDE</v>
          </cell>
          <cell r="C26">
            <v>700000</v>
          </cell>
          <cell r="D26">
            <v>57632.732271146844</v>
          </cell>
          <cell r="E26">
            <v>0</v>
          </cell>
          <cell r="F26">
            <v>1020828.5627368096</v>
          </cell>
          <cell r="G26">
            <v>1020828.5627368096</v>
          </cell>
          <cell r="H26">
            <v>57195.830465662817</v>
          </cell>
          <cell r="I26">
            <v>1078024.3932024725</v>
          </cell>
          <cell r="J26">
            <v>0</v>
          </cell>
          <cell r="K26">
            <v>242000</v>
          </cell>
          <cell r="L26">
            <v>206000</v>
          </cell>
          <cell r="M26">
            <v>6000</v>
          </cell>
          <cell r="N26">
            <v>6000</v>
          </cell>
          <cell r="O26">
            <v>24000</v>
          </cell>
          <cell r="P26">
            <v>3000</v>
          </cell>
          <cell r="Q26">
            <v>0</v>
          </cell>
          <cell r="R26">
            <v>0</v>
          </cell>
          <cell r="S26">
            <v>1000000</v>
          </cell>
          <cell r="T26">
            <v>120000</v>
          </cell>
          <cell r="V26">
            <v>0</v>
          </cell>
          <cell r="W26">
            <v>1000000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100000</v>
          </cell>
          <cell r="AJ26">
            <v>0</v>
          </cell>
          <cell r="AK26">
            <v>0</v>
          </cell>
          <cell r="AL26">
            <v>45627</v>
          </cell>
          <cell r="AM26">
            <v>120000</v>
          </cell>
          <cell r="AN26">
            <v>0</v>
          </cell>
        </row>
        <row r="27">
          <cell r="A27" t="str">
            <v>AS201626</v>
          </cell>
          <cell r="B27" t="str">
            <v>NGUIEMEGNI MATHIEU BLAISE</v>
          </cell>
          <cell r="C27">
            <v>700000</v>
          </cell>
          <cell r="D27">
            <v>20382.784231808502</v>
          </cell>
          <cell r="E27">
            <v>0</v>
          </cell>
          <cell r="F27">
            <v>891165.13848647824</v>
          </cell>
          <cell r="G27">
            <v>891165.13848647824</v>
          </cell>
          <cell r="H27">
            <v>53782.354254669641</v>
          </cell>
          <cell r="I27">
            <v>944947.49274114787</v>
          </cell>
          <cell r="J27">
            <v>0</v>
          </cell>
          <cell r="K27">
            <v>153000</v>
          </cell>
          <cell r="L27">
            <v>117000</v>
          </cell>
          <cell r="M27">
            <v>6000</v>
          </cell>
          <cell r="N27">
            <v>6000</v>
          </cell>
          <cell r="O27">
            <v>24000</v>
          </cell>
          <cell r="P27">
            <v>3000</v>
          </cell>
          <cell r="Q27">
            <v>0</v>
          </cell>
          <cell r="R27">
            <v>0</v>
          </cell>
          <cell r="S27">
            <v>1000000</v>
          </cell>
          <cell r="T27">
            <v>120000</v>
          </cell>
          <cell r="V27">
            <v>0</v>
          </cell>
          <cell r="W27">
            <v>1000000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45627</v>
          </cell>
          <cell r="AM27">
            <v>120000</v>
          </cell>
          <cell r="AN27">
            <v>0</v>
          </cell>
        </row>
        <row r="28">
          <cell r="A28" t="str">
            <v>AS201628</v>
          </cell>
          <cell r="B28" t="str">
            <v>NKAMGANG JUSTIN DEJOLIE</v>
          </cell>
          <cell r="C28">
            <v>700000</v>
          </cell>
          <cell r="D28">
            <v>19031.484583758342</v>
          </cell>
          <cell r="E28">
            <v>0</v>
          </cell>
          <cell r="F28">
            <v>887212.98233008606</v>
          </cell>
          <cell r="G28">
            <v>887212.98233008606</v>
          </cell>
          <cell r="H28">
            <v>53681.497746327739</v>
          </cell>
          <cell r="I28">
            <v>940894.48007641383</v>
          </cell>
          <cell r="J28">
            <v>0</v>
          </cell>
          <cell r="K28">
            <v>150500</v>
          </cell>
          <cell r="L28">
            <v>114500</v>
          </cell>
          <cell r="M28">
            <v>6000</v>
          </cell>
          <cell r="N28">
            <v>6000</v>
          </cell>
          <cell r="O28">
            <v>24000</v>
          </cell>
          <cell r="P28">
            <v>0</v>
          </cell>
          <cell r="Q28">
            <v>0</v>
          </cell>
          <cell r="R28">
            <v>0</v>
          </cell>
          <cell r="S28">
            <v>1000000</v>
          </cell>
          <cell r="T28">
            <v>60000</v>
          </cell>
          <cell r="V28">
            <v>0</v>
          </cell>
          <cell r="W28">
            <v>1000000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45474</v>
          </cell>
          <cell r="AM28">
            <v>60000</v>
          </cell>
          <cell r="AN28">
            <v>0</v>
          </cell>
        </row>
        <row r="29">
          <cell r="A29" t="str">
            <v>AS201656</v>
          </cell>
          <cell r="B29" t="str">
            <v>NOUBE ETIENNE</v>
          </cell>
          <cell r="C29">
            <v>666018.81693285913</v>
          </cell>
          <cell r="D29">
            <v>0</v>
          </cell>
          <cell r="E29">
            <v>0</v>
          </cell>
          <cell r="F29">
            <v>788396.1600411823</v>
          </cell>
          <cell r="G29">
            <v>788396.1600411823</v>
          </cell>
          <cell r="H29">
            <v>8377.3431083231608</v>
          </cell>
          <cell r="I29">
            <v>796773.50314950547</v>
          </cell>
          <cell r="J29">
            <v>0</v>
          </cell>
          <cell r="K29">
            <v>150000</v>
          </cell>
          <cell r="L29">
            <v>114000</v>
          </cell>
          <cell r="M29">
            <v>6000</v>
          </cell>
          <cell r="N29">
            <v>6000</v>
          </cell>
          <cell r="O29">
            <v>24000</v>
          </cell>
          <cell r="P29">
            <v>0</v>
          </cell>
          <cell r="Q29">
            <v>0</v>
          </cell>
          <cell r="R29">
            <v>0</v>
          </cell>
          <cell r="S29">
            <v>50000</v>
          </cell>
          <cell r="T29">
            <v>1500</v>
          </cell>
          <cell r="V29">
            <v>0</v>
          </cell>
          <cell r="W29">
            <v>50000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45444</v>
          </cell>
          <cell r="AM29">
            <v>1500</v>
          </cell>
          <cell r="AN29">
            <v>0</v>
          </cell>
        </row>
        <row r="30">
          <cell r="A30" t="str">
            <v>AS201633</v>
          </cell>
          <cell r="B30" t="str">
            <v>PATEGO NJOSSU GUSTAVE</v>
          </cell>
          <cell r="C30">
            <v>700000</v>
          </cell>
          <cell r="D30">
            <v>43697.666300758487</v>
          </cell>
          <cell r="E30">
            <v>0</v>
          </cell>
          <cell r="F30">
            <v>913181.41412727721</v>
          </cell>
          <cell r="G30">
            <v>913181.41412727721</v>
          </cell>
          <cell r="H30">
            <v>55483.747826518782</v>
          </cell>
          <cell r="I30">
            <v>968665.16195379593</v>
          </cell>
          <cell r="J30">
            <v>0</v>
          </cell>
          <cell r="K30">
            <v>150000</v>
          </cell>
          <cell r="L30">
            <v>114000</v>
          </cell>
          <cell r="M30">
            <v>6000</v>
          </cell>
          <cell r="N30">
            <v>6000</v>
          </cell>
          <cell r="O30">
            <v>24000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V30">
            <v>0</v>
          </cell>
          <cell r="W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M30">
            <v>0</v>
          </cell>
          <cell r="AN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0</v>
          </cell>
          <cell r="D31">
            <v>245500</v>
          </cell>
          <cell r="E31">
            <v>0</v>
          </cell>
          <cell r="F31">
            <v>818206.34836749558</v>
          </cell>
          <cell r="G31">
            <v>818206.34836749558</v>
          </cell>
          <cell r="H31">
            <v>8706.3483674955769</v>
          </cell>
          <cell r="I31">
            <v>826912.69673499116</v>
          </cell>
          <cell r="J31">
            <v>0</v>
          </cell>
          <cell r="K31">
            <v>600000</v>
          </cell>
          <cell r="L31">
            <v>564000</v>
          </cell>
          <cell r="M31">
            <v>6000</v>
          </cell>
          <cell r="N31">
            <v>6000</v>
          </cell>
          <cell r="O31">
            <v>24000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V31">
            <v>0</v>
          </cell>
          <cell r="W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M31">
            <v>0</v>
          </cell>
          <cell r="AN31">
            <v>0</v>
          </cell>
        </row>
        <row r="32">
          <cell r="A32" t="str">
            <v>AS201653</v>
          </cell>
          <cell r="B32" t="str">
            <v>SIME BRICE</v>
          </cell>
          <cell r="C32">
            <v>700000</v>
          </cell>
          <cell r="D32">
            <v>104364.15055016428</v>
          </cell>
          <cell r="E32">
            <v>0</v>
          </cell>
          <cell r="F32">
            <v>978285.16916702664</v>
          </cell>
          <cell r="G32">
            <v>978285.16916702664</v>
          </cell>
          <cell r="H32">
            <v>59921.018616862282</v>
          </cell>
          <cell r="I32">
            <v>1038206.1877838889</v>
          </cell>
          <cell r="J32">
            <v>0</v>
          </cell>
          <cell r="K32">
            <v>150000</v>
          </cell>
          <cell r="L32">
            <v>114000</v>
          </cell>
          <cell r="M32">
            <v>6000</v>
          </cell>
          <cell r="N32">
            <v>6000</v>
          </cell>
          <cell r="O32">
            <v>24000</v>
          </cell>
          <cell r="P32">
            <v>0</v>
          </cell>
          <cell r="Q32">
            <v>0</v>
          </cell>
          <cell r="R32">
            <v>0</v>
          </cell>
          <cell r="S32">
            <v>1000000</v>
          </cell>
          <cell r="T32">
            <v>90000</v>
          </cell>
          <cell r="V32">
            <v>0</v>
          </cell>
          <cell r="W32">
            <v>1000000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45597</v>
          </cell>
          <cell r="AM32">
            <v>90000</v>
          </cell>
          <cell r="AN32">
            <v>0</v>
          </cell>
        </row>
        <row r="33">
          <cell r="A33" t="str">
            <v>AS201638</v>
          </cell>
          <cell r="B33" t="str">
            <v>SIMO PIERRE</v>
          </cell>
          <cell r="C33">
            <v>700000</v>
          </cell>
          <cell r="D33">
            <v>686.61218299972825</v>
          </cell>
          <cell r="E33">
            <v>0</v>
          </cell>
          <cell r="F33">
            <v>867024.44350455026</v>
          </cell>
          <cell r="G33">
            <v>867024.44350455026</v>
          </cell>
          <cell r="H33">
            <v>52337.831321550329</v>
          </cell>
          <cell r="I33">
            <v>919362.27482610056</v>
          </cell>
          <cell r="J33">
            <v>0</v>
          </cell>
          <cell r="K33">
            <v>150000</v>
          </cell>
          <cell r="L33">
            <v>114000</v>
          </cell>
          <cell r="M33">
            <v>6000</v>
          </cell>
          <cell r="N33">
            <v>6000</v>
          </cell>
          <cell r="O33">
            <v>24000</v>
          </cell>
          <cell r="P33">
            <v>0</v>
          </cell>
          <cell r="Q33">
            <v>0</v>
          </cell>
          <cell r="R33">
            <v>0</v>
          </cell>
          <cell r="S33">
            <v>1250000</v>
          </cell>
          <cell r="T33">
            <v>105000</v>
          </cell>
          <cell r="V33">
            <v>250000</v>
          </cell>
          <cell r="W33">
            <v>1000000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100000</v>
          </cell>
          <cell r="AJ33">
            <v>0</v>
          </cell>
          <cell r="AK33">
            <v>0</v>
          </cell>
          <cell r="AL33">
            <v>45627</v>
          </cell>
          <cell r="AM33">
            <v>105000</v>
          </cell>
          <cell r="AN33">
            <v>0</v>
          </cell>
        </row>
        <row r="34">
          <cell r="A34" t="str">
            <v>AS201641</v>
          </cell>
          <cell r="B34" t="str">
            <v>TCHOUAMOU MATHIEU</v>
          </cell>
          <cell r="C34">
            <v>700000</v>
          </cell>
          <cell r="D34">
            <v>975.80620651689242</v>
          </cell>
          <cell r="E34">
            <v>0</v>
          </cell>
          <cell r="F34">
            <v>867334.7897706799</v>
          </cell>
          <cell r="G34">
            <v>867334.7897706799</v>
          </cell>
          <cell r="H34">
            <v>52358.983564162889</v>
          </cell>
          <cell r="I34">
            <v>919693.77333484276</v>
          </cell>
          <cell r="J34">
            <v>0</v>
          </cell>
          <cell r="K34">
            <v>150000</v>
          </cell>
          <cell r="L34">
            <v>114000</v>
          </cell>
          <cell r="M34">
            <v>6000</v>
          </cell>
          <cell r="N34">
            <v>6000</v>
          </cell>
          <cell r="O34">
            <v>24000</v>
          </cell>
          <cell r="P34">
            <v>0</v>
          </cell>
          <cell r="Q34">
            <v>0</v>
          </cell>
          <cell r="R34">
            <v>0</v>
          </cell>
          <cell r="S34">
            <v>1000000</v>
          </cell>
          <cell r="T34">
            <v>60000</v>
          </cell>
          <cell r="V34">
            <v>0</v>
          </cell>
          <cell r="W34">
            <v>1000000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45474</v>
          </cell>
          <cell r="AM34">
            <v>60000</v>
          </cell>
          <cell r="AN34">
            <v>0</v>
          </cell>
        </row>
        <row r="35">
          <cell r="A35" t="str">
            <v>AS201660</v>
          </cell>
          <cell r="B35" t="str">
            <v>TCHOUATEU AUGUSTIN</v>
          </cell>
          <cell r="C35">
            <v>0</v>
          </cell>
          <cell r="D35">
            <v>0</v>
          </cell>
          <cell r="E35">
            <v>0</v>
          </cell>
          <cell r="F35">
            <v>549000</v>
          </cell>
          <cell r="G35">
            <v>0</v>
          </cell>
          <cell r="H35">
            <v>0</v>
          </cell>
          <cell r="I35">
            <v>549000</v>
          </cell>
          <cell r="J35">
            <v>0</v>
          </cell>
          <cell r="K35">
            <v>585000</v>
          </cell>
          <cell r="L35">
            <v>549000</v>
          </cell>
          <cell r="M35">
            <v>6000</v>
          </cell>
          <cell r="N35">
            <v>6000</v>
          </cell>
          <cell r="O35">
            <v>24000</v>
          </cell>
          <cell r="P35">
            <v>0</v>
          </cell>
          <cell r="Q35">
            <v>25000</v>
          </cell>
          <cell r="R35">
            <v>120000</v>
          </cell>
          <cell r="S35">
            <v>0</v>
          </cell>
          <cell r="T35">
            <v>0</v>
          </cell>
          <cell r="V35">
            <v>0</v>
          </cell>
          <cell r="W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M35">
            <v>0</v>
          </cell>
          <cell r="AN35">
            <v>0</v>
          </cell>
        </row>
        <row r="36">
          <cell r="A36" t="str">
            <v>AS201643</v>
          </cell>
          <cell r="B36" t="str">
            <v>TCHOUTOU NANA CLAUDE</v>
          </cell>
          <cell r="C36">
            <v>0</v>
          </cell>
          <cell r="D36">
            <v>103000</v>
          </cell>
          <cell r="E36">
            <v>0</v>
          </cell>
          <cell r="F36">
            <v>214000</v>
          </cell>
          <cell r="G36">
            <v>0</v>
          </cell>
          <cell r="H36">
            <v>0</v>
          </cell>
          <cell r="I36">
            <v>214000</v>
          </cell>
          <cell r="J36">
            <v>0</v>
          </cell>
          <cell r="K36">
            <v>147000</v>
          </cell>
          <cell r="L36">
            <v>111000</v>
          </cell>
          <cell r="M36">
            <v>6000</v>
          </cell>
          <cell r="N36">
            <v>6000</v>
          </cell>
          <cell r="O36">
            <v>24000</v>
          </cell>
          <cell r="P36">
            <v>3000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V36">
            <v>0</v>
          </cell>
          <cell r="W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M36">
            <v>0</v>
          </cell>
          <cell r="AN36">
            <v>0</v>
          </cell>
        </row>
        <row r="37">
          <cell r="A37" t="str">
            <v>AS201658</v>
          </cell>
          <cell r="B37" t="str">
            <v>YANTCHOU GERVAIS</v>
          </cell>
          <cell r="C37">
            <v>698024.13813217054</v>
          </cell>
          <cell r="D37">
            <v>0</v>
          </cell>
          <cell r="E37">
            <v>0</v>
          </cell>
          <cell r="F37">
            <v>924739.95633858547</v>
          </cell>
          <cell r="G37">
            <v>924739.95633858547</v>
          </cell>
          <cell r="H37">
            <v>52715.818206414835</v>
          </cell>
          <cell r="I37">
            <v>977455.77454500028</v>
          </cell>
          <cell r="J37">
            <v>0</v>
          </cell>
          <cell r="K37">
            <v>210000</v>
          </cell>
          <cell r="L37">
            <v>174000</v>
          </cell>
          <cell r="M37">
            <v>6000</v>
          </cell>
          <cell r="N37">
            <v>6000</v>
          </cell>
          <cell r="O37">
            <v>24000</v>
          </cell>
          <cell r="P37">
            <v>0</v>
          </cell>
          <cell r="Q37">
            <v>0</v>
          </cell>
          <cell r="R37">
            <v>0</v>
          </cell>
          <cell r="S37">
            <v>700000</v>
          </cell>
          <cell r="T37">
            <v>84000</v>
          </cell>
          <cell r="V37">
            <v>0</v>
          </cell>
          <cell r="W37">
            <v>700000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45474</v>
          </cell>
          <cell r="AM37">
            <v>84000</v>
          </cell>
          <cell r="AN37">
            <v>0</v>
          </cell>
        </row>
        <row r="38">
          <cell r="A38" t="str">
            <v>AS201646</v>
          </cell>
          <cell r="B38" t="str">
            <v>YEPMOU JEAN JACQUES</v>
          </cell>
          <cell r="C38">
            <v>700000</v>
          </cell>
          <cell r="D38">
            <v>1003326.8477058813</v>
          </cell>
          <cell r="E38">
            <v>0</v>
          </cell>
          <cell r="F38">
            <v>1942999.8373995335</v>
          </cell>
          <cell r="G38">
            <v>1942999.8373995335</v>
          </cell>
          <cell r="H38">
            <v>125672.98969365236</v>
          </cell>
          <cell r="I38">
            <v>2068672.8270931859</v>
          </cell>
          <cell r="J38">
            <v>0</v>
          </cell>
          <cell r="K38">
            <v>150000</v>
          </cell>
          <cell r="L38">
            <v>114000</v>
          </cell>
          <cell r="M38">
            <v>6000</v>
          </cell>
          <cell r="N38">
            <v>6000</v>
          </cell>
          <cell r="O38">
            <v>24000</v>
          </cell>
          <cell r="P38">
            <v>6000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V38">
            <v>0</v>
          </cell>
          <cell r="W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M38">
            <v>0</v>
          </cell>
          <cell r="AN38">
            <v>0</v>
          </cell>
        </row>
        <row r="39">
          <cell r="A39" t="str">
            <v>AS201659</v>
          </cell>
          <cell r="B39" t="str">
            <v>YIALA ALAIN OSCAR</v>
          </cell>
          <cell r="C39">
            <v>0</v>
          </cell>
          <cell r="D39">
            <v>0</v>
          </cell>
          <cell r="E39">
            <v>0</v>
          </cell>
          <cell r="F39">
            <v>114000</v>
          </cell>
          <cell r="G39">
            <v>0</v>
          </cell>
          <cell r="H39">
            <v>0</v>
          </cell>
          <cell r="I39">
            <v>114000</v>
          </cell>
          <cell r="J39">
            <v>0</v>
          </cell>
          <cell r="K39">
            <v>150000</v>
          </cell>
          <cell r="L39">
            <v>114000</v>
          </cell>
          <cell r="M39">
            <v>6000</v>
          </cell>
          <cell r="N39">
            <v>6000</v>
          </cell>
          <cell r="O39">
            <v>24000</v>
          </cell>
          <cell r="P39">
            <v>9000</v>
          </cell>
          <cell r="Q39">
            <v>25000</v>
          </cell>
          <cell r="R39">
            <v>0</v>
          </cell>
          <cell r="S39">
            <v>0</v>
          </cell>
          <cell r="T39">
            <v>0</v>
          </cell>
          <cell r="V39">
            <v>0</v>
          </cell>
          <cell r="W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M39">
            <v>0</v>
          </cell>
          <cell r="AN39">
            <v>0</v>
          </cell>
        </row>
        <row r="40">
          <cell r="A40" t="str">
            <v>AS201647</v>
          </cell>
          <cell r="B40" t="str">
            <v>YOUMBI EMMANUEL</v>
          </cell>
          <cell r="C40">
            <v>700000</v>
          </cell>
          <cell r="D40">
            <v>1157834.9698456018</v>
          </cell>
          <cell r="E40">
            <v>0</v>
          </cell>
          <cell r="F40">
            <v>2108808.9997383673</v>
          </cell>
          <cell r="G40">
            <v>2108808.9997383673</v>
          </cell>
          <cell r="H40">
            <v>136974.02989276565</v>
          </cell>
          <cell r="I40">
            <v>2245783.0296311327</v>
          </cell>
          <cell r="J40">
            <v>0</v>
          </cell>
          <cell r="K40">
            <v>150000</v>
          </cell>
          <cell r="L40">
            <v>114000</v>
          </cell>
          <cell r="M40">
            <v>6000</v>
          </cell>
          <cell r="N40">
            <v>6000</v>
          </cell>
          <cell r="O40">
            <v>24000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V40">
            <v>0</v>
          </cell>
          <cell r="W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100000</v>
          </cell>
          <cell r="AJ40">
            <v>0</v>
          </cell>
          <cell r="AK40">
            <v>0</v>
          </cell>
          <cell r="AM40">
            <v>0</v>
          </cell>
          <cell r="AN40">
            <v>0</v>
          </cell>
        </row>
        <row r="41">
          <cell r="C41">
            <v>0</v>
          </cell>
          <cell r="D41">
            <v>0</v>
          </cell>
          <cell r="W41">
            <v>0</v>
          </cell>
          <cell r="AN41">
            <v>0</v>
          </cell>
        </row>
        <row r="42">
          <cell r="A42" t="str">
            <v>TOTAL</v>
          </cell>
          <cell r="C42">
            <v>19518742.582153067</v>
          </cell>
          <cell r="D42">
            <v>4710914.0731219202</v>
          </cell>
          <cell r="E42">
            <v>0</v>
          </cell>
          <cell r="F42">
            <v>30956156.655274995</v>
          </cell>
          <cell r="G42">
            <v>29288939.524547957</v>
          </cell>
          <cell r="H42">
            <v>1656500</v>
          </cell>
          <cell r="I42">
            <v>32612656.655274983</v>
          </cell>
          <cell r="J42">
            <v>0</v>
          </cell>
          <cell r="K42">
            <v>6222000</v>
          </cell>
          <cell r="L42">
            <v>5070000</v>
          </cell>
          <cell r="M42">
            <v>192000</v>
          </cell>
          <cell r="N42">
            <v>192000</v>
          </cell>
          <cell r="O42">
            <v>768000</v>
          </cell>
          <cell r="P42">
            <v>42000</v>
          </cell>
          <cell r="Q42">
            <v>75000</v>
          </cell>
          <cell r="R42">
            <v>120000</v>
          </cell>
          <cell r="S42">
            <v>20488500</v>
          </cell>
          <cell r="T42">
            <v>1656500</v>
          </cell>
          <cell r="U42">
            <v>0</v>
          </cell>
          <cell r="V42">
            <v>3610000</v>
          </cell>
          <cell r="W42">
            <v>16878500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154000</v>
          </cell>
          <cell r="AG42">
            <v>300000</v>
          </cell>
          <cell r="AH42">
            <v>100000</v>
          </cell>
          <cell r="AI42">
            <v>600000</v>
          </cell>
          <cell r="AJ42">
            <v>0</v>
          </cell>
          <cell r="AK42">
            <v>0</v>
          </cell>
          <cell r="AM42">
            <v>1656500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BF896-57B9-4E7C-B912-9EF13E5904CD}">
  <dimension ref="A1:R42"/>
  <sheetViews>
    <sheetView tabSelected="1" zoomScale="93" zoomScaleNormal="93" workbookViewId="0">
      <pane xSplit="2" ySplit="5" topLeftCell="C6" activePane="bottomRight" state="frozen"/>
      <selection activeCell="B43" sqref="B43"/>
      <selection pane="topRight" activeCell="B43" sqref="B43"/>
      <selection pane="bottomLeft" activeCell="B43" sqref="B43"/>
      <selection pane="bottomRight" activeCell="B10" sqref="B10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16.81640625" bestFit="1" customWidth="1"/>
    <col min="4" max="4" width="17.54296875" style="2" customWidth="1"/>
    <col min="5" max="5" width="15.7265625" style="3" customWidth="1"/>
    <col min="6" max="8" width="12.453125" style="3" customWidth="1"/>
    <col min="9" max="9" width="16.81640625" style="3" bestFit="1" customWidth="1"/>
    <col min="10" max="10" width="16.81640625" style="3" customWidth="1"/>
    <col min="11" max="11" width="14.6328125" bestFit="1" customWidth="1"/>
    <col min="12" max="12" width="17.1796875" customWidth="1"/>
    <col min="13" max="13" width="12.453125" style="3" bestFit="1" customWidth="1"/>
    <col min="14" max="14" width="13.08984375" bestFit="1" customWidth="1"/>
    <col min="17" max="17" width="12.453125" bestFit="1" customWidth="1"/>
  </cols>
  <sheetData>
    <row r="1" spans="1:18" ht="26" x14ac:dyDescent="0.35">
      <c r="A1" s="1" t="s">
        <v>0</v>
      </c>
      <c r="B1" s="1" t="s">
        <v>1</v>
      </c>
      <c r="C1" s="1"/>
      <c r="M1" s="4"/>
    </row>
    <row r="2" spans="1:18" ht="26" x14ac:dyDescent="0.6">
      <c r="A2" s="1" t="s">
        <v>2</v>
      </c>
      <c r="B2" s="1">
        <v>2024</v>
      </c>
      <c r="C2" s="1"/>
      <c r="M2" s="5"/>
    </row>
    <row r="3" spans="1:18" ht="23.5" x14ac:dyDescent="0.55000000000000004">
      <c r="A3" s="37" t="s">
        <v>67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5" thickBot="1" x14ac:dyDescent="0.4">
      <c r="A4" s="6"/>
      <c r="B4" s="6"/>
      <c r="D4"/>
      <c r="E4"/>
      <c r="F4"/>
      <c r="G4"/>
      <c r="H4"/>
      <c r="I4" s="6"/>
      <c r="J4" s="6"/>
      <c r="K4" s="6"/>
      <c r="L4" s="6"/>
      <c r="M4" s="6"/>
      <c r="N4" s="6"/>
      <c r="O4" s="6"/>
      <c r="P4" s="6"/>
      <c r="Q4" s="6"/>
    </row>
    <row r="5" spans="1:18" ht="43" thickTop="1" x14ac:dyDescent="0.35">
      <c r="A5" s="29" t="s">
        <v>3</v>
      </c>
      <c r="B5" s="30" t="s">
        <v>4</v>
      </c>
      <c r="C5" s="31" t="s">
        <v>5</v>
      </c>
      <c r="D5" s="30" t="s">
        <v>6</v>
      </c>
      <c r="E5" s="31" t="s">
        <v>7</v>
      </c>
      <c r="F5" s="31" t="s">
        <v>8</v>
      </c>
      <c r="G5" s="31" t="s">
        <v>9</v>
      </c>
      <c r="H5" s="31" t="s">
        <v>10</v>
      </c>
      <c r="I5" s="31" t="s">
        <v>11</v>
      </c>
      <c r="J5" s="31" t="s">
        <v>12</v>
      </c>
      <c r="K5" s="31" t="s">
        <v>13</v>
      </c>
      <c r="L5" s="38" t="s">
        <v>17</v>
      </c>
      <c r="M5" s="38" t="s">
        <v>16</v>
      </c>
      <c r="N5" s="38" t="s">
        <v>7</v>
      </c>
      <c r="O5" s="38" t="s">
        <v>8</v>
      </c>
      <c r="P5" s="38" t="s">
        <v>14</v>
      </c>
      <c r="Q5" s="38" t="s">
        <v>15</v>
      </c>
      <c r="R5" s="39" t="s">
        <v>66</v>
      </c>
    </row>
    <row r="6" spans="1:18" ht="15.5" x14ac:dyDescent="0.35">
      <c r="A6" s="9" t="s">
        <v>18</v>
      </c>
      <c r="B6" s="13" t="str">
        <f>VLOOKUP(A6,[12]LISTADHERENT!A$5:H$60,3,0)</f>
        <v>ASELBY</v>
      </c>
      <c r="C6" s="40">
        <f>[16]MVTRESUME24!C7+[16]MVTRESUME24!D7</f>
        <v>886523.25892224163</v>
      </c>
      <c r="D6" s="40">
        <f>+[16]MVTRESUME24!L7</f>
        <v>0</v>
      </c>
      <c r="E6" s="40">
        <f>+[16]MVTRESUME24!M7</f>
        <v>0</v>
      </c>
      <c r="F6" s="40">
        <f>+[16]MVTRESUME24!N7</f>
        <v>0</v>
      </c>
      <c r="G6" s="40">
        <f>+[16]MVTRESUME24!O7</f>
        <v>0</v>
      </c>
      <c r="H6" s="40">
        <f>+[16]MVTRESUME24!P7</f>
        <v>0</v>
      </c>
      <c r="I6" s="40">
        <f>+[16]MVTRESUME24!Q7</f>
        <v>0</v>
      </c>
      <c r="J6" s="40">
        <f>+[16]MVTRESUME24!R7</f>
        <v>0</v>
      </c>
      <c r="K6" s="40">
        <f>+[16]MVTRESUME24!W7</f>
        <v>0</v>
      </c>
      <c r="L6" s="41">
        <f>+[16]MVTRESUME24!AM7</f>
        <v>0</v>
      </c>
      <c r="M6" s="42" t="str">
        <f>IF(L6=0,"",VLOOKUP(A6,[16]MVTRESUME24!A7:AQ41,38,0))</f>
        <v/>
      </c>
      <c r="N6" s="40">
        <f>+[16]MVTRESUME24!AF7</f>
        <v>154000</v>
      </c>
      <c r="O6" s="40">
        <f>+[16]MVTRESUME24!AG7</f>
        <v>300000</v>
      </c>
      <c r="P6" s="40">
        <f>+[16]MVTRESUME24!AH7</f>
        <v>100000</v>
      </c>
      <c r="Q6" s="40">
        <f>+[16]MVTRESUME24!AI7</f>
        <v>200000</v>
      </c>
      <c r="R6" s="43">
        <f>[16]MVTRESUME24!AN7</f>
        <v>0</v>
      </c>
    </row>
    <row r="7" spans="1:18" ht="15.5" x14ac:dyDescent="0.35">
      <c r="A7" s="9" t="s">
        <v>19</v>
      </c>
      <c r="B7" s="13" t="str">
        <f>VLOOKUP(A7,[12]LISTADHERENT!A$5:H$60,3,0)</f>
        <v>BAKOP ACHILLE</v>
      </c>
      <c r="C7" s="40">
        <f>[16]MVTRESUME24!C8+[16]MVTRESUME24!D8</f>
        <v>678482.49636100209</v>
      </c>
      <c r="D7" s="40">
        <f>+[16]MVTRESUME24!L8</f>
        <v>129000</v>
      </c>
      <c r="E7" s="40">
        <f>+[16]MVTRESUME24!M8</f>
        <v>6000</v>
      </c>
      <c r="F7" s="40">
        <f>+[16]MVTRESUME24!N8</f>
        <v>6000</v>
      </c>
      <c r="G7" s="40">
        <f>+[16]MVTRESUME24!O8</f>
        <v>24000</v>
      </c>
      <c r="H7" s="40">
        <f>+[16]MVTRESUME24!P8</f>
        <v>3000</v>
      </c>
      <c r="I7" s="40">
        <f>+[16]MVTRESUME24!Q8</f>
        <v>0</v>
      </c>
      <c r="J7" s="40">
        <f>+[16]MVTRESUME24!R8</f>
        <v>0</v>
      </c>
      <c r="K7" s="40">
        <f>+[16]MVTRESUME24!W8</f>
        <v>600000</v>
      </c>
      <c r="L7" s="41">
        <f>+[16]MVTRESUME24!AM8</f>
        <v>24000</v>
      </c>
      <c r="M7" s="42">
        <f>IF(L7=0,"",VLOOKUP(A7,[16]MVTRESUME24!A8:AQ42,38,0))</f>
        <v>45474</v>
      </c>
      <c r="N7" s="40">
        <v>0</v>
      </c>
      <c r="O7" s="40">
        <v>0</v>
      </c>
      <c r="P7" s="40">
        <v>0</v>
      </c>
      <c r="Q7" s="40">
        <v>0</v>
      </c>
      <c r="R7" s="44"/>
    </row>
    <row r="8" spans="1:18" ht="15.5" x14ac:dyDescent="0.35">
      <c r="A8" s="9" t="s">
        <v>20</v>
      </c>
      <c r="B8" s="13" t="str">
        <f>VLOOKUP(A8,[12]LISTADHERENT!A$5:H$60,3,0)</f>
        <v>BOUTCHOUANG WILLIAM</v>
      </c>
      <c r="C8" s="40">
        <f>[16]MVTRESUME24!C9+[16]MVTRESUME24!D9</f>
        <v>700033.12626320519</v>
      </c>
      <c r="D8" s="40">
        <f>+[16]MVTRESUME24!L9</f>
        <v>111000</v>
      </c>
      <c r="E8" s="40">
        <f>+[16]MVTRESUME24!M9</f>
        <v>6000</v>
      </c>
      <c r="F8" s="40">
        <f>+[16]MVTRESUME24!N9</f>
        <v>6000</v>
      </c>
      <c r="G8" s="40">
        <f>+[16]MVTRESUME24!O9</f>
        <v>24000</v>
      </c>
      <c r="H8" s="40">
        <f>+[16]MVTRESUME24!P9</f>
        <v>3000</v>
      </c>
      <c r="I8" s="40">
        <f>+[16]MVTRESUME24!Q9</f>
        <v>0</v>
      </c>
      <c r="J8" s="40">
        <f>+[16]MVTRESUME24!R9</f>
        <v>0</v>
      </c>
      <c r="K8" s="40">
        <f>+[16]MVTRESUME24!W9</f>
        <v>500000</v>
      </c>
      <c r="L8" s="41">
        <f>+[16]MVTRESUME24!AM9</f>
        <v>40000</v>
      </c>
      <c r="M8" s="42">
        <f>IF(L8=0,"",VLOOKUP(A8,[16]MVTRESUME24!A9:AQ43,38,0))</f>
        <v>45352</v>
      </c>
      <c r="N8" s="40">
        <v>0</v>
      </c>
      <c r="O8" s="40">
        <v>0</v>
      </c>
      <c r="P8" s="40">
        <v>0</v>
      </c>
      <c r="Q8" s="40">
        <v>0</v>
      </c>
      <c r="R8" s="44"/>
    </row>
    <row r="9" spans="1:18" ht="15.5" x14ac:dyDescent="0.35">
      <c r="A9" s="9" t="s">
        <v>21</v>
      </c>
      <c r="B9" s="13" t="str">
        <f>VLOOKUP(A9,[12]LISTADHERENT!A$5:H$60,3,0)</f>
        <v xml:space="preserve">DJOMO JEAN PAUL </v>
      </c>
      <c r="C9" s="40">
        <f>[16]MVTRESUME24!C10+[16]MVTRESUME24!D10</f>
        <v>753357.82624304004</v>
      </c>
      <c r="D9" s="40">
        <f>+[16]MVTRESUME24!L10</f>
        <v>111500</v>
      </c>
      <c r="E9" s="40">
        <f>+[16]MVTRESUME24!M10</f>
        <v>6000</v>
      </c>
      <c r="F9" s="40">
        <f>+[16]MVTRESUME24!N10</f>
        <v>6000</v>
      </c>
      <c r="G9" s="40">
        <f>+[16]MVTRESUME24!O10</f>
        <v>24000</v>
      </c>
      <c r="H9" s="40">
        <f>+[16]MVTRESUME24!P10</f>
        <v>0</v>
      </c>
      <c r="I9" s="40">
        <f>+[16]MVTRESUME24!Q10</f>
        <v>0</v>
      </c>
      <c r="J9" s="40">
        <f>+[16]MVTRESUME24!R10</f>
        <v>0</v>
      </c>
      <c r="K9" s="40">
        <f>+[16]MVTRESUME24!W10</f>
        <v>1000000</v>
      </c>
      <c r="L9" s="41">
        <f>+[16]MVTRESUME24!AM10</f>
        <v>120000</v>
      </c>
      <c r="M9" s="42">
        <f>IF(L9=0,"",VLOOKUP(A9,[16]MVTRESUME24!A10:AQ44,38,0))</f>
        <v>45627</v>
      </c>
      <c r="N9" s="40">
        <v>0</v>
      </c>
      <c r="O9" s="40">
        <v>0</v>
      </c>
      <c r="P9" s="40">
        <v>0</v>
      </c>
      <c r="Q9" s="40">
        <v>0</v>
      </c>
      <c r="R9" s="44"/>
    </row>
    <row r="10" spans="1:18" ht="15.5" x14ac:dyDescent="0.35">
      <c r="A10" s="9" t="s">
        <v>22</v>
      </c>
      <c r="B10" s="13" t="str">
        <f>VLOOKUP(A10,[12]LISTADHERENT!A$5:H$60,3,0)</f>
        <v>DJOMOU TCHAPDA</v>
      </c>
      <c r="C10" s="40">
        <f>[16]MVTRESUME24!C11+[16]MVTRESUME24!D11</f>
        <v>700294.6792959054</v>
      </c>
      <c r="D10" s="40">
        <f>+[16]MVTRESUME24!L11</f>
        <v>106000</v>
      </c>
      <c r="E10" s="40">
        <f>+[16]MVTRESUME24!M11</f>
        <v>6000</v>
      </c>
      <c r="F10" s="40">
        <f>+[16]MVTRESUME24!N11</f>
        <v>6000</v>
      </c>
      <c r="G10" s="40">
        <f>+[16]MVTRESUME24!O11</f>
        <v>24000</v>
      </c>
      <c r="H10" s="40">
        <f>+[16]MVTRESUME24!P11</f>
        <v>6000</v>
      </c>
      <c r="I10" s="40">
        <f>+[16]MVTRESUME24!Q11</f>
        <v>0</v>
      </c>
      <c r="J10" s="40">
        <f>+[16]MVTRESUME24!R11</f>
        <v>0</v>
      </c>
      <c r="K10" s="40">
        <f>+[16]MVTRESUME24!W11</f>
        <v>1000000</v>
      </c>
      <c r="L10" s="41">
        <f>+[16]MVTRESUME24!AM11</f>
        <v>120000</v>
      </c>
      <c r="M10" s="42">
        <f>IF(L10=0,"",VLOOKUP(A10,[16]MVTRESUME24!A11:AQ45,38,0))</f>
        <v>45627</v>
      </c>
      <c r="N10" s="40">
        <v>0</v>
      </c>
      <c r="O10" s="40">
        <v>0</v>
      </c>
      <c r="P10" s="40">
        <v>0</v>
      </c>
      <c r="Q10" s="40">
        <v>0</v>
      </c>
      <c r="R10" s="44"/>
    </row>
    <row r="11" spans="1:18" ht="15.5" x14ac:dyDescent="0.35">
      <c r="A11" s="9" t="s">
        <v>23</v>
      </c>
      <c r="B11" s="13" t="str">
        <f>VLOOKUP(A11,[12]LISTADHERENT!A$5:H$60,3,0)</f>
        <v>DJOUKWE NANGUEN GUY BLAISE</v>
      </c>
      <c r="C11" s="40">
        <f>[16]MVTRESUME24!C12+[16]MVTRESUME24!D12</f>
        <v>702196.76789740683</v>
      </c>
      <c r="D11" s="40">
        <f>+[16]MVTRESUME24!L12</f>
        <v>134000</v>
      </c>
      <c r="E11" s="40">
        <f>+[16]MVTRESUME24!M12</f>
        <v>6000</v>
      </c>
      <c r="F11" s="40">
        <f>+[16]MVTRESUME24!N12</f>
        <v>6000</v>
      </c>
      <c r="G11" s="40">
        <f>+[16]MVTRESUME24!O12</f>
        <v>24000</v>
      </c>
      <c r="H11" s="40">
        <f>+[16]MVTRESUME24!P12</f>
        <v>0</v>
      </c>
      <c r="I11" s="40">
        <f>+[16]MVTRESUME24!Q12</f>
        <v>0</v>
      </c>
      <c r="J11" s="40">
        <f>+[16]MVTRESUME24!R12</f>
        <v>0</v>
      </c>
      <c r="K11" s="40">
        <f>+[16]MVTRESUME24!W12</f>
        <v>1000000</v>
      </c>
      <c r="L11" s="41">
        <f>+[16]MVTRESUME24!AM12</f>
        <v>60000</v>
      </c>
      <c r="M11" s="42">
        <f>IF(L11=0,"",VLOOKUP(A11,[16]MVTRESUME24!A12:AQ46,38,0))</f>
        <v>45352</v>
      </c>
      <c r="N11" s="40">
        <v>0</v>
      </c>
      <c r="O11" s="40">
        <v>0</v>
      </c>
      <c r="P11" s="40">
        <v>0</v>
      </c>
      <c r="Q11" s="40">
        <v>0</v>
      </c>
      <c r="R11" s="44"/>
    </row>
    <row r="12" spans="1:18" ht="15.5" x14ac:dyDescent="0.35">
      <c r="A12" s="9" t="s">
        <v>24</v>
      </c>
      <c r="B12" s="13" t="str">
        <f>VLOOKUP(A12,[12]LISTADHERENT!A$5:H$60,3,0)</f>
        <v>DJUOMBESSY ANTOINE</v>
      </c>
      <c r="C12" s="40">
        <f>[16]MVTRESUME24!C13+[16]MVTRESUME24!D13</f>
        <v>714513.27745162044</v>
      </c>
      <c r="D12" s="40">
        <f>+[16]MVTRESUME24!L13</f>
        <v>148000</v>
      </c>
      <c r="E12" s="40">
        <f>+[16]MVTRESUME24!M13</f>
        <v>6000</v>
      </c>
      <c r="F12" s="40">
        <f>+[16]MVTRESUME24!N13</f>
        <v>6000</v>
      </c>
      <c r="G12" s="40">
        <f>+[16]MVTRESUME24!O13</f>
        <v>24000</v>
      </c>
      <c r="H12" s="40">
        <f>+[16]MVTRESUME24!P13</f>
        <v>0</v>
      </c>
      <c r="I12" s="40">
        <f>+[16]MVTRESUME24!Q13</f>
        <v>0</v>
      </c>
      <c r="J12" s="40">
        <f>+[16]MVTRESUME24!R13</f>
        <v>0</v>
      </c>
      <c r="K12" s="40">
        <f>+[16]MVTRESUME24!W13</f>
        <v>140000</v>
      </c>
      <c r="L12" s="41">
        <f>+[16]MVTRESUME24!AM13</f>
        <v>60000</v>
      </c>
      <c r="M12" s="42">
        <f>IF(L12=0,"",VLOOKUP(A12,[16]MVTRESUME24!A13:AQ47,38,0))</f>
        <v>45474</v>
      </c>
      <c r="N12" s="40">
        <v>0</v>
      </c>
      <c r="O12" s="40">
        <v>0</v>
      </c>
      <c r="P12" s="40">
        <v>0</v>
      </c>
      <c r="Q12" s="40">
        <v>0</v>
      </c>
      <c r="R12" s="44"/>
    </row>
    <row r="13" spans="1:18" ht="15.5" x14ac:dyDescent="0.35">
      <c r="A13" s="9" t="s">
        <v>25</v>
      </c>
      <c r="B13" s="13" t="str">
        <f>VLOOKUP(A13,[12]LISTADHERENT!A$5:H$60,3,0)</f>
        <v>DOMOU FABIEN</v>
      </c>
      <c r="C13" s="40">
        <f>[16]MVTRESUME24!C14+[16]MVTRESUME24!D14</f>
        <v>700041.23580590985</v>
      </c>
      <c r="D13" s="40">
        <f>+[16]MVTRESUME24!L14</f>
        <v>114000</v>
      </c>
      <c r="E13" s="40">
        <f>+[16]MVTRESUME24!M14</f>
        <v>6000</v>
      </c>
      <c r="F13" s="40">
        <f>+[16]MVTRESUME24!N14</f>
        <v>6000</v>
      </c>
      <c r="G13" s="40">
        <f>+[16]MVTRESUME24!O14</f>
        <v>24000</v>
      </c>
      <c r="H13" s="40">
        <f>+[16]MVTRESUME24!P14</f>
        <v>0</v>
      </c>
      <c r="I13" s="40">
        <f>+[16]MVTRESUME24!Q14</f>
        <v>0</v>
      </c>
      <c r="J13" s="40">
        <f>+[16]MVTRESUME24!R14</f>
        <v>0</v>
      </c>
      <c r="K13" s="40">
        <f>+[16]MVTRESUME24!W14</f>
        <v>1000000</v>
      </c>
      <c r="L13" s="41">
        <f>+[16]MVTRESUME24!AM14</f>
        <v>120000</v>
      </c>
      <c r="M13" s="42">
        <f>IF(L13=0,"",VLOOKUP(A13,[16]MVTRESUME24!A14:AQ48,38,0))</f>
        <v>45627</v>
      </c>
      <c r="N13" s="40">
        <v>0</v>
      </c>
      <c r="O13" s="40">
        <v>0</v>
      </c>
      <c r="P13" s="40">
        <v>0</v>
      </c>
      <c r="Q13" s="40">
        <v>0</v>
      </c>
      <c r="R13" s="44"/>
    </row>
    <row r="14" spans="1:18" ht="15.5" x14ac:dyDescent="0.35">
      <c r="A14" s="9" t="s">
        <v>26</v>
      </c>
      <c r="B14" s="13" t="str">
        <f>VLOOKUP(A14,[12]LISTADHERENT!A$5:H$60,3,0)</f>
        <v>DONHOU DAVID</v>
      </c>
      <c r="C14" s="40">
        <f>[16]MVTRESUME24!C15+[16]MVTRESUME24!D15</f>
        <v>1218031.291016574</v>
      </c>
      <c r="D14" s="40">
        <f>+[16]MVTRESUME24!L15</f>
        <v>114000</v>
      </c>
      <c r="E14" s="40">
        <f>+[16]MVTRESUME24!M15</f>
        <v>6000</v>
      </c>
      <c r="F14" s="40">
        <f>+[16]MVTRESUME24!N15</f>
        <v>6000</v>
      </c>
      <c r="G14" s="40">
        <f>+[16]MVTRESUME24!O15</f>
        <v>24000</v>
      </c>
      <c r="H14" s="40">
        <f>+[16]MVTRESUME24!P15</f>
        <v>0</v>
      </c>
      <c r="I14" s="40">
        <f>+[16]MVTRESUME24!Q15</f>
        <v>0</v>
      </c>
      <c r="J14" s="40">
        <f>+[16]MVTRESUME24!R15</f>
        <v>0</v>
      </c>
      <c r="K14" s="40">
        <f>+[16]MVTRESUME24!W15</f>
        <v>0</v>
      </c>
      <c r="L14" s="41">
        <f>+[16]MVTRESUME24!AM15</f>
        <v>0</v>
      </c>
      <c r="M14" s="42" t="str">
        <f>IF(L14=0,"",VLOOKUP(A14,[16]MVTRESUME24!A15:AQ49,38,0))</f>
        <v/>
      </c>
      <c r="N14" s="40">
        <v>0</v>
      </c>
      <c r="O14" s="40">
        <v>0</v>
      </c>
      <c r="P14" s="40">
        <v>0</v>
      </c>
      <c r="Q14" s="40">
        <v>0</v>
      </c>
      <c r="R14" s="44"/>
    </row>
    <row r="15" spans="1:18" ht="14.25" customHeight="1" x14ac:dyDescent="0.35">
      <c r="A15" s="9" t="s">
        <v>27</v>
      </c>
      <c r="B15" s="13" t="str">
        <f>VLOOKUP(A15,[12]LISTADHERENT!A$5:H$60,3,0)</f>
        <v>HENGUE PAUL OMER</v>
      </c>
      <c r="C15" s="40">
        <f>[16]MVTRESUME24!C16+[16]MVTRESUME24!D16</f>
        <v>757899.60350092198</v>
      </c>
      <c r="D15" s="40">
        <f>+[16]MVTRESUME24!L16</f>
        <v>114000</v>
      </c>
      <c r="E15" s="40">
        <f>+[16]MVTRESUME24!M16</f>
        <v>6000</v>
      </c>
      <c r="F15" s="40">
        <f>+[16]MVTRESUME24!N16</f>
        <v>6000</v>
      </c>
      <c r="G15" s="40">
        <f>+[16]MVTRESUME24!O16</f>
        <v>24000</v>
      </c>
      <c r="H15" s="40">
        <f>+[16]MVTRESUME24!P16</f>
        <v>0</v>
      </c>
      <c r="I15" s="40">
        <f>+[16]MVTRESUME24!Q16</f>
        <v>0</v>
      </c>
      <c r="J15" s="40">
        <f>+[16]MVTRESUME24!R16</f>
        <v>0</v>
      </c>
      <c r="K15" s="40">
        <f>+[16]MVTRESUME24!W16</f>
        <v>1000000</v>
      </c>
      <c r="L15" s="41">
        <f>+[16]MVTRESUME24!AM16</f>
        <v>70000</v>
      </c>
      <c r="M15" s="42">
        <f>IF(L15=0,"",VLOOKUP(A15,[16]MVTRESUME24!A16:AQ50,38,0))</f>
        <v>45627</v>
      </c>
      <c r="N15" s="40">
        <v>0</v>
      </c>
      <c r="O15" s="40">
        <v>0</v>
      </c>
      <c r="P15" s="40">
        <v>0</v>
      </c>
      <c r="Q15" s="40">
        <v>0</v>
      </c>
      <c r="R15" s="44"/>
    </row>
    <row r="16" spans="1:18" ht="15.5" x14ac:dyDescent="0.35">
      <c r="A16" s="9" t="s">
        <v>28</v>
      </c>
      <c r="B16" s="13" t="str">
        <f>VLOOKUP(A16,[12]LISTADHERENT!A$5:H$60,3,0)</f>
        <v>HOTCHO BENJAMIN</v>
      </c>
      <c r="C16" s="40">
        <f>[16]MVTRESUME24!C17+[16]MVTRESUME24!D17</f>
        <v>729661.20810410159</v>
      </c>
      <c r="D16" s="40">
        <f>+[16]MVTRESUME24!L17</f>
        <v>324000</v>
      </c>
      <c r="E16" s="40">
        <f>+[16]MVTRESUME24!M17</f>
        <v>6000</v>
      </c>
      <c r="F16" s="40">
        <f>+[16]MVTRESUME24!N17</f>
        <v>6000</v>
      </c>
      <c r="G16" s="40">
        <f>+[16]MVTRESUME24!O17</f>
        <v>24000</v>
      </c>
      <c r="H16" s="40">
        <f>+[16]MVTRESUME24!P17</f>
        <v>0</v>
      </c>
      <c r="I16" s="40">
        <f>+[16]MVTRESUME24!Q17</f>
        <v>0</v>
      </c>
      <c r="J16" s="40">
        <f>+[16]MVTRESUME24!R17</f>
        <v>0</v>
      </c>
      <c r="K16" s="40">
        <f>+[16]MVTRESUME24!W17</f>
        <v>238500</v>
      </c>
      <c r="L16" s="41">
        <f>+[16]MVTRESUME24!AM17</f>
        <v>0</v>
      </c>
      <c r="M16" s="42" t="str">
        <f>IF(L16=0,"",VLOOKUP(A16,[16]MVTRESUME24!A17:AQ51,38,0))</f>
        <v/>
      </c>
      <c r="N16" s="40">
        <v>0</v>
      </c>
      <c r="O16" s="40">
        <v>0</v>
      </c>
      <c r="P16" s="40">
        <v>0</v>
      </c>
      <c r="Q16" s="40">
        <v>0</v>
      </c>
      <c r="R16" s="44"/>
    </row>
    <row r="17" spans="1:18" ht="15.5" x14ac:dyDescent="0.35">
      <c r="A17" s="9" t="s">
        <v>29</v>
      </c>
      <c r="B17" s="13" t="str">
        <f>VLOOKUP(A17,[12]LISTADHERENT!A$5:H$60,3,0)</f>
        <v>KOUAMOU MOISE</v>
      </c>
      <c r="C17" s="40">
        <f>[16]MVTRESUME24!C18+[16]MVTRESUME24!D18</f>
        <v>709267.50515287893</v>
      </c>
      <c r="D17" s="40">
        <f>+[16]MVTRESUME24!L18</f>
        <v>114500</v>
      </c>
      <c r="E17" s="40">
        <f>+[16]MVTRESUME24!M18</f>
        <v>6000</v>
      </c>
      <c r="F17" s="40">
        <f>+[16]MVTRESUME24!N18</f>
        <v>6000</v>
      </c>
      <c r="G17" s="40">
        <f>+[16]MVTRESUME24!O18</f>
        <v>24000</v>
      </c>
      <c r="H17" s="40">
        <f>+[16]MVTRESUME24!P18</f>
        <v>0</v>
      </c>
      <c r="I17" s="40">
        <f>+[16]MVTRESUME24!Q18</f>
        <v>0</v>
      </c>
      <c r="J17" s="40">
        <f>+[16]MVTRESUME24!R18</f>
        <v>0</v>
      </c>
      <c r="K17" s="40">
        <f>+[16]MVTRESUME24!W18</f>
        <v>500000</v>
      </c>
      <c r="L17" s="41">
        <f>+[16]MVTRESUME24!AM18</f>
        <v>110000</v>
      </c>
      <c r="M17" s="42">
        <f>IF(L17=0,"",VLOOKUP(A17,[16]MVTRESUME24!A18:AQ52,38,0))</f>
        <v>45627</v>
      </c>
      <c r="N17" s="40">
        <v>0</v>
      </c>
      <c r="O17" s="40">
        <v>0</v>
      </c>
      <c r="P17" s="40">
        <v>0</v>
      </c>
      <c r="Q17" s="40">
        <v>100000</v>
      </c>
      <c r="R17" s="44"/>
    </row>
    <row r="18" spans="1:18" ht="15.5" x14ac:dyDescent="0.35">
      <c r="A18" s="9" t="s">
        <v>30</v>
      </c>
      <c r="B18" s="13" t="str">
        <f>VLOOKUP(A18,[12]LISTADHERENT!A$5:H$60,3,0)</f>
        <v>KOUATCHO MESSACK</v>
      </c>
      <c r="C18" s="40">
        <f>[16]MVTRESUME24!C19+[16]MVTRESUME24!D19</f>
        <v>724428.62806524511</v>
      </c>
      <c r="D18" s="40">
        <f>+[16]MVTRESUME24!L19</f>
        <v>164000</v>
      </c>
      <c r="E18" s="40">
        <f>+[16]MVTRESUME24!M19</f>
        <v>6000</v>
      </c>
      <c r="F18" s="40">
        <f>+[16]MVTRESUME24!N19</f>
        <v>6000</v>
      </c>
      <c r="G18" s="40">
        <f>+[16]MVTRESUME24!O19</f>
        <v>24000</v>
      </c>
      <c r="H18" s="40">
        <f>+[16]MVTRESUME24!P19</f>
        <v>3000</v>
      </c>
      <c r="I18" s="40">
        <f>+[16]MVTRESUME24!Q19</f>
        <v>0</v>
      </c>
      <c r="J18" s="40">
        <f>+[16]MVTRESUME24!R19</f>
        <v>0</v>
      </c>
      <c r="K18" s="40">
        <f>+[16]MVTRESUME24!W19</f>
        <v>350000</v>
      </c>
      <c r="L18" s="41">
        <f>+[16]MVTRESUME24!AM19</f>
        <v>64000</v>
      </c>
      <c r="M18" s="42">
        <f>IF(L18=0,"",VLOOKUP(A18,[16]MVTRESUME24!A19:AQ53,38,0))</f>
        <v>45474</v>
      </c>
      <c r="N18" s="40">
        <v>0</v>
      </c>
      <c r="O18" s="40">
        <v>0</v>
      </c>
      <c r="P18" s="40">
        <v>0</v>
      </c>
      <c r="Q18" s="40">
        <v>0</v>
      </c>
      <c r="R18" s="44"/>
    </row>
    <row r="19" spans="1:18" ht="15.5" x14ac:dyDescent="0.35">
      <c r="A19" s="9" t="s">
        <v>31</v>
      </c>
      <c r="B19" s="13" t="str">
        <f>VLOOKUP(A19,[12]LISTADHERENT!A$5:H$60,3,0)</f>
        <v>LOWE JEAN</v>
      </c>
      <c r="C19" s="40">
        <f>[16]MVTRESUME24!C20+[16]MVTRESUME24!D20</f>
        <v>676217.13072703336</v>
      </c>
      <c r="D19" s="40">
        <f>+[16]MVTRESUME24!L20</f>
        <v>0</v>
      </c>
      <c r="E19" s="40">
        <f>+[16]MVTRESUME24!M20</f>
        <v>0</v>
      </c>
      <c r="F19" s="40">
        <f>+[16]MVTRESUME24!N20</f>
        <v>0</v>
      </c>
      <c r="G19" s="40">
        <f>+[16]MVTRESUME24!O20</f>
        <v>0</v>
      </c>
      <c r="H19" s="40">
        <f>+[16]MVTRESUME24!P20</f>
        <v>0</v>
      </c>
      <c r="I19" s="40">
        <f>+[16]MVTRESUME24!Q20</f>
        <v>0</v>
      </c>
      <c r="J19" s="40">
        <f>+[16]MVTRESUME24!R20</f>
        <v>0</v>
      </c>
      <c r="K19" s="40">
        <f>+[16]MVTRESUME24!W20</f>
        <v>0</v>
      </c>
      <c r="L19" s="41">
        <f>+[16]MVTRESUME24!AM20</f>
        <v>0</v>
      </c>
      <c r="M19" s="42" t="str">
        <f>IF(L19=0,"",VLOOKUP(A19,[16]MVTRESUME24!A20:AQ54,38,0))</f>
        <v/>
      </c>
      <c r="N19" s="40">
        <v>0</v>
      </c>
      <c r="O19" s="40">
        <v>0</v>
      </c>
      <c r="P19" s="40">
        <v>0</v>
      </c>
      <c r="Q19" s="40">
        <v>0</v>
      </c>
      <c r="R19" s="44"/>
    </row>
    <row r="20" spans="1:18" ht="15.5" x14ac:dyDescent="0.35">
      <c r="A20" s="9" t="s">
        <v>32</v>
      </c>
      <c r="B20" s="13" t="str">
        <f>VLOOKUP(A20,[12]LISTADHERENT!A$5:H$60,3,0)</f>
        <v>MASSEUNGOUE DAGOBERT</v>
      </c>
      <c r="C20" s="40">
        <f>[16]MVTRESUME24!C21+[16]MVTRESUME24!D21</f>
        <v>0</v>
      </c>
      <c r="D20" s="40">
        <f>+[16]MVTRESUME24!L21</f>
        <v>114000</v>
      </c>
      <c r="E20" s="40">
        <f>+[16]MVTRESUME24!M21</f>
        <v>6000</v>
      </c>
      <c r="F20" s="40">
        <f>+[16]MVTRESUME24!N21</f>
        <v>6000</v>
      </c>
      <c r="G20" s="40">
        <f>+[16]MVTRESUME24!O21</f>
        <v>24000</v>
      </c>
      <c r="H20" s="40">
        <f>+[16]MVTRESUME24!P21</f>
        <v>0</v>
      </c>
      <c r="I20" s="40">
        <f>+[16]MVTRESUME24!Q21</f>
        <v>25000</v>
      </c>
      <c r="J20" s="40">
        <f>+[16]MVTRESUME24!R21</f>
        <v>0</v>
      </c>
      <c r="K20" s="40">
        <f>+[16]MVTRESUME24!W21</f>
        <v>0</v>
      </c>
      <c r="L20" s="41">
        <f>+[16]MVTRESUME24!AM21</f>
        <v>0</v>
      </c>
      <c r="M20" s="42" t="str">
        <f>IF(L20=0,"",VLOOKUP(A20,[16]MVTRESUME24!A21:AQ55,38,0))</f>
        <v/>
      </c>
      <c r="N20" s="40">
        <v>0</v>
      </c>
      <c r="O20" s="40">
        <v>0</v>
      </c>
      <c r="P20" s="40">
        <v>0</v>
      </c>
      <c r="Q20" s="40">
        <v>0</v>
      </c>
      <c r="R20" s="44"/>
    </row>
    <row r="21" spans="1:18" ht="15.5" x14ac:dyDescent="0.35">
      <c r="A21" s="9" t="s">
        <v>33</v>
      </c>
      <c r="B21" s="13" t="str">
        <f>VLOOKUP(A21,[12]LISTADHERENT!A$5:H$60,3,0)</f>
        <v>MBOGNING TUGMA GUY</v>
      </c>
      <c r="C21" s="40">
        <f>[16]MVTRESUME24!C22+[16]MVTRESUME24!D22</f>
        <v>731709.39724118263</v>
      </c>
      <c r="D21" s="40">
        <f>+[16]MVTRESUME24!L22</f>
        <v>112500</v>
      </c>
      <c r="E21" s="40">
        <f>+[16]MVTRESUME24!M22</f>
        <v>6000</v>
      </c>
      <c r="F21" s="40">
        <f>+[16]MVTRESUME24!N22</f>
        <v>6000</v>
      </c>
      <c r="G21" s="40">
        <f>+[16]MVTRESUME24!O22</f>
        <v>24000</v>
      </c>
      <c r="H21" s="40">
        <f>+[16]MVTRESUME24!P22</f>
        <v>0</v>
      </c>
      <c r="I21" s="40">
        <f>+[16]MVTRESUME24!Q22</f>
        <v>0</v>
      </c>
      <c r="J21" s="40">
        <f>+[16]MVTRESUME24!R22</f>
        <v>0</v>
      </c>
      <c r="K21" s="40">
        <f>+[16]MVTRESUME24!W22</f>
        <v>1000000</v>
      </c>
      <c r="L21" s="41">
        <f>+[16]MVTRESUME24!AM22</f>
        <v>60000</v>
      </c>
      <c r="M21" s="42">
        <f>IF(L21=0,"",VLOOKUP(A21,[16]MVTRESUME24!A22:AQ56,38,0))</f>
        <v>45352</v>
      </c>
      <c r="N21" s="40">
        <v>0</v>
      </c>
      <c r="O21" s="40">
        <v>0</v>
      </c>
      <c r="P21" s="40">
        <v>0</v>
      </c>
      <c r="Q21" s="40">
        <v>0</v>
      </c>
      <c r="R21" s="44"/>
    </row>
    <row r="22" spans="1:18" ht="15.5" x14ac:dyDescent="0.35">
      <c r="A22" s="9" t="s">
        <v>34</v>
      </c>
      <c r="B22" s="13" t="str">
        <f>VLOOKUP(A22,[12]LISTADHERENT!A$5:H$60,3,0)</f>
        <v>NANGUEN MARTIN</v>
      </c>
      <c r="C22" s="40">
        <f>[16]MVTRESUME24!C23+[16]MVTRESUME24!D23</f>
        <v>701150.36208088184</v>
      </c>
      <c r="D22" s="40">
        <f>+[16]MVTRESUME24!L23</f>
        <v>114000</v>
      </c>
      <c r="E22" s="40">
        <f>+[16]MVTRESUME24!M23</f>
        <v>6000</v>
      </c>
      <c r="F22" s="40">
        <f>+[16]MVTRESUME24!N23</f>
        <v>6000</v>
      </c>
      <c r="G22" s="40">
        <f>+[16]MVTRESUME24!O23</f>
        <v>24000</v>
      </c>
      <c r="H22" s="40">
        <f>+[16]MVTRESUME24!P23</f>
        <v>0</v>
      </c>
      <c r="I22" s="40">
        <f>+[16]MVTRESUME24!Q23</f>
        <v>0</v>
      </c>
      <c r="J22" s="40">
        <f>+[16]MVTRESUME24!R23</f>
        <v>0</v>
      </c>
      <c r="K22" s="40">
        <f>+[16]MVTRESUME24!W23</f>
        <v>300000</v>
      </c>
      <c r="L22" s="41">
        <f>+[16]MVTRESUME24!AM23</f>
        <v>18000</v>
      </c>
      <c r="M22" s="42">
        <f>IF(L22=0,"",VLOOKUP(A22,[16]MVTRESUME24!A23:AQ57,38,0))</f>
        <v>45474</v>
      </c>
      <c r="N22" s="40">
        <v>0</v>
      </c>
      <c r="O22" s="40">
        <v>0</v>
      </c>
      <c r="P22" s="40">
        <v>0</v>
      </c>
      <c r="Q22" s="40">
        <v>0</v>
      </c>
      <c r="R22" s="44"/>
    </row>
    <row r="23" spans="1:18" ht="15.5" x14ac:dyDescent="0.35">
      <c r="A23" s="9" t="s">
        <v>35</v>
      </c>
      <c r="B23" s="13" t="str">
        <f>VLOOKUP(A23,[12]LISTADHERENT!A$5:H$60,3,0)</f>
        <v>NANKAM APPOLINAIRE</v>
      </c>
      <c r="C23" s="40">
        <f>[16]MVTRESUME24!C24+[16]MVTRESUME24!D24</f>
        <v>800402.23439018801</v>
      </c>
      <c r="D23" s="40">
        <f>+[16]MVTRESUME24!L24</f>
        <v>114000</v>
      </c>
      <c r="E23" s="40">
        <f>+[16]MVTRESUME24!M24</f>
        <v>6000</v>
      </c>
      <c r="F23" s="40">
        <f>+[16]MVTRESUME24!N24</f>
        <v>6000</v>
      </c>
      <c r="G23" s="40">
        <f>+[16]MVTRESUME24!O24</f>
        <v>24000</v>
      </c>
      <c r="H23" s="40">
        <f>+[16]MVTRESUME24!P24</f>
        <v>3000</v>
      </c>
      <c r="I23" s="40">
        <f>+[16]MVTRESUME24!Q24</f>
        <v>0</v>
      </c>
      <c r="J23" s="40">
        <f>+[16]MVTRESUME24!R24</f>
        <v>0</v>
      </c>
      <c r="K23" s="40">
        <f>+[16]MVTRESUME24!W24</f>
        <v>1000000</v>
      </c>
      <c r="L23" s="41">
        <f>+[16]MVTRESUME24!AM24</f>
        <v>120000</v>
      </c>
      <c r="M23" s="42">
        <f>IF(L23=0,"",VLOOKUP(A23,[16]MVTRESUME24!A24:AQ58,38,0))</f>
        <v>45627</v>
      </c>
      <c r="N23" s="40">
        <v>0</v>
      </c>
      <c r="O23" s="40">
        <v>0</v>
      </c>
      <c r="P23" s="40">
        <v>0</v>
      </c>
      <c r="Q23" s="40">
        <v>0</v>
      </c>
      <c r="R23" s="44"/>
    </row>
    <row r="24" spans="1:18" ht="15.5" x14ac:dyDescent="0.35">
      <c r="A24" s="9" t="s">
        <v>36</v>
      </c>
      <c r="B24" s="13" t="str">
        <f>VLOOKUP(A24,[12]LISTADHERENT!A$5:H$60,3,0)</f>
        <v>NDJOMO ETIENNE</v>
      </c>
      <c r="C24" s="40">
        <f>[16]MVTRESUME24!C25+[16]MVTRESUME24!D25</f>
        <v>924970.61781197961</v>
      </c>
      <c r="D24" s="40">
        <f>+[16]MVTRESUME24!L25</f>
        <v>184000</v>
      </c>
      <c r="E24" s="40">
        <f>+[16]MVTRESUME24!M25</f>
        <v>6000</v>
      </c>
      <c r="F24" s="40">
        <f>+[16]MVTRESUME24!N25</f>
        <v>6000</v>
      </c>
      <c r="G24" s="40">
        <f>+[16]MVTRESUME24!O25</f>
        <v>24000</v>
      </c>
      <c r="H24" s="40">
        <f>+[16]MVTRESUME24!P25</f>
        <v>0</v>
      </c>
      <c r="I24" s="40">
        <f>+[16]MVTRESUME24!Q25</f>
        <v>0</v>
      </c>
      <c r="J24" s="40">
        <f>+[16]MVTRESUME24!R25</f>
        <v>0</v>
      </c>
      <c r="K24" s="40">
        <f>+[16]MVTRESUME24!W25</f>
        <v>500000</v>
      </c>
      <c r="L24" s="41">
        <f>+[16]MVTRESUME24!AM25</f>
        <v>30000</v>
      </c>
      <c r="M24" s="42">
        <f>IF(L24=0,"",VLOOKUP(A24,[16]MVTRESUME24!A25:AQ59,38,0))</f>
        <v>45474</v>
      </c>
      <c r="N24" s="40">
        <v>0</v>
      </c>
      <c r="O24" s="40">
        <v>0</v>
      </c>
      <c r="P24" s="40">
        <v>0</v>
      </c>
      <c r="Q24" s="40">
        <v>0</v>
      </c>
      <c r="R24" s="44"/>
    </row>
    <row r="25" spans="1:18" ht="15.5" x14ac:dyDescent="0.35">
      <c r="A25" s="9" t="s">
        <v>37</v>
      </c>
      <c r="B25" s="13" t="str">
        <f>VLOOKUP(A25,[12]LISTADHERENT!A$5:H$60,3,0)</f>
        <v>NGONDIEP CLAUDE</v>
      </c>
      <c r="C25" s="40">
        <f>[16]MVTRESUME24!C26+[16]MVTRESUME24!D26</f>
        <v>757632.73227114684</v>
      </c>
      <c r="D25" s="40">
        <f>+[16]MVTRESUME24!L26</f>
        <v>206000</v>
      </c>
      <c r="E25" s="40">
        <f>+[16]MVTRESUME24!M26</f>
        <v>6000</v>
      </c>
      <c r="F25" s="40">
        <f>+[16]MVTRESUME24!N26</f>
        <v>6000</v>
      </c>
      <c r="G25" s="40">
        <f>+[16]MVTRESUME24!O26</f>
        <v>24000</v>
      </c>
      <c r="H25" s="40">
        <f>+[16]MVTRESUME24!P26</f>
        <v>3000</v>
      </c>
      <c r="I25" s="40">
        <f>+[16]MVTRESUME24!Q26</f>
        <v>0</v>
      </c>
      <c r="J25" s="40">
        <f>+[16]MVTRESUME24!R26</f>
        <v>0</v>
      </c>
      <c r="K25" s="40">
        <f>+[16]MVTRESUME24!W26</f>
        <v>1000000</v>
      </c>
      <c r="L25" s="41">
        <f>+[16]MVTRESUME24!AM26</f>
        <v>120000</v>
      </c>
      <c r="M25" s="42">
        <f>IF(L25=0,"",VLOOKUP(A25,[16]MVTRESUME24!A26:AQ60,38,0))</f>
        <v>45627</v>
      </c>
      <c r="N25" s="40">
        <v>0</v>
      </c>
      <c r="O25" s="40">
        <v>0</v>
      </c>
      <c r="P25" s="40">
        <v>0</v>
      </c>
      <c r="Q25" s="40">
        <v>100000</v>
      </c>
      <c r="R25" s="44"/>
    </row>
    <row r="26" spans="1:18" ht="15.5" x14ac:dyDescent="0.35">
      <c r="A26" s="9" t="s">
        <v>38</v>
      </c>
      <c r="B26" s="13" t="str">
        <f>VLOOKUP(A26,[12]LISTADHERENT!A$5:H$60,3,0)</f>
        <v>NGUIEMEGNI MATHIEU BLAISE</v>
      </c>
      <c r="C26" s="40">
        <f>[16]MVTRESUME24!C27+[16]MVTRESUME24!D27</f>
        <v>720382.7842318085</v>
      </c>
      <c r="D26" s="40">
        <f>+[16]MVTRESUME24!L27</f>
        <v>117000</v>
      </c>
      <c r="E26" s="40">
        <f>+[16]MVTRESUME24!M27</f>
        <v>6000</v>
      </c>
      <c r="F26" s="40">
        <f>+[16]MVTRESUME24!N27</f>
        <v>6000</v>
      </c>
      <c r="G26" s="40">
        <f>+[16]MVTRESUME24!O27</f>
        <v>24000</v>
      </c>
      <c r="H26" s="40">
        <f>+[16]MVTRESUME24!P27</f>
        <v>3000</v>
      </c>
      <c r="I26" s="40">
        <f>+[16]MVTRESUME24!Q27</f>
        <v>0</v>
      </c>
      <c r="J26" s="40">
        <f>+[16]MVTRESUME24!R27</f>
        <v>0</v>
      </c>
      <c r="K26" s="40">
        <f>+[16]MVTRESUME24!W27</f>
        <v>1000000</v>
      </c>
      <c r="L26" s="41">
        <f>+[16]MVTRESUME24!AM27</f>
        <v>120000</v>
      </c>
      <c r="M26" s="42">
        <f>IF(L26=0,"",VLOOKUP(A26,[16]MVTRESUME24!A27:AQ61,38,0))</f>
        <v>45627</v>
      </c>
      <c r="N26" s="40">
        <v>0</v>
      </c>
      <c r="O26" s="40">
        <v>0</v>
      </c>
      <c r="P26" s="40">
        <v>0</v>
      </c>
      <c r="Q26" s="40">
        <v>0</v>
      </c>
      <c r="R26" s="44"/>
    </row>
    <row r="27" spans="1:18" ht="15.5" x14ac:dyDescent="0.35">
      <c r="A27" s="9" t="s">
        <v>39</v>
      </c>
      <c r="B27" s="13" t="str">
        <f>VLOOKUP(A27,[12]LISTADHERENT!A$5:H$60,3,0)</f>
        <v>NKAMGANG JUSTIN DEJOLIE</v>
      </c>
      <c r="C27" s="40">
        <f>[16]MVTRESUME24!C28+[16]MVTRESUME24!D28</f>
        <v>719031.48458375828</v>
      </c>
      <c r="D27" s="40">
        <f>+[16]MVTRESUME24!L28</f>
        <v>114500</v>
      </c>
      <c r="E27" s="40">
        <f>+[16]MVTRESUME24!M28</f>
        <v>6000</v>
      </c>
      <c r="F27" s="40">
        <f>+[16]MVTRESUME24!N28</f>
        <v>6000</v>
      </c>
      <c r="G27" s="40">
        <f>+[16]MVTRESUME24!O28</f>
        <v>24000</v>
      </c>
      <c r="H27" s="40">
        <f>+[16]MVTRESUME24!P28</f>
        <v>0</v>
      </c>
      <c r="I27" s="40">
        <f>+[16]MVTRESUME24!Q28</f>
        <v>0</v>
      </c>
      <c r="J27" s="40">
        <f>+[16]MVTRESUME24!R28</f>
        <v>0</v>
      </c>
      <c r="K27" s="40">
        <f>+[16]MVTRESUME24!W28</f>
        <v>1000000</v>
      </c>
      <c r="L27" s="41">
        <f>+[16]MVTRESUME24!AM28</f>
        <v>60000</v>
      </c>
      <c r="M27" s="42">
        <f>IF(L27=0,"",VLOOKUP(A27,[16]MVTRESUME24!A28:AQ62,38,0))</f>
        <v>45474</v>
      </c>
      <c r="N27" s="40">
        <v>0</v>
      </c>
      <c r="O27" s="40">
        <v>0</v>
      </c>
      <c r="P27" s="40">
        <v>0</v>
      </c>
      <c r="Q27" s="40">
        <v>0</v>
      </c>
      <c r="R27" s="44"/>
    </row>
    <row r="28" spans="1:18" ht="15.5" x14ac:dyDescent="0.35">
      <c r="A28" s="9" t="s">
        <v>40</v>
      </c>
      <c r="B28" s="13" t="str">
        <f>VLOOKUP(A28,[12]LISTADHERENT!A$5:H$60,3,0)</f>
        <v>NOUBE ETIENNE</v>
      </c>
      <c r="C28" s="40">
        <f>[16]MVTRESUME24!C29+[16]MVTRESUME24!D29</f>
        <v>666018.81693285913</v>
      </c>
      <c r="D28" s="40">
        <f>+[16]MVTRESUME24!L29</f>
        <v>114000</v>
      </c>
      <c r="E28" s="40">
        <f>+[16]MVTRESUME24!M29</f>
        <v>6000</v>
      </c>
      <c r="F28" s="40">
        <f>+[16]MVTRESUME24!N29</f>
        <v>6000</v>
      </c>
      <c r="G28" s="40">
        <f>+[16]MVTRESUME24!O29</f>
        <v>24000</v>
      </c>
      <c r="H28" s="40">
        <f>+[16]MVTRESUME24!P29</f>
        <v>0</v>
      </c>
      <c r="I28" s="40">
        <f>+[16]MVTRESUME24!Q29</f>
        <v>0</v>
      </c>
      <c r="J28" s="40">
        <f>+[16]MVTRESUME24!R29</f>
        <v>0</v>
      </c>
      <c r="K28" s="40">
        <f>+[16]MVTRESUME24!W29</f>
        <v>50000</v>
      </c>
      <c r="L28" s="41">
        <f>+[16]MVTRESUME24!AM29</f>
        <v>1500</v>
      </c>
      <c r="M28" s="42">
        <f>IF(L28=0,"",VLOOKUP(A28,[16]MVTRESUME24!A29:AQ63,38,0))</f>
        <v>45444</v>
      </c>
      <c r="N28" s="40">
        <v>0</v>
      </c>
      <c r="O28" s="40">
        <v>0</v>
      </c>
      <c r="P28" s="40">
        <v>0</v>
      </c>
      <c r="Q28" s="40">
        <v>0</v>
      </c>
      <c r="R28" s="44"/>
    </row>
    <row r="29" spans="1:18" ht="15.5" x14ac:dyDescent="0.35">
      <c r="A29" s="9" t="s">
        <v>41</v>
      </c>
      <c r="B29" s="13" t="str">
        <f>VLOOKUP(A29,[12]LISTADHERENT!A$5:H$60,3,0)</f>
        <v>PATEGO NJOSSU GUSTAVE</v>
      </c>
      <c r="C29" s="40">
        <f>[16]MVTRESUME24!C30+[16]MVTRESUME24!D30</f>
        <v>743697.66630075849</v>
      </c>
      <c r="D29" s="40">
        <f>+[16]MVTRESUME24!L30</f>
        <v>114000</v>
      </c>
      <c r="E29" s="40">
        <f>+[16]MVTRESUME24!M30</f>
        <v>6000</v>
      </c>
      <c r="F29" s="40">
        <f>+[16]MVTRESUME24!N30</f>
        <v>6000</v>
      </c>
      <c r="G29" s="40">
        <f>+[16]MVTRESUME24!O30</f>
        <v>24000</v>
      </c>
      <c r="H29" s="40">
        <f>+[16]MVTRESUME24!P30</f>
        <v>0</v>
      </c>
      <c r="I29" s="40">
        <f>+[16]MVTRESUME24!Q30</f>
        <v>0</v>
      </c>
      <c r="J29" s="40">
        <f>+[16]MVTRESUME24!R30</f>
        <v>0</v>
      </c>
      <c r="K29" s="40">
        <f>+[16]MVTRESUME24!W30</f>
        <v>0</v>
      </c>
      <c r="L29" s="41">
        <f>+[16]MVTRESUME24!AM30</f>
        <v>0</v>
      </c>
      <c r="M29" s="42" t="str">
        <f>IF(L29=0,"",VLOOKUP(A29,[16]MVTRESUME24!A30:AQ64,38,0))</f>
        <v/>
      </c>
      <c r="N29" s="40">
        <v>0</v>
      </c>
      <c r="O29" s="40">
        <v>0</v>
      </c>
      <c r="P29" s="40">
        <v>0</v>
      </c>
      <c r="Q29" s="40">
        <v>0</v>
      </c>
      <c r="R29" s="44"/>
    </row>
    <row r="30" spans="1:18" ht="15.5" x14ac:dyDescent="0.35">
      <c r="A30" s="9" t="s">
        <v>42</v>
      </c>
      <c r="B30" s="13" t="str">
        <f>VLOOKUP(A30,[12]LISTADHERENT!A$5:H$60,3,0)</f>
        <v>SEUMO POLYCARPE</v>
      </c>
      <c r="C30" s="40">
        <f>[16]MVTRESUME24!C31+[16]MVTRESUME24!D31</f>
        <v>245500</v>
      </c>
      <c r="D30" s="40">
        <f>+[16]MVTRESUME24!L31</f>
        <v>564000</v>
      </c>
      <c r="E30" s="40">
        <f>+[16]MVTRESUME24!M31</f>
        <v>6000</v>
      </c>
      <c r="F30" s="40">
        <f>+[16]MVTRESUME24!N31</f>
        <v>6000</v>
      </c>
      <c r="G30" s="40">
        <f>+[16]MVTRESUME24!O31</f>
        <v>24000</v>
      </c>
      <c r="H30" s="40">
        <f>+[16]MVTRESUME24!P31</f>
        <v>0</v>
      </c>
      <c r="I30" s="40">
        <f>+[16]MVTRESUME24!Q31</f>
        <v>0</v>
      </c>
      <c r="J30" s="40">
        <f>+[16]MVTRESUME24!R31</f>
        <v>0</v>
      </c>
      <c r="K30" s="40">
        <f>+[16]MVTRESUME24!W31</f>
        <v>0</v>
      </c>
      <c r="L30" s="41">
        <f>+[16]MVTRESUME24!AM31</f>
        <v>0</v>
      </c>
      <c r="M30" s="42" t="str">
        <f>IF(L30=0,"",VLOOKUP(A30,[16]MVTRESUME24!A31:AQ65,38,0))</f>
        <v/>
      </c>
      <c r="N30" s="40">
        <v>0</v>
      </c>
      <c r="O30" s="40">
        <v>0</v>
      </c>
      <c r="P30" s="40">
        <v>0</v>
      </c>
      <c r="Q30" s="40">
        <v>0</v>
      </c>
      <c r="R30" s="44"/>
    </row>
    <row r="31" spans="1:18" ht="15.5" x14ac:dyDescent="0.35">
      <c r="A31" s="9" t="s">
        <v>43</v>
      </c>
      <c r="B31" s="13" t="str">
        <f>VLOOKUP(A31,[12]LISTADHERENT!A$5:H$60,3,0)</f>
        <v>SIME BRICE</v>
      </c>
      <c r="C31" s="40">
        <f>[16]MVTRESUME24!C32+[16]MVTRESUME24!D32</f>
        <v>804364.15055016428</v>
      </c>
      <c r="D31" s="40">
        <f>+[16]MVTRESUME24!L32</f>
        <v>114000</v>
      </c>
      <c r="E31" s="40">
        <f>+[16]MVTRESUME24!M32</f>
        <v>6000</v>
      </c>
      <c r="F31" s="40">
        <f>+[16]MVTRESUME24!N32</f>
        <v>6000</v>
      </c>
      <c r="G31" s="40">
        <f>+[16]MVTRESUME24!O32</f>
        <v>24000</v>
      </c>
      <c r="H31" s="40">
        <f>+[16]MVTRESUME24!P32</f>
        <v>0</v>
      </c>
      <c r="I31" s="40">
        <f>+[16]MVTRESUME24!Q32</f>
        <v>0</v>
      </c>
      <c r="J31" s="40">
        <f>+[16]MVTRESUME24!R32</f>
        <v>0</v>
      </c>
      <c r="K31" s="40">
        <f>+[16]MVTRESUME24!W32</f>
        <v>1000000</v>
      </c>
      <c r="L31" s="41">
        <f>+[16]MVTRESUME24!AM32</f>
        <v>90000</v>
      </c>
      <c r="M31" s="42">
        <f>IF(L31=0,"",VLOOKUP(A31,[16]MVTRESUME24!A32:AQ66,38,0))</f>
        <v>45597</v>
      </c>
      <c r="N31" s="40">
        <v>0</v>
      </c>
      <c r="O31" s="40">
        <v>0</v>
      </c>
      <c r="P31" s="40">
        <v>0</v>
      </c>
      <c r="Q31" s="40">
        <v>0</v>
      </c>
      <c r="R31" s="44"/>
    </row>
    <row r="32" spans="1:18" ht="15.5" x14ac:dyDescent="0.35">
      <c r="A32" s="9" t="s">
        <v>44</v>
      </c>
      <c r="B32" s="13" t="str">
        <f>VLOOKUP(A32,[12]LISTADHERENT!A$5:H$60,3,0)</f>
        <v>SIMO PIERRE</v>
      </c>
      <c r="C32" s="40">
        <f>[16]MVTRESUME24!C33+[16]MVTRESUME24!D33</f>
        <v>700686.61218299973</v>
      </c>
      <c r="D32" s="40">
        <f>+[16]MVTRESUME24!L33</f>
        <v>114000</v>
      </c>
      <c r="E32" s="40">
        <f>+[16]MVTRESUME24!M33</f>
        <v>6000</v>
      </c>
      <c r="F32" s="40">
        <f>+[16]MVTRESUME24!N33</f>
        <v>6000</v>
      </c>
      <c r="G32" s="40">
        <f>+[16]MVTRESUME24!O33</f>
        <v>24000</v>
      </c>
      <c r="H32" s="40">
        <f>+[16]MVTRESUME24!P33</f>
        <v>0</v>
      </c>
      <c r="I32" s="40">
        <f>+[16]MVTRESUME24!Q33</f>
        <v>0</v>
      </c>
      <c r="J32" s="40">
        <f>+[16]MVTRESUME24!R33</f>
        <v>0</v>
      </c>
      <c r="K32" s="40">
        <f>+[16]MVTRESUME24!W33</f>
        <v>1000000</v>
      </c>
      <c r="L32" s="41">
        <f>+[16]MVTRESUME24!AM33</f>
        <v>105000</v>
      </c>
      <c r="M32" s="42">
        <f>IF(L32=0,"",VLOOKUP(A32,[16]MVTRESUME24!A33:AQ67,38,0))</f>
        <v>45627</v>
      </c>
      <c r="N32" s="40">
        <v>0</v>
      </c>
      <c r="O32" s="40">
        <v>0</v>
      </c>
      <c r="P32" s="40">
        <v>0</v>
      </c>
      <c r="Q32" s="40">
        <v>100000</v>
      </c>
      <c r="R32" s="44"/>
    </row>
    <row r="33" spans="1:18" ht="15.5" x14ac:dyDescent="0.35">
      <c r="A33" s="9" t="s">
        <v>45</v>
      </c>
      <c r="B33" s="13" t="str">
        <f>VLOOKUP(A33,[12]LISTADHERENT!A$5:H$60,3,0)</f>
        <v>TCHOUAMOU MATHIEU</v>
      </c>
      <c r="C33" s="40">
        <f>[16]MVTRESUME24!C34+[16]MVTRESUME24!D34</f>
        <v>700975.80620651692</v>
      </c>
      <c r="D33" s="40">
        <f>+[16]MVTRESUME24!L34</f>
        <v>114000</v>
      </c>
      <c r="E33" s="40">
        <f>+[16]MVTRESUME24!M34</f>
        <v>6000</v>
      </c>
      <c r="F33" s="40">
        <f>+[16]MVTRESUME24!N34</f>
        <v>6000</v>
      </c>
      <c r="G33" s="40">
        <f>+[16]MVTRESUME24!O34</f>
        <v>24000</v>
      </c>
      <c r="H33" s="40">
        <f>+[16]MVTRESUME24!P34</f>
        <v>0</v>
      </c>
      <c r="I33" s="40">
        <f>+[16]MVTRESUME24!Q34</f>
        <v>0</v>
      </c>
      <c r="J33" s="40">
        <f>+[16]MVTRESUME24!R34</f>
        <v>0</v>
      </c>
      <c r="K33" s="40">
        <f>+[16]MVTRESUME24!W34</f>
        <v>1000000</v>
      </c>
      <c r="L33" s="41">
        <f>+[16]MVTRESUME24!AM34</f>
        <v>60000</v>
      </c>
      <c r="M33" s="42">
        <f>IF(L33=0,"",VLOOKUP(A33,[16]MVTRESUME24!A34:AQ68,38,0))</f>
        <v>45474</v>
      </c>
      <c r="N33" s="40">
        <v>0</v>
      </c>
      <c r="O33" s="40">
        <v>0</v>
      </c>
      <c r="P33" s="40">
        <v>0</v>
      </c>
      <c r="Q33" s="40">
        <v>0</v>
      </c>
      <c r="R33" s="44"/>
    </row>
    <row r="34" spans="1:18" ht="15.5" x14ac:dyDescent="0.35">
      <c r="A34" s="9" t="s">
        <v>46</v>
      </c>
      <c r="B34" s="13" t="str">
        <f>VLOOKUP(A34,[12]LISTADHERENT!A$5:H$60,3,0)</f>
        <v>TCHOUATEU AUGUSTIN</v>
      </c>
      <c r="C34" s="40">
        <f>[16]MVTRESUME24!C35+[16]MVTRESUME24!D35</f>
        <v>0</v>
      </c>
      <c r="D34" s="40">
        <f>+[16]MVTRESUME24!L35</f>
        <v>549000</v>
      </c>
      <c r="E34" s="40">
        <f>+[16]MVTRESUME24!M35</f>
        <v>6000</v>
      </c>
      <c r="F34" s="40">
        <f>+[16]MVTRESUME24!N35</f>
        <v>6000</v>
      </c>
      <c r="G34" s="40">
        <f>+[16]MVTRESUME24!O35</f>
        <v>24000</v>
      </c>
      <c r="H34" s="40">
        <f>+[16]MVTRESUME24!P35</f>
        <v>0</v>
      </c>
      <c r="I34" s="40">
        <f>+[16]MVTRESUME24!Q35</f>
        <v>25000</v>
      </c>
      <c r="J34" s="40">
        <f>+[16]MVTRESUME24!R35</f>
        <v>120000</v>
      </c>
      <c r="K34" s="40">
        <f>+[16]MVTRESUME24!W35</f>
        <v>0</v>
      </c>
      <c r="L34" s="41">
        <f>+[16]MVTRESUME24!AM35</f>
        <v>0</v>
      </c>
      <c r="M34" s="42" t="str">
        <f>IF(L34=0,"",VLOOKUP(A34,[16]MVTRESUME24!A35:AQ69,38,0))</f>
        <v/>
      </c>
      <c r="N34" s="40">
        <v>0</v>
      </c>
      <c r="O34" s="40">
        <v>0</v>
      </c>
      <c r="P34" s="40">
        <v>0</v>
      </c>
      <c r="Q34" s="40">
        <v>0</v>
      </c>
      <c r="R34" s="44"/>
    </row>
    <row r="35" spans="1:18" ht="15.5" x14ac:dyDescent="0.35">
      <c r="A35" s="9" t="s">
        <v>47</v>
      </c>
      <c r="B35" s="13" t="str">
        <f>VLOOKUP(A35,[12]LISTADHERENT!A$5:H$60,3,0)</f>
        <v>TCHOUTOU NANA CLAUDE</v>
      </c>
      <c r="C35" s="40">
        <f>[16]MVTRESUME24!C36+[16]MVTRESUME24!D36</f>
        <v>103000</v>
      </c>
      <c r="D35" s="40">
        <f>+[16]MVTRESUME24!L36</f>
        <v>111000</v>
      </c>
      <c r="E35" s="40">
        <f>+[16]MVTRESUME24!M36</f>
        <v>6000</v>
      </c>
      <c r="F35" s="40">
        <f>+[16]MVTRESUME24!N36</f>
        <v>6000</v>
      </c>
      <c r="G35" s="40">
        <f>+[16]MVTRESUME24!O36</f>
        <v>24000</v>
      </c>
      <c r="H35" s="40">
        <f>+[16]MVTRESUME24!P36</f>
        <v>3000</v>
      </c>
      <c r="I35" s="40">
        <f>+[16]MVTRESUME24!Q36</f>
        <v>0</v>
      </c>
      <c r="J35" s="40">
        <f>+[16]MVTRESUME24!R36</f>
        <v>0</v>
      </c>
      <c r="K35" s="40">
        <f>+[16]MVTRESUME24!W36</f>
        <v>0</v>
      </c>
      <c r="L35" s="41">
        <f>+[16]MVTRESUME24!AM36</f>
        <v>0</v>
      </c>
      <c r="M35" s="42" t="str">
        <f>IF(L35=0,"",VLOOKUP(A35,[16]MVTRESUME24!A36:AQ70,38,0))</f>
        <v/>
      </c>
      <c r="N35" s="40">
        <v>0</v>
      </c>
      <c r="O35" s="40">
        <v>0</v>
      </c>
      <c r="P35" s="40">
        <v>0</v>
      </c>
      <c r="Q35" s="40">
        <v>0</v>
      </c>
      <c r="R35" s="44"/>
    </row>
    <row r="36" spans="1:18" ht="15.5" x14ac:dyDescent="0.35">
      <c r="A36" s="9" t="s">
        <v>48</v>
      </c>
      <c r="B36" s="13" t="str">
        <f>VLOOKUP(A36,[12]LISTADHERENT!A$5:H$60,3,0)</f>
        <v>YANTCHOU GERVAIS</v>
      </c>
      <c r="C36" s="40">
        <f>[16]MVTRESUME24!C37+[16]MVTRESUME24!D37</f>
        <v>698024.13813217054</v>
      </c>
      <c r="D36" s="40">
        <f>+[16]MVTRESUME24!L37</f>
        <v>174000</v>
      </c>
      <c r="E36" s="40">
        <f>+[16]MVTRESUME24!M37</f>
        <v>6000</v>
      </c>
      <c r="F36" s="40">
        <f>+[16]MVTRESUME24!N37</f>
        <v>6000</v>
      </c>
      <c r="G36" s="40">
        <f>+[16]MVTRESUME24!O37</f>
        <v>24000</v>
      </c>
      <c r="H36" s="40">
        <f>+[16]MVTRESUME24!P37</f>
        <v>0</v>
      </c>
      <c r="I36" s="40">
        <f>+[16]MVTRESUME24!Q37</f>
        <v>0</v>
      </c>
      <c r="J36" s="40">
        <f>+[16]MVTRESUME24!R37</f>
        <v>0</v>
      </c>
      <c r="K36" s="40">
        <f>+[16]MVTRESUME24!W37</f>
        <v>700000</v>
      </c>
      <c r="L36" s="41">
        <f>+[16]MVTRESUME24!AM37</f>
        <v>84000</v>
      </c>
      <c r="M36" s="42">
        <f>IF(L36=0,"",VLOOKUP(A36,[16]MVTRESUME24!A37:AQ71,38,0))</f>
        <v>45474</v>
      </c>
      <c r="N36" s="40">
        <v>0</v>
      </c>
      <c r="O36" s="40">
        <v>0</v>
      </c>
      <c r="P36" s="40">
        <v>0</v>
      </c>
      <c r="Q36" s="40">
        <v>0</v>
      </c>
      <c r="R36" s="44"/>
    </row>
    <row r="37" spans="1:18" ht="15.5" x14ac:dyDescent="0.35">
      <c r="A37" s="9" t="s">
        <v>49</v>
      </c>
      <c r="B37" s="13" t="str">
        <f>VLOOKUP(A37,[12]LISTADHERENT!A$5:H$60,3,0)</f>
        <v>YEPMOU JEAN JACQUES</v>
      </c>
      <c r="C37" s="40">
        <f>[16]MVTRESUME24!C38+[16]MVTRESUME24!D38</f>
        <v>1703326.8477058813</v>
      </c>
      <c r="D37" s="40">
        <f>+[16]MVTRESUME24!L38</f>
        <v>114000</v>
      </c>
      <c r="E37" s="40">
        <f>+[16]MVTRESUME24!M38</f>
        <v>6000</v>
      </c>
      <c r="F37" s="40">
        <f>+[16]MVTRESUME24!N38</f>
        <v>6000</v>
      </c>
      <c r="G37" s="40">
        <f>+[16]MVTRESUME24!O38</f>
        <v>24000</v>
      </c>
      <c r="H37" s="40">
        <f>+[16]MVTRESUME24!P38</f>
        <v>6000</v>
      </c>
      <c r="I37" s="40">
        <f>+[16]MVTRESUME24!Q38</f>
        <v>0</v>
      </c>
      <c r="J37" s="40">
        <f>+[16]MVTRESUME24!R38</f>
        <v>0</v>
      </c>
      <c r="K37" s="40">
        <f>+[16]MVTRESUME24!W38</f>
        <v>0</v>
      </c>
      <c r="L37" s="41">
        <f>+[16]MVTRESUME24!AM38</f>
        <v>0</v>
      </c>
      <c r="M37" s="42" t="str">
        <f>IF(L37=0,"",VLOOKUP(A37,[16]MVTRESUME24!A38:AQ72,38,0))</f>
        <v/>
      </c>
      <c r="N37" s="40">
        <v>0</v>
      </c>
      <c r="O37" s="40">
        <v>0</v>
      </c>
      <c r="P37" s="40">
        <v>0</v>
      </c>
      <c r="Q37" s="40">
        <v>0</v>
      </c>
      <c r="R37" s="44"/>
    </row>
    <row r="38" spans="1:18" ht="15.5" x14ac:dyDescent="0.35">
      <c r="A38" s="9" t="s">
        <v>50</v>
      </c>
      <c r="B38" s="13" t="str">
        <f>VLOOKUP(A38,[12]LISTADHERENT!A$5:H$60,3,0)</f>
        <v>YIALA ALAIN OSCAR</v>
      </c>
      <c r="C38" s="40">
        <f>[16]MVTRESUME24!C39+[16]MVTRESUME24!D39</f>
        <v>0</v>
      </c>
      <c r="D38" s="40">
        <f>+[16]MVTRESUME24!L39</f>
        <v>114000</v>
      </c>
      <c r="E38" s="40">
        <f>+[16]MVTRESUME24!M39</f>
        <v>6000</v>
      </c>
      <c r="F38" s="40">
        <f>+[16]MVTRESUME24!N39</f>
        <v>6000</v>
      </c>
      <c r="G38" s="40">
        <f>+[16]MVTRESUME24!O39</f>
        <v>24000</v>
      </c>
      <c r="H38" s="40">
        <f>+[16]MVTRESUME24!P39</f>
        <v>9000</v>
      </c>
      <c r="I38" s="40">
        <f>+[16]MVTRESUME24!Q39</f>
        <v>25000</v>
      </c>
      <c r="J38" s="40">
        <f>+[16]MVTRESUME24!R39</f>
        <v>0</v>
      </c>
      <c r="K38" s="40">
        <f>+[16]MVTRESUME24!W39</f>
        <v>0</v>
      </c>
      <c r="L38" s="41">
        <f>+[16]MVTRESUME24!AM39</f>
        <v>0</v>
      </c>
      <c r="M38" s="42" t="str">
        <f>IF(L38=0,"",VLOOKUP(A38,[16]MVTRESUME24!A39:AQ73,38,0))</f>
        <v/>
      </c>
      <c r="N38" s="40">
        <v>0</v>
      </c>
      <c r="O38" s="40">
        <v>0</v>
      </c>
      <c r="P38" s="40">
        <v>0</v>
      </c>
      <c r="Q38" s="40">
        <v>0</v>
      </c>
      <c r="R38" s="44"/>
    </row>
    <row r="39" spans="1:18" ht="15.5" x14ac:dyDescent="0.35">
      <c r="A39" s="9" t="s">
        <v>51</v>
      </c>
      <c r="B39" s="13" t="str">
        <f>VLOOKUP(A39,[12]LISTADHERENT!A$5:H$60,3,0)</f>
        <v>YOUMBI EMMANUEL</v>
      </c>
      <c r="C39" s="40">
        <f>[16]MVTRESUME24!C40+[16]MVTRESUME24!D40</f>
        <v>1857834.9698456018</v>
      </c>
      <c r="D39" s="40">
        <f>+[16]MVTRESUME24!L40</f>
        <v>114000</v>
      </c>
      <c r="E39" s="40">
        <f>+[16]MVTRESUME24!M40</f>
        <v>6000</v>
      </c>
      <c r="F39" s="40">
        <f>+[16]MVTRESUME24!N40</f>
        <v>6000</v>
      </c>
      <c r="G39" s="40">
        <f>+[16]MVTRESUME24!O40</f>
        <v>24000</v>
      </c>
      <c r="H39" s="40">
        <f>+[16]MVTRESUME24!P40</f>
        <v>0</v>
      </c>
      <c r="I39" s="40">
        <f>+[16]MVTRESUME24!Q40</f>
        <v>0</v>
      </c>
      <c r="J39" s="40">
        <f>+[16]MVTRESUME24!R40</f>
        <v>0</v>
      </c>
      <c r="K39" s="40">
        <f>+[16]MVTRESUME24!W40</f>
        <v>0</v>
      </c>
      <c r="L39" s="41">
        <f>+[16]MVTRESUME24!AM40</f>
        <v>0</v>
      </c>
      <c r="M39" s="42" t="str">
        <f>IF(L39=0,"",VLOOKUP(A39,[16]MVTRESUME24!A40:AQ74,38,0))</f>
        <v/>
      </c>
      <c r="N39" s="40">
        <v>0</v>
      </c>
      <c r="O39" s="40">
        <v>0</v>
      </c>
      <c r="P39" s="40">
        <v>0</v>
      </c>
      <c r="Q39" s="40">
        <v>100000</v>
      </c>
      <c r="R39" s="44"/>
    </row>
    <row r="40" spans="1:18" ht="17.5" x14ac:dyDescent="0.35">
      <c r="A40" s="9"/>
      <c r="B40" s="13"/>
      <c r="C40" s="13"/>
      <c r="D40" s="19"/>
      <c r="E40" s="20"/>
      <c r="F40" s="20"/>
      <c r="G40" s="20"/>
      <c r="H40" s="20"/>
      <c r="I40" s="20"/>
      <c r="J40" s="20"/>
      <c r="K40" s="45"/>
      <c r="L40" s="16"/>
      <c r="M40" s="16"/>
      <c r="N40" s="18"/>
      <c r="O40" s="18"/>
      <c r="P40" s="18"/>
      <c r="Q40" s="18"/>
      <c r="R40" s="33"/>
    </row>
    <row r="41" spans="1:18" ht="18" thickBot="1" x14ac:dyDescent="0.4">
      <c r="A41" s="21" t="s">
        <v>52</v>
      </c>
      <c r="B41" s="46"/>
      <c r="C41" s="22">
        <f t="shared" ref="C41:R41" si="0">SUM(C6:C40)</f>
        <v>24229656.655274983</v>
      </c>
      <c r="D41" s="22">
        <f t="shared" si="0"/>
        <v>5070000</v>
      </c>
      <c r="E41" s="22">
        <f t="shared" si="0"/>
        <v>192000</v>
      </c>
      <c r="F41" s="22">
        <f t="shared" si="0"/>
        <v>192000</v>
      </c>
      <c r="G41" s="22">
        <f t="shared" si="0"/>
        <v>768000</v>
      </c>
      <c r="H41" s="22">
        <f t="shared" si="0"/>
        <v>42000</v>
      </c>
      <c r="I41" s="22">
        <f t="shared" si="0"/>
        <v>75000</v>
      </c>
      <c r="J41" s="22">
        <f t="shared" si="0"/>
        <v>120000</v>
      </c>
      <c r="K41" s="22">
        <f t="shared" si="0"/>
        <v>16878500</v>
      </c>
      <c r="L41" s="22">
        <f>SUM(L6:L40)</f>
        <v>1656500</v>
      </c>
      <c r="M41" s="22"/>
      <c r="N41" s="22">
        <f t="shared" si="0"/>
        <v>154000</v>
      </c>
      <c r="O41" s="22">
        <f t="shared" si="0"/>
        <v>300000</v>
      </c>
      <c r="P41" s="22">
        <f t="shared" si="0"/>
        <v>100000</v>
      </c>
      <c r="Q41" s="22">
        <f t="shared" si="0"/>
        <v>600000</v>
      </c>
      <c r="R41" s="24">
        <f t="shared" si="0"/>
        <v>0</v>
      </c>
    </row>
    <row r="42" spans="1:18" ht="15" thickTop="1" x14ac:dyDescent="0.35"/>
  </sheetData>
  <autoFilter ref="A5:J39" xr:uid="{00000000-0009-0000-0000-000012000000}">
    <sortState ref="A4:D47">
      <sortCondition ref="B4:B47"/>
    </sortState>
  </autoFilter>
  <mergeCells count="1">
    <mergeCell ref="A3:R3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69F06-2CEA-466B-B0AF-D0420FD5FD72}">
  <dimension ref="A1:T41"/>
  <sheetViews>
    <sheetView workbookViewId="0">
      <pane xSplit="2" ySplit="4" topLeftCell="C5" activePane="bottomRight" state="frozen"/>
      <selection activeCell="G6" sqref="G6:G39"/>
      <selection pane="topRight" activeCell="G6" sqref="G6:G39"/>
      <selection pane="bottomLeft" activeCell="G6" sqref="G6:G39"/>
      <selection pane="bottomRight" activeCell="B11" sqref="B11"/>
    </sheetView>
  </sheetViews>
  <sheetFormatPr baseColWidth="10" defaultColWidth="11" defaultRowHeight="14.5" x14ac:dyDescent="0.35"/>
  <cols>
    <col min="1" max="1" width="13.81640625" customWidth="1"/>
    <col min="2" max="2" width="29.54296875" customWidth="1"/>
    <col min="3" max="3" width="21" customWidth="1"/>
    <col min="4" max="4" width="21.453125" customWidth="1"/>
    <col min="5" max="5" width="17.54296875" style="2" customWidth="1"/>
    <col min="6" max="7" width="18.1796875" style="3" customWidth="1"/>
    <col min="8" max="8" width="13" customWidth="1"/>
    <col min="9" max="9" width="15" customWidth="1"/>
    <col min="10" max="10" width="14.453125" customWidth="1"/>
  </cols>
  <sheetData>
    <row r="1" spans="1:10" x14ac:dyDescent="0.35">
      <c r="A1" s="1" t="s">
        <v>0</v>
      </c>
      <c r="B1" s="1" t="s">
        <v>1</v>
      </c>
      <c r="D1" s="1"/>
    </row>
    <row r="2" spans="1:10" x14ac:dyDescent="0.35">
      <c r="A2" s="1" t="s">
        <v>2</v>
      </c>
      <c r="B2" s="1">
        <v>2024</v>
      </c>
      <c r="C2" s="1"/>
      <c r="D2" s="1"/>
    </row>
    <row r="3" spans="1:10" ht="24" thickBot="1" x14ac:dyDescent="0.6">
      <c r="A3" s="11" t="s">
        <v>62</v>
      </c>
      <c r="B3" s="12"/>
      <c r="C3" s="12"/>
      <c r="D3" s="12"/>
      <c r="E3" s="12"/>
      <c r="F3" s="12"/>
      <c r="G3" s="12"/>
      <c r="H3" s="12"/>
      <c r="I3" s="12"/>
      <c r="J3" s="12"/>
    </row>
    <row r="4" spans="1:10" ht="43" thickTop="1" x14ac:dyDescent="0.35">
      <c r="A4" s="29" t="s">
        <v>3</v>
      </c>
      <c r="B4" s="30" t="s">
        <v>4</v>
      </c>
      <c r="C4" s="31" t="s">
        <v>53</v>
      </c>
      <c r="D4" s="30" t="s">
        <v>54</v>
      </c>
      <c r="E4" s="31" t="s">
        <v>55</v>
      </c>
      <c r="F4" s="31" t="s">
        <v>63</v>
      </c>
      <c r="G4" s="31" t="s">
        <v>56</v>
      </c>
      <c r="H4" s="31" t="s">
        <v>57</v>
      </c>
      <c r="I4" s="31" t="s">
        <v>58</v>
      </c>
      <c r="J4" s="32" t="s">
        <v>59</v>
      </c>
    </row>
    <row r="5" spans="1:10" ht="17.5" x14ac:dyDescent="0.35">
      <c r="A5" s="9" t="s">
        <v>19</v>
      </c>
      <c r="B5" s="13" t="str">
        <f>VLOOKUP(A5,[12]LISTADHERENT!A$5:H$60,3,0)</f>
        <v>BAKOP ACHILLE</v>
      </c>
      <c r="C5" s="14">
        <f>[13]TONTRESUME24!D6</f>
        <v>150000</v>
      </c>
      <c r="D5" s="14">
        <f>[13]TONTRESUME24!F6</f>
        <v>3000</v>
      </c>
      <c r="E5" s="14">
        <f>[13]TONTRESUME24!I6</f>
        <v>1000</v>
      </c>
      <c r="F5" s="14">
        <f>[13]TONTRESUME24!Q6</f>
        <v>290000</v>
      </c>
      <c r="G5" s="14">
        <f>[13]TONTRESUME24!R6</f>
        <v>10000</v>
      </c>
      <c r="H5" s="15">
        <f>IF(G5=0,"",VLOOKUP(A5,[13]TONTRESUME24!A6:U37,19,0))</f>
        <v>45352</v>
      </c>
      <c r="I5" s="16">
        <f>[13]TONTRESUME24!T6</f>
        <v>5515.625</v>
      </c>
      <c r="J5" s="17">
        <f>[13]TONTRESUME24!U6</f>
        <v>0</v>
      </c>
    </row>
    <row r="6" spans="1:10" ht="17.5" x14ac:dyDescent="0.35">
      <c r="A6" s="9" t="s">
        <v>20</v>
      </c>
      <c r="B6" s="13" t="str">
        <f>VLOOKUP(A6,[12]LISTADHERENT!A$5:H$60,3,0)</f>
        <v>BOUTCHOUANG WILLIAM</v>
      </c>
      <c r="C6" s="14">
        <f>[13]TONTRESUME24!D7</f>
        <v>150000</v>
      </c>
      <c r="D6" s="14">
        <f>[13]TONTRESUME24!F7</f>
        <v>3000</v>
      </c>
      <c r="E6" s="14">
        <f>[13]TONTRESUME24!I7</f>
        <v>0</v>
      </c>
      <c r="F6" s="14">
        <f>[13]TONTRESUME24!Q7</f>
        <v>0</v>
      </c>
      <c r="G6" s="14">
        <f>[13]TONTRESUME24!R7</f>
        <v>0</v>
      </c>
      <c r="H6" s="15" t="str">
        <f>IF(G6=0,"",VLOOKUP(A6,[13]TONTRESUME24!A7:U38,19,0))</f>
        <v/>
      </c>
      <c r="I6" s="16">
        <f>[13]TONTRESUME24!T7</f>
        <v>5515.625</v>
      </c>
      <c r="J6" s="17">
        <f>[13]TONTRESUME24!U7</f>
        <v>0</v>
      </c>
    </row>
    <row r="7" spans="1:10" ht="17.5" x14ac:dyDescent="0.35">
      <c r="A7" s="9" t="s">
        <v>21</v>
      </c>
      <c r="B7" s="13" t="str">
        <f>VLOOKUP(A7,[12]LISTADHERENT!A$5:H$60,3,0)</f>
        <v xml:space="preserve">DJOMO JEAN PAUL </v>
      </c>
      <c r="C7" s="14">
        <f>[13]TONTRESUME24!D8</f>
        <v>150000</v>
      </c>
      <c r="D7" s="14">
        <f>[13]TONTRESUME24!F8</f>
        <v>0</v>
      </c>
      <c r="E7" s="14">
        <f>[13]TONTRESUME24!I8</f>
        <v>0</v>
      </c>
      <c r="F7" s="14">
        <f>[13]TONTRESUME24!Q8</f>
        <v>282000</v>
      </c>
      <c r="G7" s="14">
        <f>[13]TONTRESUME24!R8</f>
        <v>18000</v>
      </c>
      <c r="H7" s="15">
        <f>IF(G7=0,"",VLOOKUP(A7,[13]TONTRESUME24!A8:U39,19,0))</f>
        <v>45352</v>
      </c>
      <c r="I7" s="16">
        <f>[13]TONTRESUME24!T8</f>
        <v>5515.625</v>
      </c>
      <c r="J7" s="17">
        <f>[13]TONTRESUME24!U8</f>
        <v>0</v>
      </c>
    </row>
    <row r="8" spans="1:10" ht="17.5" x14ac:dyDescent="0.35">
      <c r="A8" s="9" t="s">
        <v>22</v>
      </c>
      <c r="B8" s="13" t="str">
        <f>VLOOKUP(A8,[12]LISTADHERENT!A$5:H$60,3,0)</f>
        <v>DJOMOU TCHAPDA</v>
      </c>
      <c r="C8" s="14">
        <f>[13]TONTRESUME24!D9</f>
        <v>150000</v>
      </c>
      <c r="D8" s="14">
        <f>[13]TONTRESUME24!F9</f>
        <v>6000</v>
      </c>
      <c r="E8" s="14">
        <f>[13]TONTRESUME24!I9</f>
        <v>2500</v>
      </c>
      <c r="F8" s="14">
        <f>[13]TONTRESUME24!Q9</f>
        <v>0</v>
      </c>
      <c r="G8" s="14">
        <f>[13]TONTRESUME24!R9</f>
        <v>0</v>
      </c>
      <c r="H8" s="15" t="str">
        <f>IF(G8=0,"",VLOOKUP(A8,[13]TONTRESUME24!A9:U40,19,0))</f>
        <v/>
      </c>
      <c r="I8" s="16">
        <f>[13]TONTRESUME24!T9</f>
        <v>5515.625</v>
      </c>
      <c r="J8" s="17">
        <f>[13]TONTRESUME24!U9</f>
        <v>0</v>
      </c>
    </row>
    <row r="9" spans="1:10" ht="17.5" x14ac:dyDescent="0.35">
      <c r="A9" s="9" t="s">
        <v>23</v>
      </c>
      <c r="B9" s="13" t="str">
        <f>VLOOKUP(A9,[12]LISTADHERENT!A$5:H$60,3,0)</f>
        <v>DJOUKWE NANGUEN GUY BLAISE</v>
      </c>
      <c r="C9" s="14">
        <f>[13]TONTRESUME24!D10</f>
        <v>150000</v>
      </c>
      <c r="D9" s="14">
        <f>[13]TONTRESUME24!F10</f>
        <v>0</v>
      </c>
      <c r="E9" s="14">
        <f>[13]TONTRESUME24!I10</f>
        <v>3500</v>
      </c>
      <c r="F9" s="14">
        <f>[13]TONTRESUME24!Q10</f>
        <v>284000</v>
      </c>
      <c r="G9" s="14">
        <f>[13]TONTRESUME24!R10</f>
        <v>16000</v>
      </c>
      <c r="H9" s="15">
        <f>IF(G9=0,"",VLOOKUP(A9,[13]TONTRESUME24!A10:U41,19,0))</f>
        <v>45323</v>
      </c>
      <c r="I9" s="16">
        <f>[13]TONTRESUME24!T10</f>
        <v>5515.625</v>
      </c>
      <c r="J9" s="17">
        <f>[13]TONTRESUME24!U10</f>
        <v>0</v>
      </c>
    </row>
    <row r="10" spans="1:10" ht="17.5" x14ac:dyDescent="0.35">
      <c r="A10" s="9" t="s">
        <v>24</v>
      </c>
      <c r="B10" s="13" t="str">
        <f>VLOOKUP(A10,[12]LISTADHERENT!A$5:H$60,3,0)</f>
        <v>DJUOMBESSY ANTOINE</v>
      </c>
      <c r="C10" s="14">
        <f>[13]TONTRESUME24!D11</f>
        <v>150000</v>
      </c>
      <c r="D10" s="14">
        <f>[13]TONTRESUME24!F11</f>
        <v>0</v>
      </c>
      <c r="E10" s="14">
        <f>[13]TONTRESUME24!I11</f>
        <v>0</v>
      </c>
      <c r="F10" s="14">
        <f>[13]TONTRESUME24!Q11</f>
        <v>0</v>
      </c>
      <c r="G10" s="14">
        <f>[13]TONTRESUME24!R11</f>
        <v>0</v>
      </c>
      <c r="H10" s="15" t="str">
        <f>IF(G10=0,"",VLOOKUP(A10,[13]TONTRESUME24!A11:U42,19,0))</f>
        <v/>
      </c>
      <c r="I10" s="16">
        <f>[13]TONTRESUME24!T11</f>
        <v>5515.625</v>
      </c>
      <c r="J10" s="17">
        <f>[13]TONTRESUME24!U11</f>
        <v>0</v>
      </c>
    </row>
    <row r="11" spans="1:10" ht="17.5" x14ac:dyDescent="0.35">
      <c r="A11" s="9" t="s">
        <v>25</v>
      </c>
      <c r="B11" s="13" t="str">
        <f>VLOOKUP(A11,[12]LISTADHERENT!A$5:H$60,3,0)</f>
        <v>DOMOU FABIEN</v>
      </c>
      <c r="C11" s="14">
        <f>[13]TONTRESUME24!D12</f>
        <v>150000</v>
      </c>
      <c r="D11" s="14">
        <f>[13]TONTRESUME24!F12</f>
        <v>0</v>
      </c>
      <c r="E11" s="14">
        <f>[13]TONTRESUME24!I12</f>
        <v>0</v>
      </c>
      <c r="F11" s="14">
        <f>[13]TONTRESUME24!Q12</f>
        <v>0</v>
      </c>
      <c r="G11" s="14">
        <f>[13]TONTRESUME24!R12</f>
        <v>0</v>
      </c>
      <c r="H11" s="15" t="str">
        <f>IF(G11=0,"",VLOOKUP(A11,[13]TONTRESUME24!A12:U43,19,0))</f>
        <v/>
      </c>
      <c r="I11" s="16">
        <f>[13]TONTRESUME24!T12</f>
        <v>5515.625</v>
      </c>
      <c r="J11" s="17">
        <f>[13]TONTRESUME24!U12</f>
        <v>0</v>
      </c>
    </row>
    <row r="12" spans="1:10" ht="17.5" x14ac:dyDescent="0.35">
      <c r="A12" s="9" t="s">
        <v>26</v>
      </c>
      <c r="B12" s="13" t="str">
        <f>VLOOKUP(A12,[12]LISTADHERENT!A$5:H$60,3,0)</f>
        <v>DONHOU DAVID</v>
      </c>
      <c r="C12" s="14">
        <f>[13]TONTRESUME24!D13</f>
        <v>150000</v>
      </c>
      <c r="D12" s="14">
        <f>[13]TONTRESUME24!F13</f>
        <v>0</v>
      </c>
      <c r="E12" s="14">
        <f>[13]TONTRESUME24!I13</f>
        <v>0</v>
      </c>
      <c r="F12" s="14">
        <f>[13]TONTRESUME24!Q13</f>
        <v>0</v>
      </c>
      <c r="G12" s="14">
        <f>[13]TONTRESUME24!R13</f>
        <v>0</v>
      </c>
      <c r="H12" s="15" t="str">
        <f>IF(G12=0,"",VLOOKUP(A12,[13]TONTRESUME24!A13:U44,19,0))</f>
        <v/>
      </c>
      <c r="I12" s="16">
        <f>[13]TONTRESUME24!T13</f>
        <v>5515.625</v>
      </c>
      <c r="J12" s="17">
        <f>[13]TONTRESUME24!U13</f>
        <v>0</v>
      </c>
    </row>
    <row r="13" spans="1:10" ht="17.5" x14ac:dyDescent="0.35">
      <c r="A13" s="9" t="s">
        <v>27</v>
      </c>
      <c r="B13" s="13" t="str">
        <f>VLOOKUP(A13,[12]LISTADHERENT!A$5:H$60,3,0)</f>
        <v>HENGUE PAUL OMER</v>
      </c>
      <c r="C13" s="14">
        <f>[13]TONTRESUME24!D14</f>
        <v>150000</v>
      </c>
      <c r="D13" s="14">
        <f>[13]TONTRESUME24!F14</f>
        <v>0</v>
      </c>
      <c r="E13" s="14">
        <f>[13]TONTRESUME24!I14</f>
        <v>0</v>
      </c>
      <c r="F13" s="14">
        <f>[13]TONTRESUME24!Q14</f>
        <v>290000</v>
      </c>
      <c r="G13" s="14">
        <f>[13]TONTRESUME24!R14</f>
        <v>10000</v>
      </c>
      <c r="H13" s="15">
        <f>IF(G13=0,"",VLOOKUP(A13,[13]TONTRESUME24!A14:U45,19,0))</f>
        <v>45383</v>
      </c>
      <c r="I13" s="16">
        <f>[13]TONTRESUME24!T14</f>
        <v>5515.625</v>
      </c>
      <c r="J13" s="17">
        <f>[13]TONTRESUME24!U14</f>
        <v>0</v>
      </c>
    </row>
    <row r="14" spans="1:10" ht="17.5" x14ac:dyDescent="0.35">
      <c r="A14" s="9" t="s">
        <v>28</v>
      </c>
      <c r="B14" s="13" t="str">
        <f>VLOOKUP(A14,[12]LISTADHERENT!A$5:H$60,3,0)</f>
        <v>HOTCHO BENJAMIN</v>
      </c>
      <c r="C14" s="14">
        <f>[13]TONTRESUME24!D15</f>
        <v>150000</v>
      </c>
      <c r="D14" s="14">
        <f>[13]TONTRESUME24!F15</f>
        <v>0</v>
      </c>
      <c r="E14" s="14">
        <f>[13]TONTRESUME24!I15</f>
        <v>0</v>
      </c>
      <c r="F14" s="14">
        <f>[13]TONTRESUME24!Q15</f>
        <v>288000</v>
      </c>
      <c r="G14" s="14">
        <f>[13]TONTRESUME24!R15</f>
        <v>12000</v>
      </c>
      <c r="H14" s="15">
        <f>IF(G14=0,"",VLOOKUP(A14,[13]TONTRESUME24!A15:U46,19,0))</f>
        <v>45292</v>
      </c>
      <c r="I14" s="16">
        <f>[13]TONTRESUME24!T15</f>
        <v>5515.625</v>
      </c>
      <c r="J14" s="17">
        <f>[13]TONTRESUME24!U15</f>
        <v>0</v>
      </c>
    </row>
    <row r="15" spans="1:10" ht="17.5" x14ac:dyDescent="0.35">
      <c r="A15" s="9" t="s">
        <v>29</v>
      </c>
      <c r="B15" s="13" t="str">
        <f>VLOOKUP(A15,[12]LISTADHERENT!A$5:H$60,3,0)</f>
        <v>KOUAMOU MOISE</v>
      </c>
      <c r="C15" s="14">
        <f>[13]TONTRESUME24!D16</f>
        <v>150000</v>
      </c>
      <c r="D15" s="14">
        <f>[13]TONTRESUME24!F16</f>
        <v>0</v>
      </c>
      <c r="E15" s="14">
        <f>[13]TONTRESUME24!I16</f>
        <v>500</v>
      </c>
      <c r="F15" s="14">
        <f>[13]TONTRESUME24!Q16</f>
        <v>283000</v>
      </c>
      <c r="G15" s="14">
        <f>[13]TONTRESUME24!R16</f>
        <v>17000</v>
      </c>
      <c r="H15" s="15">
        <f>IF(G15=0,"",VLOOKUP(A15,[13]TONTRESUME24!A16:U47,19,0))</f>
        <v>45323</v>
      </c>
      <c r="I15" s="16">
        <f>[13]TONTRESUME24!T16</f>
        <v>5515.625</v>
      </c>
      <c r="J15" s="17">
        <f>[13]TONTRESUME24!U16</f>
        <v>0</v>
      </c>
    </row>
    <row r="16" spans="1:10" ht="17.5" x14ac:dyDescent="0.35">
      <c r="A16" s="9" t="s">
        <v>30</v>
      </c>
      <c r="B16" s="13" t="str">
        <f>VLOOKUP(A16,[12]LISTADHERENT!A$5:H$60,3,0)</f>
        <v>KOUATCHO MESSACK</v>
      </c>
      <c r="C16" s="14">
        <f>[13]TONTRESUME24!D17</f>
        <v>150000</v>
      </c>
      <c r="D16" s="14">
        <f>[13]TONTRESUME24!F17</f>
        <v>3000</v>
      </c>
      <c r="E16" s="14">
        <f>[13]TONTRESUME24!I17</f>
        <v>0</v>
      </c>
      <c r="F16" s="14">
        <f>[13]TONTRESUME24!Q17</f>
        <v>287000</v>
      </c>
      <c r="G16" s="14">
        <f>[13]TONTRESUME24!R17</f>
        <v>13000</v>
      </c>
      <c r="H16" s="15">
        <f>IF(G16=0,"",VLOOKUP(A16,[13]TONTRESUME24!A17:U48,19,0))</f>
        <v>45292</v>
      </c>
      <c r="I16" s="16">
        <f>[13]TONTRESUME24!T17</f>
        <v>5515.625</v>
      </c>
      <c r="J16" s="17">
        <f>[13]TONTRESUME24!U17</f>
        <v>0</v>
      </c>
    </row>
    <row r="17" spans="1:10" ht="17.5" x14ac:dyDescent="0.35">
      <c r="A17" s="9" t="s">
        <v>32</v>
      </c>
      <c r="B17" s="13" t="str">
        <f>VLOOKUP(A17,[12]LISTADHERENT!A$5:H$60,3,0)</f>
        <v>MASSEUNGOUE DAGOBERT</v>
      </c>
      <c r="C17" s="14">
        <f>[13]TONTRESUME24!D18</f>
        <v>150000</v>
      </c>
      <c r="D17" s="14">
        <f>[13]TONTRESUME24!F18</f>
        <v>0</v>
      </c>
      <c r="E17" s="14">
        <f>[13]TONTRESUME24!I18</f>
        <v>0</v>
      </c>
      <c r="F17" s="14">
        <f>[13]TONTRESUME24!Q18</f>
        <v>0</v>
      </c>
      <c r="G17" s="14">
        <f>[13]TONTRESUME24!R18</f>
        <v>0</v>
      </c>
      <c r="H17" s="15" t="str">
        <f>IF(G17=0,"",VLOOKUP(A17,[13]TONTRESUME24!A18:U49,19,0))</f>
        <v/>
      </c>
      <c r="I17" s="16">
        <f>[13]TONTRESUME24!T18</f>
        <v>5515.625</v>
      </c>
      <c r="J17" s="17">
        <f>[13]TONTRESUME24!U18</f>
        <v>0</v>
      </c>
    </row>
    <row r="18" spans="1:10" ht="17.5" x14ac:dyDescent="0.35">
      <c r="A18" s="9" t="s">
        <v>33</v>
      </c>
      <c r="B18" s="13" t="str">
        <f>VLOOKUP(A18,[12]LISTADHERENT!A$5:H$60,3,0)</f>
        <v>MBOGNING TUGMA GUY</v>
      </c>
      <c r="C18" s="14">
        <f>[13]TONTRESUME24!D19</f>
        <v>150000</v>
      </c>
      <c r="D18" s="14">
        <f>[13]TONTRESUME24!F19</f>
        <v>0</v>
      </c>
      <c r="E18" s="14">
        <f>[13]TONTRESUME24!I19</f>
        <v>500</v>
      </c>
      <c r="F18" s="14">
        <f>[13]TONTRESUME24!Q19</f>
        <v>0</v>
      </c>
      <c r="G18" s="14">
        <f>[13]TONTRESUME24!R19</f>
        <v>0</v>
      </c>
      <c r="H18" s="15" t="str">
        <f>IF(G18=0,"",VLOOKUP(A18,[13]TONTRESUME24!A19:U50,19,0))</f>
        <v/>
      </c>
      <c r="I18" s="16">
        <f>[13]TONTRESUME24!T19</f>
        <v>5515.625</v>
      </c>
      <c r="J18" s="17">
        <f>[13]TONTRESUME24!U19</f>
        <v>0</v>
      </c>
    </row>
    <row r="19" spans="1:10" ht="17.5" x14ac:dyDescent="0.35">
      <c r="A19" s="9" t="s">
        <v>34</v>
      </c>
      <c r="B19" s="13" t="str">
        <f>VLOOKUP(A19,[12]LISTADHERENT!A$5:H$60,3,0)</f>
        <v>NANGUEN MARTIN</v>
      </c>
      <c r="C19" s="14">
        <f>[13]TONTRESUME24!D20</f>
        <v>150000</v>
      </c>
      <c r="D19" s="14">
        <f>[13]TONTRESUME24!F20</f>
        <v>0</v>
      </c>
      <c r="E19" s="14">
        <f>[13]TONTRESUME24!I20</f>
        <v>0</v>
      </c>
      <c r="F19" s="14">
        <f>[13]TONTRESUME24!Q20</f>
        <v>297000</v>
      </c>
      <c r="G19" s="14">
        <f>[13]TONTRESUME24!R20</f>
        <v>3000</v>
      </c>
      <c r="H19" s="15">
        <f>IF(G19=0,"",VLOOKUP(A19,[13]TONTRESUME24!A20:U51,19,0))</f>
        <v>45413</v>
      </c>
      <c r="I19" s="16">
        <f>[13]TONTRESUME24!T20</f>
        <v>5515.625</v>
      </c>
      <c r="J19" s="17">
        <f>[13]TONTRESUME24!U20</f>
        <v>0</v>
      </c>
    </row>
    <row r="20" spans="1:10" ht="17.5" x14ac:dyDescent="0.35">
      <c r="A20" s="9" t="s">
        <v>35</v>
      </c>
      <c r="B20" s="13" t="str">
        <f>VLOOKUP(A20,[12]LISTADHERENT!A$5:H$60,3,0)</f>
        <v>NANKAM APPOLINAIRE</v>
      </c>
      <c r="C20" s="14">
        <f>[13]TONTRESUME24!D21</f>
        <v>150000</v>
      </c>
      <c r="D20" s="14">
        <f>[13]TONTRESUME24!F21</f>
        <v>3000</v>
      </c>
      <c r="E20" s="14">
        <f>[13]TONTRESUME24!I21</f>
        <v>0</v>
      </c>
      <c r="F20" s="14">
        <f>[13]TONTRESUME24!Q21</f>
        <v>283000</v>
      </c>
      <c r="G20" s="14">
        <f>[13]TONTRESUME24!R21</f>
        <v>17000</v>
      </c>
      <c r="H20" s="15">
        <f>IF(G20=0,"",VLOOKUP(A20,[13]TONTRESUME24!A21:U52,19,0))</f>
        <v>45352</v>
      </c>
      <c r="I20" s="16">
        <f>[13]TONTRESUME24!T21</f>
        <v>5515.625</v>
      </c>
      <c r="J20" s="17">
        <f>[13]TONTRESUME24!U21</f>
        <v>0</v>
      </c>
    </row>
    <row r="21" spans="1:10" ht="17.5" x14ac:dyDescent="0.35">
      <c r="A21" s="9" t="s">
        <v>36</v>
      </c>
      <c r="B21" s="13" t="str">
        <f>VLOOKUP(A21,[12]LISTADHERENT!A$5:H$60,3,0)</f>
        <v>NDJOMO ETIENNE</v>
      </c>
      <c r="C21" s="14">
        <f>[13]TONTRESUME24!D22</f>
        <v>150000</v>
      </c>
      <c r="D21" s="14">
        <f>[13]TONTRESUME24!F22</f>
        <v>0</v>
      </c>
      <c r="E21" s="14">
        <f>[13]TONTRESUME24!I22</f>
        <v>0</v>
      </c>
      <c r="F21" s="14">
        <f>[13]TONTRESUME24!Q22</f>
        <v>297000</v>
      </c>
      <c r="G21" s="14">
        <f>[13]TONTRESUME24!R22</f>
        <v>3000</v>
      </c>
      <c r="H21" s="15">
        <f>IF(G21=0,"",VLOOKUP(A21,[13]TONTRESUME24!A22:U53,19,0))</f>
        <v>45444</v>
      </c>
      <c r="I21" s="16">
        <f>[13]TONTRESUME24!T22</f>
        <v>5515.625</v>
      </c>
      <c r="J21" s="17">
        <f>[13]TONTRESUME24!U22</f>
        <v>0</v>
      </c>
    </row>
    <row r="22" spans="1:10" ht="17.5" x14ac:dyDescent="0.35">
      <c r="A22" s="9" t="s">
        <v>37</v>
      </c>
      <c r="B22" s="13" t="str">
        <f>VLOOKUP(A22,[12]LISTADHERENT!A$5:H$60,3,0)</f>
        <v>NGONDIEP CLAUDE</v>
      </c>
      <c r="C22" s="14">
        <f>[13]TONTRESUME24!D23</f>
        <v>150000</v>
      </c>
      <c r="D22" s="14">
        <f>[13]TONTRESUME24!F23</f>
        <v>3000</v>
      </c>
      <c r="E22" s="14">
        <f>[13]TONTRESUME24!I23</f>
        <v>0</v>
      </c>
      <c r="F22" s="14">
        <f>[13]TONTRESUME24!Q23</f>
        <v>297000</v>
      </c>
      <c r="G22" s="14">
        <f>[13]TONTRESUME24!R23</f>
        <v>3000</v>
      </c>
      <c r="H22" s="15">
        <f>IF(G22=0,"",VLOOKUP(A22,[13]TONTRESUME24!A23:U54,19,0))</f>
        <v>45444</v>
      </c>
      <c r="I22" s="16">
        <f>[13]TONTRESUME24!T23</f>
        <v>5515.625</v>
      </c>
      <c r="J22" s="17">
        <f>[13]TONTRESUME24!U23</f>
        <v>0</v>
      </c>
    </row>
    <row r="23" spans="1:10" ht="17.5" x14ac:dyDescent="0.35">
      <c r="A23" s="9" t="s">
        <v>38</v>
      </c>
      <c r="B23" s="13" t="str">
        <f>VLOOKUP(A23,[12]LISTADHERENT!A$5:H$60,3,0)</f>
        <v>NGUIEMEGNI MATHIEU BLAISE</v>
      </c>
      <c r="C23" s="14">
        <f>[13]TONTRESUME24!D24</f>
        <v>150000</v>
      </c>
      <c r="D23" s="14">
        <f>[13]TONTRESUME24!F24</f>
        <v>3000</v>
      </c>
      <c r="E23" s="14">
        <f>[13]TONTRESUME24!I24</f>
        <v>1000</v>
      </c>
      <c r="F23" s="14">
        <f>[13]TONTRESUME24!Q24</f>
        <v>289000</v>
      </c>
      <c r="G23" s="14">
        <f>[13]TONTRESUME24!R24</f>
        <v>11000</v>
      </c>
      <c r="H23" s="15">
        <f>IF(G23=0,"",VLOOKUP(A23,[13]TONTRESUME24!A24:U55,19,0))</f>
        <v>45383</v>
      </c>
      <c r="I23" s="16">
        <f>[13]TONTRESUME24!T24</f>
        <v>5515.625</v>
      </c>
      <c r="J23" s="17">
        <f>[13]TONTRESUME24!U24</f>
        <v>0</v>
      </c>
    </row>
    <row r="24" spans="1:10" ht="17.5" x14ac:dyDescent="0.35">
      <c r="A24" s="9" t="s">
        <v>39</v>
      </c>
      <c r="B24" s="13" t="str">
        <f>VLOOKUP(A24,[12]LISTADHERENT!A$5:H$60,3,0)</f>
        <v>NKAMGANG JUSTIN DEJOLIE</v>
      </c>
      <c r="C24" s="14">
        <f>[13]TONTRESUME24!D25</f>
        <v>150000</v>
      </c>
      <c r="D24" s="14">
        <f>[13]TONTRESUME24!F25</f>
        <v>0</v>
      </c>
      <c r="E24" s="14">
        <f>[13]TONTRESUME24!I25</f>
        <v>1000</v>
      </c>
      <c r="F24" s="14">
        <f>[13]TONTRESUME24!Q25</f>
        <v>287000</v>
      </c>
      <c r="G24" s="14">
        <f>[13]TONTRESUME24!R25</f>
        <v>13000</v>
      </c>
      <c r="H24" s="15">
        <f>IF(G24=0,"",VLOOKUP(A24,[13]TONTRESUME24!A25:U56,19,0))</f>
        <v>45292</v>
      </c>
      <c r="I24" s="16">
        <f>[13]TONTRESUME24!T25</f>
        <v>5515.625</v>
      </c>
      <c r="J24" s="17">
        <f>[13]TONTRESUME24!U25</f>
        <v>0</v>
      </c>
    </row>
    <row r="25" spans="1:10" ht="17.5" x14ac:dyDescent="0.35">
      <c r="A25" s="9" t="s">
        <v>40</v>
      </c>
      <c r="B25" s="13" t="str">
        <f>VLOOKUP(A25,[12]LISTADHERENT!A$5:H$60,3,0)</f>
        <v>NOUBE ETIENNE</v>
      </c>
      <c r="C25" s="14">
        <f>[13]TONTRESUME24!D26</f>
        <v>150000</v>
      </c>
      <c r="D25" s="14">
        <f>[13]TONTRESUME24!F26</f>
        <v>0</v>
      </c>
      <c r="E25" s="14">
        <f>[13]TONTRESUME24!I26</f>
        <v>0</v>
      </c>
      <c r="F25" s="14">
        <f>[13]TONTRESUME24!Q26</f>
        <v>0</v>
      </c>
      <c r="G25" s="14">
        <f>[13]TONTRESUME24!R26</f>
        <v>0</v>
      </c>
      <c r="H25" s="15" t="str">
        <f>IF(G25=0,"",VLOOKUP(A25,[13]TONTRESUME24!A26:U57,19,0))</f>
        <v/>
      </c>
      <c r="I25" s="16">
        <f>[13]TONTRESUME24!T26</f>
        <v>5515.625</v>
      </c>
      <c r="J25" s="17">
        <f>[13]TONTRESUME24!U26</f>
        <v>0</v>
      </c>
    </row>
    <row r="26" spans="1:10" ht="17.5" x14ac:dyDescent="0.35">
      <c r="A26" s="9" t="s">
        <v>41</v>
      </c>
      <c r="B26" s="13" t="str">
        <f>VLOOKUP(A26,[12]LISTADHERENT!A$5:H$60,3,0)</f>
        <v>PATEGO NJOSSU GUSTAVE</v>
      </c>
      <c r="C26" s="14">
        <f>[13]TONTRESUME24!D27</f>
        <v>150000</v>
      </c>
      <c r="D26" s="14">
        <f>[13]TONTRESUME24!F27</f>
        <v>0</v>
      </c>
      <c r="E26" s="14">
        <f>[13]TONTRESUME24!I27</f>
        <v>0</v>
      </c>
      <c r="F26" s="14">
        <f>[13]TONTRESUME24!Q27</f>
        <v>0</v>
      </c>
      <c r="G26" s="14">
        <f>[13]TONTRESUME24!R27</f>
        <v>0</v>
      </c>
      <c r="H26" s="15" t="str">
        <f>IF(G26=0,"",VLOOKUP(A26,[13]TONTRESUME24!A27:U58,19,0))</f>
        <v/>
      </c>
      <c r="I26" s="16">
        <f>[13]TONTRESUME24!T27</f>
        <v>5515.625</v>
      </c>
      <c r="J26" s="17">
        <f>[13]TONTRESUME24!U27</f>
        <v>0</v>
      </c>
    </row>
    <row r="27" spans="1:10" ht="17.5" x14ac:dyDescent="0.35">
      <c r="A27" s="9" t="s">
        <v>42</v>
      </c>
      <c r="B27" s="13" t="str">
        <f>VLOOKUP(A27,[12]LISTADHERENT!A$5:H$60,3,0)</f>
        <v>SEUMO POLYCARPE</v>
      </c>
      <c r="C27" s="14">
        <f>[13]TONTRESUME24!D28</f>
        <v>150000</v>
      </c>
      <c r="D27" s="14">
        <f>[13]TONTRESUME24!F28</f>
        <v>0</v>
      </c>
      <c r="E27" s="14">
        <f>[13]TONTRESUME24!I28</f>
        <v>3500</v>
      </c>
      <c r="F27" s="14">
        <f>[13]TONTRESUME24!Q28</f>
        <v>0</v>
      </c>
      <c r="G27" s="14">
        <f>[13]TONTRESUME24!R28</f>
        <v>0</v>
      </c>
      <c r="H27" s="15" t="str">
        <f>IF(G27=0,"",VLOOKUP(A27,[13]TONTRESUME24!A28:U59,19,0))</f>
        <v/>
      </c>
      <c r="I27" s="16">
        <f>[13]TONTRESUME24!T28</f>
        <v>5515.625</v>
      </c>
      <c r="J27" s="17">
        <f>[13]TONTRESUME24!U28</f>
        <v>0</v>
      </c>
    </row>
    <row r="28" spans="1:10" ht="17.5" x14ac:dyDescent="0.35">
      <c r="A28" s="9" t="s">
        <v>43</v>
      </c>
      <c r="B28" s="13" t="str">
        <f>VLOOKUP(A28,[12]LISTADHERENT!A$5:H$60,3,0)</f>
        <v>SIME BRICE</v>
      </c>
      <c r="C28" s="14">
        <f>[13]TONTRESUME24!D29</f>
        <v>150000</v>
      </c>
      <c r="D28" s="14">
        <f>[13]TONTRESUME24!F29</f>
        <v>0</v>
      </c>
      <c r="E28" s="14">
        <f>[13]TONTRESUME24!I29</f>
        <v>0</v>
      </c>
      <c r="F28" s="14">
        <f>[13]TONTRESUME24!Q29</f>
        <v>297000</v>
      </c>
      <c r="G28" s="14">
        <f>[13]TONTRESUME24!R29</f>
        <v>3000</v>
      </c>
      <c r="H28" s="15">
        <f>IF(G28=0,"",VLOOKUP(A28,[13]TONTRESUME24!A29:U60,19,0))</f>
        <v>45444</v>
      </c>
      <c r="I28" s="16">
        <f>[13]TONTRESUME24!T29</f>
        <v>5515.625</v>
      </c>
      <c r="J28" s="17">
        <f>[13]TONTRESUME24!U29</f>
        <v>0</v>
      </c>
    </row>
    <row r="29" spans="1:10" ht="17.5" x14ac:dyDescent="0.35">
      <c r="A29" s="9" t="s">
        <v>44</v>
      </c>
      <c r="B29" s="13" t="str">
        <f>VLOOKUP(A29,[12]LISTADHERENT!A$5:H$60,3,0)</f>
        <v>SIMO PIERRE</v>
      </c>
      <c r="C29" s="14">
        <f>[13]TONTRESUME24!D30</f>
        <v>150000</v>
      </c>
      <c r="D29" s="14">
        <f>[13]TONTRESUME24!F30</f>
        <v>0</v>
      </c>
      <c r="E29" s="14">
        <f>[13]TONTRESUME24!I30</f>
        <v>0</v>
      </c>
      <c r="F29" s="14">
        <f>[13]TONTRESUME24!Q30</f>
        <v>296500</v>
      </c>
      <c r="G29" s="14">
        <f>[13]TONTRESUME24!R30</f>
        <v>3500</v>
      </c>
      <c r="H29" s="15">
        <f>IF(G29=0,"",VLOOKUP(A29,[13]TONTRESUME24!A30:U61,19,0))</f>
        <v>45413</v>
      </c>
      <c r="I29" s="16">
        <f>[13]TONTRESUME24!T30</f>
        <v>5515.625</v>
      </c>
      <c r="J29" s="17">
        <f>[13]TONTRESUME24!U30</f>
        <v>0</v>
      </c>
    </row>
    <row r="30" spans="1:10" ht="17.5" x14ac:dyDescent="0.35">
      <c r="A30" s="9" t="s">
        <v>45</v>
      </c>
      <c r="B30" s="13" t="str">
        <f>VLOOKUP(A30,[12]LISTADHERENT!A$5:H$60,3,0)</f>
        <v>TCHOUAMOU MATHIEU</v>
      </c>
      <c r="C30" s="14">
        <f>[13]TONTRESUME24!D31</f>
        <v>150000</v>
      </c>
      <c r="D30" s="14">
        <f>[13]TONTRESUME24!F31</f>
        <v>0</v>
      </c>
      <c r="E30" s="14">
        <f>[13]TONTRESUME24!I31</f>
        <v>0</v>
      </c>
      <c r="F30" s="14">
        <f>[13]TONTRESUME24!Q31</f>
        <v>289500</v>
      </c>
      <c r="G30" s="14">
        <f>[13]TONTRESUME24!R31</f>
        <v>10500</v>
      </c>
      <c r="H30" s="15">
        <f>IF(G30=0,"",VLOOKUP(A30,[13]TONTRESUME24!A31:U62,19,0))</f>
        <v>45383</v>
      </c>
      <c r="I30" s="16">
        <f>[13]TONTRESUME24!T31</f>
        <v>5515.625</v>
      </c>
      <c r="J30" s="17">
        <f>[13]TONTRESUME24!U31</f>
        <v>0</v>
      </c>
    </row>
    <row r="31" spans="1:10" ht="17.5" x14ac:dyDescent="0.35">
      <c r="A31" s="9" t="s">
        <v>46</v>
      </c>
      <c r="B31" s="13" t="str">
        <f>VLOOKUP(A31,[12]LISTADHERENT!A$5:H$60,3,0)</f>
        <v>TCHOUATEU AUGUSTIN</v>
      </c>
      <c r="C31" s="14">
        <f>[13]TONTRESUME24!D32</f>
        <v>150000</v>
      </c>
      <c r="D31" s="14">
        <f>[13]TONTRESUME24!F32</f>
        <v>0</v>
      </c>
      <c r="E31" s="14">
        <f>[13]TONTRESUME24!I32</f>
        <v>0</v>
      </c>
      <c r="F31" s="14">
        <f>[13]TONTRESUME24!Q32</f>
        <v>0</v>
      </c>
      <c r="G31" s="14">
        <f>[13]TONTRESUME24!R32</f>
        <v>0</v>
      </c>
      <c r="H31" s="15" t="str">
        <f>IF(G31=0,"",VLOOKUP(A31,[13]TONTRESUME24!A32:U63,19,0))</f>
        <v/>
      </c>
      <c r="I31" s="16">
        <f>[13]TONTRESUME24!T32</f>
        <v>5515.625</v>
      </c>
      <c r="J31" s="17">
        <f>[13]TONTRESUME24!U32</f>
        <v>0</v>
      </c>
    </row>
    <row r="32" spans="1:10" ht="17.5" x14ac:dyDescent="0.35">
      <c r="A32" s="9" t="s">
        <v>47</v>
      </c>
      <c r="B32" s="13" t="str">
        <f>VLOOKUP(A32,[12]LISTADHERENT!A$5:H$60,3,0)</f>
        <v>TCHOUTOU NANA CLAUDE</v>
      </c>
      <c r="C32" s="14">
        <f>[13]TONTRESUME24!D33</f>
        <v>150000</v>
      </c>
      <c r="D32" s="14">
        <f>[13]TONTRESUME24!F33</f>
        <v>3000</v>
      </c>
      <c r="E32" s="14">
        <f>[13]TONTRESUME24!I33</f>
        <v>0</v>
      </c>
      <c r="F32" s="14">
        <f>[13]TONTRESUME24!Q33</f>
        <v>0</v>
      </c>
      <c r="G32" s="14">
        <f>[13]TONTRESUME24!R33</f>
        <v>0</v>
      </c>
      <c r="H32" s="15" t="str">
        <f>IF(G32=0,"",VLOOKUP(A32,[13]TONTRESUME24!A33:U64,19,0))</f>
        <v/>
      </c>
      <c r="I32" s="16">
        <f>[13]TONTRESUME24!T33</f>
        <v>5515.625</v>
      </c>
      <c r="J32" s="17">
        <f>[13]TONTRESUME24!U33</f>
        <v>0</v>
      </c>
    </row>
    <row r="33" spans="1:20" ht="17.5" x14ac:dyDescent="0.35">
      <c r="A33" s="9" t="s">
        <v>48</v>
      </c>
      <c r="B33" s="13" t="str">
        <f>VLOOKUP(A33,[12]LISTADHERENT!A$5:H$60,3,0)</f>
        <v>YANTCHOU GERVAIS</v>
      </c>
      <c r="C33" s="14">
        <f>[13]TONTRESUME24!D34</f>
        <v>150000</v>
      </c>
      <c r="D33" s="14">
        <f>[13]TONTRESUME24!F34</f>
        <v>0</v>
      </c>
      <c r="E33" s="14">
        <f>[13]TONTRESUME24!I34</f>
        <v>0</v>
      </c>
      <c r="F33" s="14">
        <f>[13]TONTRESUME24!Q34</f>
        <v>0</v>
      </c>
      <c r="G33" s="14">
        <f>[13]TONTRESUME24!R34</f>
        <v>0</v>
      </c>
      <c r="H33" s="15" t="str">
        <f>IF(G33=0,"",VLOOKUP(A33,[13]TONTRESUME24!A34:U65,19,0))</f>
        <v/>
      </c>
      <c r="I33" s="16">
        <f>[13]TONTRESUME24!T34</f>
        <v>5515.625</v>
      </c>
      <c r="J33" s="17">
        <f>[13]TONTRESUME24!U34</f>
        <v>0</v>
      </c>
    </row>
    <row r="34" spans="1:20" ht="17.5" x14ac:dyDescent="0.35">
      <c r="A34" s="9" t="s">
        <v>49</v>
      </c>
      <c r="B34" s="13" t="str">
        <f>VLOOKUP(A34,[12]LISTADHERENT!A$5:H$60,3,0)</f>
        <v>YEPMOU JEAN JACQUES</v>
      </c>
      <c r="C34" s="14">
        <f>[13]TONTRESUME24!D35</f>
        <v>150000</v>
      </c>
      <c r="D34" s="14">
        <f>[13]TONTRESUME24!F35</f>
        <v>6000</v>
      </c>
      <c r="E34" s="14">
        <f>[13]TONTRESUME24!I35</f>
        <v>0</v>
      </c>
      <c r="F34" s="14">
        <f>[13]TONTRESUME24!Q35</f>
        <v>0</v>
      </c>
      <c r="G34" s="14">
        <f>[13]TONTRESUME24!R35</f>
        <v>0</v>
      </c>
      <c r="H34" s="15" t="str">
        <f>IF(G34=0,"",VLOOKUP(A34,[13]TONTRESUME24!A35:U66,19,0))</f>
        <v/>
      </c>
      <c r="I34" s="16">
        <f>[13]TONTRESUME24!T35</f>
        <v>5515.625</v>
      </c>
      <c r="J34" s="17">
        <f>[13]TONTRESUME24!U35</f>
        <v>0</v>
      </c>
    </row>
    <row r="35" spans="1:20" ht="17.5" x14ac:dyDescent="0.35">
      <c r="A35" s="9" t="s">
        <v>50</v>
      </c>
      <c r="B35" s="13" t="str">
        <f>VLOOKUP(A35,[12]LISTADHERENT!A$5:H$60,3,0)</f>
        <v>YIALA ALAIN OSCAR</v>
      </c>
      <c r="C35" s="14">
        <f>[13]TONTRESUME24!D36</f>
        <v>150000</v>
      </c>
      <c r="D35" s="14">
        <f>[13]TONTRESUME24!F36</f>
        <v>9000</v>
      </c>
      <c r="E35" s="14">
        <f>[13]TONTRESUME24!I36</f>
        <v>0</v>
      </c>
      <c r="F35" s="14">
        <f>[13]TONTRESUME24!Q36</f>
        <v>0</v>
      </c>
      <c r="G35" s="14">
        <f>[13]TONTRESUME24!R36</f>
        <v>0</v>
      </c>
      <c r="H35" s="15" t="str">
        <f>IF(G35=0,"",VLOOKUP(A35,[13]TONTRESUME24!A36:U67,19,0))</f>
        <v/>
      </c>
      <c r="I35" s="16">
        <f>[13]TONTRESUME24!T36</f>
        <v>5515.625</v>
      </c>
      <c r="J35" s="17">
        <f>[13]TONTRESUME24!U36</f>
        <v>0</v>
      </c>
    </row>
    <row r="36" spans="1:20" ht="17.5" x14ac:dyDescent="0.35">
      <c r="A36" s="9" t="s">
        <v>51</v>
      </c>
      <c r="B36" s="13" t="str">
        <f>VLOOKUP(A36,[12]LISTADHERENT!A$5:H$60,3,0)</f>
        <v>YOUMBI EMMANUEL</v>
      </c>
      <c r="C36" s="14">
        <f>[13]TONTRESUME24!D37</f>
        <v>150000</v>
      </c>
      <c r="D36" s="14">
        <f>[13]TONTRESUME24!F37</f>
        <v>0</v>
      </c>
      <c r="E36" s="14">
        <f>[13]TONTRESUME24!I37</f>
        <v>0</v>
      </c>
      <c r="F36" s="14">
        <f>[13]TONTRESUME24!Q37</f>
        <v>0</v>
      </c>
      <c r="G36" s="14">
        <f>[13]TONTRESUME24!R37</f>
        <v>0</v>
      </c>
      <c r="H36" s="15" t="str">
        <f>IF(G36=0,"",VLOOKUP(A36,[13]TONTRESUME24!A37:U68,19,0))</f>
        <v/>
      </c>
      <c r="I36" s="16">
        <f>[13]TONTRESUME24!T37</f>
        <v>5515.625</v>
      </c>
      <c r="J36" s="17">
        <f>[13]TONTRESUME24!U37</f>
        <v>0</v>
      </c>
    </row>
    <row r="37" spans="1:20" ht="17.5" x14ac:dyDescent="0.35">
      <c r="A37" s="9"/>
      <c r="B37" s="18"/>
      <c r="C37" s="18"/>
      <c r="D37" s="18"/>
      <c r="E37" s="19"/>
      <c r="F37" s="20"/>
      <c r="G37" s="20"/>
      <c r="H37" s="18"/>
      <c r="I37" s="16"/>
      <c r="J37" s="17"/>
    </row>
    <row r="38" spans="1:20" ht="18" thickBot="1" x14ac:dyDescent="0.4">
      <c r="A38" s="21" t="s">
        <v>52</v>
      </c>
      <c r="B38" s="22"/>
      <c r="C38" s="22">
        <f ca="1">SUM(C5:C38)</f>
        <v>4800000</v>
      </c>
      <c r="D38" s="22">
        <f ca="1">SUM(D5:D38)</f>
        <v>42000</v>
      </c>
      <c r="E38" s="22">
        <f ca="1">SUM(E5:E38)</f>
        <v>13500</v>
      </c>
      <c r="F38" s="22">
        <f ca="1">SUM(F5:F38)</f>
        <v>4637000</v>
      </c>
      <c r="G38" s="22">
        <f ca="1">SUM(G5:G38)</f>
        <v>163000</v>
      </c>
      <c r="H38" s="23"/>
      <c r="I38" s="22">
        <f>SUM(I6:I37)</f>
        <v>170984.375</v>
      </c>
      <c r="J38" s="24">
        <f>SUM(J6:J37)</f>
        <v>0</v>
      </c>
    </row>
    <row r="39" spans="1:20" ht="15" thickTop="1" x14ac:dyDescent="0.35"/>
    <row r="40" spans="1:20" s="3" customFormat="1" x14ac:dyDescent="0.35">
      <c r="A40"/>
      <c r="B40"/>
      <c r="C40"/>
      <c r="D40"/>
      <c r="E40" s="2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0" s="3" customFormat="1" x14ac:dyDescent="0.35">
      <c r="A41"/>
      <c r="B41"/>
      <c r="C41"/>
      <c r="E41" s="2"/>
      <c r="H41"/>
      <c r="I41"/>
      <c r="J41"/>
      <c r="K41"/>
      <c r="L41"/>
      <c r="M41"/>
      <c r="N41"/>
      <c r="O41"/>
      <c r="P41"/>
      <c r="Q41"/>
      <c r="R41"/>
      <c r="S41"/>
      <c r="T41"/>
    </row>
  </sheetData>
  <autoFilter ref="A4:J36" xr:uid="{F4C65AC0-152A-4F44-8A20-ACC5350804C4}"/>
  <mergeCells count="1">
    <mergeCell ref="A3:J3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8A20B-0C67-4600-9C13-44701EEE828C}">
  <dimension ref="A1:J23"/>
  <sheetViews>
    <sheetView workbookViewId="0">
      <pane xSplit="2" ySplit="4" topLeftCell="D5" activePane="bottomRight" state="frozen"/>
      <selection activeCell="G6" sqref="G6:G39"/>
      <selection pane="topRight" activeCell="G6" sqref="G6:G39"/>
      <selection pane="bottomLeft" activeCell="G6" sqref="G6:G39"/>
      <selection pane="bottomRight" activeCell="D12" sqref="D12"/>
    </sheetView>
  </sheetViews>
  <sheetFormatPr baseColWidth="10" defaultColWidth="11" defaultRowHeight="14.5" x14ac:dyDescent="0.35"/>
  <cols>
    <col min="1" max="1" width="13.81640625" customWidth="1"/>
    <col min="2" max="2" width="29.54296875" customWidth="1"/>
    <col min="3" max="3" width="21" customWidth="1"/>
    <col min="4" max="4" width="17.54296875" style="2" customWidth="1"/>
    <col min="5" max="5" width="18.1796875" style="3" customWidth="1"/>
    <col min="6" max="6" width="22.54296875" style="3" customWidth="1"/>
    <col min="7" max="7" width="12.453125" bestFit="1" customWidth="1"/>
    <col min="9" max="9" width="16.26953125" customWidth="1"/>
    <col min="10" max="10" width="12.453125" bestFit="1" customWidth="1"/>
  </cols>
  <sheetData>
    <row r="1" spans="1:10" x14ac:dyDescent="0.35">
      <c r="A1" s="1" t="s">
        <v>0</v>
      </c>
      <c r="B1" s="1" t="s">
        <v>1</v>
      </c>
      <c r="D1" s="1"/>
      <c r="E1"/>
      <c r="F1" s="2"/>
      <c r="G1" s="3"/>
    </row>
    <row r="2" spans="1:10" x14ac:dyDescent="0.35">
      <c r="A2" s="1" t="s">
        <v>2</v>
      </c>
      <c r="B2" s="1">
        <v>2024</v>
      </c>
      <c r="C2" s="1"/>
      <c r="D2" s="1"/>
      <c r="E2"/>
      <c r="F2" s="2"/>
      <c r="G2" s="3"/>
    </row>
    <row r="3" spans="1:10" ht="23.5" x14ac:dyDescent="0.55000000000000004">
      <c r="A3" s="25" t="s">
        <v>64</v>
      </c>
      <c r="B3" s="26"/>
      <c r="C3" s="26"/>
      <c r="D3" s="26"/>
      <c r="E3" s="26"/>
      <c r="F3" s="26"/>
      <c r="G3" s="26"/>
      <c r="H3" s="26"/>
      <c r="I3" s="26"/>
      <c r="J3" s="26"/>
    </row>
    <row r="4" spans="1:10" ht="42.5" x14ac:dyDescent="0.35">
      <c r="A4" s="35" t="s">
        <v>3</v>
      </c>
      <c r="B4" s="35" t="s">
        <v>4</v>
      </c>
      <c r="C4" s="36" t="s">
        <v>53</v>
      </c>
      <c r="D4" s="36" t="s">
        <v>55</v>
      </c>
      <c r="E4" s="36" t="s">
        <v>63</v>
      </c>
      <c r="F4" s="36" t="s">
        <v>56</v>
      </c>
      <c r="G4" s="36" t="s">
        <v>57</v>
      </c>
      <c r="H4" s="36" t="s">
        <v>61</v>
      </c>
      <c r="I4" s="36" t="s">
        <v>58</v>
      </c>
      <c r="J4" s="36" t="s">
        <v>59</v>
      </c>
    </row>
    <row r="5" spans="1:10" ht="17.5" x14ac:dyDescent="0.35">
      <c r="A5" s="1" t="s">
        <v>18</v>
      </c>
      <c r="B5" s="1" t="str">
        <f>VLOOKUP(A5,[12]LISTADHERENT!A$5:H$60,3,0)</f>
        <v>ASELBY</v>
      </c>
      <c r="C5" s="27">
        <f>+[14]TONTRESUME24!D6</f>
        <v>450000</v>
      </c>
      <c r="D5" s="27">
        <f>+[14]TONTRESUME24!G6</f>
        <v>0</v>
      </c>
      <c r="E5" s="27">
        <f>+[14]TONTRESUME24!O6</f>
        <v>0</v>
      </c>
      <c r="F5" s="27">
        <f>+[14]TONTRESUME24!P6</f>
        <v>0</v>
      </c>
      <c r="G5" s="15" t="str">
        <f>IF(F5=0,"",VLOOKUP(TONTRESUME24T75!A5,[14]TONTRESUME24!A6:T19,17,0))</f>
        <v/>
      </c>
      <c r="H5" s="15" t="str">
        <f>IF(C5=450000,"",VLOOKUP(TONTRESUME24T75!A5,[14]TONTRESUME24!A6:U19,18,0))</f>
        <v/>
      </c>
      <c r="I5" s="7">
        <f>+[14]TONTRESUME24!S6</f>
        <v>14555.555555555555</v>
      </c>
      <c r="J5" s="7">
        <f>+[14]TONTRESUME24!T6</f>
        <v>0</v>
      </c>
    </row>
    <row r="6" spans="1:10" ht="17.5" x14ac:dyDescent="0.35">
      <c r="A6" s="1" t="s">
        <v>20</v>
      </c>
      <c r="B6" s="1" t="str">
        <f>VLOOKUP(A6,[12]LISTADHERENT!A$5:H$60,3,0)</f>
        <v>BOUTCHOUANG WILLIAM</v>
      </c>
      <c r="C6" s="27">
        <f>+[14]TONTRESUME24!D7</f>
        <v>450000</v>
      </c>
      <c r="D6" s="27">
        <f>+[14]TONTRESUME24!G7</f>
        <v>0</v>
      </c>
      <c r="E6" s="27">
        <f>+[14]TONTRESUME24!O7</f>
        <v>0</v>
      </c>
      <c r="F6" s="27">
        <f>+[14]TONTRESUME24!P7</f>
        <v>0</v>
      </c>
      <c r="G6" s="15" t="str">
        <f>IF(F6=0,"",VLOOKUP(TONTRESUME24T75!A6,[14]TONTRESUME24!A7:T20,17,0))</f>
        <v/>
      </c>
      <c r="H6" s="15" t="str">
        <f>IF(C6=450000,"",VLOOKUP(TONTRESUME24T75!A6,[14]TONTRESUME24!A7:U20,18,0))</f>
        <v/>
      </c>
      <c r="I6" s="7">
        <f>+[14]TONTRESUME24!S7</f>
        <v>14555.555555555555</v>
      </c>
      <c r="J6" s="7">
        <f>+[14]TONTRESUME24!T7</f>
        <v>0</v>
      </c>
    </row>
    <row r="7" spans="1:10" ht="17.5" x14ac:dyDescent="0.35">
      <c r="A7" s="1" t="s">
        <v>22</v>
      </c>
      <c r="B7" s="1" t="str">
        <f>VLOOKUP(A7,[12]LISTADHERENT!A$5:H$60,3,0)</f>
        <v>DJOMOU TCHAPDA</v>
      </c>
      <c r="C7" s="27">
        <f>+[14]TONTRESUME24!D8</f>
        <v>450000</v>
      </c>
      <c r="D7" s="27">
        <f>+[14]TONTRESUME24!G8</f>
        <v>4500</v>
      </c>
      <c r="E7" s="27">
        <f>+[14]TONTRESUME24!O8</f>
        <v>872000</v>
      </c>
      <c r="F7" s="27">
        <f>+[14]TONTRESUME24!P8</f>
        <v>28000</v>
      </c>
      <c r="G7" s="15">
        <f>IF(F7=0,"",VLOOKUP(TONTRESUME24T75!A7,[14]TONTRESUME24!A8:T21,17,0))</f>
        <v>45352</v>
      </c>
      <c r="H7" s="15" t="str">
        <f>IF(C7=450000,"",VLOOKUP(TONTRESUME24T75!A7,[14]TONTRESUME24!A8:U21,18,0))</f>
        <v/>
      </c>
      <c r="I7" s="7">
        <f>+[14]TONTRESUME24!S8</f>
        <v>14555.555555555555</v>
      </c>
      <c r="J7" s="7">
        <f>+[14]TONTRESUME24!T8</f>
        <v>0</v>
      </c>
    </row>
    <row r="8" spans="1:10" ht="17.5" x14ac:dyDescent="0.35">
      <c r="A8" s="1" t="s">
        <v>23</v>
      </c>
      <c r="B8" s="1" t="str">
        <f>VLOOKUP(A8,[12]LISTADHERENT!A$5:H$60,3,0)</f>
        <v>DJOUKWE NANGUEN GUY BLAISE</v>
      </c>
      <c r="C8" s="27">
        <f>+[14]TONTRESUME24!D9</f>
        <v>450000</v>
      </c>
      <c r="D8" s="27">
        <f>+[14]TONTRESUME24!G9</f>
        <v>11000</v>
      </c>
      <c r="E8" s="27">
        <f>+[14]TONTRESUME24!O9</f>
        <v>884000</v>
      </c>
      <c r="F8" s="27">
        <f>+[14]TONTRESUME24!P9</f>
        <v>16000</v>
      </c>
      <c r="G8" s="15">
        <f>IF(F8=0,"",VLOOKUP(TONTRESUME24T75!A8,[14]TONTRESUME24!A9:T22,17,0))</f>
        <v>45323</v>
      </c>
      <c r="H8" s="15" t="str">
        <f>IF(C8=450000,"",VLOOKUP(TONTRESUME24T75!A8,[14]TONTRESUME24!A9:U22,18,0))</f>
        <v/>
      </c>
      <c r="I8" s="7">
        <f>+[14]TONTRESUME24!S9</f>
        <v>14555.555555555555</v>
      </c>
      <c r="J8" s="7">
        <f>+[14]TONTRESUME24!T9</f>
        <v>0</v>
      </c>
    </row>
    <row r="9" spans="1:10" ht="17.5" x14ac:dyDescent="0.35">
      <c r="A9" s="1" t="s">
        <v>24</v>
      </c>
      <c r="B9" s="1" t="str">
        <f>VLOOKUP(A9,[12]LISTADHERENT!A$5:H$60,3,0)</f>
        <v>DJUOMBESSY ANTOINE</v>
      </c>
      <c r="C9" s="27">
        <f>+[14]TONTRESUME24!D10</f>
        <v>450000</v>
      </c>
      <c r="D9" s="27">
        <f>+[14]TONTRESUME24!G10</f>
        <v>1000</v>
      </c>
      <c r="E9" s="27">
        <f>+[14]TONTRESUME24!O10</f>
        <v>840000</v>
      </c>
      <c r="F9" s="27">
        <f>+[14]TONTRESUME24!P10</f>
        <v>60000</v>
      </c>
      <c r="G9" s="15">
        <f>IF(F9=0,"",VLOOKUP(TONTRESUME24T75!A9,[14]TONTRESUME24!A10:T23,17,0))</f>
        <v>45292</v>
      </c>
      <c r="H9" s="15" t="str">
        <f>IF(C9=450000,"",VLOOKUP(TONTRESUME24T75!A9,[14]TONTRESUME24!A10:U23,18,0))</f>
        <v/>
      </c>
      <c r="I9" s="7">
        <f>+[14]TONTRESUME24!S10</f>
        <v>14555.555555555555</v>
      </c>
      <c r="J9" s="7">
        <f>+[14]TONTRESUME24!T10</f>
        <v>0</v>
      </c>
    </row>
    <row r="10" spans="1:10" ht="17.5" x14ac:dyDescent="0.35">
      <c r="A10" s="1" t="s">
        <v>28</v>
      </c>
      <c r="B10" s="1" t="str">
        <f>VLOOKUP(A10,[12]LISTADHERENT!A$5:H$60,3,0)</f>
        <v>HOTCHO BENJAMIN</v>
      </c>
      <c r="C10" s="27">
        <f>+[14]TONTRESUME24!D11</f>
        <v>450000</v>
      </c>
      <c r="D10" s="27">
        <f>+[14]TONTRESUME24!G11</f>
        <v>0</v>
      </c>
      <c r="E10" s="27">
        <f>+[14]TONTRESUME24!O11</f>
        <v>892500</v>
      </c>
      <c r="F10" s="27">
        <f>+[14]TONTRESUME24!P11</f>
        <v>7500</v>
      </c>
      <c r="G10" s="15">
        <f>IF(F10=0,"",VLOOKUP(TONTRESUME24T75!A10,[14]TONTRESUME24!A11:T24,17,0))</f>
        <v>45444</v>
      </c>
      <c r="H10" s="15" t="str">
        <f>IF(C10=450000,"",VLOOKUP(TONTRESUME24T75!A10,[14]TONTRESUME24!A11:U24,18,0))</f>
        <v/>
      </c>
      <c r="I10" s="7">
        <f>+[14]TONTRESUME24!S11</f>
        <v>14555.555555555555</v>
      </c>
      <c r="J10" s="7">
        <f>+[14]TONTRESUME24!T11</f>
        <v>0</v>
      </c>
    </row>
    <row r="11" spans="1:10" ht="17.5" x14ac:dyDescent="0.35">
      <c r="A11" s="1" t="s">
        <v>27</v>
      </c>
      <c r="B11" s="1" t="str">
        <f>VLOOKUP(A11,[12]LISTADHERENT!A$5:H$60,3,0)</f>
        <v>HENGUE PAUL OMER</v>
      </c>
      <c r="C11" s="27">
        <f>+[14]TONTRESUME24!D12</f>
        <v>450000</v>
      </c>
      <c r="D11" s="27">
        <f>+[14]TONTRESUME24!G12</f>
        <v>0</v>
      </c>
      <c r="E11" s="27">
        <f>+[14]TONTRESUME24!O12</f>
        <v>892500</v>
      </c>
      <c r="F11" s="27">
        <f>+[14]TONTRESUME24!P12</f>
        <v>7500</v>
      </c>
      <c r="G11" s="15">
        <f>IF(F11=0,"",VLOOKUP(TONTRESUME24T75!A11,[14]TONTRESUME24!A12:T25,17,0))</f>
        <v>45444</v>
      </c>
      <c r="H11" s="15" t="str">
        <f>IF(C11=450000,"",VLOOKUP(TONTRESUME24T75!A11,[14]TONTRESUME24!A12:U25,18,0))</f>
        <v/>
      </c>
      <c r="I11" s="7">
        <f>+[14]TONTRESUME24!S12</f>
        <v>14555.555555555555</v>
      </c>
      <c r="J11" s="7">
        <f>+[14]TONTRESUME24!T12</f>
        <v>0</v>
      </c>
    </row>
    <row r="12" spans="1:10" ht="17.5" x14ac:dyDescent="0.35">
      <c r="A12" s="1" t="s">
        <v>33</v>
      </c>
      <c r="B12" s="1" t="str">
        <f>VLOOKUP(A12,[12]LISTADHERENT!A$5:H$60,3,0)</f>
        <v>MBOGNING TUGMA GUY</v>
      </c>
      <c r="C12" s="27">
        <f>+[14]TONTRESUME24!D13</f>
        <v>450000</v>
      </c>
      <c r="D12" s="27">
        <f>+[14]TONTRESUME24!G13</f>
        <v>7500</v>
      </c>
      <c r="E12" s="27">
        <f>+[14]TONTRESUME24!O13</f>
        <v>884000</v>
      </c>
      <c r="F12" s="27">
        <f>+[14]TONTRESUME24!P13</f>
        <v>16000</v>
      </c>
      <c r="G12" s="15">
        <f>IF(F12=0,"",VLOOKUP(TONTRESUME24T75!A12,[14]TONTRESUME24!A13:T26,17,0))</f>
        <v>45323</v>
      </c>
      <c r="H12" s="15" t="str">
        <f>IF(C12=450000,"",VLOOKUP(TONTRESUME24T75!A12,[14]TONTRESUME24!A13:U26,18,0))</f>
        <v/>
      </c>
      <c r="I12" s="7">
        <f>+[14]TONTRESUME24!S13</f>
        <v>29111.111111111109</v>
      </c>
      <c r="J12" s="7">
        <f>+[14]TONTRESUME24!T13</f>
        <v>0</v>
      </c>
    </row>
    <row r="13" spans="1:10" ht="17.5" x14ac:dyDescent="0.35">
      <c r="A13" s="1" t="s">
        <v>35</v>
      </c>
      <c r="B13" s="1" t="str">
        <f>VLOOKUP(A13,[12]LISTADHERENT!A$5:H$60,3,0)</f>
        <v>NANKAM APPOLINAIRE</v>
      </c>
      <c r="C13" s="27">
        <f>+[14]TONTRESUME24!D14</f>
        <v>450000</v>
      </c>
      <c r="D13" s="27">
        <f>+[14]TONTRESUME24!G14</f>
        <v>0</v>
      </c>
      <c r="E13" s="27">
        <f>+[14]TONTRESUME24!O14</f>
        <v>0</v>
      </c>
      <c r="F13" s="27">
        <f>+[14]TONTRESUME24!P14</f>
        <v>0</v>
      </c>
      <c r="G13" s="15" t="str">
        <f>IF(F13=0,"",VLOOKUP(TONTRESUME24T75!A13,[14]TONTRESUME24!A14:T27,17,0))</f>
        <v/>
      </c>
      <c r="H13" s="15" t="str">
        <f>IF(C13=450000,"",VLOOKUP(TONTRESUME24T75!A13,[14]TONTRESUME24!A14:U27,18,0))</f>
        <v/>
      </c>
      <c r="I13" s="7">
        <f>+[14]TONTRESUME24!S14</f>
        <v>14555.555555555555</v>
      </c>
      <c r="J13" s="7">
        <f>+[14]TONTRESUME24!T14</f>
        <v>0</v>
      </c>
    </row>
    <row r="14" spans="1:10" ht="17.5" x14ac:dyDescent="0.35">
      <c r="A14" s="1" t="s">
        <v>37</v>
      </c>
      <c r="B14" s="1" t="str">
        <f>VLOOKUP(A14,[12]LISTADHERENT!A$5:H$60,3,0)</f>
        <v>NGONDIEP CLAUDE</v>
      </c>
      <c r="C14" s="27">
        <f>+[14]TONTRESUME24!D15</f>
        <v>450000</v>
      </c>
      <c r="D14" s="27">
        <f>+[14]TONTRESUME24!G15</f>
        <v>0</v>
      </c>
      <c r="E14" s="27">
        <f>+[14]TONTRESUME24!O15</f>
        <v>0</v>
      </c>
      <c r="F14" s="27">
        <f>+[14]TONTRESUME24!P15</f>
        <v>0</v>
      </c>
      <c r="G14" s="15" t="str">
        <f>IF(F14=0,"",VLOOKUP(TONTRESUME24T75!A14,[14]TONTRESUME24!A15:T28,17,0))</f>
        <v/>
      </c>
      <c r="H14" s="15" t="str">
        <f>IF(C14=450000,"",VLOOKUP(TONTRESUME24T75!A14,[14]TONTRESUME24!A15:U28,18,0))</f>
        <v/>
      </c>
      <c r="I14" s="7">
        <f>+[14]TONTRESUME24!S15</f>
        <v>14555.555555555555</v>
      </c>
      <c r="J14" s="7">
        <f>+[14]TONTRESUME24!T15</f>
        <v>0</v>
      </c>
    </row>
    <row r="15" spans="1:10" ht="17.5" x14ac:dyDescent="0.35">
      <c r="A15" s="1" t="s">
        <v>38</v>
      </c>
      <c r="B15" s="1" t="str">
        <f>VLOOKUP(A15,[12]LISTADHERENT!A$5:H$60,3,0)</f>
        <v>NGUIEMEGNI MATHIEU BLAISE</v>
      </c>
      <c r="C15" s="27">
        <f>+[14]TONTRESUME24!D16</f>
        <v>1350000</v>
      </c>
      <c r="D15" s="27">
        <f>+[14]TONTRESUME24!G16</f>
        <v>500</v>
      </c>
      <c r="E15" s="27">
        <f>+[14]TONTRESUME24!O16</f>
        <v>1710000</v>
      </c>
      <c r="F15" s="27">
        <f>+[14]TONTRESUME24!P16</f>
        <v>90000</v>
      </c>
      <c r="G15" s="15">
        <f>IF(F15=0,"",VLOOKUP(TONTRESUME24T75!A15,[14]TONTRESUME24!A16:T29,17,0))</f>
        <v>45292</v>
      </c>
      <c r="H15" s="15">
        <f>IF(C15=450000,"",VLOOKUP(TONTRESUME24T75!A15,[14]TONTRESUME24!A16:U29,18,0))</f>
        <v>45413</v>
      </c>
      <c r="I15" s="7">
        <f>+[14]TONTRESUME24!S16</f>
        <v>43666.666666666664</v>
      </c>
      <c r="J15" s="7">
        <f>+[14]TONTRESUME24!T16</f>
        <v>0</v>
      </c>
    </row>
    <row r="16" spans="1:10" ht="17.5" x14ac:dyDescent="0.35">
      <c r="A16" s="1" t="s">
        <v>41</v>
      </c>
      <c r="B16" s="1" t="str">
        <f>VLOOKUP(A16,[12]LISTADHERENT!A$5:H$60,3,0)</f>
        <v>PATEGO NJOSSU GUSTAVE</v>
      </c>
      <c r="C16" s="27">
        <f>+[14]TONTRESUME24!D17</f>
        <v>450000</v>
      </c>
      <c r="D16" s="27">
        <f>+[14]TONTRESUME24!G17</f>
        <v>0</v>
      </c>
      <c r="E16" s="27">
        <f>+[14]TONTRESUME24!O17</f>
        <v>0</v>
      </c>
      <c r="F16" s="27">
        <f>+[14]TONTRESUME24!P17</f>
        <v>0</v>
      </c>
      <c r="G16" s="15" t="str">
        <f>IF(F16=0,"",VLOOKUP(TONTRESUME24T75!A16,[14]TONTRESUME24!A17:T30,17,0))</f>
        <v/>
      </c>
      <c r="H16" s="15" t="str">
        <f>IF(C16=450000,"",VLOOKUP(TONTRESUME24T75!A16,[14]TONTRESUME24!A17:U30,18,0))</f>
        <v/>
      </c>
      <c r="I16" s="7">
        <f>+[14]TONTRESUME24!S17</f>
        <v>14555.555555555555</v>
      </c>
      <c r="J16" s="7">
        <f>+[14]TONTRESUME24!T17</f>
        <v>0</v>
      </c>
    </row>
    <row r="17" spans="1:10" ht="17.5" x14ac:dyDescent="0.35">
      <c r="A17" s="28" t="s">
        <v>45</v>
      </c>
      <c r="B17" s="1" t="str">
        <f>VLOOKUP(A17,[12]LISTADHERENT!A$5:H$60,3,0)</f>
        <v>TCHOUAMOU MATHIEU</v>
      </c>
      <c r="C17" s="27">
        <f>+[14]TONTRESUME24!D18</f>
        <v>450000</v>
      </c>
      <c r="D17" s="27">
        <f>+[14]TONTRESUME24!G18</f>
        <v>5000</v>
      </c>
      <c r="E17" s="27">
        <f>+[14]TONTRESUME24!O18</f>
        <v>892500</v>
      </c>
      <c r="F17" s="27">
        <f>+[14]TONTRESUME24!P18</f>
        <v>7500</v>
      </c>
      <c r="G17" s="15">
        <f>IF(F17=0,"",VLOOKUP(TONTRESUME24T75!A17,[14]TONTRESUME24!A18:T31,17,0))</f>
        <v>45383</v>
      </c>
      <c r="H17" s="15" t="str">
        <f>IF(C17=450000,"",VLOOKUP(TONTRESUME24T75!A17,[14]TONTRESUME24!A18:U31,18,0))</f>
        <v/>
      </c>
      <c r="I17" s="7">
        <f>+[14]TONTRESUME24!S18</f>
        <v>14555.555555555555</v>
      </c>
      <c r="J17" s="7">
        <f>+[14]TONTRESUME24!T18</f>
        <v>0</v>
      </c>
    </row>
    <row r="18" spans="1:10" ht="17.5" x14ac:dyDescent="0.35">
      <c r="A18" s="1" t="s">
        <v>51</v>
      </c>
      <c r="B18" s="1" t="str">
        <f>VLOOKUP(A18,[12]LISTADHERENT!A$5:H$60,3,0)</f>
        <v>YOUMBI EMMANUEL</v>
      </c>
      <c r="C18" s="8">
        <f>+[14]TONTRESUME24!D19</f>
        <v>450000</v>
      </c>
      <c r="D18" s="8">
        <f>+[14]TONTRESUME24!G19</f>
        <v>0</v>
      </c>
      <c r="E18" s="8">
        <f>+[14]TONTRESUME24!O19</f>
        <v>0</v>
      </c>
      <c r="F18" s="8">
        <f>+[14]TONTRESUME24!P19</f>
        <v>0</v>
      </c>
      <c r="G18" s="15" t="str">
        <f>IF(F18=0,"",VLOOKUP(TONTRESUME24T75!A18,[14]TONTRESUME24!A19:T32,17,0))</f>
        <v/>
      </c>
      <c r="H18" s="15" t="str">
        <f>IF(C18=450000,"",VLOOKUP(TONTRESUME24T75!A18,[14]TONTRESUME24!A19:U32,18,0))</f>
        <v/>
      </c>
      <c r="I18" s="7">
        <f>+[14]TONTRESUME24!S19</f>
        <v>14555.555555555555</v>
      </c>
      <c r="J18" s="7">
        <f>+[14]TONTRESUME24!T19</f>
        <v>0</v>
      </c>
    </row>
    <row r="19" spans="1:10" ht="17.5" x14ac:dyDescent="0.35">
      <c r="A19" s="1"/>
      <c r="B19" s="1"/>
      <c r="C19" s="8"/>
      <c r="D19" s="8"/>
      <c r="E19" s="8"/>
      <c r="F19" s="8"/>
      <c r="I19" s="7"/>
      <c r="J19" s="7"/>
    </row>
    <row r="20" spans="1:10" ht="17.5" x14ac:dyDescent="0.35">
      <c r="A20" s="1" t="s">
        <v>60</v>
      </c>
      <c r="B20" s="7"/>
      <c r="C20" s="7">
        <f>SUM(C5:C19)</f>
        <v>7200000</v>
      </c>
      <c r="D20" s="7">
        <f>SUM(D5:D19)</f>
        <v>29500</v>
      </c>
      <c r="E20" s="7">
        <f>SUM(E5:E19)</f>
        <v>7867500</v>
      </c>
      <c r="F20" s="7">
        <f>SUM(F5:F19)</f>
        <v>232500</v>
      </c>
      <c r="G20" s="3"/>
      <c r="H20" s="3"/>
      <c r="I20" s="7">
        <f>SUM(I7:I19)</f>
        <v>218333.33333333334</v>
      </c>
      <c r="J20" s="7">
        <f>SUM(J7:J19)</f>
        <v>0</v>
      </c>
    </row>
    <row r="21" spans="1:10" s="3" customFormat="1" x14ac:dyDescent="0.35">
      <c r="B21"/>
      <c r="C21"/>
      <c r="D21" s="10"/>
    </row>
    <row r="22" spans="1:10" s="3" customFormat="1" x14ac:dyDescent="0.35">
      <c r="A22"/>
      <c r="B22"/>
      <c r="C22"/>
      <c r="D22" s="2"/>
      <c r="G22"/>
      <c r="H22"/>
      <c r="I22"/>
      <c r="J22"/>
    </row>
    <row r="23" spans="1:10" s="3" customFormat="1" x14ac:dyDescent="0.35">
      <c r="A23"/>
      <c r="B23"/>
      <c r="C23"/>
      <c r="D23" s="2"/>
      <c r="G23"/>
      <c r="H23"/>
      <c r="I23"/>
      <c r="J23"/>
    </row>
  </sheetData>
  <autoFilter ref="A4:F16" xr:uid="{00000000-0009-0000-0000-00000D000000}">
    <sortState ref="A5:D39">
      <sortCondition ref="B4:B39"/>
    </sortState>
  </autoFilter>
  <mergeCells count="1">
    <mergeCell ref="A3:J3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18FC6-6A44-47BE-A3FC-3F00A1BAB703}">
  <dimension ref="A1:J21"/>
  <sheetViews>
    <sheetView workbookViewId="0">
      <pane xSplit="2" ySplit="4" topLeftCell="C5" activePane="bottomRight" state="frozen"/>
      <selection activeCell="G6" sqref="G6:G39"/>
      <selection pane="topRight" activeCell="G6" sqref="G6:G39"/>
      <selection pane="bottomLeft" activeCell="G6" sqref="G6:G39"/>
      <selection pane="bottomRight" activeCell="A4" sqref="A4"/>
    </sheetView>
  </sheetViews>
  <sheetFormatPr baseColWidth="10" defaultColWidth="11" defaultRowHeight="14.5" x14ac:dyDescent="0.35"/>
  <cols>
    <col min="1" max="1" width="13.81640625" customWidth="1"/>
    <col min="2" max="2" width="29.54296875" customWidth="1"/>
    <col min="3" max="3" width="21" customWidth="1"/>
    <col min="4" max="4" width="17.54296875" style="2" customWidth="1"/>
    <col min="5" max="5" width="18.1796875" style="3" customWidth="1"/>
    <col min="6" max="6" width="22.26953125" style="3" customWidth="1"/>
    <col min="7" max="7" width="12.453125" bestFit="1" customWidth="1"/>
    <col min="9" max="9" width="16.26953125" customWidth="1"/>
    <col min="10" max="10" width="12.453125" bestFit="1" customWidth="1"/>
  </cols>
  <sheetData>
    <row r="1" spans="1:10" x14ac:dyDescent="0.35">
      <c r="A1" s="1" t="s">
        <v>0</v>
      </c>
      <c r="B1" s="1" t="s">
        <v>1</v>
      </c>
      <c r="D1" s="1"/>
      <c r="E1"/>
      <c r="F1" s="2"/>
      <c r="G1" s="3"/>
    </row>
    <row r="2" spans="1:10" x14ac:dyDescent="0.35">
      <c r="A2" s="1" t="s">
        <v>2</v>
      </c>
      <c r="B2" s="1">
        <v>2024</v>
      </c>
      <c r="C2" s="1"/>
      <c r="D2" s="1"/>
      <c r="E2"/>
      <c r="F2" s="2"/>
      <c r="G2" s="3"/>
    </row>
    <row r="3" spans="1:10" ht="24" thickBot="1" x14ac:dyDescent="0.6">
      <c r="A3" s="25" t="s">
        <v>65</v>
      </c>
      <c r="B3" s="26"/>
      <c r="C3" s="26"/>
      <c r="D3" s="26"/>
      <c r="E3" s="26"/>
      <c r="F3" s="26"/>
      <c r="G3" s="26"/>
      <c r="H3" s="26"/>
      <c r="I3" s="26"/>
      <c r="J3" s="26"/>
    </row>
    <row r="4" spans="1:10" ht="43" thickTop="1" x14ac:dyDescent="0.35">
      <c r="A4" s="29" t="s">
        <v>3</v>
      </c>
      <c r="B4" s="30" t="s">
        <v>4</v>
      </c>
      <c r="C4" s="31" t="s">
        <v>53</v>
      </c>
      <c r="D4" s="31" t="s">
        <v>55</v>
      </c>
      <c r="E4" s="31" t="s">
        <v>63</v>
      </c>
      <c r="F4" s="31" t="s">
        <v>56</v>
      </c>
      <c r="G4" s="31" t="s">
        <v>57</v>
      </c>
      <c r="H4" s="31" t="s">
        <v>61</v>
      </c>
      <c r="I4" s="31" t="s">
        <v>58</v>
      </c>
      <c r="J4" s="32" t="s">
        <v>59</v>
      </c>
    </row>
    <row r="5" spans="1:10" ht="17.5" x14ac:dyDescent="0.35">
      <c r="A5" s="9" t="s">
        <v>18</v>
      </c>
      <c r="B5" s="13" t="str">
        <f>VLOOKUP(A5,[12]LISTADHERENT!A$5:H$60,3,0)</f>
        <v>ASELBY</v>
      </c>
      <c r="C5" s="14">
        <f>+[15]TONTRESUME24!D6</f>
        <v>600000</v>
      </c>
      <c r="D5" s="14">
        <f>+[15]TONTRESUME24!G6</f>
        <v>0</v>
      </c>
      <c r="E5" s="14">
        <f>+[15]TONTRESUME24!O6</f>
        <v>0</v>
      </c>
      <c r="F5" s="14">
        <f>+[15]TONTRESUME24!P6</f>
        <v>0</v>
      </c>
      <c r="G5" s="15" t="str">
        <f>IF(F5=0,"",VLOOKUP(TONTRESUME24T100!A5,[15]TONTRESUME24!A6:T19,17,0))</f>
        <v/>
      </c>
      <c r="H5" s="15" t="str">
        <f>IF(C5=600000,"",VLOOKUP(TONTRESUME24T100!A5,[15]TONTRESUME24!A6:U19,18,0))</f>
        <v/>
      </c>
      <c r="I5" s="16"/>
      <c r="J5" s="17">
        <f>[15]TONTRESUME24!T6</f>
        <v>0</v>
      </c>
    </row>
    <row r="6" spans="1:10" ht="17.5" x14ac:dyDescent="0.35">
      <c r="A6" s="9" t="s">
        <v>21</v>
      </c>
      <c r="B6" s="13" t="str">
        <f>VLOOKUP(A6,[12]LISTADHERENT!A$5:H$60,3,0)</f>
        <v xml:space="preserve">DJOMO JEAN PAUL </v>
      </c>
      <c r="C6" s="14">
        <f>+[15]TONTRESUME24!D7</f>
        <v>1200000</v>
      </c>
      <c r="D6" s="14">
        <f>+[15]TONTRESUME24!G7</f>
        <v>2000</v>
      </c>
      <c r="E6" s="14">
        <f>+[15]TONTRESUME24!O7</f>
        <v>1085000</v>
      </c>
      <c r="F6" s="14">
        <f>+[15]TONTRESUME24!P7</f>
        <v>115000</v>
      </c>
      <c r="G6" s="15">
        <f>IF(F6=0,"",VLOOKUP(TONTRESUME24T100!A6,[15]TONTRESUME24!A7:T20,17,0))</f>
        <v>45292</v>
      </c>
      <c r="H6" s="15"/>
      <c r="I6" s="16">
        <f>[15]TONTRESUME24!S7</f>
        <v>70222.222222222219</v>
      </c>
      <c r="J6" s="17">
        <f>[15]TONTRESUME24!T7</f>
        <v>0</v>
      </c>
    </row>
    <row r="7" spans="1:10" ht="17.5" x14ac:dyDescent="0.35">
      <c r="A7" s="9" t="s">
        <v>24</v>
      </c>
      <c r="B7" s="13" t="str">
        <f>VLOOKUP(A7,[12]LISTADHERENT!A$5:H$60,3,0)</f>
        <v>DJUOMBESSY ANTOINE</v>
      </c>
      <c r="C7" s="14">
        <f>+[15]TONTRESUME24!D8</f>
        <v>1200000</v>
      </c>
      <c r="D7" s="14">
        <f>+[15]TONTRESUME24!G8</f>
        <v>1000</v>
      </c>
      <c r="E7" s="14">
        <f>+[15]TONTRESUME24!O8</f>
        <v>1190000</v>
      </c>
      <c r="F7" s="14">
        <f>+[15]TONTRESUME24!P8</f>
        <v>10000</v>
      </c>
      <c r="G7" s="15">
        <f>IF(F7=0,"",VLOOKUP(TONTRESUME24T100!A7,[15]TONTRESUME24!A8:T21,17,0))</f>
        <v>45413</v>
      </c>
      <c r="H7" s="15"/>
      <c r="I7" s="16">
        <f>[15]TONTRESUME24!S8</f>
        <v>70222.222222222219</v>
      </c>
      <c r="J7" s="17">
        <f>[15]TONTRESUME24!T8</f>
        <v>0</v>
      </c>
    </row>
    <row r="8" spans="1:10" ht="17.5" x14ac:dyDescent="0.35">
      <c r="A8" s="9" t="s">
        <v>28</v>
      </c>
      <c r="B8" s="13" t="str">
        <f>VLOOKUP(A8,[12]LISTADHERENT!A$5:H$60,3,0)</f>
        <v>HOTCHO BENJAMIN</v>
      </c>
      <c r="C8" s="14">
        <f>+[15]TONTRESUME24!D9</f>
        <v>600000</v>
      </c>
      <c r="D8" s="14">
        <f>+[15]TONTRESUME24!G9</f>
        <v>0</v>
      </c>
      <c r="E8" s="14">
        <f>+[15]TONTRESUME24!O9</f>
        <v>1185000</v>
      </c>
      <c r="F8" s="14">
        <f>+[15]TONTRESUME24!P9</f>
        <v>15000</v>
      </c>
      <c r="G8" s="15">
        <f>IF(F8=0,"",VLOOKUP(TONTRESUME24T100!A8,[15]TONTRESUME24!A9:T22,17,0))</f>
        <v>45383</v>
      </c>
      <c r="H8" s="15" t="str">
        <f>IF(C8=600000,"",VLOOKUP(TONTRESUME24T100!A8,[15]TONTRESUME24!A9:U22,18,0))</f>
        <v/>
      </c>
      <c r="I8" s="16">
        <f>[15]TONTRESUME24!S9</f>
        <v>35111.111111111109</v>
      </c>
      <c r="J8" s="17">
        <f>[15]TONTRESUME24!T9</f>
        <v>0</v>
      </c>
    </row>
    <row r="9" spans="1:10" ht="17.5" x14ac:dyDescent="0.35">
      <c r="A9" s="9" t="s">
        <v>29</v>
      </c>
      <c r="B9" s="13" t="str">
        <f>VLOOKUP(A9,[12]LISTADHERENT!A$5:H$60,3,0)</f>
        <v>KOUAMOU MOISE</v>
      </c>
      <c r="C9" s="14">
        <f>+[15]TONTRESUME24!D10</f>
        <v>600000</v>
      </c>
      <c r="D9" s="14">
        <f>+[15]TONTRESUME24!G10</f>
        <v>2000</v>
      </c>
      <c r="E9" s="14">
        <f>+[15]TONTRESUME24!O10</f>
        <v>1130000</v>
      </c>
      <c r="F9" s="14">
        <f>+[15]TONTRESUME24!P10</f>
        <v>70000</v>
      </c>
      <c r="G9" s="15">
        <f>IF(F9=0,"",VLOOKUP(TONTRESUME24T100!A9,[15]TONTRESUME24!A10:T23,17,0))</f>
        <v>45352</v>
      </c>
      <c r="H9" s="15" t="str">
        <f>IF(C9=600000,"",VLOOKUP(TONTRESUME24T100!A9,[15]TONTRESUME24!A10:U23,18,0))</f>
        <v/>
      </c>
      <c r="I9" s="16">
        <f>[15]TONTRESUME24!S10</f>
        <v>35111.111111111109</v>
      </c>
      <c r="J9" s="17">
        <f>[15]TONTRESUME24!T10</f>
        <v>0</v>
      </c>
    </row>
    <row r="10" spans="1:10" ht="17.5" x14ac:dyDescent="0.35">
      <c r="A10" s="9" t="s">
        <v>30</v>
      </c>
      <c r="B10" s="13" t="str">
        <f>VLOOKUP(A10,[12]LISTADHERENT!A$5:H$60,3,0)</f>
        <v>KOUATCHO MESSACK</v>
      </c>
      <c r="C10" s="14">
        <f>+[15]TONTRESUME24!D11</f>
        <v>600000</v>
      </c>
      <c r="D10" s="14">
        <f>+[15]TONTRESUME24!G11</f>
        <v>7000</v>
      </c>
      <c r="E10" s="14">
        <f>+[15]TONTRESUME24!O11</f>
        <v>1160000</v>
      </c>
      <c r="F10" s="14">
        <f>+[15]TONTRESUME24!P11</f>
        <v>40000</v>
      </c>
      <c r="G10" s="15">
        <f>IF(F10=0,"",VLOOKUP(TONTRESUME24T100!A10,[15]TONTRESUME24!A11:T24,17,0))</f>
        <v>45323</v>
      </c>
      <c r="H10" s="15" t="str">
        <f>IF(C10=600000,"",VLOOKUP(TONTRESUME24T100!A10,[15]TONTRESUME24!A11:U24,18,0))</f>
        <v/>
      </c>
      <c r="I10" s="16">
        <f>[15]TONTRESUME24!S11</f>
        <v>35111.111111111109</v>
      </c>
      <c r="J10" s="17">
        <f>[15]TONTRESUME24!T11</f>
        <v>0</v>
      </c>
    </row>
    <row r="11" spans="1:10" ht="17.5" x14ac:dyDescent="0.35">
      <c r="A11" s="9" t="s">
        <v>33</v>
      </c>
      <c r="B11" s="13" t="str">
        <f>VLOOKUP(A11,[12]LISTADHERENT!A$5:H$60,3,0)</f>
        <v>MBOGNING TUGMA GUY</v>
      </c>
      <c r="C11" s="14">
        <f>+[15]TONTRESUME24!D12</f>
        <v>600000</v>
      </c>
      <c r="D11" s="14">
        <f>+[15]TONTRESUME24!G12</f>
        <v>6000</v>
      </c>
      <c r="E11" s="14">
        <f>+[15]TONTRESUME24!O12</f>
        <v>1085000</v>
      </c>
      <c r="F11" s="14">
        <f>+[15]TONTRESUME24!P12</f>
        <v>115000</v>
      </c>
      <c r="G11" s="15">
        <f>IF(F11=0,"",VLOOKUP(TONTRESUME24T100!A11,[15]TONTRESUME24!A12:T25,17,0))</f>
        <v>45292</v>
      </c>
      <c r="H11" s="15" t="str">
        <f>IF(C11=600000,"",VLOOKUP(TONTRESUME24T100!A11,[15]TONTRESUME24!A12:U25,18,0))</f>
        <v/>
      </c>
      <c r="I11" s="16">
        <f>[15]TONTRESUME24!S12</f>
        <v>35111.111111111109</v>
      </c>
      <c r="J11" s="17">
        <f>[15]TONTRESUME24!T12</f>
        <v>0</v>
      </c>
    </row>
    <row r="12" spans="1:10" ht="17.5" x14ac:dyDescent="0.35">
      <c r="A12" s="9" t="s">
        <v>36</v>
      </c>
      <c r="B12" s="13" t="str">
        <f>VLOOKUP(A12,[12]LISTADHERENT!A$5:H$60,3,0)</f>
        <v>NDJOMO ETIENNE</v>
      </c>
      <c r="C12" s="14">
        <f>+[15]TONTRESUME24!D13</f>
        <v>1200000</v>
      </c>
      <c r="D12" s="14">
        <f>+[15]TONTRESUME24!G13</f>
        <v>4000</v>
      </c>
      <c r="E12" s="14">
        <f>+[15]TONTRESUME24!O13</f>
        <v>0</v>
      </c>
      <c r="F12" s="14">
        <f>+[15]TONTRESUME24!P13</f>
        <v>0</v>
      </c>
      <c r="G12" s="15" t="str">
        <f>IF(F12=0,"",VLOOKUP(TONTRESUME24T100!A12,[15]TONTRESUME24!A13:T26,17,0))</f>
        <v/>
      </c>
      <c r="H12" s="15"/>
      <c r="I12" s="16">
        <f>[15]TONTRESUME24!S13</f>
        <v>70222.222222222219</v>
      </c>
      <c r="J12" s="17">
        <f>[15]TONTRESUME24!T13</f>
        <v>0</v>
      </c>
    </row>
    <row r="13" spans="1:10" ht="17.5" x14ac:dyDescent="0.35">
      <c r="A13" s="9" t="s">
        <v>37</v>
      </c>
      <c r="B13" s="13" t="str">
        <f>VLOOKUP(A13,[12]LISTADHERENT!A$5:H$60,3,0)</f>
        <v>NGONDIEP CLAUDE</v>
      </c>
      <c r="C13" s="14">
        <f>+[15]TONTRESUME24!D14</f>
        <v>600000</v>
      </c>
      <c r="D13" s="14">
        <f>+[15]TONTRESUME24!G14</f>
        <v>5000</v>
      </c>
      <c r="E13" s="14">
        <f>+[15]TONTRESUME24!O14</f>
        <v>1185000</v>
      </c>
      <c r="F13" s="14">
        <f>+[15]TONTRESUME24!P14</f>
        <v>15000</v>
      </c>
      <c r="G13" s="15">
        <f>IF(F13=0,"",VLOOKUP(TONTRESUME24T100!A13,[15]TONTRESUME24!A14:T27,17,0))</f>
        <v>45444</v>
      </c>
      <c r="H13" s="15" t="str">
        <f>IF(C13=600000,"",VLOOKUP(TONTRESUME24T100!A13,[15]TONTRESUME24!A14:U27,18,0))</f>
        <v/>
      </c>
      <c r="I13" s="16">
        <f>[15]TONTRESUME24!S14</f>
        <v>35111.111111111109</v>
      </c>
      <c r="J13" s="17">
        <f>[15]TONTRESUME24!T14</f>
        <v>0</v>
      </c>
    </row>
    <row r="14" spans="1:10" ht="17.5" x14ac:dyDescent="0.35">
      <c r="A14" s="9" t="s">
        <v>38</v>
      </c>
      <c r="B14" s="13" t="str">
        <f>VLOOKUP(A14,[12]LISTADHERENT!A$5:H$60,3,0)</f>
        <v>NGUIEMEGNI MATHIEU BLAISE</v>
      </c>
      <c r="C14" s="14">
        <f>+[15]TONTRESUME24!D15</f>
        <v>600000</v>
      </c>
      <c r="D14" s="14">
        <f>+[15]TONTRESUME24!G15</f>
        <v>9000</v>
      </c>
      <c r="E14" s="14">
        <f>+[15]TONTRESUME24!O15</f>
        <v>1075000</v>
      </c>
      <c r="F14" s="14">
        <f>+[15]TONTRESUME24!P15</f>
        <v>125000</v>
      </c>
      <c r="G14" s="15">
        <f>IF(F14=0,"",VLOOKUP(TONTRESUME24T100!A14,[15]TONTRESUME24!A15:T28,17,0))</f>
        <v>45292</v>
      </c>
      <c r="H14" s="15" t="str">
        <f>IF(C14=600000,"",VLOOKUP(TONTRESUME24T100!A14,[15]TONTRESUME24!A15:U28,18,0))</f>
        <v/>
      </c>
      <c r="I14" s="16">
        <f>[15]TONTRESUME24!S15</f>
        <v>35111.111111111109</v>
      </c>
      <c r="J14" s="17">
        <f>[15]TONTRESUME24!T15</f>
        <v>0</v>
      </c>
    </row>
    <row r="15" spans="1:10" ht="17.5" x14ac:dyDescent="0.35">
      <c r="A15" s="9" t="s">
        <v>43</v>
      </c>
      <c r="B15" s="13" t="str">
        <f>VLOOKUP(A15,[12]LISTADHERENT!A$5:H$60,3,0)</f>
        <v>SIME BRICE</v>
      </c>
      <c r="C15" s="14">
        <f>+[15]TONTRESUME24!D16</f>
        <v>1200000</v>
      </c>
      <c r="D15" s="14">
        <f>+[15]TONTRESUME24!G16</f>
        <v>1000</v>
      </c>
      <c r="E15" s="14">
        <f>+[15]TONTRESUME24!O16</f>
        <v>2350000</v>
      </c>
      <c r="F15" s="14">
        <f>+[15]TONTRESUME24!P16</f>
        <v>50000</v>
      </c>
      <c r="G15" s="15">
        <f>IF(F15=0,"",VLOOKUP(TONTRESUME24T100!A15,[15]TONTRESUME24!A16:T29,17,0))</f>
        <v>45323</v>
      </c>
      <c r="H15" s="15">
        <f>IF(C15=600000,"",VLOOKUP(TONTRESUME24T100!A15,[15]TONTRESUME24!A16:U29,18,0))</f>
        <v>45444</v>
      </c>
      <c r="I15" s="16">
        <f>[15]TONTRESUME24!S16</f>
        <v>70222.222222222219</v>
      </c>
      <c r="J15" s="17">
        <f>[15]TONTRESUME24!T16</f>
        <v>0</v>
      </c>
    </row>
    <row r="16" spans="1:10" ht="17.5" x14ac:dyDescent="0.35">
      <c r="A16" s="9" t="s">
        <v>46</v>
      </c>
      <c r="B16" s="13" t="str">
        <f>VLOOKUP(A16,[12]LISTADHERENT!A$5:H$60,3,0)</f>
        <v>TCHOUATEU AUGUSTIN</v>
      </c>
      <c r="C16" s="14">
        <f>+[15]TONTRESUME24!D17</f>
        <v>600000</v>
      </c>
      <c r="D16" s="14">
        <f>+[15]TONTRESUME24!G17</f>
        <v>0</v>
      </c>
      <c r="E16" s="14">
        <f>+[15]TONTRESUME24!O17</f>
        <v>0</v>
      </c>
      <c r="F16" s="14">
        <f>+[15]TONTRESUME24!P17</f>
        <v>0</v>
      </c>
      <c r="G16" s="15" t="str">
        <f>IF(F16=0,"",VLOOKUP(TONTRESUME24T100!A16,[15]TONTRESUME24!A17:T30,17,0))</f>
        <v/>
      </c>
      <c r="H16" s="15" t="str">
        <f>IF(C16=600000,"",VLOOKUP(TONTRESUME24T100!A16,[15]TONTRESUME24!A17:U30,18,0))</f>
        <v/>
      </c>
      <c r="I16" s="16">
        <f>[15]TONTRESUME24!S17</f>
        <v>35111.111111111109</v>
      </c>
      <c r="J16" s="17">
        <f>[15]TONTRESUME24!T17</f>
        <v>0</v>
      </c>
    </row>
    <row r="17" spans="1:10" ht="17.5" x14ac:dyDescent="0.35">
      <c r="A17" s="9" t="s">
        <v>44</v>
      </c>
      <c r="B17" s="13" t="str">
        <f>VLOOKUP(A17,[12]LISTADHERENT!A$5:H$60,3,0)</f>
        <v>SIMO PIERRE</v>
      </c>
      <c r="C17" s="14">
        <f>+[15]TONTRESUME24!D18</f>
        <v>600000</v>
      </c>
      <c r="D17" s="14">
        <f>+[15]TONTRESUME24!G18</f>
        <v>0</v>
      </c>
      <c r="E17" s="14">
        <f>+[15]TONTRESUME24!O18</f>
        <v>1160000</v>
      </c>
      <c r="F17" s="14">
        <f>+[15]TONTRESUME24!P18</f>
        <v>40000</v>
      </c>
      <c r="G17" s="15">
        <f>IF(F17=0,"",VLOOKUP(TONTRESUME24T100!A17,[15]TONTRESUME24!A18:T31,17,0))</f>
        <v>45383</v>
      </c>
      <c r="H17" s="15" t="str">
        <f>IF(C17=600000,"",VLOOKUP(TONTRESUME24T100!A17,[15]TONTRESUME24!A18:U31,18,0))</f>
        <v/>
      </c>
      <c r="I17" s="16">
        <f>[15]TONTRESUME24!S18</f>
        <v>35111.111111111109</v>
      </c>
      <c r="J17" s="33"/>
    </row>
    <row r="18" spans="1:10" ht="17.5" x14ac:dyDescent="0.35">
      <c r="A18" s="9" t="s">
        <v>50</v>
      </c>
      <c r="B18" s="13" t="str">
        <f>VLOOKUP(A18,[12]LISTADHERENT!A$5:H$60,3,0)</f>
        <v>YIALA ALAIN OSCAR</v>
      </c>
      <c r="C18" s="14">
        <f>+[15]TONTRESUME24!D19</f>
        <v>600000</v>
      </c>
      <c r="D18" s="14">
        <f>+[15]TONTRESUME24!G19</f>
        <v>0</v>
      </c>
      <c r="E18" s="14">
        <f>+[15]TONTRESUME24!O19</f>
        <v>0</v>
      </c>
      <c r="F18" s="14">
        <f>+[15]TONTRESUME24!P19</f>
        <v>0</v>
      </c>
      <c r="G18" s="15" t="str">
        <f>IF(F18=0,"",VLOOKUP(TONTRESUME24T100!A18,[15]TONTRESUME24!A19:T32,17,0))</f>
        <v/>
      </c>
      <c r="H18" s="15" t="str">
        <f>IF(C18=600000,"",VLOOKUP(TONTRESUME24T100!A18,[15]TONTRESUME24!A19:U32,18,0))</f>
        <v/>
      </c>
      <c r="I18" s="16">
        <f>[15]TONTRESUME24!S19</f>
        <v>35111.111111111109</v>
      </c>
      <c r="J18" s="33"/>
    </row>
    <row r="19" spans="1:10" x14ac:dyDescent="0.35">
      <c r="A19" s="9"/>
      <c r="B19" s="13"/>
      <c r="C19" s="34"/>
      <c r="D19" s="34"/>
      <c r="E19" s="34"/>
      <c r="F19" s="34"/>
      <c r="G19" s="18"/>
      <c r="H19" s="18"/>
      <c r="I19" s="18"/>
      <c r="J19" s="33"/>
    </row>
    <row r="20" spans="1:10" ht="18" thickBot="1" x14ac:dyDescent="0.4">
      <c r="A20" s="21" t="s">
        <v>60</v>
      </c>
      <c r="B20" s="22"/>
      <c r="C20" s="22">
        <f>SUM(C5:C19)</f>
        <v>10800000</v>
      </c>
      <c r="D20" s="22">
        <f>SUM(D5:D19)</f>
        <v>37000</v>
      </c>
      <c r="E20" s="22">
        <f>SUM(E5:E19)</f>
        <v>12605000</v>
      </c>
      <c r="F20" s="22">
        <f>SUM(F5:F19)</f>
        <v>595000</v>
      </c>
      <c r="G20" s="23"/>
      <c r="H20" s="23"/>
      <c r="I20" s="22">
        <f>SUM(I5:I17)</f>
        <v>561777.77777777787</v>
      </c>
      <c r="J20" s="24">
        <f>SUM(J5:J17)</f>
        <v>0</v>
      </c>
    </row>
    <row r="21" spans="1:10" ht="15" thickTop="1" x14ac:dyDescent="0.35"/>
  </sheetData>
  <autoFilter ref="A4:J20" xr:uid="{C2269373-F197-4D4A-A828-F5690CE65B78}"/>
  <mergeCells count="1">
    <mergeCell ref="A3:J3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MVTRESUME24AUTREMVT</vt:lpstr>
      <vt:lpstr>TONTRESUME24T25</vt:lpstr>
      <vt:lpstr>TONTRESUME24T75</vt:lpstr>
      <vt:lpstr>TONTRESUME24T100</vt:lpstr>
      <vt:lpstr>MVTRESUME24AUTREMVT!Impression_des_titres</vt:lpstr>
      <vt:lpstr>TONTRESUME24T100!Impression_des_titres</vt:lpstr>
      <vt:lpstr>TONTRESUME24T25!Impression_des_titres</vt:lpstr>
      <vt:lpstr>TONTRESUME24T75!Impression_des_titres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2024-07-19T16:21:38Z</dcterms:created>
  <dcterms:modified xsi:type="dcterms:W3CDTF">2024-07-20T08:25:29Z</dcterms:modified>
</cp:coreProperties>
</file>