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907"/>
  <workbookPr/>
  <mc:AlternateContent xmlns:mc="http://schemas.openxmlformats.org/markup-compatibility/2006">
    <mc:Choice Requires="x15">
      <x15ac:absPath xmlns:x15ac="http://schemas.microsoft.com/office/spreadsheetml/2010/11/ac" url="D:\ASELBYTONTINE_2025\"/>
    </mc:Choice>
  </mc:AlternateContent>
  <xr:revisionPtr revIDLastSave="0" documentId="13_ncr:1_{4816EDC1-CA40-4E48-B3CB-98F4CCD15559}" xr6:coauthVersionLast="37" xr6:coauthVersionMax="37" xr10:uidLastSave="{00000000-0000-0000-0000-000000000000}"/>
  <bookViews>
    <workbookView xWindow="0" yWindow="0" windowWidth="20490" windowHeight="7100" firstSheet="11" activeTab="13" xr2:uid="{00000000-000D-0000-FFFF-FFFF00000000}"/>
  </bookViews>
  <sheets>
    <sheet name="MODEVERSEMENT" sheetId="2" r:id="rId1"/>
    <sheet name="COMPTE BANQUE" sheetId="13" r:id="rId2"/>
    <sheet name="HISTOBQUEJANV25" sheetId="53" r:id="rId3"/>
    <sheet name="HISTOBQUEFEV25" sheetId="54" r:id="rId4"/>
    <sheet name="HISTOBQUEMARS25" sheetId="55" r:id="rId5"/>
    <sheet name="HISTOBQUEAVRIL25" sheetId="56" r:id="rId6"/>
    <sheet name="HISTOBQUEMAI25" sheetId="57" r:id="rId7"/>
    <sheet name="HISTOBQUEJUIN25" sheetId="58" r:id="rId8"/>
    <sheet name="HISTOBQUEJUIL25" sheetId="59" r:id="rId9"/>
    <sheet name="HISTOBQUEAOUT25" sheetId="60" r:id="rId10"/>
    <sheet name="HISTOBQUESEPT25" sheetId="61" r:id="rId11"/>
    <sheet name="HISTOBQUEOCT25" sheetId="62" r:id="rId12"/>
    <sheet name="HISTOBQUENOV25" sheetId="63" r:id="rId13"/>
    <sheet name="HISTOBQUEDEC25" sheetId="64" r:id="rId14"/>
    <sheet name="HISTOBQUERESUME25" sheetId="66" r:id="rId15"/>
    <sheet name="HISTOBQUERESUME24" sheetId="52" r:id="rId16"/>
    <sheet name="HISTOBQUEJANV24" sheetId="40" r:id="rId17"/>
    <sheet name="HISTOBQUEFEV24" sheetId="41" r:id="rId18"/>
    <sheet name="HISTOBQUEMARS24" sheetId="42" r:id="rId19"/>
    <sheet name="HISTOBQUEAVRIL24" sheetId="43" r:id="rId20"/>
    <sheet name="HISTOBQUEMAI24" sheetId="44" r:id="rId21"/>
    <sheet name="HISTOBQUEJUIN24" sheetId="45" r:id="rId22"/>
    <sheet name="HISTOBQUEJUIL24" sheetId="46" r:id="rId23"/>
    <sheet name="HISTOBQUEAOUT24" sheetId="47" r:id="rId24"/>
    <sheet name="HISTOBQUESEPT24" sheetId="48" r:id="rId25"/>
    <sheet name="HISTOBQUEOCT24" sheetId="49" r:id="rId26"/>
    <sheet name="HISTOBQUENOV24" sheetId="50" r:id="rId27"/>
    <sheet name="HISTOBQUEDEC24" sheetId="51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xlnm._FilterDatabase" localSheetId="23" hidden="1">HISTOBQUEAOUT24!$A$5:$F$38</definedName>
    <definedName name="_xlnm._FilterDatabase" localSheetId="9" hidden="1">HISTOBQUEAOUT25!$A$5:$G$42</definedName>
    <definedName name="_xlnm._FilterDatabase" localSheetId="19" hidden="1">HISTOBQUEAVRIL24!$A$5:$F$38</definedName>
    <definedName name="_xlnm._FilterDatabase" localSheetId="5" hidden="1">HISTOBQUEAVRIL25!$A$5:$G$42</definedName>
    <definedName name="_xlnm._FilterDatabase" localSheetId="27" hidden="1">HISTOBQUEDEC24!$A$5:$F$38</definedName>
    <definedName name="_xlnm._FilterDatabase" localSheetId="13" hidden="1">HISTOBQUEDEC25!$A$5:$G$42</definedName>
    <definedName name="_xlnm._FilterDatabase" localSheetId="17" hidden="1">HISTOBQUEFEV24!$A$5:$F$38</definedName>
    <definedName name="_xlnm._FilterDatabase" localSheetId="3" hidden="1">HISTOBQUEFEV25!$A$5:$G$42</definedName>
    <definedName name="_xlnm._FilterDatabase" localSheetId="16" hidden="1">HISTOBQUEJANV24!$A$5:$F$38</definedName>
    <definedName name="_xlnm._FilterDatabase" localSheetId="2" hidden="1">HISTOBQUEJANV25!$A$5:$G$42</definedName>
    <definedName name="_xlnm._FilterDatabase" localSheetId="22" hidden="1">HISTOBQUEJUIL24!$A$5:$F$38</definedName>
    <definedName name="_xlnm._FilterDatabase" localSheetId="8" hidden="1">HISTOBQUEJUIL25!$A$5:$G$42</definedName>
    <definedName name="_xlnm._FilterDatabase" localSheetId="21" hidden="1">HISTOBQUEJUIN24!$A$5:$F$38</definedName>
    <definedName name="_xlnm._FilterDatabase" localSheetId="7" hidden="1">HISTOBQUEJUIN25!$A$5:$G$42</definedName>
    <definedName name="_xlnm._FilterDatabase" localSheetId="20" hidden="1">HISTOBQUEMAI24!$A$5:$F$38</definedName>
    <definedName name="_xlnm._FilterDatabase" localSheetId="6" hidden="1">HISTOBQUEMAI25!$A$5:$G$42</definedName>
    <definedName name="_xlnm._FilterDatabase" localSheetId="18" hidden="1">HISTOBQUEMARS24!$A$5:$F$38</definedName>
    <definedName name="_xlnm._FilterDatabase" localSheetId="4" hidden="1">HISTOBQUEMARS25!$A$5:$G$42</definedName>
    <definedName name="_xlnm._FilterDatabase" localSheetId="26" hidden="1">HISTOBQUENOV24!$A$5:$F$38</definedName>
    <definedName name="_xlnm._FilterDatabase" localSheetId="12" hidden="1">HISTOBQUENOV25!$A$5:$G$42</definedName>
    <definedName name="_xlnm._FilterDatabase" localSheetId="25" hidden="1">HISTOBQUEOCT24!$A$5:$F$38</definedName>
    <definedName name="_xlnm._FilterDatabase" localSheetId="11" hidden="1">HISTOBQUEOCT25!$A$5:$G$42</definedName>
    <definedName name="_xlnm._FilterDatabase" localSheetId="15" hidden="1">HISTOBQUERESUME24!$A$5:$F$38</definedName>
    <definedName name="_xlnm._FilterDatabase" localSheetId="14" hidden="1">HISTOBQUERESUME25!$A$5:$F$42</definedName>
    <definedName name="_xlnm._FilterDatabase" localSheetId="24" hidden="1">HISTOBQUESEPT24!$A$5:$F$38</definedName>
    <definedName name="_xlnm._FilterDatabase" localSheetId="10" hidden="1">HISTOBQUESEPT25!$A$5:$G$42</definedName>
    <definedName name="BANQUE" localSheetId="1">#REF!</definedName>
    <definedName name="BANQUE" localSheetId="23">#REF!</definedName>
    <definedName name="BANQUE" localSheetId="9">#REF!</definedName>
    <definedName name="BANQUE" localSheetId="19">#REF!</definedName>
    <definedName name="BANQUE" localSheetId="5">#REF!</definedName>
    <definedName name="BANQUE" localSheetId="27">#REF!</definedName>
    <definedName name="BANQUE" localSheetId="13">#REF!</definedName>
    <definedName name="BANQUE" localSheetId="17">#REF!</definedName>
    <definedName name="BANQUE" localSheetId="3">#REF!</definedName>
    <definedName name="BANQUE" localSheetId="16">#REF!</definedName>
    <definedName name="BANQUE" localSheetId="2">#REF!</definedName>
    <definedName name="BANQUE" localSheetId="22">#REF!</definedName>
    <definedName name="BANQUE" localSheetId="8">#REF!</definedName>
    <definedName name="BANQUE" localSheetId="21">#REF!</definedName>
    <definedName name="BANQUE" localSheetId="7">#REF!</definedName>
    <definedName name="BANQUE" localSheetId="20">#REF!</definedName>
    <definedName name="BANQUE" localSheetId="6">#REF!</definedName>
    <definedName name="BANQUE" localSheetId="18">#REF!</definedName>
    <definedName name="BANQUE" localSheetId="4">#REF!</definedName>
    <definedName name="BANQUE" localSheetId="26">#REF!</definedName>
    <definedName name="BANQUE" localSheetId="12">#REF!</definedName>
    <definedName name="BANQUE" localSheetId="25">#REF!</definedName>
    <definedName name="BANQUE" localSheetId="11">#REF!</definedName>
    <definedName name="BANQUE" localSheetId="15">#REF!</definedName>
    <definedName name="BANQUE" localSheetId="14">#REF!</definedName>
    <definedName name="BANQUE" localSheetId="24">#REF!</definedName>
    <definedName name="BANQUE" localSheetId="10">#REF!</definedName>
    <definedName name="BANQUE" localSheetId="0">#REF!</definedName>
    <definedName name="BANQUE">#REF!</definedName>
    <definedName name="MODEPAID">[1]Feuil2!$A$1:$A$3</definedName>
    <definedName name="MODET25000">[2]MODEVERSEMENT!$A$1:$A$3</definedName>
    <definedName name="MODEVERSEMENT" localSheetId="1">#REF!</definedName>
    <definedName name="MODEVERSEMENT" localSheetId="23">#REF!</definedName>
    <definedName name="MODEVERSEMENT" localSheetId="9">#REF!</definedName>
    <definedName name="MODEVERSEMENT" localSheetId="19">#REF!</definedName>
    <definedName name="MODEVERSEMENT" localSheetId="5">#REF!</definedName>
    <definedName name="MODEVERSEMENT" localSheetId="27">#REF!</definedName>
    <definedName name="MODEVERSEMENT" localSheetId="13">#REF!</definedName>
    <definedName name="MODEVERSEMENT" localSheetId="17">#REF!</definedName>
    <definedName name="MODEVERSEMENT" localSheetId="3">#REF!</definedName>
    <definedName name="MODEVERSEMENT" localSheetId="16">#REF!</definedName>
    <definedName name="MODEVERSEMENT" localSheetId="2">#REF!</definedName>
    <definedName name="MODEVERSEMENT" localSheetId="22">#REF!</definedName>
    <definedName name="MODEVERSEMENT" localSheetId="8">#REF!</definedName>
    <definedName name="MODEVERSEMENT" localSheetId="21">#REF!</definedName>
    <definedName name="MODEVERSEMENT" localSheetId="7">#REF!</definedName>
    <definedName name="MODEVERSEMENT" localSheetId="20">#REF!</definedName>
    <definedName name="MODEVERSEMENT" localSheetId="6">#REF!</definedName>
    <definedName name="MODEVERSEMENT" localSheetId="18">#REF!</definedName>
    <definedName name="MODEVERSEMENT" localSheetId="4">#REF!</definedName>
    <definedName name="MODEVERSEMENT" localSheetId="26">#REF!</definedName>
    <definedName name="MODEVERSEMENT" localSheetId="12">#REF!</definedName>
    <definedName name="MODEVERSEMENT" localSheetId="25">#REF!</definedName>
    <definedName name="MODEVERSEMENT" localSheetId="11">#REF!</definedName>
    <definedName name="MODEVERSEMENT" localSheetId="15">#REF!</definedName>
    <definedName name="MODEVERSEMENT" localSheetId="14">#REF!</definedName>
    <definedName name="MODEVERSEMENT" localSheetId="24">#REF!</definedName>
    <definedName name="MODEVERSEMENT" localSheetId="10">#REF!</definedName>
    <definedName name="MODEVERSEMENT" localSheetId="0">#REF!</definedName>
    <definedName name="MODEVERSEMENT">#REF!</definedName>
    <definedName name="MODEVERSEMENTS" localSheetId="1">[3]MODEVERSEMENT!$A$1:$A$3</definedName>
    <definedName name="MODEVERSEMENTS" localSheetId="23">[3]MODEVERSEMENT!$A$1:$A$3</definedName>
    <definedName name="MODEVERSEMENTS" localSheetId="9">[3]MODEVERSEMENT!$A$1:$A$3</definedName>
    <definedName name="MODEVERSEMENTS" localSheetId="19">[3]MODEVERSEMENT!$A$1:$A$3</definedName>
    <definedName name="MODEVERSEMENTS" localSheetId="5">[3]MODEVERSEMENT!$A$1:$A$3</definedName>
    <definedName name="MODEVERSEMENTS" localSheetId="27">[3]MODEVERSEMENT!$A$1:$A$3</definedName>
    <definedName name="MODEVERSEMENTS" localSheetId="13">[3]MODEVERSEMENT!$A$1:$A$3</definedName>
    <definedName name="MODEVERSEMENTS" localSheetId="17">[3]MODEVERSEMENT!$A$1:$A$3</definedName>
    <definedName name="MODEVERSEMENTS" localSheetId="3">[3]MODEVERSEMENT!$A$1:$A$3</definedName>
    <definedName name="MODEVERSEMENTS" localSheetId="16">[3]MODEVERSEMENT!$A$1:$A$3</definedName>
    <definedName name="MODEVERSEMENTS" localSheetId="2">[3]MODEVERSEMENT!$A$1:$A$3</definedName>
    <definedName name="MODEVERSEMENTS" localSheetId="22">[3]MODEVERSEMENT!$A$1:$A$3</definedName>
    <definedName name="MODEVERSEMENTS" localSheetId="8">[3]MODEVERSEMENT!$A$1:$A$3</definedName>
    <definedName name="MODEVERSEMENTS" localSheetId="21">[3]MODEVERSEMENT!$A$1:$A$3</definedName>
    <definedName name="MODEVERSEMENTS" localSheetId="7">[3]MODEVERSEMENT!$A$1:$A$3</definedName>
    <definedName name="MODEVERSEMENTS" localSheetId="20">[3]MODEVERSEMENT!$A$1:$A$3</definedName>
    <definedName name="MODEVERSEMENTS" localSheetId="6">[3]MODEVERSEMENT!$A$1:$A$3</definedName>
    <definedName name="MODEVERSEMENTS" localSheetId="18">[3]MODEVERSEMENT!$A$1:$A$3</definedName>
    <definedName name="MODEVERSEMENTS" localSheetId="4">[3]MODEVERSEMENT!$A$1:$A$3</definedName>
    <definedName name="MODEVERSEMENTS" localSheetId="26">[3]MODEVERSEMENT!$A$1:$A$3</definedName>
    <definedName name="MODEVERSEMENTS" localSheetId="12">[3]MODEVERSEMENT!$A$1:$A$3</definedName>
    <definedName name="MODEVERSEMENTS" localSheetId="25">[3]MODEVERSEMENT!$A$1:$A$3</definedName>
    <definedName name="MODEVERSEMENTS" localSheetId="11">[3]MODEVERSEMENT!$A$1:$A$3</definedName>
    <definedName name="MODEVERSEMENTS" localSheetId="15">[3]MODEVERSEMENT!$A$1:$A$3</definedName>
    <definedName name="MODEVERSEMENTS" localSheetId="14">[3]MODEVERSEMENT!$A$1:$A$3</definedName>
    <definedName name="MODEVERSEMENTS" localSheetId="24">[3]MODEVERSEMENT!$A$1:$A$3</definedName>
    <definedName name="MODEVERSEMENTS" localSheetId="10">[3]MODEVERSEMENT!$A$1:$A$3</definedName>
    <definedName name="MODEVERSEMENTS">MODEVERSEMENT!$A$1:$A$3</definedName>
    <definedName name="VALMODEPAID">[4]MODEPAID!$A$1:$A$3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64" l="1"/>
  <c r="I44" i="64"/>
  <c r="G7" i="64" l="1"/>
  <c r="G8" i="64"/>
  <c r="G9" i="64"/>
  <c r="G10" i="64"/>
  <c r="G11" i="64"/>
  <c r="G12" i="64"/>
  <c r="G13" i="64"/>
  <c r="G14" i="64"/>
  <c r="G15" i="64"/>
  <c r="G16" i="64"/>
  <c r="G17" i="64"/>
  <c r="G18" i="64"/>
  <c r="G19" i="64"/>
  <c r="G20" i="64"/>
  <c r="G21" i="64"/>
  <c r="G22" i="64"/>
  <c r="G23" i="64"/>
  <c r="G24" i="64"/>
  <c r="G25" i="64"/>
  <c r="G26" i="64"/>
  <c r="G27" i="64"/>
  <c r="G28" i="64"/>
  <c r="G29" i="64"/>
  <c r="G30" i="64"/>
  <c r="G31" i="64"/>
  <c r="G32" i="64"/>
  <c r="G33" i="64"/>
  <c r="G34" i="64"/>
  <c r="G35" i="64"/>
  <c r="G36" i="64"/>
  <c r="G37" i="64"/>
  <c r="G38" i="64"/>
  <c r="G39" i="64"/>
  <c r="G40" i="64"/>
  <c r="G41" i="64"/>
  <c r="G42" i="64"/>
  <c r="F18" i="64"/>
  <c r="D17" i="64"/>
  <c r="D41" i="64"/>
  <c r="D28" i="64"/>
  <c r="D19" i="64"/>
  <c r="D10" i="64"/>
  <c r="E39" i="64"/>
  <c r="E18" i="64"/>
  <c r="E17" i="55"/>
  <c r="E26" i="64" l="1"/>
  <c r="E27" i="64"/>
  <c r="E12" i="64"/>
  <c r="E16" i="55" l="1"/>
  <c r="D7" i="66" l="1"/>
  <c r="E7" i="66"/>
  <c r="D8" i="66"/>
  <c r="E8" i="66"/>
  <c r="D9" i="66"/>
  <c r="E9" i="66"/>
  <c r="D10" i="66"/>
  <c r="E10" i="66"/>
  <c r="D11" i="66"/>
  <c r="E11" i="66"/>
  <c r="D12" i="66"/>
  <c r="E12" i="66"/>
  <c r="D13" i="66"/>
  <c r="E13" i="66"/>
  <c r="D14" i="66"/>
  <c r="E14" i="66"/>
  <c r="D15" i="66"/>
  <c r="E15" i="66"/>
  <c r="D16" i="66"/>
  <c r="E16" i="66"/>
  <c r="D17" i="66"/>
  <c r="E17" i="66"/>
  <c r="D18" i="66"/>
  <c r="E18" i="66"/>
  <c r="D19" i="66"/>
  <c r="E19" i="66"/>
  <c r="D20" i="66"/>
  <c r="E20" i="66"/>
  <c r="D21" i="66"/>
  <c r="E21" i="66"/>
  <c r="D22" i="66"/>
  <c r="E22" i="66"/>
  <c r="D23" i="66"/>
  <c r="E23" i="66"/>
  <c r="D24" i="66"/>
  <c r="E24" i="66"/>
  <c r="D25" i="66"/>
  <c r="E25" i="66"/>
  <c r="D26" i="66"/>
  <c r="E26" i="66"/>
  <c r="D27" i="66"/>
  <c r="E27" i="66"/>
  <c r="D28" i="66"/>
  <c r="E28" i="66"/>
  <c r="D29" i="66"/>
  <c r="E29" i="66"/>
  <c r="D30" i="66"/>
  <c r="E30" i="66"/>
  <c r="D31" i="66"/>
  <c r="E31" i="66"/>
  <c r="D32" i="66"/>
  <c r="E32" i="66"/>
  <c r="D33" i="66"/>
  <c r="E33" i="66"/>
  <c r="D34" i="66"/>
  <c r="E34" i="66"/>
  <c r="D35" i="66"/>
  <c r="E35" i="66"/>
  <c r="D36" i="66"/>
  <c r="E36" i="66"/>
  <c r="D37" i="66"/>
  <c r="E37" i="66"/>
  <c r="D38" i="66"/>
  <c r="E38" i="66"/>
  <c r="D39" i="66"/>
  <c r="E39" i="66"/>
  <c r="D40" i="66"/>
  <c r="E40" i="66"/>
  <c r="D41" i="66"/>
  <c r="E41" i="66"/>
  <c r="D42" i="66"/>
  <c r="E42" i="66"/>
  <c r="C20" i="66"/>
  <c r="B33" i="66"/>
  <c r="B38" i="66"/>
  <c r="B15" i="66"/>
  <c r="B20" i="66"/>
  <c r="B20" i="64"/>
  <c r="B20" i="63"/>
  <c r="B20" i="62"/>
  <c r="B20" i="61"/>
  <c r="B20" i="60"/>
  <c r="B20" i="59"/>
  <c r="B20" i="58"/>
  <c r="B20" i="57"/>
  <c r="B20" i="56"/>
  <c r="B20" i="55"/>
  <c r="B20" i="54"/>
  <c r="B20" i="53"/>
  <c r="F20" i="66" l="1"/>
  <c r="E17" i="63"/>
  <c r="E35" i="63"/>
  <c r="E25" i="63"/>
  <c r="D9" i="63" l="1"/>
  <c r="E22" i="63"/>
  <c r="E11" i="63"/>
  <c r="E8" i="63"/>
  <c r="E23" i="63" l="1"/>
  <c r="E32" i="63"/>
  <c r="E54" i="63"/>
  <c r="E60" i="63"/>
  <c r="E27" i="63"/>
  <c r="E12" i="63" l="1"/>
  <c r="E12" i="62" l="1"/>
  <c r="E34" i="60" l="1"/>
  <c r="D26" i="62"/>
  <c r="D19" i="62"/>
  <c r="E11" i="62"/>
  <c r="D26" i="61" l="1"/>
  <c r="E22" i="62"/>
  <c r="E28" i="62"/>
  <c r="E17" i="62"/>
  <c r="H6" i="62"/>
  <c r="E27" i="62"/>
  <c r="D22" i="61" l="1"/>
  <c r="E27" i="61"/>
  <c r="E17" i="61" l="1"/>
  <c r="E12" i="61"/>
  <c r="E35" i="61"/>
  <c r="E25" i="61"/>
  <c r="E28" i="61"/>
  <c r="E39" i="61"/>
  <c r="E27" i="60" l="1"/>
  <c r="D9" i="60" l="1"/>
  <c r="E19" i="60"/>
  <c r="E12" i="60" l="1"/>
  <c r="E44" i="60"/>
  <c r="G43" i="60"/>
  <c r="E35" i="60"/>
  <c r="E25" i="60"/>
  <c r="E22" i="60"/>
  <c r="E26" i="60" l="1"/>
  <c r="D44" i="59" l="1"/>
  <c r="E12" i="59"/>
  <c r="E21" i="59"/>
  <c r="E35" i="59"/>
  <c r="E25" i="59"/>
  <c r="D9" i="59"/>
  <c r="E19" i="59" l="1"/>
  <c r="E34" i="59"/>
  <c r="E27" i="59"/>
  <c r="H6" i="59"/>
  <c r="E34" i="58" l="1"/>
  <c r="E39" i="58" l="1"/>
  <c r="D44" i="58"/>
  <c r="E27" i="58"/>
  <c r="D9" i="58"/>
  <c r="E17" i="58"/>
  <c r="B42" i="64" l="1"/>
  <c r="B41" i="64"/>
  <c r="B40" i="64"/>
  <c r="B39" i="64"/>
  <c r="B38" i="64"/>
  <c r="B37" i="64"/>
  <c r="B36" i="64"/>
  <c r="B35" i="64"/>
  <c r="B34" i="64"/>
  <c r="B33" i="64"/>
  <c r="B32" i="64"/>
  <c r="B31" i="64"/>
  <c r="B30" i="64"/>
  <c r="B29" i="64"/>
  <c r="B28" i="64"/>
  <c r="B27" i="64"/>
  <c r="B26" i="64"/>
  <c r="B25" i="64"/>
  <c r="B24" i="64"/>
  <c r="B23" i="64"/>
  <c r="B22" i="64"/>
  <c r="B21" i="64"/>
  <c r="B19" i="64"/>
  <c r="B18" i="64"/>
  <c r="B17" i="64"/>
  <c r="B16" i="64"/>
  <c r="B15" i="64"/>
  <c r="B14" i="64"/>
  <c r="B13" i="64"/>
  <c r="B12" i="64"/>
  <c r="B11" i="64"/>
  <c r="B10" i="64"/>
  <c r="B9" i="64"/>
  <c r="B8" i="64"/>
  <c r="B7" i="64"/>
  <c r="B6" i="64"/>
  <c r="B42" i="63"/>
  <c r="B41" i="63"/>
  <c r="B40" i="63"/>
  <c r="B39" i="63"/>
  <c r="B38" i="63"/>
  <c r="B37" i="63"/>
  <c r="B36" i="63"/>
  <c r="B35" i="63"/>
  <c r="B34" i="63"/>
  <c r="B33" i="63"/>
  <c r="B32" i="63"/>
  <c r="B31" i="63"/>
  <c r="B30" i="63"/>
  <c r="B29" i="63"/>
  <c r="B28" i="63"/>
  <c r="B27" i="63"/>
  <c r="B26" i="63"/>
  <c r="B25" i="63"/>
  <c r="B24" i="63"/>
  <c r="B23" i="63"/>
  <c r="B22" i="63"/>
  <c r="B21" i="63"/>
  <c r="B19" i="63"/>
  <c r="B18" i="63"/>
  <c r="B17" i="63"/>
  <c r="B16" i="63"/>
  <c r="B15" i="63"/>
  <c r="B14" i="63"/>
  <c r="B13" i="63"/>
  <c r="B12" i="63"/>
  <c r="B11" i="63"/>
  <c r="B10" i="63"/>
  <c r="B9" i="63"/>
  <c r="B8" i="63"/>
  <c r="B7" i="63"/>
  <c r="B6" i="63"/>
  <c r="B42" i="62"/>
  <c r="B41" i="62"/>
  <c r="B40" i="62"/>
  <c r="B39" i="62"/>
  <c r="B38" i="62"/>
  <c r="B37" i="62"/>
  <c r="B36" i="62"/>
  <c r="B35" i="62"/>
  <c r="B34" i="62"/>
  <c r="B33" i="62"/>
  <c r="B32" i="62"/>
  <c r="B31" i="62"/>
  <c r="B30" i="62"/>
  <c r="B29" i="62"/>
  <c r="B28" i="62"/>
  <c r="B27" i="62"/>
  <c r="B26" i="62"/>
  <c r="B25" i="62"/>
  <c r="B24" i="62"/>
  <c r="B23" i="62"/>
  <c r="B22" i="62"/>
  <c r="B21" i="62"/>
  <c r="B19" i="62"/>
  <c r="B18" i="62"/>
  <c r="B17" i="62"/>
  <c r="B16" i="62"/>
  <c r="B15" i="62"/>
  <c r="B14" i="62"/>
  <c r="B13" i="62"/>
  <c r="B12" i="62"/>
  <c r="B11" i="62"/>
  <c r="B10" i="62"/>
  <c r="B9" i="62"/>
  <c r="B8" i="62"/>
  <c r="B7" i="62"/>
  <c r="B6" i="62"/>
  <c r="B42" i="61"/>
  <c r="B41" i="61"/>
  <c r="B40" i="61"/>
  <c r="B39" i="61"/>
  <c r="B38" i="61"/>
  <c r="B37" i="61"/>
  <c r="B36" i="61"/>
  <c r="B35" i="61"/>
  <c r="B34" i="61"/>
  <c r="B33" i="61"/>
  <c r="B32" i="61"/>
  <c r="B31" i="61"/>
  <c r="B30" i="61"/>
  <c r="B29" i="61"/>
  <c r="B28" i="61"/>
  <c r="B27" i="61"/>
  <c r="B26" i="61"/>
  <c r="B25" i="61"/>
  <c r="B24" i="61"/>
  <c r="B23" i="61"/>
  <c r="B22" i="61"/>
  <c r="B21" i="61"/>
  <c r="B19" i="61"/>
  <c r="B18" i="61"/>
  <c r="B17" i="61"/>
  <c r="B16" i="61"/>
  <c r="B15" i="61"/>
  <c r="B14" i="61"/>
  <c r="B13" i="61"/>
  <c r="B12" i="61"/>
  <c r="B11" i="61"/>
  <c r="B10" i="61"/>
  <c r="B9" i="61"/>
  <c r="B8" i="61"/>
  <c r="B7" i="61"/>
  <c r="B6" i="61"/>
  <c r="B42" i="60"/>
  <c r="B41" i="60"/>
  <c r="B40" i="60"/>
  <c r="B39" i="60"/>
  <c r="B38" i="60"/>
  <c r="B37" i="60"/>
  <c r="B36" i="60"/>
  <c r="B35" i="60"/>
  <c r="B34" i="60"/>
  <c r="B33" i="60"/>
  <c r="B32" i="60"/>
  <c r="B31" i="60"/>
  <c r="B30" i="60"/>
  <c r="B29" i="60"/>
  <c r="B28" i="60"/>
  <c r="B27" i="60"/>
  <c r="B26" i="60"/>
  <c r="B25" i="60"/>
  <c r="B24" i="60"/>
  <c r="B23" i="60"/>
  <c r="B22" i="60"/>
  <c r="B21" i="60"/>
  <c r="B19" i="60"/>
  <c r="B18" i="60"/>
  <c r="B17" i="60"/>
  <c r="B16" i="60"/>
  <c r="B15" i="60"/>
  <c r="B14" i="60"/>
  <c r="B13" i="60"/>
  <c r="B12" i="60"/>
  <c r="B11" i="60"/>
  <c r="B10" i="60"/>
  <c r="B9" i="60"/>
  <c r="B8" i="60"/>
  <c r="B7" i="60"/>
  <c r="B6" i="60"/>
  <c r="B42" i="59"/>
  <c r="B41" i="59"/>
  <c r="B40" i="59"/>
  <c r="B39" i="59"/>
  <c r="B38" i="59"/>
  <c r="B37" i="59"/>
  <c r="B36" i="59"/>
  <c r="B35" i="59"/>
  <c r="B34" i="59"/>
  <c r="B33" i="59"/>
  <c r="B32" i="59"/>
  <c r="B31" i="59"/>
  <c r="B30" i="59"/>
  <c r="B29" i="59"/>
  <c r="B28" i="59"/>
  <c r="B27" i="59"/>
  <c r="B26" i="59"/>
  <c r="B25" i="59"/>
  <c r="B24" i="59"/>
  <c r="B23" i="59"/>
  <c r="B22" i="59"/>
  <c r="B21" i="59"/>
  <c r="B19" i="59"/>
  <c r="B18" i="59"/>
  <c r="B17" i="59"/>
  <c r="B16" i="59"/>
  <c r="B15" i="59"/>
  <c r="B14" i="59"/>
  <c r="B13" i="59"/>
  <c r="B12" i="59"/>
  <c r="B11" i="59"/>
  <c r="B10" i="59"/>
  <c r="B9" i="59"/>
  <c r="B8" i="59"/>
  <c r="B7" i="59"/>
  <c r="B6" i="59"/>
  <c r="B42" i="58"/>
  <c r="B41" i="58"/>
  <c r="B40" i="58"/>
  <c r="B39" i="58"/>
  <c r="B38" i="58"/>
  <c r="B37" i="58"/>
  <c r="B36" i="58"/>
  <c r="B35" i="58"/>
  <c r="B34" i="58"/>
  <c r="B33" i="58"/>
  <c r="B32" i="58"/>
  <c r="B31" i="58"/>
  <c r="B30" i="58"/>
  <c r="B29" i="58"/>
  <c r="B28" i="58"/>
  <c r="B27" i="58"/>
  <c r="B26" i="58"/>
  <c r="B25" i="58"/>
  <c r="B24" i="58"/>
  <c r="B23" i="58"/>
  <c r="B22" i="58"/>
  <c r="B21" i="58"/>
  <c r="B19" i="58"/>
  <c r="B18" i="58"/>
  <c r="B17" i="58"/>
  <c r="B16" i="58"/>
  <c r="B15" i="58"/>
  <c r="B14" i="58"/>
  <c r="B13" i="58"/>
  <c r="B12" i="58"/>
  <c r="B11" i="58"/>
  <c r="B10" i="58"/>
  <c r="B9" i="58"/>
  <c r="B8" i="58"/>
  <c r="B7" i="58"/>
  <c r="B6" i="58"/>
  <c r="B42" i="57"/>
  <c r="B41" i="57"/>
  <c r="B40" i="57"/>
  <c r="B39" i="57"/>
  <c r="B38" i="57"/>
  <c r="B37" i="57"/>
  <c r="B36" i="57"/>
  <c r="B35" i="57"/>
  <c r="B34" i="57"/>
  <c r="B33" i="57"/>
  <c r="B32" i="57"/>
  <c r="B31" i="57"/>
  <c r="B30" i="57"/>
  <c r="B29" i="57"/>
  <c r="B28" i="57"/>
  <c r="B27" i="57"/>
  <c r="B26" i="57"/>
  <c r="B25" i="57"/>
  <c r="B24" i="57"/>
  <c r="B23" i="57"/>
  <c r="B22" i="57"/>
  <c r="B21" i="57"/>
  <c r="B19" i="57"/>
  <c r="B18" i="57"/>
  <c r="B17" i="57"/>
  <c r="B16" i="57"/>
  <c r="B15" i="57"/>
  <c r="B14" i="57"/>
  <c r="B13" i="57"/>
  <c r="B12" i="57"/>
  <c r="B11" i="57"/>
  <c r="B10" i="57"/>
  <c r="B9" i="57"/>
  <c r="B8" i="57"/>
  <c r="B7" i="57"/>
  <c r="B6" i="57"/>
  <c r="B42" i="56"/>
  <c r="B41" i="56"/>
  <c r="B40" i="56"/>
  <c r="B39" i="56"/>
  <c r="B38" i="56"/>
  <c r="B37" i="56"/>
  <c r="B36" i="56"/>
  <c r="B35" i="56"/>
  <c r="B34" i="56"/>
  <c r="B33" i="56"/>
  <c r="B32" i="56"/>
  <c r="B31" i="56"/>
  <c r="B30" i="56"/>
  <c r="B29" i="56"/>
  <c r="B28" i="56"/>
  <c r="B27" i="56"/>
  <c r="B26" i="56"/>
  <c r="B25" i="56"/>
  <c r="B24" i="56"/>
  <c r="B23" i="56"/>
  <c r="B22" i="56"/>
  <c r="B21" i="56"/>
  <c r="B19" i="56"/>
  <c r="B18" i="56"/>
  <c r="B17" i="56"/>
  <c r="B16" i="56"/>
  <c r="B15" i="56"/>
  <c r="B14" i="56"/>
  <c r="B13" i="56"/>
  <c r="B12" i="56"/>
  <c r="B11" i="56"/>
  <c r="B10" i="56"/>
  <c r="B9" i="56"/>
  <c r="B8" i="56"/>
  <c r="B7" i="56"/>
  <c r="B6" i="56"/>
  <c r="B42" i="55"/>
  <c r="B41" i="55"/>
  <c r="B40" i="55"/>
  <c r="B39" i="55"/>
  <c r="B38" i="55"/>
  <c r="B37" i="55"/>
  <c r="B36" i="55"/>
  <c r="B35" i="55"/>
  <c r="B34" i="55"/>
  <c r="B33" i="55"/>
  <c r="B32" i="55"/>
  <c r="B31" i="55"/>
  <c r="B30" i="55"/>
  <c r="B29" i="55"/>
  <c r="B28" i="55"/>
  <c r="B27" i="55"/>
  <c r="B26" i="55"/>
  <c r="B25" i="55"/>
  <c r="B24" i="55"/>
  <c r="B23" i="55"/>
  <c r="B22" i="55"/>
  <c r="B21" i="55"/>
  <c r="B19" i="55"/>
  <c r="B18" i="55"/>
  <c r="B17" i="55"/>
  <c r="B16" i="55"/>
  <c r="B15" i="55"/>
  <c r="B14" i="55"/>
  <c r="B13" i="55"/>
  <c r="B12" i="55"/>
  <c r="B11" i="55"/>
  <c r="B10" i="55"/>
  <c r="B9" i="55"/>
  <c r="B8" i="55"/>
  <c r="B7" i="55"/>
  <c r="B6" i="55"/>
  <c r="B42" i="54"/>
  <c r="B41" i="54"/>
  <c r="B40" i="54"/>
  <c r="B39" i="54"/>
  <c r="B38" i="54"/>
  <c r="B37" i="54"/>
  <c r="B36" i="54"/>
  <c r="B35" i="54"/>
  <c r="B34" i="54"/>
  <c r="B33" i="54"/>
  <c r="B32" i="54"/>
  <c r="B31" i="54"/>
  <c r="B30" i="54"/>
  <c r="B29" i="54"/>
  <c r="B28" i="54"/>
  <c r="B27" i="54"/>
  <c r="B26" i="54"/>
  <c r="B25" i="54"/>
  <c r="B24" i="54"/>
  <c r="B23" i="54"/>
  <c r="B22" i="54"/>
  <c r="B21" i="54"/>
  <c r="B19" i="54"/>
  <c r="B18" i="54"/>
  <c r="B17" i="54"/>
  <c r="B16" i="54"/>
  <c r="B15" i="54"/>
  <c r="B14" i="54"/>
  <c r="B13" i="54"/>
  <c r="B12" i="54"/>
  <c r="B11" i="54"/>
  <c r="B10" i="54"/>
  <c r="B9" i="54"/>
  <c r="B8" i="54"/>
  <c r="B7" i="54"/>
  <c r="B6" i="54"/>
  <c r="B42" i="53"/>
  <c r="B41" i="53"/>
  <c r="B40" i="53"/>
  <c r="B39" i="53"/>
  <c r="B38" i="53"/>
  <c r="B37" i="53"/>
  <c r="B36" i="53"/>
  <c r="B35" i="53"/>
  <c r="B34" i="53"/>
  <c r="B33" i="53"/>
  <c r="B32" i="53"/>
  <c r="B31" i="53"/>
  <c r="B30" i="53"/>
  <c r="B29" i="53"/>
  <c r="B28" i="53"/>
  <c r="B27" i="53"/>
  <c r="B26" i="53"/>
  <c r="B25" i="53"/>
  <c r="B24" i="53"/>
  <c r="B23" i="53"/>
  <c r="B22" i="53"/>
  <c r="B21" i="53"/>
  <c r="B19" i="53"/>
  <c r="B18" i="53"/>
  <c r="B17" i="53"/>
  <c r="B16" i="53"/>
  <c r="B15" i="53"/>
  <c r="B14" i="53"/>
  <c r="B13" i="53"/>
  <c r="B12" i="53"/>
  <c r="B11" i="53"/>
  <c r="B10" i="53"/>
  <c r="B9" i="53"/>
  <c r="B8" i="53"/>
  <c r="B7" i="53"/>
  <c r="B6" i="53"/>
  <c r="E10" i="57" l="1"/>
  <c r="D9" i="57"/>
  <c r="D9" i="56"/>
  <c r="D26" i="57"/>
  <c r="E6" i="66" l="1"/>
  <c r="D6" i="66"/>
  <c r="H44" i="66"/>
  <c r="G44" i="66"/>
  <c r="H44" i="64"/>
  <c r="F44" i="64"/>
  <c r="E44" i="64"/>
  <c r="D44" i="64"/>
  <c r="D48" i="64" s="1"/>
  <c r="G6" i="64"/>
  <c r="H44" i="63"/>
  <c r="F44" i="63"/>
  <c r="E44" i="63"/>
  <c r="D44" i="63"/>
  <c r="G42" i="63"/>
  <c r="G41" i="63"/>
  <c r="G40" i="63"/>
  <c r="G39" i="63"/>
  <c r="G38" i="63"/>
  <c r="G37" i="63"/>
  <c r="G36" i="63"/>
  <c r="G35" i="63"/>
  <c r="G34" i="63"/>
  <c r="C34" i="63" s="1"/>
  <c r="G33" i="63"/>
  <c r="G32" i="63"/>
  <c r="G31" i="63"/>
  <c r="G30" i="63"/>
  <c r="G29" i="63"/>
  <c r="G28" i="63"/>
  <c r="G27" i="63"/>
  <c r="G26" i="63"/>
  <c r="G25" i="63"/>
  <c r="G24" i="63"/>
  <c r="G23" i="63"/>
  <c r="G22" i="63"/>
  <c r="G21" i="63"/>
  <c r="G19" i="63"/>
  <c r="G18" i="63"/>
  <c r="G17" i="63"/>
  <c r="G16" i="63"/>
  <c r="G15" i="63"/>
  <c r="G14" i="63"/>
  <c r="G13" i="63"/>
  <c r="G12" i="63"/>
  <c r="G11" i="63"/>
  <c r="G10" i="63"/>
  <c r="G9" i="63"/>
  <c r="G8" i="63"/>
  <c r="G7" i="63"/>
  <c r="G6" i="63"/>
  <c r="H44" i="62"/>
  <c r="F44" i="62"/>
  <c r="E44" i="62"/>
  <c r="D44" i="62"/>
  <c r="G42" i="62"/>
  <c r="G41" i="62"/>
  <c r="G40" i="62"/>
  <c r="G39" i="62"/>
  <c r="G38" i="62"/>
  <c r="G37" i="62"/>
  <c r="G36" i="62"/>
  <c r="G35" i="62"/>
  <c r="G34" i="62"/>
  <c r="G33" i="62"/>
  <c r="G32" i="62"/>
  <c r="G31" i="62"/>
  <c r="G30" i="62"/>
  <c r="G29" i="62"/>
  <c r="G28" i="62"/>
  <c r="G27" i="62"/>
  <c r="G26" i="62"/>
  <c r="G25" i="62"/>
  <c r="G24" i="62"/>
  <c r="G23" i="62"/>
  <c r="G22" i="62"/>
  <c r="G21" i="62"/>
  <c r="G19" i="62"/>
  <c r="G18" i="62"/>
  <c r="G17" i="62"/>
  <c r="G16" i="62"/>
  <c r="G15" i="62"/>
  <c r="G14" i="62"/>
  <c r="G13" i="62"/>
  <c r="G12" i="62"/>
  <c r="G11" i="62"/>
  <c r="G10" i="62"/>
  <c r="G9" i="62"/>
  <c r="G8" i="62"/>
  <c r="G7" i="62"/>
  <c r="G6" i="62"/>
  <c r="H44" i="61"/>
  <c r="F44" i="61"/>
  <c r="E44" i="61"/>
  <c r="D44" i="61"/>
  <c r="G42" i="61"/>
  <c r="G41" i="61"/>
  <c r="G40" i="61"/>
  <c r="G39" i="61"/>
  <c r="G38" i="61"/>
  <c r="G37" i="61"/>
  <c r="G36" i="61"/>
  <c r="G35" i="61"/>
  <c r="G34" i="61"/>
  <c r="C34" i="61" s="1"/>
  <c r="G33" i="61"/>
  <c r="G32" i="61"/>
  <c r="G31" i="61"/>
  <c r="G30" i="61"/>
  <c r="G29" i="61"/>
  <c r="G28" i="61"/>
  <c r="G27" i="61"/>
  <c r="G26" i="61"/>
  <c r="G25" i="61"/>
  <c r="G24" i="61"/>
  <c r="G23" i="61"/>
  <c r="G22" i="61"/>
  <c r="G21" i="61"/>
  <c r="G19" i="61"/>
  <c r="G18" i="61"/>
  <c r="G17" i="61"/>
  <c r="G16" i="61"/>
  <c r="G15" i="61"/>
  <c r="G14" i="61"/>
  <c r="G13" i="61"/>
  <c r="G12" i="61"/>
  <c r="G11" i="61"/>
  <c r="G10" i="61"/>
  <c r="G9" i="61"/>
  <c r="G8" i="61"/>
  <c r="G7" i="61"/>
  <c r="G6" i="61"/>
  <c r="H44" i="60"/>
  <c r="F44" i="60"/>
  <c r="D44" i="60"/>
  <c r="G42" i="60"/>
  <c r="G41" i="60"/>
  <c r="G40" i="60"/>
  <c r="G39" i="60"/>
  <c r="G38" i="60"/>
  <c r="G37" i="60"/>
  <c r="G36" i="60"/>
  <c r="G35" i="60"/>
  <c r="G34" i="60"/>
  <c r="G33" i="60"/>
  <c r="G32" i="60"/>
  <c r="G31" i="60"/>
  <c r="G30" i="60"/>
  <c r="G29" i="60"/>
  <c r="G28" i="60"/>
  <c r="G27" i="60"/>
  <c r="G26" i="60"/>
  <c r="G25" i="60"/>
  <c r="G24" i="60"/>
  <c r="G23" i="60"/>
  <c r="G22" i="60"/>
  <c r="G21" i="60"/>
  <c r="G19" i="60"/>
  <c r="G18" i="60"/>
  <c r="G17" i="60"/>
  <c r="G16" i="60"/>
  <c r="G15" i="60"/>
  <c r="G14" i="60"/>
  <c r="G13" i="60"/>
  <c r="G12" i="60"/>
  <c r="G11" i="60"/>
  <c r="G10" i="60"/>
  <c r="G9" i="60"/>
  <c r="G8" i="60"/>
  <c r="G7" i="60"/>
  <c r="G6" i="60"/>
  <c r="H44" i="59"/>
  <c r="F44" i="59"/>
  <c r="E44" i="59"/>
  <c r="G42" i="59"/>
  <c r="G41" i="59"/>
  <c r="G40" i="59"/>
  <c r="G39" i="59"/>
  <c r="G38" i="59"/>
  <c r="G37" i="59"/>
  <c r="G36" i="59"/>
  <c r="G35" i="59"/>
  <c r="G34" i="59"/>
  <c r="G33" i="59"/>
  <c r="G32" i="59"/>
  <c r="G31" i="59"/>
  <c r="G30" i="59"/>
  <c r="G29" i="59"/>
  <c r="G28" i="59"/>
  <c r="G27" i="59"/>
  <c r="G26" i="59"/>
  <c r="G25" i="59"/>
  <c r="G24" i="59"/>
  <c r="G23" i="59"/>
  <c r="G22" i="59"/>
  <c r="G21" i="59"/>
  <c r="G19" i="59"/>
  <c r="G18" i="59"/>
  <c r="G17" i="59"/>
  <c r="G16" i="59"/>
  <c r="G15" i="59"/>
  <c r="G14" i="59"/>
  <c r="G13" i="59"/>
  <c r="G12" i="59"/>
  <c r="G11" i="59"/>
  <c r="G10" i="59"/>
  <c r="G9" i="59"/>
  <c r="G8" i="59"/>
  <c r="G7" i="59"/>
  <c r="G6" i="59"/>
  <c r="H44" i="58"/>
  <c r="F44" i="58"/>
  <c r="G42" i="58"/>
  <c r="G41" i="58"/>
  <c r="G40" i="58"/>
  <c r="G39" i="58"/>
  <c r="G38" i="58"/>
  <c r="G37" i="58"/>
  <c r="G36" i="58"/>
  <c r="G35" i="58"/>
  <c r="E44" i="58"/>
  <c r="G33" i="58"/>
  <c r="G32" i="58"/>
  <c r="G31" i="58"/>
  <c r="G30" i="58"/>
  <c r="G29" i="58"/>
  <c r="G28" i="58"/>
  <c r="G27" i="58"/>
  <c r="G26" i="58"/>
  <c r="G25" i="58"/>
  <c r="G24" i="58"/>
  <c r="G23" i="58"/>
  <c r="G22" i="58"/>
  <c r="G21" i="58"/>
  <c r="G19" i="58"/>
  <c r="G18" i="58"/>
  <c r="G17" i="58"/>
  <c r="G16" i="58"/>
  <c r="G15" i="58"/>
  <c r="G14" i="58"/>
  <c r="G13" i="58"/>
  <c r="G12" i="58"/>
  <c r="G11" i="58"/>
  <c r="G10" i="58"/>
  <c r="G9" i="58"/>
  <c r="G8" i="58"/>
  <c r="G7" i="58"/>
  <c r="G6" i="58"/>
  <c r="G44" i="60" l="1"/>
  <c r="D44" i="66"/>
  <c r="G44" i="62"/>
  <c r="G44" i="63"/>
  <c r="G44" i="61"/>
  <c r="G44" i="59"/>
  <c r="G34" i="58"/>
  <c r="G44" i="58" l="1"/>
  <c r="E34" i="57" l="1"/>
  <c r="G34" i="57" s="1"/>
  <c r="G7" i="57"/>
  <c r="G8" i="57"/>
  <c r="G9" i="57"/>
  <c r="G10" i="57"/>
  <c r="G11" i="57"/>
  <c r="G12" i="57"/>
  <c r="G13" i="57"/>
  <c r="G14" i="57"/>
  <c r="G15" i="57"/>
  <c r="G16" i="57"/>
  <c r="G17" i="57"/>
  <c r="G18" i="57"/>
  <c r="G19" i="57"/>
  <c r="G21" i="57"/>
  <c r="G22" i="57"/>
  <c r="G23" i="57"/>
  <c r="G24" i="57"/>
  <c r="G25" i="57"/>
  <c r="G26" i="57"/>
  <c r="G27" i="57"/>
  <c r="G28" i="57"/>
  <c r="G29" i="57"/>
  <c r="G30" i="57"/>
  <c r="G31" i="57"/>
  <c r="G32" i="57"/>
  <c r="G33" i="57"/>
  <c r="G35" i="57"/>
  <c r="G36" i="57"/>
  <c r="G37" i="57"/>
  <c r="G38" i="57"/>
  <c r="G39" i="57"/>
  <c r="G40" i="57"/>
  <c r="G41" i="57"/>
  <c r="G42" i="57"/>
  <c r="G6" i="57"/>
  <c r="H44" i="57" l="1"/>
  <c r="F44" i="57"/>
  <c r="D44" i="57"/>
  <c r="E44" i="57"/>
  <c r="G44" i="57"/>
  <c r="H44" i="56"/>
  <c r="F44" i="56"/>
  <c r="D44" i="56"/>
  <c r="G42" i="56"/>
  <c r="G41" i="56"/>
  <c r="G40" i="56"/>
  <c r="G39" i="56"/>
  <c r="G38" i="56"/>
  <c r="G37" i="56"/>
  <c r="G36" i="56"/>
  <c r="G35" i="56"/>
  <c r="G34" i="56"/>
  <c r="G33" i="56"/>
  <c r="G32" i="56"/>
  <c r="G31" i="56"/>
  <c r="G30" i="56"/>
  <c r="G29" i="56"/>
  <c r="G28" i="56"/>
  <c r="G27" i="56"/>
  <c r="G26" i="56"/>
  <c r="G25" i="56"/>
  <c r="G24" i="56"/>
  <c r="G23" i="56"/>
  <c r="G22" i="56"/>
  <c r="G21" i="56"/>
  <c r="G19" i="56"/>
  <c r="G18" i="56"/>
  <c r="G17" i="56"/>
  <c r="G16" i="56"/>
  <c r="G15" i="56"/>
  <c r="G14" i="56"/>
  <c r="G13" i="56"/>
  <c r="G12" i="56"/>
  <c r="G11" i="56"/>
  <c r="G10" i="56"/>
  <c r="G9" i="56"/>
  <c r="G8" i="56"/>
  <c r="E44" i="56"/>
  <c r="G7" i="56"/>
  <c r="G6" i="56"/>
  <c r="G44" i="56" l="1"/>
  <c r="E40" i="55" l="1"/>
  <c r="E42" i="55"/>
  <c r="E11" i="55"/>
  <c r="E19" i="55"/>
  <c r="E10" i="55"/>
  <c r="E8" i="55"/>
  <c r="E9" i="55"/>
  <c r="E25" i="55" l="1"/>
  <c r="E28" i="55"/>
  <c r="E27" i="55" l="1"/>
  <c r="E34" i="55"/>
  <c r="H44" i="55" l="1"/>
  <c r="F44" i="55"/>
  <c r="D44" i="55"/>
  <c r="G42" i="55"/>
  <c r="G41" i="55"/>
  <c r="G40" i="55"/>
  <c r="G39" i="55"/>
  <c r="G38" i="55"/>
  <c r="G37" i="55"/>
  <c r="G36" i="55"/>
  <c r="G35" i="55"/>
  <c r="G34" i="55"/>
  <c r="G33" i="55"/>
  <c r="G32" i="55"/>
  <c r="G31" i="55"/>
  <c r="G30" i="55"/>
  <c r="G29" i="55"/>
  <c r="G28" i="55"/>
  <c r="G27" i="55"/>
  <c r="G26" i="55"/>
  <c r="G25" i="55"/>
  <c r="G24" i="55"/>
  <c r="G23" i="55"/>
  <c r="G22" i="55"/>
  <c r="G21" i="55"/>
  <c r="G19" i="55"/>
  <c r="G18" i="55"/>
  <c r="G17" i="55"/>
  <c r="G16" i="55"/>
  <c r="G15" i="55"/>
  <c r="G14" i="55"/>
  <c r="G13" i="55"/>
  <c r="G12" i="55"/>
  <c r="G11" i="55"/>
  <c r="G10" i="55"/>
  <c r="G9" i="55"/>
  <c r="G8" i="55"/>
  <c r="G7" i="55"/>
  <c r="G6" i="55"/>
  <c r="G44" i="55" l="1"/>
  <c r="E44" i="55"/>
  <c r="E11" i="54" l="1"/>
  <c r="G15" i="54"/>
  <c r="G15" i="53"/>
  <c r="C15" i="53" s="1"/>
  <c r="E9" i="54"/>
  <c r="E19" i="54"/>
  <c r="E12" i="54" l="1"/>
  <c r="E34" i="54"/>
  <c r="F44" i="54"/>
  <c r="D44" i="54"/>
  <c r="G42" i="54"/>
  <c r="G41" i="54"/>
  <c r="G40" i="54"/>
  <c r="G39" i="54"/>
  <c r="G38" i="54"/>
  <c r="G37" i="54"/>
  <c r="G36" i="54"/>
  <c r="G35" i="54"/>
  <c r="G33" i="54"/>
  <c r="G32" i="54"/>
  <c r="G31" i="54"/>
  <c r="G30" i="54"/>
  <c r="G29" i="54"/>
  <c r="G28" i="54"/>
  <c r="G27" i="54"/>
  <c r="G26" i="54"/>
  <c r="G25" i="54"/>
  <c r="G24" i="54"/>
  <c r="G23" i="54"/>
  <c r="G22" i="54"/>
  <c r="G21" i="54"/>
  <c r="G19" i="54"/>
  <c r="G18" i="54"/>
  <c r="G17" i="54"/>
  <c r="G16" i="54"/>
  <c r="G14" i="54"/>
  <c r="G13" i="54"/>
  <c r="G12" i="54"/>
  <c r="G11" i="54"/>
  <c r="G10" i="54"/>
  <c r="G9" i="54"/>
  <c r="G8" i="54"/>
  <c r="G7" i="54"/>
  <c r="H44" i="54"/>
  <c r="G6" i="54"/>
  <c r="E44" i="54" l="1"/>
  <c r="G34" i="54"/>
  <c r="G44" i="54" l="1"/>
  <c r="D44" i="53" l="1"/>
  <c r="F44" i="53"/>
  <c r="G6" i="53" l="1"/>
  <c r="G8" i="53"/>
  <c r="G9" i="53"/>
  <c r="G10" i="53"/>
  <c r="G11" i="53"/>
  <c r="G12" i="53"/>
  <c r="G13" i="53"/>
  <c r="G14" i="53"/>
  <c r="G16" i="53"/>
  <c r="G17" i="53"/>
  <c r="G18" i="53"/>
  <c r="G19" i="53"/>
  <c r="G21" i="53"/>
  <c r="G22" i="53"/>
  <c r="G23" i="53"/>
  <c r="G24" i="53"/>
  <c r="G25" i="53"/>
  <c r="G26" i="53"/>
  <c r="G27" i="53"/>
  <c r="G28" i="53"/>
  <c r="G29" i="53"/>
  <c r="G30" i="53"/>
  <c r="G31" i="53"/>
  <c r="G32" i="53"/>
  <c r="G33" i="53"/>
  <c r="G35" i="53"/>
  <c r="G36" i="53"/>
  <c r="G37" i="53"/>
  <c r="G38" i="53"/>
  <c r="G39" i="53"/>
  <c r="G40" i="53"/>
  <c r="G41" i="53"/>
  <c r="G42" i="53"/>
  <c r="G7" i="53"/>
  <c r="H6" i="53" l="1"/>
  <c r="H44" i="53" s="1"/>
  <c r="E34" i="53"/>
  <c r="E44" i="66" s="1"/>
  <c r="G34" i="53" l="1"/>
  <c r="G44" i="53" s="1"/>
  <c r="E44" i="53"/>
  <c r="D20" i="51"/>
  <c r="L12" i="51"/>
  <c r="J23" i="51"/>
  <c r="L20" i="51"/>
  <c r="L10" i="51"/>
  <c r="J12" i="51"/>
  <c r="J30" i="51" l="1"/>
  <c r="J16" i="51"/>
  <c r="J25" i="51"/>
  <c r="J31" i="51"/>
  <c r="J24" i="51"/>
  <c r="J12" i="50" l="1"/>
  <c r="J26" i="50"/>
  <c r="J23" i="50"/>
  <c r="J16" i="50"/>
  <c r="J9" i="50"/>
  <c r="J31" i="50"/>
  <c r="J25" i="50"/>
  <c r="J17" i="49" l="1"/>
  <c r="J12" i="49"/>
  <c r="J20" i="49"/>
  <c r="J23" i="49"/>
  <c r="J32" i="49"/>
  <c r="I20" i="49" l="1"/>
  <c r="J30" i="49"/>
  <c r="I30" i="49" s="1"/>
  <c r="J16" i="49"/>
  <c r="I17" i="49"/>
  <c r="J25" i="49"/>
  <c r="I25" i="49" s="1"/>
  <c r="I12" i="49"/>
  <c r="I32" i="49"/>
  <c r="J31" i="49"/>
  <c r="I31" i="49" s="1"/>
  <c r="I26" i="49"/>
  <c r="I16" i="49"/>
  <c r="I7" i="49"/>
  <c r="I8" i="49"/>
  <c r="I9" i="49"/>
  <c r="I10" i="49"/>
  <c r="I11" i="49"/>
  <c r="I13" i="49"/>
  <c r="I14" i="49"/>
  <c r="I15" i="49"/>
  <c r="I18" i="49"/>
  <c r="I19" i="49"/>
  <c r="I21" i="49"/>
  <c r="I22" i="49"/>
  <c r="I23" i="49"/>
  <c r="I24" i="49"/>
  <c r="I27" i="49"/>
  <c r="I28" i="49"/>
  <c r="I29" i="49"/>
  <c r="I33" i="49"/>
  <c r="I34" i="49"/>
  <c r="I35" i="49"/>
  <c r="I36" i="49"/>
  <c r="I37" i="49"/>
  <c r="I38" i="49"/>
  <c r="I6" i="49"/>
  <c r="D10" i="48" l="1"/>
  <c r="J32" i="48"/>
  <c r="J23" i="48"/>
  <c r="H6" i="46" l="1"/>
  <c r="J12" i="48"/>
  <c r="J16" i="48"/>
  <c r="J20" i="48"/>
  <c r="J25" i="48"/>
  <c r="J31" i="48"/>
  <c r="J9" i="48"/>
  <c r="J20" i="47" l="1"/>
  <c r="J12" i="47"/>
  <c r="J11" i="47"/>
  <c r="J32" i="47"/>
  <c r="J23" i="47"/>
  <c r="J25" i="47"/>
  <c r="J7" i="45" l="1"/>
  <c r="J40" i="51"/>
  <c r="J40" i="50"/>
  <c r="J40" i="48"/>
  <c r="J40" i="47"/>
  <c r="E24" i="46"/>
  <c r="J32" i="46"/>
  <c r="K40" i="50" l="1"/>
  <c r="K40" i="51"/>
  <c r="K40" i="48"/>
  <c r="K40" i="47"/>
  <c r="G40" i="46" l="1"/>
  <c r="I40" i="46"/>
  <c r="J40" i="46"/>
  <c r="D40" i="46" l="1"/>
  <c r="H40" i="46"/>
  <c r="D40" i="40" l="1"/>
  <c r="E40" i="46" l="1"/>
  <c r="J7" i="40" l="1"/>
  <c r="J7" i="41"/>
  <c r="J31" i="45" l="1"/>
  <c r="D40" i="45"/>
  <c r="J30" i="45" l="1"/>
  <c r="J11" i="45"/>
  <c r="J25" i="45"/>
  <c r="J17" i="45" l="1"/>
  <c r="J20" i="45"/>
  <c r="J24" i="45"/>
  <c r="J32" i="45"/>
  <c r="J33" i="45"/>
  <c r="J8" i="45"/>
  <c r="J9" i="45"/>
  <c r="J18" i="45"/>
  <c r="J21" i="45"/>
  <c r="J12" i="45"/>
  <c r="J11" i="44"/>
  <c r="J26" i="45"/>
  <c r="J24" i="44" l="1"/>
  <c r="J32" i="44"/>
  <c r="J20" i="44"/>
  <c r="J23" i="44" l="1"/>
  <c r="J10" i="44"/>
  <c r="J33" i="44"/>
  <c r="J18" i="44"/>
  <c r="J25" i="44"/>
  <c r="J12" i="44" l="1"/>
  <c r="J29" i="43" l="1"/>
  <c r="J10" i="43"/>
  <c r="J20" i="43"/>
  <c r="J18" i="43"/>
  <c r="J31" i="43" l="1"/>
  <c r="J25" i="43"/>
  <c r="J9" i="43"/>
  <c r="J33" i="43"/>
  <c r="J23" i="43"/>
  <c r="J26" i="43"/>
  <c r="J11" i="43"/>
  <c r="J32" i="43"/>
  <c r="D7" i="52"/>
  <c r="E7" i="52"/>
  <c r="D8" i="52"/>
  <c r="E8" i="52"/>
  <c r="D9" i="52"/>
  <c r="E9" i="52"/>
  <c r="D10" i="52"/>
  <c r="E10" i="52"/>
  <c r="D11" i="52"/>
  <c r="E11" i="52"/>
  <c r="D12" i="52"/>
  <c r="E12" i="52"/>
  <c r="D13" i="52"/>
  <c r="E13" i="52"/>
  <c r="D14" i="52"/>
  <c r="E14" i="52"/>
  <c r="D15" i="52"/>
  <c r="E15" i="52"/>
  <c r="D16" i="52"/>
  <c r="E16" i="52"/>
  <c r="D17" i="52"/>
  <c r="E17" i="52"/>
  <c r="D18" i="52"/>
  <c r="E18" i="52"/>
  <c r="D19" i="52"/>
  <c r="E19" i="52"/>
  <c r="D20" i="52"/>
  <c r="E20" i="52"/>
  <c r="D21" i="52"/>
  <c r="E21" i="52"/>
  <c r="D22" i="52"/>
  <c r="E22" i="52"/>
  <c r="D23" i="52"/>
  <c r="E23" i="52"/>
  <c r="D24" i="52"/>
  <c r="E24" i="52"/>
  <c r="D25" i="52"/>
  <c r="E25" i="52"/>
  <c r="D26" i="52"/>
  <c r="E26" i="52"/>
  <c r="D27" i="52"/>
  <c r="E27" i="52"/>
  <c r="D28" i="52"/>
  <c r="E28" i="52"/>
  <c r="D29" i="52"/>
  <c r="E29" i="52"/>
  <c r="D30" i="52"/>
  <c r="E30" i="52"/>
  <c r="D31" i="52"/>
  <c r="E31" i="52"/>
  <c r="D32" i="52"/>
  <c r="E32" i="52"/>
  <c r="D33" i="52"/>
  <c r="E33" i="52"/>
  <c r="D34" i="52"/>
  <c r="E34" i="52"/>
  <c r="D35" i="52"/>
  <c r="E35" i="52"/>
  <c r="D36" i="52"/>
  <c r="E36" i="52"/>
  <c r="E37" i="52"/>
  <c r="D38" i="52"/>
  <c r="E38" i="52"/>
  <c r="D6" i="52"/>
  <c r="E6" i="52"/>
  <c r="H40" i="52"/>
  <c r="G40" i="52"/>
  <c r="H40" i="51"/>
  <c r="G40" i="51"/>
  <c r="E40" i="51"/>
  <c r="D40" i="51"/>
  <c r="H40" i="50"/>
  <c r="G40" i="50"/>
  <c r="E40" i="50"/>
  <c r="D40" i="50"/>
  <c r="H40" i="49"/>
  <c r="G40" i="49"/>
  <c r="E40" i="49"/>
  <c r="D40" i="49"/>
  <c r="H40" i="48"/>
  <c r="G40" i="48"/>
  <c r="E40" i="48"/>
  <c r="D40" i="48"/>
  <c r="H40" i="47"/>
  <c r="G40" i="47"/>
  <c r="E40" i="47"/>
  <c r="D40" i="47"/>
  <c r="H40" i="45"/>
  <c r="G40" i="45"/>
  <c r="E40" i="45"/>
  <c r="H40" i="44"/>
  <c r="G40" i="44"/>
  <c r="E40" i="44"/>
  <c r="D40" i="44"/>
  <c r="F33" i="44"/>
  <c r="F32" i="44"/>
  <c r="F25" i="44"/>
  <c r="F24" i="44"/>
  <c r="F23" i="44"/>
  <c r="F20" i="44"/>
  <c r="F18" i="44"/>
  <c r="F12" i="44"/>
  <c r="F11" i="44"/>
  <c r="F10" i="44"/>
  <c r="H40" i="43"/>
  <c r="G40" i="43"/>
  <c r="E40" i="43"/>
  <c r="D40" i="43"/>
  <c r="K40" i="49" l="1"/>
  <c r="J40" i="49"/>
  <c r="J24" i="43"/>
  <c r="J37" i="43"/>
  <c r="J22" i="43"/>
  <c r="J12" i="43"/>
  <c r="J8" i="44"/>
  <c r="J16" i="44"/>
  <c r="J28" i="44"/>
  <c r="J36" i="44"/>
  <c r="J27" i="45"/>
  <c r="J37" i="45"/>
  <c r="J36" i="43"/>
  <c r="J21" i="43"/>
  <c r="J8" i="43"/>
  <c r="J16" i="45"/>
  <c r="J22" i="45"/>
  <c r="J6" i="43"/>
  <c r="J35" i="43"/>
  <c r="J19" i="43"/>
  <c r="J7" i="43"/>
  <c r="J9" i="44"/>
  <c r="J13" i="44"/>
  <c r="J17" i="44"/>
  <c r="J21" i="44"/>
  <c r="J29" i="44"/>
  <c r="J37" i="44"/>
  <c r="J6" i="45"/>
  <c r="J28" i="45"/>
  <c r="J34" i="45"/>
  <c r="J38" i="45"/>
  <c r="J13" i="45"/>
  <c r="J23" i="45"/>
  <c r="J38" i="43"/>
  <c r="J15" i="45"/>
  <c r="J21" i="41"/>
  <c r="J30" i="43"/>
  <c r="J16" i="43"/>
  <c r="J6" i="44"/>
  <c r="J14" i="44"/>
  <c r="J22" i="44"/>
  <c r="J26" i="44"/>
  <c r="J30" i="44"/>
  <c r="J34" i="44"/>
  <c r="J38" i="44"/>
  <c r="J29" i="45"/>
  <c r="J35" i="45"/>
  <c r="J13" i="43"/>
  <c r="J34" i="43"/>
  <c r="J17" i="43"/>
  <c r="J28" i="43"/>
  <c r="J15" i="43"/>
  <c r="J14" i="45"/>
  <c r="J19" i="45"/>
  <c r="J10" i="45"/>
  <c r="J27" i="43"/>
  <c r="J14" i="43"/>
  <c r="J7" i="44"/>
  <c r="J15" i="44"/>
  <c r="J19" i="44"/>
  <c r="J27" i="44"/>
  <c r="J31" i="44"/>
  <c r="J35" i="44"/>
  <c r="J36" i="45"/>
  <c r="F8" i="43"/>
  <c r="F9" i="44"/>
  <c r="F13" i="44"/>
  <c r="F17" i="44"/>
  <c r="F21" i="44"/>
  <c r="F29" i="44"/>
  <c r="F37" i="44"/>
  <c r="F6" i="45"/>
  <c r="F10" i="45"/>
  <c r="F14" i="45"/>
  <c r="F18" i="45"/>
  <c r="F22" i="45"/>
  <c r="F26" i="45"/>
  <c r="F30" i="45"/>
  <c r="F34" i="45"/>
  <c r="F38" i="45"/>
  <c r="F11" i="46"/>
  <c r="F15" i="46"/>
  <c r="F19" i="46"/>
  <c r="F23" i="46"/>
  <c r="F27" i="46"/>
  <c r="F31" i="46"/>
  <c r="F35" i="46"/>
  <c r="F8" i="47"/>
  <c r="F12" i="47"/>
  <c r="F16" i="47"/>
  <c r="F20" i="47"/>
  <c r="F24" i="47"/>
  <c r="F28" i="47"/>
  <c r="F32" i="47"/>
  <c r="F36" i="47"/>
  <c r="F9" i="48"/>
  <c r="F13" i="48"/>
  <c r="F17" i="48"/>
  <c r="F21" i="48"/>
  <c r="F25" i="48"/>
  <c r="F29" i="48"/>
  <c r="F33" i="48"/>
  <c r="F37" i="48"/>
  <c r="F6" i="49"/>
  <c r="F10" i="49"/>
  <c r="F14" i="49"/>
  <c r="F18" i="49"/>
  <c r="F22" i="49"/>
  <c r="F26" i="49"/>
  <c r="F30" i="49"/>
  <c r="F34" i="49"/>
  <c r="F38" i="49"/>
  <c r="F11" i="50"/>
  <c r="F15" i="50"/>
  <c r="F19" i="50"/>
  <c r="F23" i="50"/>
  <c r="F27" i="50"/>
  <c r="F31" i="50"/>
  <c r="F35" i="50"/>
  <c r="F8" i="51"/>
  <c r="F12" i="51"/>
  <c r="F16" i="51"/>
  <c r="F20" i="51"/>
  <c r="F24" i="51"/>
  <c r="F28" i="51"/>
  <c r="F32" i="51"/>
  <c r="F36" i="51"/>
  <c r="F6" i="44"/>
  <c r="F14" i="44"/>
  <c r="F22" i="44"/>
  <c r="F26" i="44"/>
  <c r="F30" i="44"/>
  <c r="F34" i="44"/>
  <c r="F38" i="44"/>
  <c r="F11" i="45"/>
  <c r="F15" i="45"/>
  <c r="F19" i="45"/>
  <c r="F23" i="45"/>
  <c r="F27" i="45"/>
  <c r="F31" i="45"/>
  <c r="F35" i="45"/>
  <c r="F8" i="46"/>
  <c r="F12" i="46"/>
  <c r="F16" i="46"/>
  <c r="F20" i="46"/>
  <c r="F24" i="46"/>
  <c r="F28" i="46"/>
  <c r="F32" i="46"/>
  <c r="F36" i="46"/>
  <c r="F9" i="47"/>
  <c r="F13" i="47"/>
  <c r="F17" i="47"/>
  <c r="F21" i="47"/>
  <c r="F25" i="47"/>
  <c r="F29" i="47"/>
  <c r="F33" i="47"/>
  <c r="F37" i="47"/>
  <c r="F6" i="48"/>
  <c r="F10" i="48"/>
  <c r="F14" i="48"/>
  <c r="F18" i="48"/>
  <c r="F22" i="48"/>
  <c r="F26" i="48"/>
  <c r="F30" i="48"/>
  <c r="F34" i="48"/>
  <c r="F38" i="48"/>
  <c r="F11" i="49"/>
  <c r="F15" i="49"/>
  <c r="F19" i="49"/>
  <c r="F23" i="49"/>
  <c r="F27" i="49"/>
  <c r="F31" i="49"/>
  <c r="F35" i="49"/>
  <c r="F8" i="50"/>
  <c r="F12" i="50"/>
  <c r="F16" i="50"/>
  <c r="F20" i="50"/>
  <c r="F24" i="50"/>
  <c r="F28" i="50"/>
  <c r="F32" i="50"/>
  <c r="F36" i="50"/>
  <c r="F9" i="51"/>
  <c r="F13" i="51"/>
  <c r="F17" i="51"/>
  <c r="F21" i="51"/>
  <c r="F25" i="51"/>
  <c r="F29" i="51"/>
  <c r="F33" i="51"/>
  <c r="F37" i="51"/>
  <c r="F15" i="44"/>
  <c r="F19" i="44"/>
  <c r="F27" i="44"/>
  <c r="F31" i="44"/>
  <c r="F35" i="44"/>
  <c r="F8" i="45"/>
  <c r="F12" i="45"/>
  <c r="F16" i="45"/>
  <c r="F20" i="45"/>
  <c r="F24" i="45"/>
  <c r="F28" i="45"/>
  <c r="F32" i="45"/>
  <c r="F36" i="45"/>
  <c r="F9" i="46"/>
  <c r="F13" i="46"/>
  <c r="F17" i="46"/>
  <c r="F21" i="46"/>
  <c r="F25" i="46"/>
  <c r="F29" i="46"/>
  <c r="F33" i="46"/>
  <c r="F37" i="46"/>
  <c r="F6" i="47"/>
  <c r="F10" i="47"/>
  <c r="F14" i="47"/>
  <c r="F18" i="47"/>
  <c r="F22" i="47"/>
  <c r="F26" i="47"/>
  <c r="F30" i="47"/>
  <c r="F34" i="47"/>
  <c r="F38" i="47"/>
  <c r="F11" i="48"/>
  <c r="F15" i="48"/>
  <c r="F19" i="48"/>
  <c r="F23" i="48"/>
  <c r="F27" i="48"/>
  <c r="F31" i="48"/>
  <c r="F35" i="48"/>
  <c r="F8" i="49"/>
  <c r="F12" i="49"/>
  <c r="F16" i="49"/>
  <c r="F20" i="49"/>
  <c r="F24" i="49"/>
  <c r="F28" i="49"/>
  <c r="F32" i="49"/>
  <c r="F36" i="49"/>
  <c r="F9" i="50"/>
  <c r="F13" i="50"/>
  <c r="F17" i="50"/>
  <c r="F21" i="50"/>
  <c r="F25" i="50"/>
  <c r="F29" i="50"/>
  <c r="F33" i="50"/>
  <c r="F37" i="50"/>
  <c r="F6" i="51"/>
  <c r="F10" i="51"/>
  <c r="F14" i="51"/>
  <c r="F18" i="51"/>
  <c r="F22" i="51"/>
  <c r="F26" i="51"/>
  <c r="F30" i="51"/>
  <c r="F34" i="51"/>
  <c r="F38" i="51"/>
  <c r="F8" i="44"/>
  <c r="F16" i="44"/>
  <c r="F28" i="44"/>
  <c r="F36" i="44"/>
  <c r="F9" i="45"/>
  <c r="F13" i="45"/>
  <c r="F17" i="45"/>
  <c r="F21" i="45"/>
  <c r="F25" i="45"/>
  <c r="F29" i="45"/>
  <c r="F33" i="45"/>
  <c r="F37" i="45"/>
  <c r="F10" i="46"/>
  <c r="F14" i="46"/>
  <c r="F22" i="46"/>
  <c r="F26" i="46"/>
  <c r="F30" i="46"/>
  <c r="F34" i="46"/>
  <c r="F38" i="46"/>
  <c r="F11" i="47"/>
  <c r="F15" i="47"/>
  <c r="F19" i="47"/>
  <c r="F23" i="47"/>
  <c r="F27" i="47"/>
  <c r="F31" i="47"/>
  <c r="F35" i="47"/>
  <c r="F8" i="48"/>
  <c r="F12" i="48"/>
  <c r="F16" i="48"/>
  <c r="F20" i="48"/>
  <c r="F24" i="48"/>
  <c r="F28" i="48"/>
  <c r="F32" i="48"/>
  <c r="F36" i="48"/>
  <c r="F9" i="49"/>
  <c r="F13" i="49"/>
  <c r="F17" i="49"/>
  <c r="F21" i="49"/>
  <c r="F25" i="49"/>
  <c r="F29" i="49"/>
  <c r="F33" i="49"/>
  <c r="F37" i="49"/>
  <c r="F6" i="50"/>
  <c r="F10" i="50"/>
  <c r="F14" i="50"/>
  <c r="F18" i="50"/>
  <c r="F22" i="50"/>
  <c r="F26" i="50"/>
  <c r="F30" i="50"/>
  <c r="F34" i="50"/>
  <c r="F38" i="50"/>
  <c r="F11" i="51"/>
  <c r="F15" i="51"/>
  <c r="F19" i="51"/>
  <c r="F23" i="51"/>
  <c r="F27" i="51"/>
  <c r="F31" i="51"/>
  <c r="F35" i="51"/>
  <c r="F36" i="43"/>
  <c r="F28" i="43"/>
  <c r="F16" i="43"/>
  <c r="F35" i="43"/>
  <c r="F31" i="43"/>
  <c r="F27" i="43"/>
  <c r="F23" i="43"/>
  <c r="F19" i="43"/>
  <c r="F15" i="43"/>
  <c r="F11" i="43"/>
  <c r="F38" i="43"/>
  <c r="F30" i="43"/>
  <c r="F26" i="43"/>
  <c r="F22" i="43"/>
  <c r="F18" i="43"/>
  <c r="F14" i="43"/>
  <c r="F10" i="43"/>
  <c r="F34" i="43"/>
  <c r="F37" i="43"/>
  <c r="F33" i="43"/>
  <c r="F29" i="43"/>
  <c r="F25" i="43"/>
  <c r="F21" i="43"/>
  <c r="F17" i="43"/>
  <c r="F13" i="43"/>
  <c r="F9" i="43"/>
  <c r="F21" i="41"/>
  <c r="F6" i="43"/>
  <c r="F32" i="43"/>
  <c r="F24" i="43"/>
  <c r="F20" i="43"/>
  <c r="F12" i="43"/>
  <c r="C40" i="48"/>
  <c r="C40" i="51"/>
  <c r="C40" i="49"/>
  <c r="C40" i="47"/>
  <c r="C40" i="50"/>
  <c r="F7" i="49"/>
  <c r="F7" i="47"/>
  <c r="C40" i="45"/>
  <c r="C40" i="44"/>
  <c r="E40" i="52"/>
  <c r="F7" i="51"/>
  <c r="F7" i="50"/>
  <c r="F7" i="48"/>
  <c r="F7" i="46"/>
  <c r="F7" i="45"/>
  <c r="F7" i="44"/>
  <c r="C40" i="43"/>
  <c r="F7" i="43"/>
  <c r="K40" i="43" l="1"/>
  <c r="K40" i="44"/>
  <c r="J40" i="43"/>
  <c r="J40" i="44"/>
  <c r="J40" i="45"/>
  <c r="K40" i="45"/>
  <c r="F40" i="47"/>
  <c r="F40" i="44"/>
  <c r="F40" i="50"/>
  <c r="F40" i="51"/>
  <c r="F40" i="45"/>
  <c r="F40" i="49"/>
  <c r="F40" i="48"/>
  <c r="F40" i="43"/>
  <c r="J8" i="42" l="1"/>
  <c r="J20" i="42" l="1"/>
  <c r="J29" i="42"/>
  <c r="J25" i="42"/>
  <c r="J12" i="42"/>
  <c r="J34" i="42"/>
  <c r="J24" i="42"/>
  <c r="J18" i="42"/>
  <c r="J10" i="42"/>
  <c r="J26" i="42" l="1"/>
  <c r="J23" i="42"/>
  <c r="J13" i="42"/>
  <c r="J36" i="42"/>
  <c r="J22" i="42"/>
  <c r="J11" i="42"/>
  <c r="J32" i="42"/>
  <c r="J7" i="42"/>
  <c r="J35" i="42"/>
  <c r="J19" i="42"/>
  <c r="J30" i="42"/>
  <c r="J17" i="42"/>
  <c r="J31" i="42"/>
  <c r="J9" i="42"/>
  <c r="J16" i="42"/>
  <c r="J33" i="42"/>
  <c r="J27" i="42"/>
  <c r="J15" i="42"/>
  <c r="J21" i="42"/>
  <c r="J38" i="42"/>
  <c r="J14" i="42"/>
  <c r="J28" i="42"/>
  <c r="J37" i="42"/>
  <c r="H40" i="42"/>
  <c r="G40" i="42"/>
  <c r="E40" i="42"/>
  <c r="F38" i="42"/>
  <c r="D40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7" i="42"/>
  <c r="J6" i="42" l="1"/>
  <c r="F6" i="42"/>
  <c r="C40" i="42"/>
  <c r="F8" i="42"/>
  <c r="F37" i="42"/>
  <c r="K40" i="42" l="1"/>
  <c r="J40" i="42"/>
  <c r="F40" i="42"/>
  <c r="D37" i="41"/>
  <c r="J20" i="41" l="1"/>
  <c r="J11" i="41"/>
  <c r="D37" i="52"/>
  <c r="D40" i="52" s="1"/>
  <c r="C7" i="52"/>
  <c r="J25" i="41" l="1"/>
  <c r="J8" i="41"/>
  <c r="J24" i="41"/>
  <c r="F7" i="52"/>
  <c r="J33" i="41" l="1"/>
  <c r="J31" i="41"/>
  <c r="J18" i="41"/>
  <c r="J17" i="41"/>
  <c r="J29" i="40"/>
  <c r="J33" i="40"/>
  <c r="C33" i="52"/>
  <c r="F33" i="52" s="1"/>
  <c r="H40" i="41"/>
  <c r="G40" i="41"/>
  <c r="E40" i="41"/>
  <c r="D40" i="41"/>
  <c r="J13" i="41" l="1"/>
  <c r="J10" i="41"/>
  <c r="J26" i="41"/>
  <c r="J30" i="41"/>
  <c r="J35" i="41"/>
  <c r="J9" i="41"/>
  <c r="J15" i="41"/>
  <c r="J22" i="41"/>
  <c r="J27" i="41"/>
  <c r="J36" i="41"/>
  <c r="J6" i="41"/>
  <c r="J12" i="41"/>
  <c r="J16" i="41"/>
  <c r="J32" i="41"/>
  <c r="J23" i="41"/>
  <c r="J28" i="41"/>
  <c r="J37" i="41"/>
  <c r="J34" i="41"/>
  <c r="J38" i="41"/>
  <c r="J29" i="41"/>
  <c r="J14" i="41"/>
  <c r="J19" i="41"/>
  <c r="C29" i="52"/>
  <c r="F29" i="52" s="1"/>
  <c r="F6" i="41"/>
  <c r="F8" i="41"/>
  <c r="F10" i="41"/>
  <c r="F12" i="41"/>
  <c r="F14" i="41"/>
  <c r="F16" i="41"/>
  <c r="F18" i="41"/>
  <c r="F19" i="41"/>
  <c r="F23" i="41"/>
  <c r="F25" i="41"/>
  <c r="F27" i="41"/>
  <c r="F29" i="41"/>
  <c r="F31" i="41"/>
  <c r="F33" i="41"/>
  <c r="F35" i="41"/>
  <c r="F37" i="41"/>
  <c r="F9" i="41"/>
  <c r="F11" i="41"/>
  <c r="F13" i="41"/>
  <c r="F15" i="41"/>
  <c r="F17" i="41"/>
  <c r="F20" i="41"/>
  <c r="F22" i="41"/>
  <c r="F24" i="41"/>
  <c r="F26" i="41"/>
  <c r="F28" i="41"/>
  <c r="F30" i="41"/>
  <c r="F32" i="41"/>
  <c r="F34" i="41"/>
  <c r="F36" i="41"/>
  <c r="F38" i="41"/>
  <c r="C40" i="41"/>
  <c r="F7" i="41"/>
  <c r="K40" i="41" l="1"/>
  <c r="J40" i="41"/>
  <c r="J19" i="40"/>
  <c r="C19" i="52"/>
  <c r="F19" i="52" s="1"/>
  <c r="F40" i="41"/>
  <c r="F19" i="40"/>
  <c r="J34" i="40" l="1"/>
  <c r="J37" i="40"/>
  <c r="J31" i="40"/>
  <c r="C37" i="52"/>
  <c r="F37" i="52" s="1"/>
  <c r="C31" i="52"/>
  <c r="F31" i="52" s="1"/>
  <c r="C34" i="52"/>
  <c r="F34" i="52" s="1"/>
  <c r="F37" i="40"/>
  <c r="F34" i="40"/>
  <c r="H40" i="40"/>
  <c r="G40" i="40"/>
  <c r="E40" i="40"/>
  <c r="J30" i="40" l="1"/>
  <c r="J13" i="40"/>
  <c r="J22" i="40"/>
  <c r="J32" i="40"/>
  <c r="J6" i="40"/>
  <c r="J15" i="40"/>
  <c r="J24" i="40"/>
  <c r="J36" i="40"/>
  <c r="J35" i="40"/>
  <c r="J16" i="40"/>
  <c r="J25" i="40"/>
  <c r="J12" i="40"/>
  <c r="J14" i="40"/>
  <c r="J8" i="40"/>
  <c r="J38" i="40"/>
  <c r="J9" i="40"/>
  <c r="J17" i="40"/>
  <c r="J26" i="40"/>
  <c r="J18" i="40"/>
  <c r="J27" i="40"/>
  <c r="J23" i="40"/>
  <c r="J10" i="40"/>
  <c r="J11" i="40"/>
  <c r="J20" i="40"/>
  <c r="J28" i="40"/>
  <c r="J21" i="40"/>
  <c r="C17" i="52"/>
  <c r="F17" i="52" s="1"/>
  <c r="C22" i="52"/>
  <c r="F22" i="52" s="1"/>
  <c r="C26" i="52"/>
  <c r="F26" i="52" s="1"/>
  <c r="C10" i="52"/>
  <c r="F10" i="52" s="1"/>
  <c r="C14" i="52"/>
  <c r="F14" i="52" s="1"/>
  <c r="C18" i="52"/>
  <c r="F18" i="52" s="1"/>
  <c r="C23" i="52"/>
  <c r="F23" i="52" s="1"/>
  <c r="C27" i="52"/>
  <c r="F27" i="52" s="1"/>
  <c r="C35" i="52"/>
  <c r="F35" i="52" s="1"/>
  <c r="C11" i="52"/>
  <c r="F11" i="52" s="1"/>
  <c r="C15" i="52"/>
  <c r="F15" i="52" s="1"/>
  <c r="C20" i="52"/>
  <c r="F20" i="52" s="1"/>
  <c r="C24" i="52"/>
  <c r="F24" i="52" s="1"/>
  <c r="C28" i="52"/>
  <c r="F28" i="52" s="1"/>
  <c r="C36" i="52"/>
  <c r="F36" i="52" s="1"/>
  <c r="C9" i="52"/>
  <c r="F9" i="52" s="1"/>
  <c r="C13" i="52"/>
  <c r="F13" i="52" s="1"/>
  <c r="C32" i="52"/>
  <c r="F32" i="52" s="1"/>
  <c r="C8" i="52"/>
  <c r="C12" i="52"/>
  <c r="F12" i="52" s="1"/>
  <c r="C16" i="52"/>
  <c r="F16" i="52" s="1"/>
  <c r="C21" i="52"/>
  <c r="F21" i="52" s="1"/>
  <c r="C25" i="52"/>
  <c r="F25" i="52" s="1"/>
  <c r="C30" i="52"/>
  <c r="F30" i="52" s="1"/>
  <c r="C38" i="52"/>
  <c r="F38" i="52" s="1"/>
  <c r="F20" i="40"/>
  <c r="F9" i="40"/>
  <c r="F11" i="40"/>
  <c r="F13" i="40"/>
  <c r="F15" i="40"/>
  <c r="F17" i="40"/>
  <c r="F21" i="40"/>
  <c r="F23" i="40"/>
  <c r="F32" i="40"/>
  <c r="F35" i="40"/>
  <c r="F38" i="40"/>
  <c r="F26" i="40"/>
  <c r="F28" i="40"/>
  <c r="F30" i="40"/>
  <c r="F6" i="40"/>
  <c r="F8" i="40"/>
  <c r="F10" i="40"/>
  <c r="F12" i="40"/>
  <c r="F14" i="40"/>
  <c r="F16" i="40"/>
  <c r="F18" i="40"/>
  <c r="F25" i="40"/>
  <c r="F27" i="40"/>
  <c r="F29" i="40"/>
  <c r="F31" i="40"/>
  <c r="F22" i="40"/>
  <c r="F24" i="40"/>
  <c r="F33" i="40"/>
  <c r="F36" i="40"/>
  <c r="C40" i="40"/>
  <c r="F7" i="40"/>
  <c r="K40" i="40" l="1"/>
  <c r="J40" i="40"/>
  <c r="F8" i="52"/>
  <c r="F40" i="52" s="1"/>
  <c r="C40" i="52"/>
  <c r="F40" i="40"/>
  <c r="C9" i="13" l="1"/>
  <c r="D9" i="13"/>
  <c r="D10" i="13"/>
  <c r="D11" i="13"/>
  <c r="D12" i="13"/>
  <c r="D13" i="13"/>
  <c r="D14" i="13"/>
  <c r="D15" i="13"/>
  <c r="D16" i="13"/>
  <c r="D17" i="13"/>
  <c r="C10" i="13"/>
  <c r="C11" i="13"/>
  <c r="C12" i="13"/>
  <c r="C13" i="13"/>
  <c r="C14" i="13"/>
  <c r="C15" i="13"/>
  <c r="C16" i="13"/>
  <c r="C17" i="13"/>
  <c r="D7" i="13"/>
  <c r="E17" i="13" l="1"/>
  <c r="E16" i="13"/>
  <c r="E15" i="13"/>
  <c r="E14" i="13"/>
  <c r="E13" i="13"/>
  <c r="E12" i="13"/>
  <c r="E11" i="13"/>
  <c r="E10" i="13"/>
  <c r="E5" i="13"/>
  <c r="D8" i="13" l="1"/>
  <c r="C8" i="13"/>
  <c r="C7" i="13" l="1"/>
  <c r="D6" i="13" l="1"/>
  <c r="C6" i="13"/>
  <c r="E6" i="13" l="1"/>
  <c r="E7" i="13" s="1"/>
  <c r="E8" i="13" s="1"/>
  <c r="E9" i="13" s="1"/>
  <c r="C40" i="46" l="1"/>
  <c r="F6" i="46"/>
  <c r="F40" i="46" s="1"/>
  <c r="C6" i="52"/>
  <c r="F6" i="52" s="1"/>
  <c r="K40" i="46"/>
  <c r="C7" i="56" l="1"/>
  <c r="G44" i="64" l="1"/>
  <c r="C15" i="64" l="1"/>
  <c r="C15" i="58"/>
  <c r="C15" i="60"/>
  <c r="C15" i="61"/>
  <c r="C15" i="55"/>
  <c r="C15" i="57"/>
  <c r="C15" i="59"/>
  <c r="C15" i="62"/>
  <c r="C15" i="63"/>
  <c r="C15" i="56"/>
  <c r="C15" i="54" l="1"/>
  <c r="C15" i="66" s="1"/>
  <c r="F15" i="66" s="1"/>
  <c r="C37" i="59" l="1"/>
  <c r="C37" i="61"/>
  <c r="C37" i="64"/>
  <c r="C37" i="53"/>
  <c r="C37" i="62"/>
  <c r="C37" i="63"/>
  <c r="C37" i="56"/>
  <c r="C37" i="55"/>
  <c r="C37" i="54"/>
  <c r="C37" i="58"/>
  <c r="C37" i="60"/>
  <c r="C37" i="57"/>
  <c r="C36" i="58"/>
  <c r="C36" i="56"/>
  <c r="C36" i="64"/>
  <c r="C36" i="55"/>
  <c r="C36" i="63"/>
  <c r="C36" i="61"/>
  <c r="C36" i="62"/>
  <c r="C36" i="60"/>
  <c r="C36" i="57"/>
  <c r="C36" i="53"/>
  <c r="C36" i="59"/>
  <c r="C36" i="54"/>
  <c r="C41" i="63"/>
  <c r="C41" i="53"/>
  <c r="C41" i="61"/>
  <c r="C41" i="62"/>
  <c r="C41" i="55"/>
  <c r="C41" i="64"/>
  <c r="C41" i="60"/>
  <c r="C41" i="56"/>
  <c r="C41" i="57"/>
  <c r="C41" i="54"/>
  <c r="C41" i="58"/>
  <c r="C41" i="59"/>
  <c r="C40" i="58"/>
  <c r="C40" i="54"/>
  <c r="C40" i="64"/>
  <c r="C40" i="56"/>
  <c r="C40" i="61"/>
  <c r="C40" i="55"/>
  <c r="C40" i="57"/>
  <c r="C40" i="62"/>
  <c r="C40" i="60"/>
  <c r="C40" i="53"/>
  <c r="C40" i="63"/>
  <c r="C40" i="59"/>
  <c r="C35" i="58"/>
  <c r="C35" i="57"/>
  <c r="C35" i="63"/>
  <c r="C35" i="53"/>
  <c r="C35" i="64"/>
  <c r="C35" i="56"/>
  <c r="C35" i="60"/>
  <c r="C35" i="62"/>
  <c r="C35" i="55"/>
  <c r="C35" i="54"/>
  <c r="C35" i="61"/>
  <c r="C35" i="59"/>
  <c r="C38" i="57"/>
  <c r="C38" i="62"/>
  <c r="C38" i="55"/>
  <c r="C38" i="58"/>
  <c r="C38" i="54"/>
  <c r="C38" i="59"/>
  <c r="C38" i="63"/>
  <c r="C38" i="60"/>
  <c r="C38" i="56"/>
  <c r="C38" i="61"/>
  <c r="C38" i="64"/>
  <c r="C38" i="53"/>
  <c r="C42" i="56"/>
  <c r="C42" i="53"/>
  <c r="C42" i="63"/>
  <c r="C42" i="61"/>
  <c r="C42" i="54"/>
  <c r="C42" i="55"/>
  <c r="C42" i="59"/>
  <c r="C42" i="58"/>
  <c r="C42" i="57"/>
  <c r="C42" i="60"/>
  <c r="C42" i="62"/>
  <c r="C42" i="64"/>
  <c r="C39" i="56"/>
  <c r="C39" i="64"/>
  <c r="C39" i="53"/>
  <c r="C39" i="62"/>
  <c r="C39" i="63"/>
  <c r="C39" i="61"/>
  <c r="C39" i="60"/>
  <c r="C39" i="55"/>
  <c r="C39" i="58"/>
  <c r="C39" i="54"/>
  <c r="C39" i="57"/>
  <c r="C39" i="59"/>
  <c r="C33" i="64"/>
  <c r="C33" i="62"/>
  <c r="C33" i="63"/>
  <c r="C33" i="56"/>
  <c r="C33" i="53"/>
  <c r="C33" i="60"/>
  <c r="C33" i="57"/>
  <c r="C33" i="61"/>
  <c r="C33" i="55"/>
  <c r="C33" i="59"/>
  <c r="C33" i="54"/>
  <c r="C33" i="58"/>
  <c r="C40" i="66" l="1"/>
  <c r="F40" i="66" s="1"/>
  <c r="C36" i="66"/>
  <c r="F36" i="66" s="1"/>
  <c r="C38" i="66"/>
  <c r="F38" i="66" s="1"/>
  <c r="C39" i="66"/>
  <c r="F39" i="66" s="1"/>
  <c r="C35" i="66"/>
  <c r="F35" i="66" s="1"/>
  <c r="C37" i="66"/>
  <c r="F37" i="66" s="1"/>
  <c r="C33" i="66"/>
  <c r="F33" i="66" s="1"/>
  <c r="C42" i="66"/>
  <c r="F42" i="66" s="1"/>
  <c r="C41" i="66"/>
  <c r="F41" i="66" s="1"/>
  <c r="C25" i="61" l="1"/>
  <c r="C25" i="60"/>
  <c r="C25" i="57"/>
  <c r="C25" i="58"/>
  <c r="C25" i="64"/>
  <c r="C25" i="55"/>
  <c r="C25" i="53"/>
  <c r="C25" i="62"/>
  <c r="C25" i="56"/>
  <c r="C25" i="63"/>
  <c r="C25" i="54"/>
  <c r="C25" i="59"/>
  <c r="C14" i="62"/>
  <c r="C14" i="58"/>
  <c r="C14" i="55"/>
  <c r="C14" i="53"/>
  <c r="C14" i="61"/>
  <c r="C14" i="63"/>
  <c r="C14" i="60"/>
  <c r="C14" i="64"/>
  <c r="C14" i="57"/>
  <c r="C14" i="54"/>
  <c r="C14" i="56"/>
  <c r="C14" i="59"/>
  <c r="C8" i="63"/>
  <c r="C8" i="60"/>
  <c r="C8" i="54"/>
  <c r="C8" i="58"/>
  <c r="C8" i="56"/>
  <c r="C8" i="64"/>
  <c r="C8" i="62"/>
  <c r="C8" i="59"/>
  <c r="C8" i="53"/>
  <c r="C8" i="57"/>
  <c r="C8" i="55"/>
  <c r="C8" i="61"/>
  <c r="C18" i="57"/>
  <c r="C18" i="63"/>
  <c r="C18" i="60"/>
  <c r="C18" i="54"/>
  <c r="C18" i="55"/>
  <c r="C18" i="56"/>
  <c r="C18" i="53"/>
  <c r="C18" i="59"/>
  <c r="C18" i="62"/>
  <c r="C18" i="64"/>
  <c r="C18" i="58"/>
  <c r="C18" i="61"/>
  <c r="C22" i="56"/>
  <c r="C22" i="57"/>
  <c r="C22" i="55"/>
  <c r="C22" i="62"/>
  <c r="C22" i="59"/>
  <c r="C22" i="61"/>
  <c r="C22" i="53"/>
  <c r="C22" i="60"/>
  <c r="C22" i="58"/>
  <c r="C22" i="64"/>
  <c r="C22" i="54"/>
  <c r="C22" i="63"/>
  <c r="C6" i="63"/>
  <c r="C6" i="57"/>
  <c r="C6" i="62"/>
  <c r="C6" i="54"/>
  <c r="C6" i="56"/>
  <c r="C6" i="55"/>
  <c r="C6" i="60"/>
  <c r="C6" i="58"/>
  <c r="C6" i="64"/>
  <c r="C6" i="59"/>
  <c r="C6" i="53"/>
  <c r="C6" i="61"/>
  <c r="C11" i="63"/>
  <c r="C11" i="56"/>
  <c r="C11" i="53"/>
  <c r="C11" i="64"/>
  <c r="C11" i="60"/>
  <c r="C11" i="59"/>
  <c r="C11" i="57"/>
  <c r="C11" i="61"/>
  <c r="C11" i="62"/>
  <c r="C11" i="55"/>
  <c r="C11" i="54"/>
  <c r="C11" i="58"/>
  <c r="C19" i="60"/>
  <c r="C19" i="61"/>
  <c r="C19" i="64"/>
  <c r="C19" i="53"/>
  <c r="C19" i="56"/>
  <c r="C19" i="54"/>
  <c r="C19" i="55"/>
  <c r="C19" i="59"/>
  <c r="C19" i="58"/>
  <c r="C19" i="63"/>
  <c r="C19" i="62"/>
  <c r="C19" i="57"/>
  <c r="C16" i="62"/>
  <c r="C16" i="57"/>
  <c r="C16" i="54"/>
  <c r="C16" i="64"/>
  <c r="C16" i="56"/>
  <c r="C16" i="55"/>
  <c r="C16" i="60"/>
  <c r="C16" i="59"/>
  <c r="C16" i="58"/>
  <c r="C16" i="53"/>
  <c r="C16" i="63"/>
  <c r="C16" i="61"/>
  <c r="C28" i="54"/>
  <c r="C28" i="55"/>
  <c r="C28" i="57"/>
  <c r="C28" i="64"/>
  <c r="C28" i="60"/>
  <c r="C28" i="56"/>
  <c r="C28" i="59"/>
  <c r="C28" i="61"/>
  <c r="C28" i="53"/>
  <c r="C28" i="58"/>
  <c r="C28" i="63"/>
  <c r="C28" i="62"/>
  <c r="C13" i="53"/>
  <c r="C13" i="58"/>
  <c r="C13" i="61"/>
  <c r="C13" i="62"/>
  <c r="C13" i="60"/>
  <c r="C13" i="63"/>
  <c r="C13" i="56"/>
  <c r="C13" i="64"/>
  <c r="C13" i="59"/>
  <c r="C13" i="57"/>
  <c r="C13" i="55"/>
  <c r="C13" i="54"/>
  <c r="C24" i="61"/>
  <c r="C24" i="55"/>
  <c r="C24" i="54"/>
  <c r="C24" i="59"/>
  <c r="C24" i="62"/>
  <c r="C24" i="60"/>
  <c r="C24" i="58"/>
  <c r="C24" i="53"/>
  <c r="C24" i="64"/>
  <c r="C24" i="63"/>
  <c r="C24" i="56"/>
  <c r="C24" i="57"/>
  <c r="C27" i="58"/>
  <c r="C27" i="60"/>
  <c r="C27" i="53"/>
  <c r="C27" i="57"/>
  <c r="C27" i="62"/>
  <c r="C27" i="56"/>
  <c r="C27" i="61"/>
  <c r="C27" i="55"/>
  <c r="C27" i="59"/>
  <c r="C27" i="63"/>
  <c r="C27" i="54"/>
  <c r="C27" i="64"/>
  <c r="C10" i="60"/>
  <c r="C10" i="57"/>
  <c r="C10" i="59"/>
  <c r="C10" i="58"/>
  <c r="C10" i="62"/>
  <c r="C10" i="63"/>
  <c r="C10" i="55"/>
  <c r="C10" i="53"/>
  <c r="C10" i="61"/>
  <c r="C10" i="64"/>
  <c r="C10" i="56"/>
  <c r="C10" i="54"/>
  <c r="C21" i="64"/>
  <c r="C21" i="62"/>
  <c r="C21" i="53"/>
  <c r="C21" i="60"/>
  <c r="C21" i="55"/>
  <c r="C21" i="54"/>
  <c r="C21" i="59"/>
  <c r="C21" i="56"/>
  <c r="C21" i="63"/>
  <c r="C21" i="57"/>
  <c r="C21" i="58"/>
  <c r="C21" i="61"/>
  <c r="C9" i="55"/>
  <c r="C9" i="54"/>
  <c r="C9" i="53"/>
  <c r="C9" i="57"/>
  <c r="C9" i="59"/>
  <c r="C9" i="61"/>
  <c r="C9" i="58"/>
  <c r="C9" i="56"/>
  <c r="C9" i="60"/>
  <c r="C9" i="63"/>
  <c r="C9" i="62"/>
  <c r="C9" i="64"/>
  <c r="C7" i="55"/>
  <c r="C7" i="61"/>
  <c r="C7" i="53"/>
  <c r="C7" i="62"/>
  <c r="C7" i="63"/>
  <c r="C7" i="64"/>
  <c r="C7" i="59"/>
  <c r="C7" i="58"/>
  <c r="C7" i="57"/>
  <c r="C7" i="60"/>
  <c r="C7" i="54"/>
  <c r="C32" i="57"/>
  <c r="C32" i="55"/>
  <c r="C32" i="63"/>
  <c r="C32" i="53"/>
  <c r="C32" i="59"/>
  <c r="C32" i="61"/>
  <c r="C32" i="58"/>
  <c r="C32" i="56"/>
  <c r="C32" i="62"/>
  <c r="C32" i="60"/>
  <c r="C32" i="64"/>
  <c r="C32" i="54"/>
  <c r="C30" i="61"/>
  <c r="C30" i="54"/>
  <c r="C30" i="56"/>
  <c r="C30" i="59"/>
  <c r="C30" i="55"/>
  <c r="C30" i="64"/>
  <c r="C30" i="58"/>
  <c r="C30" i="57"/>
  <c r="C30" i="60"/>
  <c r="C30" i="62"/>
  <c r="C30" i="63"/>
  <c r="C30" i="53"/>
  <c r="C26" i="64"/>
  <c r="C26" i="62"/>
  <c r="C26" i="63"/>
  <c r="C26" i="56"/>
  <c r="C26" i="57"/>
  <c r="C26" i="61"/>
  <c r="C26" i="60"/>
  <c r="C26" i="53"/>
  <c r="C26" i="59"/>
  <c r="C26" i="54"/>
  <c r="C26" i="55"/>
  <c r="C26" i="58"/>
  <c r="C12" i="57"/>
  <c r="C12" i="64"/>
  <c r="C12" i="61"/>
  <c r="C12" i="58"/>
  <c r="C12" i="60"/>
  <c r="C12" i="63"/>
  <c r="C12" i="53"/>
  <c r="C12" i="56"/>
  <c r="C12" i="54"/>
  <c r="C12" i="55"/>
  <c r="C12" i="59"/>
  <c r="C12" i="62"/>
  <c r="C17" i="64"/>
  <c r="C17" i="56"/>
  <c r="C17" i="62"/>
  <c r="C17" i="58"/>
  <c r="C17" i="55"/>
  <c r="C17" i="57"/>
  <c r="C17" i="53"/>
  <c r="C17" i="63"/>
  <c r="C17" i="59"/>
  <c r="C17" i="61"/>
  <c r="C17" i="60"/>
  <c r="C17" i="54"/>
  <c r="C29" i="63"/>
  <c r="C29" i="56"/>
  <c r="C29" i="58"/>
  <c r="C29" i="64"/>
  <c r="C29" i="53"/>
  <c r="C29" i="60"/>
  <c r="C29" i="57"/>
  <c r="C29" i="54"/>
  <c r="C29" i="59"/>
  <c r="C29" i="55"/>
  <c r="C29" i="61"/>
  <c r="C29" i="62"/>
  <c r="C31" i="60"/>
  <c r="C31" i="63"/>
  <c r="C31" i="58"/>
  <c r="C31" i="54"/>
  <c r="C31" i="53"/>
  <c r="C31" i="57"/>
  <c r="C31" i="62"/>
  <c r="C31" i="55"/>
  <c r="C31" i="61"/>
  <c r="C31" i="59"/>
  <c r="C31" i="56"/>
  <c r="C31" i="64"/>
  <c r="C23" i="64"/>
  <c r="C23" i="54"/>
  <c r="C23" i="60"/>
  <c r="C23" i="53"/>
  <c r="C23" i="57"/>
  <c r="C23" i="58"/>
  <c r="C23" i="55"/>
  <c r="C23" i="62"/>
  <c r="C23" i="63"/>
  <c r="C23" i="61"/>
  <c r="C23" i="59"/>
  <c r="C23" i="56"/>
  <c r="C12" i="66" l="1"/>
  <c r="F12" i="66" s="1"/>
  <c r="C31" i="66"/>
  <c r="F31" i="66" s="1"/>
  <c r="C9" i="66"/>
  <c r="F9" i="66" s="1"/>
  <c r="C19" i="66"/>
  <c r="F19" i="66" s="1"/>
  <c r="C44" i="61"/>
  <c r="C14" i="66"/>
  <c r="F14" i="66" s="1"/>
  <c r="C32" i="66"/>
  <c r="F32" i="66" s="1"/>
  <c r="C6" i="66"/>
  <c r="F6" i="66" s="1"/>
  <c r="C22" i="66"/>
  <c r="F22" i="66" s="1"/>
  <c r="C25" i="66"/>
  <c r="F25" i="66" s="1"/>
  <c r="C28" i="66"/>
  <c r="F28" i="66" s="1"/>
  <c r="C44" i="63"/>
  <c r="C29" i="66"/>
  <c r="F29" i="66" s="1"/>
  <c r="C10" i="66"/>
  <c r="F10" i="66" s="1"/>
  <c r="C24" i="66"/>
  <c r="F24" i="66" s="1"/>
  <c r="C23" i="66"/>
  <c r="F23" i="66" s="1"/>
  <c r="C26" i="66"/>
  <c r="F26" i="66" s="1"/>
  <c r="C30" i="66"/>
  <c r="F30" i="66" s="1"/>
  <c r="C7" i="66"/>
  <c r="C21" i="66"/>
  <c r="F21" i="66" s="1"/>
  <c r="C27" i="66"/>
  <c r="F27" i="66" s="1"/>
  <c r="C11" i="66"/>
  <c r="F11" i="66" s="1"/>
  <c r="C18" i="66"/>
  <c r="F18" i="66" s="1"/>
  <c r="C17" i="66"/>
  <c r="F17" i="66" s="1"/>
  <c r="C16" i="66"/>
  <c r="F16" i="66" s="1"/>
  <c r="C13" i="66"/>
  <c r="F13" i="66" s="1"/>
  <c r="C8" i="66"/>
  <c r="F8" i="66" s="1"/>
  <c r="F7" i="66" l="1"/>
  <c r="C34" i="64" l="1"/>
  <c r="C44" i="64" s="1"/>
  <c r="C34" i="62"/>
  <c r="C44" i="62" s="1"/>
  <c r="C34" i="54"/>
  <c r="C44" i="54" s="1"/>
  <c r="C34" i="56"/>
  <c r="C44" i="56" s="1"/>
  <c r="C34" i="58"/>
  <c r="C44" i="58" s="1"/>
  <c r="C34" i="53"/>
  <c r="C34" i="60"/>
  <c r="C44" i="60" s="1"/>
  <c r="C34" i="57"/>
  <c r="C44" i="57" s="1"/>
  <c r="C34" i="59"/>
  <c r="C44" i="59" s="1"/>
  <c r="C34" i="55"/>
  <c r="C44" i="55" s="1"/>
  <c r="C34" i="66" l="1"/>
  <c r="C44" i="53"/>
  <c r="F34" i="66" l="1"/>
  <c r="F44" i="66" s="1"/>
  <c r="C44" i="6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DJUOMBESSY</author>
  </authors>
  <commentList>
    <comment ref="C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INTERET 25 000 SOIT 5 MOIS</t>
        </r>
      </text>
    </comment>
    <comment ref="E17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AVANCE PRET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C7" authorId="0" shapeId="0" xr:uid="{81C540BF-6184-4C80-8A09-BB6AA796A7FB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VERSE PAR DJOUKWE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D40" authorId="0" shapeId="0" xr:uid="{96C68EED-5482-4DF2-A528-301EC8E20863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RELIQUAT CCA 218 000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E24" authorId="0" shapeId="0" xr:uid="{C2DD5527-C6A8-4083-9B3B-58A50A1F07C4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AVANCE DETTE 500 000
REMB PETIT LOT 102000</t>
        </r>
      </text>
    </comment>
  </commentList>
</comments>
</file>

<file path=xl/sharedStrings.xml><?xml version="1.0" encoding="utf-8"?>
<sst xmlns="http://schemas.openxmlformats.org/spreadsheetml/2006/main" count="2128" uniqueCount="130">
  <si>
    <t>MATRICULE</t>
  </si>
  <si>
    <t>NOM ET PRENOM</t>
  </si>
  <si>
    <t>ASSOCIATION</t>
  </si>
  <si>
    <t>ASELBY</t>
  </si>
  <si>
    <t>ANNEE</t>
  </si>
  <si>
    <t>ESPECES</t>
  </si>
  <si>
    <t>AS201602</t>
  </si>
  <si>
    <t>AS201604</t>
  </si>
  <si>
    <t>AS201654</t>
  </si>
  <si>
    <t>AS201605</t>
  </si>
  <si>
    <t>AS201608</t>
  </si>
  <si>
    <t>AS201651</t>
  </si>
  <si>
    <t>AS201609</t>
  </si>
  <si>
    <t>AS201611</t>
  </si>
  <si>
    <t>AS201613</t>
  </si>
  <si>
    <t>AS201617</t>
  </si>
  <si>
    <t>AS201619</t>
  </si>
  <si>
    <t>AS201649</t>
  </si>
  <si>
    <t>AS201639</t>
  </si>
  <si>
    <t>AS201621</t>
  </si>
  <si>
    <t>AS201622</t>
  </si>
  <si>
    <t>AS201624</t>
  </si>
  <si>
    <t>AS201626</t>
  </si>
  <si>
    <t>AS201628</t>
  </si>
  <si>
    <t>AS201633</t>
  </si>
  <si>
    <t>AS201653</t>
  </si>
  <si>
    <t>AS201638</t>
  </si>
  <si>
    <t>AS201641</t>
  </si>
  <si>
    <t>AS201646</t>
  </si>
  <si>
    <t>AS201647</t>
  </si>
  <si>
    <t>TOTAUX</t>
  </si>
  <si>
    <t>MONTANT ENGAGEMENT</t>
  </si>
  <si>
    <t>HITORIQUE ESPECES</t>
  </si>
  <si>
    <t>HISTORIQUE BANQUE</t>
  </si>
  <si>
    <t>HITORIQUE TONTINE</t>
  </si>
  <si>
    <t>ENTREE</t>
  </si>
  <si>
    <t>SORTIE</t>
  </si>
  <si>
    <t>SOLDE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</si>
  <si>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</si>
  <si>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</si>
  <si>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</si>
  <si>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</si>
  <si>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</si>
  <si>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</si>
  <si>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</si>
  <si>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</si>
  <si>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</si>
  <si>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</si>
  <si>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</si>
  <si>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</si>
  <si>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</si>
  <si>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</si>
  <si>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</si>
  <si>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</si>
  <si>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</si>
  <si>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</si>
  <si>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</si>
  <si>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</si>
  <si>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HISTORIQUE BANCAIRE</t>
  </si>
  <si>
    <t>VERIFICATION</t>
  </si>
  <si>
    <t>AS201648</t>
  </si>
  <si>
    <t>AGIO</t>
  </si>
  <si>
    <t>AS201643</t>
  </si>
  <si>
    <t>AS201656</t>
  </si>
  <si>
    <t>AS201657</t>
  </si>
  <si>
    <t>AS201658</t>
  </si>
  <si>
    <t>AS201601</t>
  </si>
  <si>
    <t>MOIS DE JANVIER</t>
  </si>
  <si>
    <t>MOIS DE FEVRIER</t>
  </si>
  <si>
    <t>MOIS DE MARS</t>
  </si>
  <si>
    <t>MOIS DE MAI</t>
  </si>
  <si>
    <t>MOIS DE JUIN</t>
  </si>
  <si>
    <t>MOIS DE JUILLET</t>
  </si>
  <si>
    <t>MOIS DE AOUT</t>
  </si>
  <si>
    <t>MOIS DE SEPTEMBRE</t>
  </si>
  <si>
    <t>MOIS DE OCTOBRE</t>
  </si>
  <si>
    <t>MOIS DE NOVEMBRE</t>
  </si>
  <si>
    <t>MOIS DE DECEMBRE</t>
  </si>
  <si>
    <t>VALIDATION</t>
  </si>
  <si>
    <t>OK</t>
  </si>
  <si>
    <t>AS201659</t>
  </si>
  <si>
    <t>AS201660</t>
  </si>
  <si>
    <t>AS201661</t>
  </si>
  <si>
    <t>MOIS DE AVRIL</t>
  </si>
  <si>
    <t>RECAPITULATION</t>
  </si>
  <si>
    <t>C0MPLEMENT TONTINE</t>
  </si>
  <si>
    <t>MONTANT VERSE A LA BANQUE</t>
  </si>
  <si>
    <t>MONTANT TONTINE</t>
  </si>
  <si>
    <t>EN COMPTE</t>
  </si>
  <si>
    <t>AS201629</t>
  </si>
  <si>
    <t>AS201662</t>
  </si>
  <si>
    <t>HISTORIQUE TONTINE</t>
  </si>
  <si>
    <t>HITORIQUE BANQUE</t>
  </si>
  <si>
    <t>AUTRE VERSEMENT</t>
  </si>
  <si>
    <t>AS201663</t>
  </si>
  <si>
    <t>BAKOP ACHILLE</t>
  </si>
  <si>
    <t>BOUTCHOUANG WILLIAM</t>
  </si>
  <si>
    <t xml:space="preserve">DJOMO JEAN PAUL </t>
  </si>
  <si>
    <t>DJOMOU TCHAPDA</t>
  </si>
  <si>
    <t>DJOUKWE NANGUEN GUY BLAISE</t>
  </si>
  <si>
    <t>DJUOMBESSY ANTOINE</t>
  </si>
  <si>
    <t>DOMOU FABIEN</t>
  </si>
  <si>
    <t>DONHOU DAVID</t>
  </si>
  <si>
    <t>HENGUE PAUL OMER</t>
  </si>
  <si>
    <t>HOTCHO BENJAMIN</t>
  </si>
  <si>
    <t>KOUAMOU MOISE</t>
  </si>
  <si>
    <t>KOUATCHO MESSACK</t>
  </si>
  <si>
    <t>MASSEUNGOUE DAGOBERT</t>
  </si>
  <si>
    <t>MBOGNING TUGMA GUY</t>
  </si>
  <si>
    <t>NANGUEN MARTIN</t>
  </si>
  <si>
    <t>NANKAM APPOLINAIRE</t>
  </si>
  <si>
    <t>NDJOMO ETIENNE</t>
  </si>
  <si>
    <t>NGONDIEP CLAUDE</t>
  </si>
  <si>
    <t>NGUIEMEGNI MATHIEU BLAISE</t>
  </si>
  <si>
    <t>NKAMGANG JUSTIN DEJOLIE</t>
  </si>
  <si>
    <t>NOUBE ETIENNE</t>
  </si>
  <si>
    <t>PATEGO NJOSSU GUSTAVE</t>
  </si>
  <si>
    <t>SEUMO POLYCARPE</t>
  </si>
  <si>
    <t>SIME BRICE</t>
  </si>
  <si>
    <t>SIMO PIERRE</t>
  </si>
  <si>
    <t>TCHOUAMOU MATHIEU</t>
  </si>
  <si>
    <t>TCHOUATEU AUGUSTIN</t>
  </si>
  <si>
    <t>TCHOUTOU NANA CLAUDE</t>
  </si>
  <si>
    <t>YANTCHOU GERVAIS</t>
  </si>
  <si>
    <t>YEPMOU JEAN JACQUES</t>
  </si>
  <si>
    <t>YIALA ALAIN OSCAR</t>
  </si>
  <si>
    <t>YOUMBI EMMANUEL</t>
  </si>
  <si>
    <t>LOWE</t>
  </si>
  <si>
    <t>F0TSO THOMAS</t>
  </si>
  <si>
    <t>AS201620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</si>
</sst>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_€"/>
    <numFmt numFmtId="165" formatCode="#,##0;[Red]#,##0"/>
    <numFmt numFmtId="166" formatCode="[$-40C]mmm\-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rgb="FF00B050"/>
      <name val="Britannic Bold"/>
      <family val="2"/>
    </font>
    <font>
      <sz val="14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sz val="14"/>
      <color rgb="FF0070C0"/>
      <name val="Britannic Bold"/>
      <family val="2"/>
    </font>
    <font>
      <sz val="14"/>
      <color rgb="FFC00000"/>
      <name val="Britannic Bold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FFC000"/>
      <name val="Britannic Bold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/>
      <top style="double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0" borderId="0" xfId="0" applyFont="1" applyAlignment="1">
      <alignment horizontal="center"/>
    </xf>
    <xf numFmtId="3" fontId="5" fillId="0" borderId="0" xfId="0" applyNumberFormat="1" applyFont="1"/>
    <xf numFmtId="3" fontId="6" fillId="0" borderId="0" xfId="0" applyNumberFormat="1" applyFont="1"/>
    <xf numFmtId="0" fontId="8" fillId="0" borderId="0" xfId="0" applyFont="1"/>
    <xf numFmtId="165" fontId="9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 wrapText="1"/>
    </xf>
    <xf numFmtId="0" fontId="1" fillId="0" borderId="4" xfId="0" applyFont="1" applyBorder="1"/>
    <xf numFmtId="0" fontId="1" fillId="0" borderId="5" xfId="0" applyFont="1" applyBorder="1"/>
    <xf numFmtId="3" fontId="11" fillId="0" borderId="5" xfId="0" applyNumberFormat="1" applyFont="1" applyBorder="1"/>
    <xf numFmtId="3" fontId="10" fillId="0" borderId="5" xfId="0" applyNumberFormat="1" applyFont="1" applyBorder="1"/>
    <xf numFmtId="164" fontId="4" fillId="0" borderId="5" xfId="0" applyNumberFormat="1" applyFon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/>
    <xf numFmtId="3" fontId="4" fillId="0" borderId="8" xfId="0" applyNumberFormat="1" applyFont="1" applyBorder="1"/>
    <xf numFmtId="3" fontId="4" fillId="0" borderId="9" xfId="0" applyNumberFormat="1" applyFont="1" applyBorder="1"/>
    <xf numFmtId="0" fontId="1" fillId="0" borderId="3" xfId="0" applyFont="1" applyFill="1" applyBorder="1" applyAlignment="1">
      <alignment horizontal="center" wrapText="1"/>
    </xf>
    <xf numFmtId="0" fontId="14" fillId="0" borderId="0" xfId="0" applyFont="1"/>
    <xf numFmtId="3" fontId="6" fillId="0" borderId="5" xfId="0" applyNumberFormat="1" applyFont="1" applyBorder="1"/>
    <xf numFmtId="0" fontId="1" fillId="0" borderId="2" xfId="0" applyFont="1" applyFill="1" applyBorder="1" applyAlignment="1">
      <alignment horizontal="center" wrapText="1"/>
    </xf>
    <xf numFmtId="0" fontId="15" fillId="0" borderId="5" xfId="0" applyFont="1" applyBorder="1" applyAlignment="1">
      <alignment horizontal="center"/>
    </xf>
    <xf numFmtId="0" fontId="0" fillId="0" borderId="8" xfId="0" applyBorder="1"/>
    <xf numFmtId="164" fontId="4" fillId="0" borderId="6" xfId="0" applyNumberFormat="1" applyFont="1" applyBorder="1"/>
    <xf numFmtId="3" fontId="0" fillId="0" borderId="0" xfId="0" applyNumberFormat="1"/>
    <xf numFmtId="0" fontId="1" fillId="0" borderId="10" xfId="0" applyFont="1" applyFill="1" applyBorder="1" applyAlignment="1">
      <alignment horizontal="center" wrapText="1"/>
    </xf>
    <xf numFmtId="0" fontId="0" fillId="0" borderId="11" xfId="0" applyBorder="1"/>
    <xf numFmtId="3" fontId="5" fillId="0" borderId="5" xfId="0" applyNumberFormat="1" applyFont="1" applyBorder="1"/>
    <xf numFmtId="164" fontId="4" fillId="0" borderId="12" xfId="0" applyNumberFormat="1" applyFont="1" applyBorder="1"/>
    <xf numFmtId="0" fontId="0" fillId="0" borderId="12" xfId="0" applyBorder="1"/>
    <xf numFmtId="0" fontId="1" fillId="0" borderId="0" xfId="0" applyFont="1" applyFill="1" applyBorder="1" applyAlignment="1">
      <alignment horizontal="center" wrapText="1"/>
    </xf>
    <xf numFmtId="0" fontId="1" fillId="0" borderId="13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0" borderId="5" xfId="0" applyFont="1" applyFill="1" applyBorder="1" applyAlignment="1">
      <alignment horizontal="center" wrapText="1"/>
    </xf>
    <xf numFmtId="3" fontId="4" fillId="0" borderId="5" xfId="0" applyNumberFormat="1" applyFont="1" applyBorder="1"/>
    <xf numFmtId="3" fontId="16" fillId="0" borderId="5" xfId="0" applyNumberFormat="1" applyFont="1" applyBorder="1"/>
    <xf numFmtId="0" fontId="0" fillId="0" borderId="0" xfId="0" applyAlignment="1">
      <alignment horizontal="center"/>
    </xf>
    <xf numFmtId="166" fontId="14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25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TABBOR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%20-%20BACKUP%202018/ASELBYTONTINE1000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LISTEADHEREN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5TABBO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COMPTE BANQUE"/>
      <sheetName val="HISTOJANV21"/>
      <sheetName val="HISTOFEV21"/>
      <sheetName val="HISTOMARS21"/>
      <sheetName val="HISTOAVRIL21"/>
      <sheetName val="HISTOMAI21"/>
      <sheetName val="HISTOJUIN21"/>
      <sheetName val="HISTOJUIL21"/>
      <sheetName val="HISTOAOUT21"/>
      <sheetName val="HISTOSEPT21"/>
      <sheetName val="HISTOOCT21"/>
      <sheetName val="HISTONOV21"/>
      <sheetName val="HISTODEC21"/>
      <sheetName val="HISTORESUME21"/>
      <sheetName val="MODEPAID"/>
      <sheetName val="TONTJANV25"/>
      <sheetName val="TONTJANV24"/>
      <sheetName val="TONTFEV24"/>
      <sheetName val="TONTMARS24"/>
      <sheetName val="TONTAVRIL24"/>
      <sheetName val="TONTMAI24"/>
      <sheetName val="TONTJUIN24"/>
      <sheetName val="TONTJUIL24"/>
      <sheetName val="TONTAOUT24"/>
      <sheetName val="TONTSEPT24"/>
      <sheetName val="TONTOCT24"/>
      <sheetName val="TONTNOV24"/>
      <sheetName val="TONTDEC24"/>
      <sheetName val="TONTRESUME24"/>
      <sheetName val="TONTRESUME24EDIT"/>
      <sheetName val="SYNTHESE"/>
      <sheetName val="DEFAILLANCETONTINE"/>
      <sheetName val="HISTOJANV25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"/>
      <sheetName val="HISTORESUME24"/>
      <sheetName val="MODETABORD"/>
      <sheetName val="HISTOMVTDEPENSE"/>
      <sheetName val="HISTODEC22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</sheetNames>
    <sheetDataSet>
      <sheetData sheetId="0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>
        <row r="6">
          <cell r="A6" t="str">
            <v>AR202001</v>
          </cell>
        </row>
      </sheetData>
      <sheetData sheetId="3">
        <row r="6">
          <cell r="A6" t="str">
            <v>AR202001</v>
          </cell>
        </row>
      </sheetData>
      <sheetData sheetId="4">
        <row r="6">
          <cell r="A6" t="str">
            <v>AR202001</v>
          </cell>
        </row>
      </sheetData>
      <sheetData sheetId="5">
        <row r="6">
          <cell r="A6" t="str">
            <v>AR202001</v>
          </cell>
        </row>
      </sheetData>
      <sheetData sheetId="6">
        <row r="6">
          <cell r="A6" t="str">
            <v>AR202001</v>
          </cell>
        </row>
      </sheetData>
      <sheetData sheetId="7">
        <row r="6">
          <cell r="A6" t="str">
            <v>AR202001</v>
          </cell>
        </row>
      </sheetData>
      <sheetData sheetId="8">
        <row r="6">
          <cell r="A6" t="str">
            <v>AR202001</v>
          </cell>
        </row>
      </sheetData>
      <sheetData sheetId="9">
        <row r="6">
          <cell r="A6" t="str">
            <v>AR202001</v>
          </cell>
        </row>
      </sheetData>
      <sheetData sheetId="10">
        <row r="6">
          <cell r="A6" t="str">
            <v>AR202001</v>
          </cell>
        </row>
      </sheetData>
      <sheetData sheetId="11">
        <row r="6">
          <cell r="A6" t="str">
            <v>AR202001</v>
          </cell>
        </row>
      </sheetData>
      <sheetData sheetId="12">
        <row r="6">
          <cell r="A6" t="str">
            <v>AR202001</v>
          </cell>
        </row>
      </sheetData>
      <sheetData sheetId="13">
        <row r="6">
          <cell r="A6" t="str">
            <v>AR202001</v>
          </cell>
        </row>
      </sheetData>
      <sheetData sheetId="14" refreshError="1"/>
      <sheetData sheetId="15"/>
      <sheetData sheetId="16">
        <row r="1">
          <cell r="A1" t="str">
            <v>ASSOCIATION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reception"/>
      <sheetName val="LISTADHERENTTRIRECEPT"/>
      <sheetName val="LISTADHERENT (4)"/>
      <sheetName val="LISTADHERENTRECEPTION"/>
    </sheetNames>
    <sheetDataSet>
      <sheetData sheetId="0">
        <row r="4">
          <cell r="A4" t="str">
            <v>MLE</v>
          </cell>
          <cell r="B4" t="str">
            <v>NUMORDRE</v>
          </cell>
          <cell r="C4" t="str">
            <v>NOM ET  PRENOM</v>
          </cell>
          <cell r="D4" t="str">
            <v>FONCTION</v>
          </cell>
          <cell r="E4" t="str">
            <v>DATE ADHESION</v>
          </cell>
          <cell r="F4" t="str">
            <v>CONTACT</v>
          </cell>
          <cell r="G4" t="str">
            <v>CONTACT 2</v>
          </cell>
          <cell r="H4" t="str">
            <v>RESIDENCE</v>
          </cell>
          <cell r="I4" t="str">
            <v>STATUT</v>
          </cell>
          <cell r="J4" t="str">
            <v>DATE RECEPTION</v>
          </cell>
        </row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655592631</v>
          </cell>
          <cell r="H5" t="str">
            <v>NKOLBISSON</v>
          </cell>
          <cell r="I5" t="str">
            <v>ACTIF</v>
          </cell>
          <cell r="J5">
            <v>44958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699984782</v>
          </cell>
          <cell r="H6" t="str">
            <v>EMANA</v>
          </cell>
          <cell r="I6" t="str">
            <v>ACTIF</v>
          </cell>
          <cell r="J6">
            <v>45017</v>
          </cell>
        </row>
        <row r="7">
          <cell r="A7" t="str">
            <v>AS201604</v>
          </cell>
          <cell r="B7">
            <v>3</v>
          </cell>
          <cell r="C7" t="str">
            <v xml:space="preserve">DJOMO JEAN PAUL </v>
          </cell>
          <cell r="D7" t="str">
            <v>ENTREPRENEUR DE BATIMENT</v>
          </cell>
          <cell r="F7">
            <v>677986676</v>
          </cell>
          <cell r="H7" t="str">
            <v>RUE MANGUIERS</v>
          </cell>
          <cell r="I7" t="str">
            <v>ACTIF</v>
          </cell>
          <cell r="J7">
            <v>45139</v>
          </cell>
        </row>
        <row r="8">
          <cell r="A8" t="str">
            <v>AS201605</v>
          </cell>
          <cell r="B8">
            <v>4</v>
          </cell>
          <cell r="C8" t="str">
            <v>DJOUKWE NANGUEN GUY BLAISE</v>
          </cell>
          <cell r="D8" t="str">
            <v>PROFESSEUR DES LYCEES TECHNIQUE</v>
          </cell>
          <cell r="F8">
            <v>675250451</v>
          </cell>
          <cell r="H8" t="str">
            <v>RUE MANGUIERS</v>
          </cell>
          <cell r="I8" t="str">
            <v>ACTIF</v>
          </cell>
          <cell r="J8">
            <v>45170</v>
          </cell>
        </row>
        <row r="9">
          <cell r="A9" t="str">
            <v>AS201608</v>
          </cell>
          <cell r="B9">
            <v>5</v>
          </cell>
          <cell r="C9" t="str">
            <v>DJUOMBESSY ANTOINE</v>
          </cell>
          <cell r="D9" t="str">
            <v>ANALYSTE CONCEPTEUR SI</v>
          </cell>
          <cell r="F9">
            <v>677501239</v>
          </cell>
          <cell r="G9">
            <v>699324095</v>
          </cell>
          <cell r="H9" t="str">
            <v>MESSASSI</v>
          </cell>
          <cell r="I9" t="str">
            <v>ACTIF</v>
          </cell>
          <cell r="J9">
            <v>45413</v>
          </cell>
        </row>
        <row r="10">
          <cell r="A10" t="str">
            <v>AS201609</v>
          </cell>
          <cell r="B10">
            <v>6</v>
          </cell>
          <cell r="C10" t="str">
            <v>DONHOU DAVID</v>
          </cell>
          <cell r="D10" t="str">
            <v>MAGISTRAT</v>
          </cell>
          <cell r="F10">
            <v>699908065</v>
          </cell>
          <cell r="H10" t="str">
            <v>TONGOLO</v>
          </cell>
          <cell r="I10" t="str">
            <v>ACTIF</v>
          </cell>
          <cell r="J10">
            <v>45474</v>
          </cell>
        </row>
        <row r="11">
          <cell r="A11" t="str">
            <v>AS201611</v>
          </cell>
          <cell r="B11">
            <v>7</v>
          </cell>
          <cell r="C11" t="str">
            <v>HENGUE PAUL OMER</v>
          </cell>
          <cell r="D11" t="str">
            <v>SOCIOLOGUE</v>
          </cell>
          <cell r="F11">
            <v>694468080</v>
          </cell>
          <cell r="H11" t="str">
            <v>MESSASSI</v>
          </cell>
          <cell r="I11" t="str">
            <v>ACTIF</v>
          </cell>
          <cell r="J11">
            <v>45536</v>
          </cell>
        </row>
        <row r="12">
          <cell r="A12" t="str">
            <v>AS201613</v>
          </cell>
          <cell r="B12">
            <v>8</v>
          </cell>
          <cell r="C12" t="str">
            <v>HOTCHO BENJAMIN</v>
          </cell>
          <cell r="D12" t="str">
            <v>COMPTABLE</v>
          </cell>
          <cell r="F12">
            <v>699956355</v>
          </cell>
          <cell r="H12" t="str">
            <v>DAMAS</v>
          </cell>
          <cell r="I12" t="str">
            <v>ACTIF</v>
          </cell>
          <cell r="J12">
            <v>45627</v>
          </cell>
        </row>
        <row r="13">
          <cell r="A13" t="str">
            <v>AS201617</v>
          </cell>
          <cell r="B13">
            <v>9</v>
          </cell>
          <cell r="C13" t="str">
            <v>KOUAMOU MOISE</v>
          </cell>
          <cell r="D13" t="str">
            <v>INGENIEUR E-F</v>
          </cell>
          <cell r="F13">
            <v>675836725</v>
          </cell>
          <cell r="H13" t="str">
            <v>DAMAS</v>
          </cell>
          <cell r="I13" t="str">
            <v>ACTIF</v>
          </cell>
          <cell r="J13">
            <v>44348</v>
          </cell>
        </row>
        <row r="14">
          <cell r="A14" t="str">
            <v>AS201619</v>
          </cell>
          <cell r="B14">
            <v>10</v>
          </cell>
          <cell r="C14" t="str">
            <v>KOUATCHO MESSACK</v>
          </cell>
          <cell r="D14" t="str">
            <v>INSPECTEUR DE TRAVAIL</v>
          </cell>
          <cell r="F14">
            <v>677735778</v>
          </cell>
          <cell r="H14" t="str">
            <v>SANTA BARBARA</v>
          </cell>
          <cell r="I14" t="str">
            <v>ACTIF</v>
          </cell>
          <cell r="J14">
            <v>44986</v>
          </cell>
        </row>
        <row r="15">
          <cell r="A15" t="str">
            <v>AS201620</v>
          </cell>
          <cell r="B15">
            <v>11</v>
          </cell>
          <cell r="C15" t="str">
            <v>LOWE JEAN</v>
          </cell>
          <cell r="D15" t="str">
            <v>PROFESSEUR DE LYCEE</v>
          </cell>
          <cell r="I15" t="str">
            <v>ACTIF</v>
          </cell>
          <cell r="J15">
            <v>44378</v>
          </cell>
        </row>
        <row r="16">
          <cell r="A16" t="str">
            <v>AS201621</v>
          </cell>
          <cell r="B16">
            <v>12</v>
          </cell>
          <cell r="C16" t="str">
            <v>NANKAM APPOLINAIRE</v>
          </cell>
          <cell r="D16" t="str">
            <v>ENSEIGNANT</v>
          </cell>
          <cell r="F16">
            <v>693055118</v>
          </cell>
          <cell r="H16" t="str">
            <v>DAMAS</v>
          </cell>
          <cell r="I16" t="str">
            <v>ACTIF</v>
          </cell>
          <cell r="J16">
            <v>44256</v>
          </cell>
        </row>
        <row r="17">
          <cell r="A17" t="str">
            <v>AS201622</v>
          </cell>
          <cell r="B17">
            <v>13</v>
          </cell>
          <cell r="C17" t="str">
            <v>NDJOMO ETIENNE</v>
          </cell>
          <cell r="D17" t="str">
            <v>COMPTABLE</v>
          </cell>
          <cell r="F17">
            <v>677553702</v>
          </cell>
          <cell r="H17" t="str">
            <v>MONTEE JOUVENCE</v>
          </cell>
          <cell r="I17" t="str">
            <v>ACTIF</v>
          </cell>
        </row>
        <row r="18">
          <cell r="A18" t="str">
            <v>AS201624</v>
          </cell>
          <cell r="B18">
            <v>14</v>
          </cell>
          <cell r="C18" t="str">
            <v>NGONDIEP CLAUDE</v>
          </cell>
          <cell r="D18" t="str">
            <v>DAS(DIRECTEUR ADMINISTRATEUR SOCIETE)</v>
          </cell>
          <cell r="F18">
            <v>675249207</v>
          </cell>
          <cell r="H18" t="str">
            <v>CITE VERTE</v>
          </cell>
          <cell r="I18" t="str">
            <v>ACTIF</v>
          </cell>
          <cell r="J18">
            <v>45047</v>
          </cell>
        </row>
        <row r="19">
          <cell r="A19" t="str">
            <v>AS201626</v>
          </cell>
          <cell r="B19">
            <v>15</v>
          </cell>
          <cell r="C19" t="str">
            <v>NGUIEMEGNI MATHIEU BLAISE</v>
          </cell>
          <cell r="D19" t="str">
            <v>CADRE CADASTRE</v>
          </cell>
          <cell r="F19">
            <v>677068360</v>
          </cell>
          <cell r="H19" t="str">
            <v>MONATELE</v>
          </cell>
          <cell r="I19" t="str">
            <v>ACTIF</v>
          </cell>
          <cell r="J19">
            <v>45078</v>
          </cell>
        </row>
        <row r="20">
          <cell r="A20" t="str">
            <v>AS201628</v>
          </cell>
          <cell r="B20">
            <v>16</v>
          </cell>
          <cell r="C20" t="str">
            <v>NKAMGANG JUSTIN DEJOLIE</v>
          </cell>
          <cell r="D20" t="str">
            <v>DELEGUE COMMERCIAL</v>
          </cell>
          <cell r="F20">
            <v>676659191</v>
          </cell>
          <cell r="H20" t="str">
            <v>MENDONG</v>
          </cell>
          <cell r="I20" t="str">
            <v>ACTIF</v>
          </cell>
          <cell r="J20">
            <v>45078</v>
          </cell>
        </row>
        <row r="21">
          <cell r="A21" t="str">
            <v>AS201633</v>
          </cell>
          <cell r="B21">
            <v>17</v>
          </cell>
          <cell r="C21" t="str">
            <v>PATEGO NJOSSU GUSTAVE</v>
          </cell>
          <cell r="D21" t="str">
            <v>INGENIEUR T-P</v>
          </cell>
          <cell r="F21">
            <v>699995086</v>
          </cell>
          <cell r="H21" t="str">
            <v>EBOGO 1(SOA)</v>
          </cell>
          <cell r="I21" t="str">
            <v>ACTIF</v>
          </cell>
          <cell r="J21">
            <v>45047</v>
          </cell>
        </row>
        <row r="22">
          <cell r="A22" t="str">
            <v>AS201638</v>
          </cell>
          <cell r="B22">
            <v>18</v>
          </cell>
          <cell r="C22" t="str">
            <v>SIMO PIERRE</v>
          </cell>
          <cell r="D22" t="str">
            <v>TECHNICIEN DE SANTE RETRAITE</v>
          </cell>
          <cell r="F22">
            <v>677546060</v>
          </cell>
          <cell r="H22" t="str">
            <v>OYOMABANG</v>
          </cell>
          <cell r="I22" t="str">
            <v>ACTIF</v>
          </cell>
        </row>
        <row r="23">
          <cell r="A23" t="str">
            <v>AS201639</v>
          </cell>
          <cell r="B23">
            <v>19</v>
          </cell>
          <cell r="C23" t="str">
            <v>NANGUEN MARTIN</v>
          </cell>
          <cell r="D23" t="str">
            <v>SECRETAIRE D'ADMINISTRATION</v>
          </cell>
          <cell r="F23">
            <v>677648306</v>
          </cell>
          <cell r="H23" t="str">
            <v>RUE MANGUIERS</v>
          </cell>
          <cell r="I23" t="str">
            <v>ACTIF</v>
          </cell>
        </row>
        <row r="24">
          <cell r="A24" t="str">
            <v>AS201641</v>
          </cell>
          <cell r="B24">
            <v>20</v>
          </cell>
          <cell r="C24" t="str">
            <v>TCHOUAMOU MATHIEU</v>
          </cell>
          <cell r="D24" t="str">
            <v>OFFICIER SUPERIEUR</v>
          </cell>
          <cell r="F24">
            <v>699778906</v>
          </cell>
          <cell r="H24" t="str">
            <v>MENDONG</v>
          </cell>
          <cell r="I24" t="str">
            <v>ACTIF</v>
          </cell>
        </row>
        <row r="25">
          <cell r="A25" t="str">
            <v>AS201643</v>
          </cell>
          <cell r="B25">
            <v>21</v>
          </cell>
          <cell r="C25" t="str">
            <v>TCHOUTOU NANA CLAUDE</v>
          </cell>
          <cell r="D25" t="str">
            <v>OPERATEUR ECONOMIQUE</v>
          </cell>
          <cell r="F25">
            <v>677775940</v>
          </cell>
          <cell r="H25" t="str">
            <v>NKOL FOULOU</v>
          </cell>
          <cell r="I25" t="str">
            <v>ACTIF</v>
          </cell>
        </row>
        <row r="26">
          <cell r="A26" t="str">
            <v>AS201646</v>
          </cell>
          <cell r="B26">
            <v>22</v>
          </cell>
          <cell r="C26" t="str">
            <v>YEPMOU JEAN JACQUES</v>
          </cell>
          <cell r="D26" t="str">
            <v>ADMINISTRATEUR CIVIL</v>
          </cell>
          <cell r="F26">
            <v>699663416</v>
          </cell>
          <cell r="H26" t="str">
            <v>MENDONG (NKOLZIE)</v>
          </cell>
          <cell r="I26" t="str">
            <v>ACTIF</v>
          </cell>
        </row>
        <row r="27">
          <cell r="A27" t="str">
            <v>AS201647</v>
          </cell>
          <cell r="B27">
            <v>23</v>
          </cell>
          <cell r="C27" t="str">
            <v>YOUMBI EMMANUEL</v>
          </cell>
          <cell r="D27" t="str">
            <v>PROFESSEUR DES UNIVERSITES</v>
          </cell>
          <cell r="F27">
            <v>677547311</v>
          </cell>
          <cell r="H27" t="str">
            <v>MENDONG (GUINNESS)</v>
          </cell>
          <cell r="I27" t="str">
            <v>ACTIF</v>
          </cell>
        </row>
        <row r="28">
          <cell r="A28" t="str">
            <v>AS201648</v>
          </cell>
          <cell r="B28">
            <v>24</v>
          </cell>
          <cell r="C28" t="str">
            <v>ASELBY</v>
          </cell>
          <cell r="D28" t="str">
            <v>ASSOCIATION DES ELITES BANGOU DE YAOUNDE</v>
          </cell>
          <cell r="I28" t="str">
            <v>ACTIF</v>
          </cell>
        </row>
        <row r="29">
          <cell r="A29" t="str">
            <v>AS201649</v>
          </cell>
          <cell r="B29">
            <v>25</v>
          </cell>
          <cell r="C29" t="str">
            <v>MBOGNING TUGMA GUY</v>
          </cell>
          <cell r="D29" t="str">
            <v>TECHNICIEN D'ELEVAGE</v>
          </cell>
          <cell r="F29">
            <v>694452000</v>
          </cell>
          <cell r="H29" t="str">
            <v xml:space="preserve">NSIMEYONG </v>
          </cell>
          <cell r="I29" t="str">
            <v>ACTIF</v>
          </cell>
        </row>
        <row r="30">
          <cell r="A30" t="str">
            <v>AS201651</v>
          </cell>
          <cell r="B30">
            <v>26</v>
          </cell>
          <cell r="C30" t="str">
            <v>DOMOU FABIEN</v>
          </cell>
          <cell r="F30">
            <v>677911165</v>
          </cell>
          <cell r="I30" t="str">
            <v>ACTIF</v>
          </cell>
        </row>
        <row r="31">
          <cell r="A31" t="str">
            <v>AS201653</v>
          </cell>
          <cell r="B31">
            <v>27</v>
          </cell>
          <cell r="C31" t="str">
            <v>SIME BRICE</v>
          </cell>
          <cell r="I31" t="str">
            <v>ACTIF</v>
          </cell>
        </row>
        <row r="32">
          <cell r="A32" t="str">
            <v>AS201654</v>
          </cell>
          <cell r="B32">
            <v>28</v>
          </cell>
          <cell r="C32" t="str">
            <v>DJOMOU TCHAPDA</v>
          </cell>
          <cell r="I32" t="str">
            <v>ACTIF</v>
          </cell>
          <cell r="J32">
            <v>45017</v>
          </cell>
        </row>
        <row r="33">
          <cell r="A33" t="str">
            <v>AS201656</v>
          </cell>
          <cell r="B33">
            <v>29</v>
          </cell>
          <cell r="C33" t="str">
            <v>NOUBE ETIENNE</v>
          </cell>
          <cell r="I33" t="str">
            <v>ACTIF</v>
          </cell>
        </row>
        <row r="34">
          <cell r="A34" t="str">
            <v>AS201657</v>
          </cell>
          <cell r="B34">
            <v>30</v>
          </cell>
          <cell r="C34" t="str">
            <v>SEUMO POLYCARPE</v>
          </cell>
          <cell r="F34">
            <v>696585118</v>
          </cell>
          <cell r="I34" t="str">
            <v>ACTIF</v>
          </cell>
        </row>
        <row r="35">
          <cell r="A35" t="str">
            <v>AS201658</v>
          </cell>
          <cell r="B35">
            <v>31</v>
          </cell>
          <cell r="C35" t="str">
            <v>YANTCHOU GERVAIS</v>
          </cell>
          <cell r="F35">
            <v>696585018</v>
          </cell>
        </row>
        <row r="36">
          <cell r="A36" t="str">
            <v>AS201629</v>
          </cell>
          <cell r="B36">
            <v>32</v>
          </cell>
          <cell r="C36" t="str">
            <v>SIMO FONGANG ERIC</v>
          </cell>
        </row>
        <row r="37">
          <cell r="A37" t="str">
            <v>AS201659</v>
          </cell>
          <cell r="B37">
            <v>33</v>
          </cell>
          <cell r="C37" t="str">
            <v>YIALA ALAIN OSCAR</v>
          </cell>
        </row>
        <row r="38">
          <cell r="A38" t="str">
            <v>AS201660</v>
          </cell>
          <cell r="B38">
            <v>34</v>
          </cell>
          <cell r="C38" t="str">
            <v>TCHOUATEU AUGUSTIN</v>
          </cell>
        </row>
        <row r="39">
          <cell r="A39" t="str">
            <v>AS201661</v>
          </cell>
          <cell r="B39">
            <v>35</v>
          </cell>
          <cell r="C39" t="str">
            <v>MASSEUNGOUE DAGOBERT</v>
          </cell>
        </row>
        <row r="40">
          <cell r="A40" t="str">
            <v>AS201662</v>
          </cell>
          <cell r="B40">
            <v>36</v>
          </cell>
          <cell r="C40" t="str">
            <v>TIEYAM ERNEST</v>
          </cell>
          <cell r="D40" t="str">
            <v>INGENIEUR ELECTRONICIEN</v>
          </cell>
          <cell r="F40">
            <v>677508603</v>
          </cell>
          <cell r="H40" t="str">
            <v>BASTOS</v>
          </cell>
          <cell r="I40" t="str">
            <v>ACTIF</v>
          </cell>
        </row>
        <row r="41">
          <cell r="A41" t="str">
            <v>AS201663</v>
          </cell>
          <cell r="B41">
            <v>37</v>
          </cell>
          <cell r="C41" t="str">
            <v>FAMPOU PAUL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TABORD"/>
      <sheetName val="HISTOMVTDEPENSE"/>
      <sheetName val="COMPTE BANQUE"/>
      <sheetName val="HISTODEC22"/>
      <sheetName val="HISTODEC24"/>
      <sheetName val="HISTOJANV25"/>
      <sheetName val="HISTOFEV25"/>
      <sheetName val="HISTOMARS25"/>
      <sheetName val="HISTOAVRIL25"/>
      <sheetName val="HISTOMAI25"/>
      <sheetName val="HISTOJUIN25"/>
      <sheetName val="HISTOJUIL25"/>
      <sheetName val="HISTOAOUT25"/>
      <sheetName val="HISTOSEPT25"/>
      <sheetName val="HISTOOCT25"/>
      <sheetName val="HISTONOV25"/>
      <sheetName val="HISTODEC25"/>
      <sheetName val="HISTORESUME25"/>
      <sheetName val="HISTODEC25 (2)"/>
      <sheetName val="HISTOJANV24"/>
      <sheetName val="HISTOFEV24"/>
      <sheetName val="HISTOMARS24"/>
      <sheetName val="HISTOAVRIL24"/>
      <sheetName val="HISTOMAI24"/>
      <sheetName val="HISTOJUIN24"/>
      <sheetName val="HISTOJUIL24"/>
      <sheetName val="HISTOAOUT24"/>
      <sheetName val="HISTOSEPT24"/>
      <sheetName val="HISTOOCT24"/>
      <sheetName val="HISTONOV24"/>
      <sheetName val="HISTODEC244"/>
      <sheetName val="HISTORESUME24"/>
      <sheetName val="HISTODEC24BB"/>
      <sheetName val="HISTOJANV23"/>
      <sheetName val="HISTOFEV23"/>
      <sheetName val="HISTOMARS23"/>
      <sheetName val="HISTOAVRIL23"/>
      <sheetName val="HISTOMAI23"/>
      <sheetName val="HISTOJUIN23"/>
      <sheetName val="HISTOJUIL23"/>
      <sheetName val="HISTOAOUT23"/>
      <sheetName val="HISTOSEPT23"/>
      <sheetName val="HISTOOCT23"/>
      <sheetName val="HISTONOV23"/>
      <sheetName val="HISTODEC23"/>
      <sheetName val="HISTORESUME23"/>
      <sheetName val="DETAILSORTI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">
          <cell r="A6" t="str">
            <v>AS201648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673000</v>
          </cell>
          <cell r="BA6">
            <v>102000</v>
          </cell>
          <cell r="BC6">
            <v>0</v>
          </cell>
          <cell r="BD6">
            <v>571000</v>
          </cell>
          <cell r="BF6">
            <v>0</v>
          </cell>
          <cell r="BG6">
            <v>11</v>
          </cell>
          <cell r="BH6">
            <v>72000</v>
          </cell>
          <cell r="BI6">
            <v>200000</v>
          </cell>
          <cell r="BJ6">
            <v>0</v>
          </cell>
          <cell r="BN6">
            <v>401000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U7">
            <v>50000</v>
          </cell>
          <cell r="Y7">
            <v>50000</v>
          </cell>
          <cell r="Z7">
            <v>1000000</v>
          </cell>
          <cell r="AA7" t="str">
            <v>BANQUE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890000</v>
          </cell>
          <cell r="BC7">
            <v>0</v>
          </cell>
          <cell r="BD7">
            <v>890000</v>
          </cell>
          <cell r="BE7" t="str">
            <v>OK</v>
          </cell>
          <cell r="BF7">
            <v>110000</v>
          </cell>
          <cell r="BG7">
            <v>11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0</v>
          </cell>
          <cell r="D8">
            <v>125000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U8">
            <v>125000</v>
          </cell>
          <cell r="Y8">
            <v>125000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C8">
            <v>0</v>
          </cell>
          <cell r="BD8">
            <v>0</v>
          </cell>
          <cell r="BF8">
            <v>0</v>
          </cell>
          <cell r="BG8">
            <v>11</v>
          </cell>
          <cell r="BO8" t="str">
            <v>COMMISSION</v>
          </cell>
          <cell r="BP8" t="str">
            <v>FONDS DE ROULEMENT</v>
          </cell>
          <cell r="BQ8">
            <v>66000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250000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U9">
            <v>250000</v>
          </cell>
          <cell r="Y9">
            <v>250000</v>
          </cell>
          <cell r="AC9">
            <v>31000</v>
          </cell>
          <cell r="AF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269000</v>
          </cell>
          <cell r="AX9">
            <v>0</v>
          </cell>
          <cell r="AY9">
            <v>0</v>
          </cell>
          <cell r="AZ9">
            <v>269000</v>
          </cell>
          <cell r="BC9">
            <v>0</v>
          </cell>
          <cell r="BD9">
            <v>269000</v>
          </cell>
          <cell r="BE9" t="str">
            <v>OK</v>
          </cell>
          <cell r="BF9">
            <v>0</v>
          </cell>
          <cell r="BG9">
            <v>11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0</v>
          </cell>
          <cell r="E10">
            <v>50000</v>
          </cell>
          <cell r="F10">
            <v>0</v>
          </cell>
          <cell r="H10">
            <v>0</v>
          </cell>
          <cell r="I10" t="str">
            <v>ESPECES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U10">
            <v>50000</v>
          </cell>
          <cell r="Y10">
            <v>50000</v>
          </cell>
          <cell r="AC10">
            <v>30000</v>
          </cell>
          <cell r="AF10" t="str">
            <v>BANQUE</v>
          </cell>
          <cell r="AQ10">
            <v>0</v>
          </cell>
          <cell r="AR10">
            <v>0</v>
          </cell>
          <cell r="AS10">
            <v>25000</v>
          </cell>
          <cell r="AW10">
            <v>270000</v>
          </cell>
          <cell r="AX10">
            <v>0</v>
          </cell>
          <cell r="AY10">
            <v>0</v>
          </cell>
          <cell r="AZ10">
            <v>270000</v>
          </cell>
          <cell r="BC10">
            <v>0</v>
          </cell>
          <cell r="BD10">
            <v>270000</v>
          </cell>
          <cell r="BE10" t="str">
            <v>OK</v>
          </cell>
          <cell r="BF10">
            <v>0</v>
          </cell>
          <cell r="BG10">
            <v>11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U11">
            <v>150000</v>
          </cell>
          <cell r="Y11">
            <v>150000</v>
          </cell>
          <cell r="AQ11">
            <v>0</v>
          </cell>
          <cell r="AR11">
            <v>0</v>
          </cell>
          <cell r="AS11">
            <v>25000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C11">
            <v>0</v>
          </cell>
          <cell r="BD11">
            <v>0</v>
          </cell>
          <cell r="BF11">
            <v>0</v>
          </cell>
          <cell r="BG11">
            <v>11</v>
          </cell>
          <cell r="BO11" t="str">
            <v>PRODUCTION RAPPORT</v>
          </cell>
          <cell r="BP11" t="str">
            <v>FONDS DE ROULEMENT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U12">
            <v>260000</v>
          </cell>
          <cell r="Y12">
            <v>250000</v>
          </cell>
          <cell r="AQ12">
            <v>0</v>
          </cell>
          <cell r="AR12">
            <v>0</v>
          </cell>
          <cell r="AS12">
            <v>35000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C12">
            <v>0</v>
          </cell>
          <cell r="BD12">
            <v>0</v>
          </cell>
          <cell r="BF12">
            <v>0</v>
          </cell>
          <cell r="BG12">
            <v>11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11</v>
          </cell>
          <cell r="BO13" t="str">
            <v>TAXI BANQUE</v>
          </cell>
          <cell r="BP13" t="str">
            <v>FONDS DE ROULEMENT</v>
          </cell>
          <cell r="BQ13">
            <v>6000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11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 t="str">
            <v>ECHEC</v>
          </cell>
          <cell r="J15">
            <v>1</v>
          </cell>
          <cell r="K15">
            <v>0</v>
          </cell>
          <cell r="M15">
            <v>0</v>
          </cell>
          <cell r="N15">
            <v>1</v>
          </cell>
          <cell r="O15">
            <v>0</v>
          </cell>
          <cell r="U15">
            <v>0</v>
          </cell>
          <cell r="Y15">
            <v>0</v>
          </cell>
          <cell r="AQ15">
            <v>0</v>
          </cell>
          <cell r="AR15">
            <v>0</v>
          </cell>
          <cell r="AS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11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0</v>
          </cell>
          <cell r="D16">
            <v>125000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U16">
            <v>125000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C16">
            <v>0</v>
          </cell>
          <cell r="BD16">
            <v>0</v>
          </cell>
          <cell r="BF16">
            <v>0</v>
          </cell>
          <cell r="BG16">
            <v>11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25000</v>
          </cell>
          <cell r="F17">
            <v>0</v>
          </cell>
          <cell r="G17">
            <v>50000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U17">
            <v>275000</v>
          </cell>
          <cell r="Y17">
            <v>225000</v>
          </cell>
          <cell r="AQ17">
            <v>0</v>
          </cell>
          <cell r="AR17">
            <v>0</v>
          </cell>
          <cell r="AS17">
            <v>75000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C17">
            <v>0</v>
          </cell>
          <cell r="BD17">
            <v>0</v>
          </cell>
          <cell r="BF17">
            <v>0</v>
          </cell>
          <cell r="BG17">
            <v>11</v>
          </cell>
          <cell r="BO17" t="str">
            <v>S/TOTAL</v>
          </cell>
          <cell r="BQ17">
            <v>72000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346500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S18">
            <v>346500</v>
          </cell>
          <cell r="T18" t="str">
            <v>BANQUE</v>
          </cell>
          <cell r="U18">
            <v>496500</v>
          </cell>
          <cell r="Y18">
            <v>150000</v>
          </cell>
          <cell r="AE18">
            <v>115000</v>
          </cell>
          <cell r="AF18" t="str">
            <v>BANQUE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1085000</v>
          </cell>
          <cell r="AZ18">
            <v>1085000</v>
          </cell>
          <cell r="BC18">
            <v>346500</v>
          </cell>
          <cell r="BD18">
            <v>738500</v>
          </cell>
          <cell r="BE18" t="str">
            <v>OK</v>
          </cell>
          <cell r="BF18">
            <v>0</v>
          </cell>
          <cell r="BG18">
            <v>11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235000</v>
          </cell>
          <cell r="E19">
            <v>0</v>
          </cell>
          <cell r="F19">
            <v>0</v>
          </cell>
          <cell r="G19">
            <v>10000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U19">
            <v>235000</v>
          </cell>
          <cell r="Y19">
            <v>225000</v>
          </cell>
          <cell r="AE19">
            <v>105000</v>
          </cell>
          <cell r="AF19" t="str">
            <v>BANQUE</v>
          </cell>
          <cell r="AQ19">
            <v>0</v>
          </cell>
          <cell r="AR19">
            <v>0</v>
          </cell>
          <cell r="AS19">
            <v>35000</v>
          </cell>
          <cell r="AW19">
            <v>0</v>
          </cell>
          <cell r="AX19">
            <v>0</v>
          </cell>
          <cell r="AY19">
            <v>1095000</v>
          </cell>
          <cell r="AZ19">
            <v>1095000</v>
          </cell>
          <cell r="BC19">
            <v>0</v>
          </cell>
          <cell r="BD19">
            <v>1095000</v>
          </cell>
          <cell r="BE19" t="str">
            <v>OK</v>
          </cell>
          <cell r="BF19">
            <v>0</v>
          </cell>
          <cell r="BG19">
            <v>11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650000</v>
          </cell>
          <cell r="E21">
            <v>0</v>
          </cell>
          <cell r="F21">
            <v>0</v>
          </cell>
          <cell r="G21">
            <v>600000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U21">
            <v>650000</v>
          </cell>
          <cell r="Y21">
            <v>50000</v>
          </cell>
          <cell r="AQ21">
            <v>0</v>
          </cell>
          <cell r="AR21">
            <v>0</v>
          </cell>
          <cell r="AS21">
            <v>625000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11</v>
          </cell>
          <cell r="BO21" t="str">
            <v>RETRAIT COMPTE FOYER</v>
          </cell>
          <cell r="BQ21">
            <v>371000</v>
          </cell>
        </row>
        <row r="22">
          <cell r="A22" t="str">
            <v>AS201649</v>
          </cell>
          <cell r="B22" t="str">
            <v>MBOGNING TUGMA GUY</v>
          </cell>
          <cell r="C22">
            <v>0</v>
          </cell>
          <cell r="D22">
            <v>325000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U22">
            <v>325000</v>
          </cell>
          <cell r="Y22">
            <v>325000</v>
          </cell>
          <cell r="AQ22">
            <v>0</v>
          </cell>
          <cell r="AR22">
            <v>0</v>
          </cell>
          <cell r="AS22">
            <v>25000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C22">
            <v>0</v>
          </cell>
          <cell r="BD22">
            <v>0</v>
          </cell>
          <cell r="BF22">
            <v>0</v>
          </cell>
          <cell r="BG22">
            <v>11</v>
          </cell>
          <cell r="BO22" t="str">
            <v>RETRAIT AIDE</v>
          </cell>
          <cell r="BQ22">
            <v>30000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11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U24">
            <v>125000</v>
          </cell>
          <cell r="Y24">
            <v>125000</v>
          </cell>
          <cell r="AD24">
            <v>7500</v>
          </cell>
          <cell r="AF24" t="str">
            <v>BANQUE</v>
          </cell>
          <cell r="AQ24">
            <v>0</v>
          </cell>
          <cell r="AR24">
            <v>0</v>
          </cell>
          <cell r="AS24">
            <v>25000</v>
          </cell>
          <cell r="AW24">
            <v>0</v>
          </cell>
          <cell r="AX24">
            <v>892500</v>
          </cell>
          <cell r="AY24">
            <v>0</v>
          </cell>
          <cell r="AZ24">
            <v>892500</v>
          </cell>
          <cell r="BA24">
            <v>32000</v>
          </cell>
          <cell r="BC24">
            <v>0</v>
          </cell>
          <cell r="BD24">
            <v>860500</v>
          </cell>
          <cell r="BE24" t="str">
            <v>OK</v>
          </cell>
          <cell r="BF24">
            <v>0</v>
          </cell>
          <cell r="BG24">
            <v>11</v>
          </cell>
          <cell r="BO24" t="str">
            <v>S/TOTAL</v>
          </cell>
          <cell r="BQ24">
            <v>401000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260000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U25">
            <v>260000</v>
          </cell>
          <cell r="Y25">
            <v>250000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C25">
            <v>0</v>
          </cell>
          <cell r="BD25">
            <v>0</v>
          </cell>
          <cell r="BF25">
            <v>0</v>
          </cell>
          <cell r="BG25">
            <v>11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U26">
            <v>240000</v>
          </cell>
          <cell r="Y26">
            <v>225000</v>
          </cell>
          <cell r="Z26">
            <v>1000000</v>
          </cell>
          <cell r="AA26" t="str">
            <v>BANQUE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890000</v>
          </cell>
          <cell r="BC26">
            <v>0</v>
          </cell>
          <cell r="BD26">
            <v>890000</v>
          </cell>
          <cell r="BE26" t="str">
            <v>OK</v>
          </cell>
          <cell r="BF26">
            <v>110000</v>
          </cell>
          <cell r="BG26">
            <v>11</v>
          </cell>
          <cell r="BO26" t="str">
            <v>GRATIFICATION BUREAU 2023</v>
          </cell>
          <cell r="BP26" t="str">
            <v>FRAIS EXEPTIONNEL</v>
          </cell>
          <cell r="BQ26">
            <v>200000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225000</v>
          </cell>
          <cell r="E27">
            <v>25000</v>
          </cell>
          <cell r="F27">
            <v>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U27">
            <v>250000</v>
          </cell>
          <cell r="Y27">
            <v>250000</v>
          </cell>
          <cell r="AE27">
            <v>120000</v>
          </cell>
          <cell r="AF27" t="str">
            <v>BANQUE</v>
          </cell>
          <cell r="AQ27">
            <v>0</v>
          </cell>
          <cell r="AR27">
            <v>0</v>
          </cell>
          <cell r="AS27">
            <v>25000</v>
          </cell>
          <cell r="AW27">
            <v>0</v>
          </cell>
          <cell r="AX27">
            <v>0</v>
          </cell>
          <cell r="AY27">
            <v>1080000</v>
          </cell>
          <cell r="AZ27">
            <v>1080000</v>
          </cell>
          <cell r="BC27">
            <v>0</v>
          </cell>
          <cell r="BD27">
            <v>1080000</v>
          </cell>
          <cell r="BE27" t="str">
            <v>OK</v>
          </cell>
          <cell r="BF27">
            <v>0</v>
          </cell>
          <cell r="BG27">
            <v>11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0</v>
          </cell>
          <cell r="D28">
            <v>50000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U28">
            <v>50000</v>
          </cell>
          <cell r="Y28">
            <v>50000</v>
          </cell>
          <cell r="AI28">
            <v>41000</v>
          </cell>
          <cell r="AL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41000</v>
          </cell>
          <cell r="AX28">
            <v>0</v>
          </cell>
          <cell r="AY28">
            <v>0</v>
          </cell>
          <cell r="AZ28">
            <v>41000</v>
          </cell>
          <cell r="BA28">
            <v>41000</v>
          </cell>
          <cell r="BC28">
            <v>0</v>
          </cell>
          <cell r="BD28">
            <v>0</v>
          </cell>
          <cell r="BF28">
            <v>0</v>
          </cell>
          <cell r="BG28">
            <v>11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U29">
            <v>50000</v>
          </cell>
          <cell r="Y29">
            <v>50000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C29">
            <v>0</v>
          </cell>
          <cell r="BD29">
            <v>0</v>
          </cell>
          <cell r="BF29">
            <v>0</v>
          </cell>
          <cell r="BG29">
            <v>11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100000</v>
          </cell>
          <cell r="BA30">
            <v>100000</v>
          </cell>
          <cell r="BC30">
            <v>0</v>
          </cell>
          <cell r="BD30">
            <v>0</v>
          </cell>
          <cell r="BF30">
            <v>0</v>
          </cell>
          <cell r="BG30">
            <v>11</v>
          </cell>
          <cell r="BO30" t="str">
            <v>S/TOTAL</v>
          </cell>
          <cell r="BQ30">
            <v>200000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50000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U31">
            <v>50000</v>
          </cell>
          <cell r="Y31">
            <v>50000</v>
          </cell>
          <cell r="AC31">
            <v>30000</v>
          </cell>
          <cell r="AF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270000</v>
          </cell>
          <cell r="AX31">
            <v>0</v>
          </cell>
          <cell r="AY31">
            <v>0</v>
          </cell>
          <cell r="AZ31">
            <v>270000</v>
          </cell>
          <cell r="BC31">
            <v>0</v>
          </cell>
          <cell r="BD31">
            <v>270000</v>
          </cell>
          <cell r="BE31" t="str">
            <v>OK</v>
          </cell>
          <cell r="BF31">
            <v>0</v>
          </cell>
          <cell r="BG31">
            <v>11</v>
          </cell>
        </row>
        <row r="32">
          <cell r="A32" t="str">
            <v>AS201653</v>
          </cell>
          <cell r="B32" t="str">
            <v>SIME BRICE</v>
          </cell>
          <cell r="C32">
            <v>0</v>
          </cell>
          <cell r="D32">
            <v>250000</v>
          </cell>
          <cell r="E32">
            <v>0</v>
          </cell>
          <cell r="F32">
            <v>0</v>
          </cell>
          <cell r="H32">
            <v>0</v>
          </cell>
          <cell r="I32" t="str">
            <v>BANQUE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U32">
            <v>250000</v>
          </cell>
          <cell r="Y32">
            <v>250000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C32">
            <v>0</v>
          </cell>
          <cell r="BD32">
            <v>0</v>
          </cell>
          <cell r="BF32">
            <v>0</v>
          </cell>
          <cell r="BG32">
            <v>11</v>
          </cell>
          <cell r="BO32" t="str">
            <v xml:space="preserve">DECES </v>
          </cell>
          <cell r="BP32" t="str">
            <v>MUTUELLE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11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100000</v>
          </cell>
          <cell r="BC34">
            <v>0</v>
          </cell>
          <cell r="BD34">
            <v>100000</v>
          </cell>
          <cell r="BE34" t="str">
            <v>OK</v>
          </cell>
          <cell r="BF34">
            <v>0</v>
          </cell>
          <cell r="BG34">
            <v>11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U35">
            <v>125000</v>
          </cell>
          <cell r="Y35">
            <v>125000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C35">
            <v>0</v>
          </cell>
          <cell r="BD35">
            <v>0</v>
          </cell>
          <cell r="BF35">
            <v>0</v>
          </cell>
          <cell r="BG35">
            <v>11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11</v>
          </cell>
          <cell r="BO36" t="str">
            <v>S/TOTAL</v>
          </cell>
          <cell r="BQ36">
            <v>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11</v>
          </cell>
          <cell r="BO37" t="str">
            <v>S/TOTAL</v>
          </cell>
          <cell r="BQ37">
            <v>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H38">
            <v>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25000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11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100000</v>
          </cell>
          <cell r="E39">
            <v>25000</v>
          </cell>
          <cell r="F39">
            <v>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U39">
            <v>125000</v>
          </cell>
          <cell r="Y39">
            <v>125000</v>
          </cell>
          <cell r="AQ39">
            <v>0</v>
          </cell>
          <cell r="AR39">
            <v>0</v>
          </cell>
          <cell r="AS39">
            <v>25000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11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0</v>
          </cell>
          <cell r="E40">
            <v>50000</v>
          </cell>
          <cell r="F40">
            <v>0</v>
          </cell>
          <cell r="H40">
            <v>0</v>
          </cell>
          <cell r="I40" t="str">
            <v>ESPECES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11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250000</v>
          </cell>
          <cell r="E41">
            <v>0</v>
          </cell>
          <cell r="F41">
            <v>0</v>
          </cell>
          <cell r="H41">
            <v>0</v>
          </cell>
          <cell r="I41" t="str">
            <v>BANQUE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U41">
            <v>250000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100000</v>
          </cell>
          <cell r="BC41">
            <v>0</v>
          </cell>
          <cell r="BD41">
            <v>100000</v>
          </cell>
          <cell r="BE41" t="str">
            <v>OK</v>
          </cell>
          <cell r="BF41">
            <v>0</v>
          </cell>
          <cell r="BG41">
            <v>11</v>
          </cell>
          <cell r="BK41">
            <v>100000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225000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U42">
            <v>225000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11</v>
          </cell>
        </row>
        <row r="44">
          <cell r="B44" t="str">
            <v>TOTAUX</v>
          </cell>
          <cell r="C44">
            <v>0</v>
          </cell>
          <cell r="D44">
            <v>5395000</v>
          </cell>
          <cell r="E44">
            <v>275000</v>
          </cell>
          <cell r="F44">
            <v>346500</v>
          </cell>
          <cell r="G44">
            <v>695000</v>
          </cell>
          <cell r="H44">
            <v>0</v>
          </cell>
          <cell r="I44">
            <v>0</v>
          </cell>
          <cell r="J44">
            <v>35</v>
          </cell>
          <cell r="K44">
            <v>1700000</v>
          </cell>
          <cell r="L44">
            <v>13</v>
          </cell>
          <cell r="M44">
            <v>975000</v>
          </cell>
          <cell r="N44">
            <v>24</v>
          </cell>
          <cell r="O44">
            <v>2300000</v>
          </cell>
          <cell r="P44">
            <v>0</v>
          </cell>
          <cell r="Q44">
            <v>0</v>
          </cell>
          <cell r="R44">
            <v>0</v>
          </cell>
          <cell r="S44">
            <v>346500</v>
          </cell>
          <cell r="U44">
            <v>6016500</v>
          </cell>
          <cell r="V44">
            <v>0</v>
          </cell>
          <cell r="W44">
            <v>0</v>
          </cell>
          <cell r="X44">
            <v>0</v>
          </cell>
          <cell r="Y44">
            <v>4975000</v>
          </cell>
          <cell r="Z44">
            <v>2000000</v>
          </cell>
          <cell r="AA44">
            <v>0</v>
          </cell>
          <cell r="AC44">
            <v>91000</v>
          </cell>
          <cell r="AD44">
            <v>7500</v>
          </cell>
          <cell r="AE44">
            <v>340000</v>
          </cell>
          <cell r="AG44">
            <v>0</v>
          </cell>
          <cell r="AI44">
            <v>41000</v>
          </cell>
          <cell r="AJ44">
            <v>0</v>
          </cell>
          <cell r="AK44">
            <v>0</v>
          </cell>
          <cell r="AL44">
            <v>1000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1545000</v>
          </cell>
          <cell r="AT44">
            <v>0</v>
          </cell>
          <cell r="AU44">
            <v>0</v>
          </cell>
          <cell r="AV44">
            <v>0</v>
          </cell>
          <cell r="AW44">
            <v>850000</v>
          </cell>
          <cell r="AX44">
            <v>892500</v>
          </cell>
          <cell r="AY44">
            <v>3260000</v>
          </cell>
          <cell r="AZ44">
            <v>7755500</v>
          </cell>
          <cell r="BA44">
            <v>275000</v>
          </cell>
          <cell r="BB44">
            <v>0</v>
          </cell>
          <cell r="BC44">
            <v>346500</v>
          </cell>
          <cell r="BD44">
            <v>7134000</v>
          </cell>
          <cell r="BE44">
            <v>0</v>
          </cell>
          <cell r="BF44">
            <v>220000</v>
          </cell>
          <cell r="BH44">
            <v>72000</v>
          </cell>
          <cell r="BI44">
            <v>200000</v>
          </cell>
          <cell r="BJ44">
            <v>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275000</v>
          </cell>
          <cell r="BB46" t="str">
            <v>ESPECES EN CAISSE</v>
          </cell>
          <cell r="BD46">
            <v>7134000</v>
          </cell>
          <cell r="BE46" t="str">
            <v>CHEQUE TIRE</v>
          </cell>
        </row>
      </sheetData>
      <sheetData sheetId="6">
        <row r="6">
          <cell r="A6" t="str">
            <v>AS201648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250000</v>
          </cell>
          <cell r="E6">
            <v>0</v>
          </cell>
          <cell r="F6">
            <v>0</v>
          </cell>
          <cell r="H6">
            <v>0</v>
          </cell>
          <cell r="I6" t="str">
            <v>BANQUE</v>
          </cell>
          <cell r="K6">
            <v>0</v>
          </cell>
          <cell r="L6">
            <v>2</v>
          </cell>
          <cell r="M6">
            <v>150000</v>
          </cell>
          <cell r="N6">
            <v>1</v>
          </cell>
          <cell r="O6">
            <v>100000</v>
          </cell>
          <cell r="P6">
            <v>0</v>
          </cell>
          <cell r="Q6">
            <v>0</v>
          </cell>
          <cell r="R6">
            <v>0</v>
          </cell>
          <cell r="U6">
            <v>250000</v>
          </cell>
          <cell r="Y6">
            <v>250000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352000</v>
          </cell>
          <cell r="BC6">
            <v>0</v>
          </cell>
          <cell r="BD6">
            <v>352000</v>
          </cell>
          <cell r="BF6">
            <v>0</v>
          </cell>
          <cell r="BG6">
            <v>9</v>
          </cell>
          <cell r="BH6">
            <v>52000</v>
          </cell>
          <cell r="BI6">
            <v>0</v>
          </cell>
          <cell r="BJ6">
            <v>300000</v>
          </cell>
          <cell r="BN6">
            <v>0</v>
          </cell>
          <cell r="BO6" t="str">
            <v>ACHAT FOURNITURE</v>
          </cell>
          <cell r="BP6" t="str">
            <v>FONDS DE ROULEMENT</v>
          </cell>
        </row>
        <row r="7">
          <cell r="A7" t="str">
            <v>AS201601</v>
          </cell>
          <cell r="B7" t="str">
            <v>BAKOP ACHILLE</v>
          </cell>
          <cell r="C7">
            <v>0</v>
          </cell>
          <cell r="D7">
            <v>0</v>
          </cell>
          <cell r="E7">
            <v>50000</v>
          </cell>
          <cell r="F7">
            <v>0</v>
          </cell>
          <cell r="H7">
            <v>0</v>
          </cell>
          <cell r="I7" t="str">
            <v>ESPECES</v>
          </cell>
          <cell r="J7">
            <v>1</v>
          </cell>
          <cell r="K7">
            <v>50000</v>
          </cell>
          <cell r="M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U7">
            <v>50000</v>
          </cell>
          <cell r="Y7">
            <v>50000</v>
          </cell>
          <cell r="AQ7">
            <v>0</v>
          </cell>
          <cell r="AR7">
            <v>0</v>
          </cell>
          <cell r="AS7">
            <v>25000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C7">
            <v>0</v>
          </cell>
          <cell r="BD7">
            <v>0</v>
          </cell>
          <cell r="BF7">
            <v>0</v>
          </cell>
          <cell r="BG7">
            <v>9</v>
          </cell>
          <cell r="BO7" t="str">
            <v>COMMUNICATION</v>
          </cell>
          <cell r="BP7" t="str">
            <v>FONDS DE ROULEMENT</v>
          </cell>
        </row>
        <row r="8">
          <cell r="A8" t="str">
            <v>AS201602</v>
          </cell>
          <cell r="B8" t="str">
            <v>BOUTCHOUANG WILLIAM</v>
          </cell>
          <cell r="C8">
            <v>-500000</v>
          </cell>
          <cell r="D8">
            <v>228000</v>
          </cell>
          <cell r="E8">
            <v>0</v>
          </cell>
          <cell r="F8">
            <v>0</v>
          </cell>
          <cell r="H8">
            <v>0</v>
          </cell>
          <cell r="I8" t="str">
            <v>BANQUE</v>
          </cell>
          <cell r="J8">
            <v>1</v>
          </cell>
          <cell r="K8">
            <v>50000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103000</v>
          </cell>
          <cell r="R8">
            <v>0</v>
          </cell>
          <cell r="S8">
            <v>500000</v>
          </cell>
          <cell r="T8" t="str">
            <v>AUTRES</v>
          </cell>
          <cell r="U8">
            <v>728000</v>
          </cell>
          <cell r="Y8">
            <v>125000</v>
          </cell>
          <cell r="Z8">
            <v>500000</v>
          </cell>
          <cell r="AP8" t="str">
            <v>BANQUE</v>
          </cell>
          <cell r="AQ8">
            <v>0</v>
          </cell>
          <cell r="AR8">
            <v>0</v>
          </cell>
          <cell r="AS8">
            <v>25000</v>
          </cell>
          <cell r="AW8">
            <v>0</v>
          </cell>
          <cell r="AX8">
            <v>0</v>
          </cell>
          <cell r="AY8">
            <v>0</v>
          </cell>
          <cell r="AZ8">
            <v>485000</v>
          </cell>
          <cell r="BC8">
            <v>0</v>
          </cell>
          <cell r="BD8">
            <v>0</v>
          </cell>
          <cell r="BF8">
            <v>15000</v>
          </cell>
          <cell r="BG8">
            <v>3</v>
          </cell>
          <cell r="BO8" t="str">
            <v>COMMISSION</v>
          </cell>
          <cell r="BP8" t="str">
            <v>FONDS DE ROULEMENT</v>
          </cell>
        </row>
        <row r="9">
          <cell r="A9" t="str">
            <v>AS201604</v>
          </cell>
          <cell r="B9" t="str">
            <v xml:space="preserve">DJOMO JEAN PAUL </v>
          </cell>
          <cell r="C9">
            <v>0</v>
          </cell>
          <cell r="D9">
            <v>457500</v>
          </cell>
          <cell r="E9">
            <v>0</v>
          </cell>
          <cell r="F9">
            <v>0</v>
          </cell>
          <cell r="H9">
            <v>0</v>
          </cell>
          <cell r="I9" t="str">
            <v>BANQUE</v>
          </cell>
          <cell r="J9">
            <v>1</v>
          </cell>
          <cell r="K9">
            <v>50000</v>
          </cell>
          <cell r="M9">
            <v>0</v>
          </cell>
          <cell r="N9">
            <v>2</v>
          </cell>
          <cell r="O9">
            <v>200000</v>
          </cell>
          <cell r="P9">
            <v>0</v>
          </cell>
          <cell r="Q9">
            <v>0</v>
          </cell>
          <cell r="R9">
            <v>207500</v>
          </cell>
          <cell r="U9">
            <v>457500</v>
          </cell>
          <cell r="Y9">
            <v>250000</v>
          </cell>
          <cell r="AK9">
            <v>200000</v>
          </cell>
          <cell r="AN9">
            <v>3500</v>
          </cell>
          <cell r="AP9" t="str">
            <v>BANQUE</v>
          </cell>
          <cell r="AQ9">
            <v>0</v>
          </cell>
          <cell r="AR9">
            <v>0</v>
          </cell>
          <cell r="AS9">
            <v>25000</v>
          </cell>
          <cell r="AW9">
            <v>0</v>
          </cell>
          <cell r="AX9">
            <v>0</v>
          </cell>
          <cell r="AY9">
            <v>200000</v>
          </cell>
          <cell r="AZ9">
            <v>200000</v>
          </cell>
          <cell r="BA9">
            <v>200000</v>
          </cell>
          <cell r="BC9">
            <v>0</v>
          </cell>
          <cell r="BD9">
            <v>0</v>
          </cell>
          <cell r="BF9">
            <v>0</v>
          </cell>
          <cell r="BG9">
            <v>9</v>
          </cell>
          <cell r="BO9" t="str">
            <v>OUVERTURE COMPTE</v>
          </cell>
          <cell r="BP9" t="str">
            <v>FONDS DE ROULEMENT</v>
          </cell>
        </row>
        <row r="10">
          <cell r="A10" t="str">
            <v>AS201654</v>
          </cell>
          <cell r="B10" t="str">
            <v>DJOMOU TCHAPDA</v>
          </cell>
          <cell r="C10">
            <v>0</v>
          </cell>
          <cell r="D10">
            <v>100500</v>
          </cell>
          <cell r="E10">
            <v>0</v>
          </cell>
          <cell r="F10">
            <v>0</v>
          </cell>
          <cell r="G10">
            <v>9500</v>
          </cell>
          <cell r="H10">
            <v>0</v>
          </cell>
          <cell r="I10" t="str">
            <v>BANQUE</v>
          </cell>
          <cell r="J10">
            <v>1</v>
          </cell>
          <cell r="K10">
            <v>50000</v>
          </cell>
          <cell r="M10">
            <v>0</v>
          </cell>
          <cell r="O10">
            <v>0</v>
          </cell>
          <cell r="P10">
            <v>41000</v>
          </cell>
          <cell r="Q10">
            <v>0</v>
          </cell>
          <cell r="R10">
            <v>0</v>
          </cell>
          <cell r="U10">
            <v>100500</v>
          </cell>
          <cell r="Y10">
            <v>50000</v>
          </cell>
          <cell r="AI10">
            <v>40000</v>
          </cell>
          <cell r="AL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34500</v>
          </cell>
          <cell r="AW10">
            <v>40000</v>
          </cell>
          <cell r="AX10">
            <v>0</v>
          </cell>
          <cell r="AY10">
            <v>0</v>
          </cell>
          <cell r="AZ10">
            <v>40000</v>
          </cell>
          <cell r="BA10">
            <v>40000</v>
          </cell>
          <cell r="BC10">
            <v>0</v>
          </cell>
          <cell r="BD10">
            <v>0</v>
          </cell>
          <cell r="BF10">
            <v>0</v>
          </cell>
          <cell r="BG10">
            <v>9</v>
          </cell>
          <cell r="BO10" t="str">
            <v>CREDIT TELEPHONE</v>
          </cell>
          <cell r="BP10" t="str">
            <v>FONDS DE ROULEMENT</v>
          </cell>
        </row>
        <row r="11">
          <cell r="A11" t="str">
            <v>AS201605</v>
          </cell>
          <cell r="B11" t="str">
            <v>DJOUKWE NANGUEN GUY BLAISE</v>
          </cell>
          <cell r="C11">
            <v>-1339500</v>
          </cell>
          <cell r="D11">
            <v>150000</v>
          </cell>
          <cell r="E11">
            <v>0</v>
          </cell>
          <cell r="F11">
            <v>0</v>
          </cell>
          <cell r="H11">
            <v>0</v>
          </cell>
          <cell r="I11" t="str">
            <v>BANQUE</v>
          </cell>
          <cell r="J11">
            <v>1</v>
          </cell>
          <cell r="K11">
            <v>50000</v>
          </cell>
          <cell r="M11">
            <v>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204500</v>
          </cell>
          <cell r="S11">
            <v>1135000</v>
          </cell>
          <cell r="T11" t="str">
            <v>EN COMPTE</v>
          </cell>
          <cell r="U11">
            <v>1489500</v>
          </cell>
          <cell r="Y11">
            <v>150000</v>
          </cell>
          <cell r="Z11">
            <v>1000000</v>
          </cell>
          <cell r="AA11" t="str">
            <v>BANQUE</v>
          </cell>
          <cell r="AC11">
            <v>6500</v>
          </cell>
          <cell r="AE11">
            <v>35000</v>
          </cell>
          <cell r="AF11" t="str">
            <v>BANQUE</v>
          </cell>
          <cell r="AP11" t="str">
            <v>BANQUE</v>
          </cell>
          <cell r="AQ11">
            <v>0</v>
          </cell>
          <cell r="AR11">
            <v>0</v>
          </cell>
          <cell r="AS11">
            <v>25000</v>
          </cell>
          <cell r="AW11">
            <v>293500</v>
          </cell>
          <cell r="AX11">
            <v>0</v>
          </cell>
          <cell r="AY11">
            <v>1165000</v>
          </cell>
          <cell r="AZ11">
            <v>2233500</v>
          </cell>
          <cell r="BC11">
            <v>0</v>
          </cell>
          <cell r="BD11">
            <v>894000</v>
          </cell>
          <cell r="BE11" t="str">
            <v>OK</v>
          </cell>
          <cell r="BF11">
            <v>225000</v>
          </cell>
          <cell r="BG11">
            <v>9</v>
          </cell>
          <cell r="BO11" t="str">
            <v>PRODUCTION RAPPORT</v>
          </cell>
          <cell r="BP11" t="str">
            <v>FONDS DE ROULEMENT</v>
          </cell>
          <cell r="BQ11">
            <v>40000</v>
          </cell>
        </row>
        <row r="12">
          <cell r="A12" t="str">
            <v>AS201608</v>
          </cell>
          <cell r="B12" t="str">
            <v>DJUOMBESSY ANTOINE</v>
          </cell>
          <cell r="C12">
            <v>0</v>
          </cell>
          <cell r="D12">
            <v>260000</v>
          </cell>
          <cell r="E12">
            <v>0</v>
          </cell>
          <cell r="F12">
            <v>0</v>
          </cell>
          <cell r="G12">
            <v>10000</v>
          </cell>
          <cell r="H12">
            <v>0</v>
          </cell>
          <cell r="I12" t="str">
            <v>BANQUE</v>
          </cell>
          <cell r="J12">
            <v>1</v>
          </cell>
          <cell r="K12">
            <v>50000</v>
          </cell>
          <cell r="M12">
            <v>0</v>
          </cell>
          <cell r="N12">
            <v>2</v>
          </cell>
          <cell r="O12">
            <v>200000</v>
          </cell>
          <cell r="P12">
            <v>0</v>
          </cell>
          <cell r="Q12">
            <v>0</v>
          </cell>
          <cell r="R12">
            <v>0</v>
          </cell>
          <cell r="U12">
            <v>260000</v>
          </cell>
          <cell r="Y12">
            <v>250000</v>
          </cell>
          <cell r="AC12">
            <v>7000</v>
          </cell>
          <cell r="AE12">
            <v>30000</v>
          </cell>
          <cell r="AF12" t="str">
            <v>BANQUE</v>
          </cell>
          <cell r="AQ12">
            <v>0</v>
          </cell>
          <cell r="AR12">
            <v>0</v>
          </cell>
          <cell r="AS12">
            <v>35000</v>
          </cell>
          <cell r="AW12">
            <v>293000</v>
          </cell>
          <cell r="AX12">
            <v>0</v>
          </cell>
          <cell r="AY12">
            <v>1170000</v>
          </cell>
          <cell r="AZ12">
            <v>1463000</v>
          </cell>
          <cell r="BC12">
            <v>0</v>
          </cell>
          <cell r="BD12">
            <v>1463000</v>
          </cell>
          <cell r="BE12" t="str">
            <v>OK</v>
          </cell>
          <cell r="BF12">
            <v>0</v>
          </cell>
          <cell r="BG12">
            <v>9</v>
          </cell>
          <cell r="BO12" t="str">
            <v>ACHAT SOURIS ET PHOTOCOPIE</v>
          </cell>
          <cell r="BP12" t="str">
            <v>FONDS DE ROULEMENT</v>
          </cell>
        </row>
        <row r="13">
          <cell r="A13" t="str">
            <v>AS201651</v>
          </cell>
          <cell r="B13" t="str">
            <v>DOMOU FABIEN</v>
          </cell>
          <cell r="C13">
            <v>0</v>
          </cell>
          <cell r="D13">
            <v>50000</v>
          </cell>
          <cell r="E13">
            <v>0</v>
          </cell>
          <cell r="F13">
            <v>0</v>
          </cell>
          <cell r="H13">
            <v>0</v>
          </cell>
          <cell r="I13" t="str">
            <v>BANQUE</v>
          </cell>
          <cell r="J13">
            <v>1</v>
          </cell>
          <cell r="K13">
            <v>50000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U13">
            <v>50000</v>
          </cell>
          <cell r="Y13">
            <v>50000</v>
          </cell>
          <cell r="AQ13">
            <v>0</v>
          </cell>
          <cell r="AR13">
            <v>0</v>
          </cell>
          <cell r="AS13">
            <v>25000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C13">
            <v>0</v>
          </cell>
          <cell r="BD13">
            <v>0</v>
          </cell>
          <cell r="BF13">
            <v>0</v>
          </cell>
          <cell r="BG13">
            <v>9</v>
          </cell>
          <cell r="BO13" t="str">
            <v>TAXI BANQUE</v>
          </cell>
          <cell r="BP13" t="str">
            <v>FONDS DE ROULEMENT</v>
          </cell>
          <cell r="BQ13">
            <v>12000</v>
          </cell>
        </row>
        <row r="14">
          <cell r="A14" t="str">
            <v>AS201609</v>
          </cell>
          <cell r="B14" t="str">
            <v>DONHOU DAVID</v>
          </cell>
          <cell r="C14">
            <v>0</v>
          </cell>
          <cell r="D14">
            <v>50000</v>
          </cell>
          <cell r="E14">
            <v>0</v>
          </cell>
          <cell r="F14">
            <v>0</v>
          </cell>
          <cell r="H14">
            <v>0</v>
          </cell>
          <cell r="I14" t="str">
            <v>BANQUE</v>
          </cell>
          <cell r="J14">
            <v>1</v>
          </cell>
          <cell r="K14">
            <v>50000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U14">
            <v>50000</v>
          </cell>
          <cell r="Y14">
            <v>50000</v>
          </cell>
          <cell r="AQ14">
            <v>0</v>
          </cell>
          <cell r="AR14">
            <v>0</v>
          </cell>
          <cell r="AS14">
            <v>25000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C14">
            <v>0</v>
          </cell>
          <cell r="BD14">
            <v>0</v>
          </cell>
          <cell r="BF14">
            <v>0</v>
          </cell>
          <cell r="BG14">
            <v>9</v>
          </cell>
          <cell r="BO14" t="str">
            <v>ACHAT TERRAIN</v>
          </cell>
          <cell r="BP14" t="str">
            <v>FONDS DE ROULEMENT</v>
          </cell>
        </row>
        <row r="15">
          <cell r="A15" t="str">
            <v>AS201663</v>
          </cell>
          <cell r="B15" t="str">
            <v>FAMPOU PAUL</v>
          </cell>
          <cell r="C15">
            <v>226000</v>
          </cell>
          <cell r="D15">
            <v>376000</v>
          </cell>
          <cell r="E15">
            <v>0</v>
          </cell>
          <cell r="F15">
            <v>0</v>
          </cell>
          <cell r="H15">
            <v>0</v>
          </cell>
          <cell r="I15" t="str">
            <v>BANQUE</v>
          </cell>
          <cell r="J15">
            <v>1</v>
          </cell>
          <cell r="K15">
            <v>50000</v>
          </cell>
          <cell r="M15">
            <v>0</v>
          </cell>
          <cell r="N15">
            <v>1</v>
          </cell>
          <cell r="O15">
            <v>100000</v>
          </cell>
          <cell r="P15">
            <v>0</v>
          </cell>
          <cell r="Q15">
            <v>0</v>
          </cell>
          <cell r="R15">
            <v>0</v>
          </cell>
          <cell r="U15">
            <v>150000</v>
          </cell>
          <cell r="Y15">
            <v>150000</v>
          </cell>
          <cell r="AQ15">
            <v>0</v>
          </cell>
          <cell r="AR15">
            <v>0</v>
          </cell>
          <cell r="AS15">
            <v>25000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C15">
            <v>0</v>
          </cell>
          <cell r="BD15">
            <v>0</v>
          </cell>
          <cell r="BF15">
            <v>0</v>
          </cell>
          <cell r="BG15">
            <v>9</v>
          </cell>
          <cell r="BO15" t="str">
            <v>ACHAT TERRAIN</v>
          </cell>
          <cell r="BP15" t="str">
            <v>FONDS DE ROULEMENT</v>
          </cell>
        </row>
        <row r="16">
          <cell r="A16" t="str">
            <v>AS201611</v>
          </cell>
          <cell r="B16" t="str">
            <v>HENGUE PAUL OMER</v>
          </cell>
          <cell r="C16">
            <v>100000</v>
          </cell>
          <cell r="D16">
            <v>1275000</v>
          </cell>
          <cell r="E16">
            <v>0</v>
          </cell>
          <cell r="F16">
            <v>0</v>
          </cell>
          <cell r="H16">
            <v>0</v>
          </cell>
          <cell r="I16" t="str">
            <v>BANQUE</v>
          </cell>
          <cell r="J16">
            <v>1</v>
          </cell>
          <cell r="K16">
            <v>50000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1050000</v>
          </cell>
          <cell r="U16">
            <v>1175000</v>
          </cell>
          <cell r="Y16">
            <v>125000</v>
          </cell>
          <cell r="AQ16">
            <v>0</v>
          </cell>
          <cell r="AR16">
            <v>0</v>
          </cell>
          <cell r="AS16">
            <v>25000</v>
          </cell>
          <cell r="AW16">
            <v>0</v>
          </cell>
          <cell r="AX16">
            <v>0</v>
          </cell>
          <cell r="AY16">
            <v>0</v>
          </cell>
          <cell r="AZ16">
            <v>-55000</v>
          </cell>
          <cell r="BC16">
            <v>0</v>
          </cell>
          <cell r="BD16">
            <v>-55000</v>
          </cell>
          <cell r="BE16" t="str">
            <v>OK</v>
          </cell>
          <cell r="BF16">
            <v>155000</v>
          </cell>
          <cell r="BG16">
            <v>9</v>
          </cell>
          <cell r="BK16">
            <v>100000</v>
          </cell>
        </row>
        <row r="17">
          <cell r="A17" t="str">
            <v>AS201613</v>
          </cell>
          <cell r="B17" t="str">
            <v>HOTCHO BENJAMIN</v>
          </cell>
          <cell r="C17">
            <v>0</v>
          </cell>
          <cell r="D17">
            <v>250000</v>
          </cell>
          <cell r="E17">
            <v>0</v>
          </cell>
          <cell r="F17">
            <v>0</v>
          </cell>
          <cell r="G17">
            <v>25000</v>
          </cell>
          <cell r="H17">
            <v>0</v>
          </cell>
          <cell r="I17" t="str">
            <v>BANQUE</v>
          </cell>
          <cell r="J17">
            <v>1</v>
          </cell>
          <cell r="K17">
            <v>50000</v>
          </cell>
          <cell r="L17">
            <v>1</v>
          </cell>
          <cell r="M17">
            <v>75000</v>
          </cell>
          <cell r="N17">
            <v>1</v>
          </cell>
          <cell r="O17">
            <v>100000</v>
          </cell>
          <cell r="P17">
            <v>0</v>
          </cell>
          <cell r="Q17">
            <v>0</v>
          </cell>
          <cell r="R17">
            <v>0</v>
          </cell>
          <cell r="U17">
            <v>250000</v>
          </cell>
          <cell r="Y17">
            <v>225000</v>
          </cell>
          <cell r="AD17">
            <v>7500</v>
          </cell>
          <cell r="AF17" t="str">
            <v>BANQUE</v>
          </cell>
          <cell r="AJ17">
            <v>91125</v>
          </cell>
          <cell r="AM17">
            <v>2000</v>
          </cell>
          <cell r="AQ17">
            <v>0</v>
          </cell>
          <cell r="AR17">
            <v>0</v>
          </cell>
          <cell r="AS17">
            <v>50000</v>
          </cell>
          <cell r="AW17">
            <v>0</v>
          </cell>
          <cell r="AX17">
            <v>983625</v>
          </cell>
          <cell r="AY17">
            <v>0</v>
          </cell>
          <cell r="AZ17">
            <v>983625</v>
          </cell>
          <cell r="BA17">
            <v>50000</v>
          </cell>
          <cell r="BC17">
            <v>0</v>
          </cell>
          <cell r="BD17">
            <v>933625</v>
          </cell>
          <cell r="BE17" t="str">
            <v>OK</v>
          </cell>
          <cell r="BF17">
            <v>0</v>
          </cell>
          <cell r="BG17">
            <v>9</v>
          </cell>
          <cell r="BO17" t="str">
            <v>S/TOTAL</v>
          </cell>
          <cell r="BQ17">
            <v>52000</v>
          </cell>
        </row>
        <row r="18">
          <cell r="A18" t="str">
            <v>AS201617</v>
          </cell>
          <cell r="B18" t="str">
            <v>KOUAMOU MOISE</v>
          </cell>
          <cell r="C18">
            <v>0</v>
          </cell>
          <cell r="D18">
            <v>150000</v>
          </cell>
          <cell r="E18">
            <v>0</v>
          </cell>
          <cell r="F18">
            <v>0</v>
          </cell>
          <cell r="H18">
            <v>0</v>
          </cell>
          <cell r="I18" t="str">
            <v>BANQUE</v>
          </cell>
          <cell r="J18">
            <v>1</v>
          </cell>
          <cell r="K18">
            <v>50000</v>
          </cell>
          <cell r="M18">
            <v>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150000</v>
          </cell>
          <cell r="Y18">
            <v>150000</v>
          </cell>
          <cell r="AQ18">
            <v>0</v>
          </cell>
          <cell r="AR18">
            <v>0</v>
          </cell>
          <cell r="AS18">
            <v>25000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C18">
            <v>0</v>
          </cell>
          <cell r="BD18">
            <v>0</v>
          </cell>
          <cell r="BE18" t="str">
            <v>OK</v>
          </cell>
          <cell r="BF18">
            <v>0</v>
          </cell>
          <cell r="BG18">
            <v>9</v>
          </cell>
        </row>
        <row r="19">
          <cell r="A19" t="str">
            <v>AS201619</v>
          </cell>
          <cell r="B19" t="str">
            <v>KOUATCHO MESSACK</v>
          </cell>
          <cell r="C19">
            <v>0</v>
          </cell>
          <cell r="D19">
            <v>291000</v>
          </cell>
          <cell r="E19">
            <v>0</v>
          </cell>
          <cell r="F19">
            <v>0</v>
          </cell>
          <cell r="G19">
            <v>11500</v>
          </cell>
          <cell r="H19">
            <v>0</v>
          </cell>
          <cell r="I19" t="str">
            <v>BANQUE</v>
          </cell>
          <cell r="J19">
            <v>1</v>
          </cell>
          <cell r="K19">
            <v>50000</v>
          </cell>
          <cell r="L19">
            <v>1</v>
          </cell>
          <cell r="M19">
            <v>75000</v>
          </cell>
          <cell r="N19">
            <v>1</v>
          </cell>
          <cell r="O19">
            <v>100000</v>
          </cell>
          <cell r="P19">
            <v>0</v>
          </cell>
          <cell r="Q19">
            <v>54500</v>
          </cell>
          <cell r="R19">
            <v>0</v>
          </cell>
          <cell r="U19">
            <v>291000</v>
          </cell>
          <cell r="Y19">
            <v>225000</v>
          </cell>
          <cell r="AK19">
            <v>205500</v>
          </cell>
          <cell r="AN19">
            <v>2000</v>
          </cell>
          <cell r="AP19" t="str">
            <v>BANQUE</v>
          </cell>
          <cell r="AQ19">
            <v>0</v>
          </cell>
          <cell r="AR19">
            <v>0</v>
          </cell>
          <cell r="AS19">
            <v>36500</v>
          </cell>
          <cell r="AW19">
            <v>0</v>
          </cell>
          <cell r="AX19">
            <v>0</v>
          </cell>
          <cell r="AY19">
            <v>205500</v>
          </cell>
          <cell r="AZ19">
            <v>205500</v>
          </cell>
          <cell r="BC19">
            <v>0</v>
          </cell>
          <cell r="BD19">
            <v>205500</v>
          </cell>
          <cell r="BE19" t="str">
            <v>OK</v>
          </cell>
          <cell r="BF19">
            <v>0</v>
          </cell>
          <cell r="BG19">
            <v>9</v>
          </cell>
          <cell r="BO19" t="str">
            <v>TERRAIN NYOM</v>
          </cell>
          <cell r="BP19" t="str">
            <v>AUTRES DEPENSES</v>
          </cell>
        </row>
        <row r="20">
          <cell r="A20" t="str">
            <v>AS201620</v>
          </cell>
          <cell r="B20" t="str">
            <v>LOWE JEAN</v>
          </cell>
        </row>
        <row r="21">
          <cell r="A21" t="str">
            <v>AS201661</v>
          </cell>
          <cell r="B21" t="str">
            <v>MASSEUNGOUE DAGOBERT</v>
          </cell>
          <cell r="C21">
            <v>0</v>
          </cell>
          <cell r="D21">
            <v>50000</v>
          </cell>
          <cell r="E21">
            <v>0</v>
          </cell>
          <cell r="F21">
            <v>0</v>
          </cell>
          <cell r="H21">
            <v>0</v>
          </cell>
          <cell r="I21" t="str">
            <v>BANQUE</v>
          </cell>
          <cell r="J21">
            <v>1</v>
          </cell>
          <cell r="K21">
            <v>50000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U21">
            <v>50000</v>
          </cell>
          <cell r="Y21">
            <v>50000</v>
          </cell>
          <cell r="AQ21">
            <v>0</v>
          </cell>
          <cell r="AR21">
            <v>0</v>
          </cell>
          <cell r="AS21">
            <v>25000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C21">
            <v>0</v>
          </cell>
          <cell r="BD21">
            <v>0</v>
          </cell>
          <cell r="BF21">
            <v>0</v>
          </cell>
          <cell r="BG21">
            <v>9</v>
          </cell>
          <cell r="BO21" t="str">
            <v>RETRAIT COMPTE FOYER</v>
          </cell>
        </row>
        <row r="22">
          <cell r="A22" t="str">
            <v>AS201649</v>
          </cell>
          <cell r="B22" t="str">
            <v>MBOGNING TUGMA GUY</v>
          </cell>
          <cell r="C22">
            <v>-1000000</v>
          </cell>
          <cell r="D22">
            <v>376000</v>
          </cell>
          <cell r="E22">
            <v>0</v>
          </cell>
          <cell r="F22">
            <v>0</v>
          </cell>
          <cell r="H22">
            <v>0</v>
          </cell>
          <cell r="I22" t="str">
            <v>BANQUE</v>
          </cell>
          <cell r="J22">
            <v>1</v>
          </cell>
          <cell r="K22">
            <v>50000</v>
          </cell>
          <cell r="L22">
            <v>1</v>
          </cell>
          <cell r="M22">
            <v>75000</v>
          </cell>
          <cell r="N22">
            <v>2</v>
          </cell>
          <cell r="O22">
            <v>200000</v>
          </cell>
          <cell r="P22">
            <v>0</v>
          </cell>
          <cell r="Q22">
            <v>51000</v>
          </cell>
          <cell r="R22">
            <v>0</v>
          </cell>
          <cell r="S22">
            <v>1000000</v>
          </cell>
          <cell r="T22" t="str">
            <v>AUTRES</v>
          </cell>
          <cell r="U22">
            <v>1376000</v>
          </cell>
          <cell r="Y22">
            <v>325000</v>
          </cell>
          <cell r="Z22">
            <v>1000000</v>
          </cell>
          <cell r="AC22">
            <v>7500</v>
          </cell>
          <cell r="AF22" t="str">
            <v>BANQUE</v>
          </cell>
          <cell r="AJ22">
            <v>100000</v>
          </cell>
          <cell r="AK22">
            <v>200000</v>
          </cell>
          <cell r="AM22">
            <v>2000</v>
          </cell>
          <cell r="AN22">
            <v>2000</v>
          </cell>
          <cell r="AP22" t="str">
            <v>BANQUE</v>
          </cell>
          <cell r="AQ22">
            <v>0</v>
          </cell>
          <cell r="AR22">
            <v>0</v>
          </cell>
          <cell r="AS22">
            <v>25000</v>
          </cell>
          <cell r="AW22">
            <v>292500</v>
          </cell>
          <cell r="AX22">
            <v>100000</v>
          </cell>
          <cell r="AY22">
            <v>200000</v>
          </cell>
          <cell r="AZ22">
            <v>1562500</v>
          </cell>
          <cell r="BA22">
            <v>166000</v>
          </cell>
          <cell r="BC22">
            <v>0</v>
          </cell>
          <cell r="BD22">
            <v>426500</v>
          </cell>
          <cell r="BE22" t="str">
            <v>OK</v>
          </cell>
          <cell r="BF22">
            <v>30000</v>
          </cell>
          <cell r="BG22">
            <v>3</v>
          </cell>
        </row>
        <row r="23">
          <cell r="A23" t="str">
            <v>AS201639</v>
          </cell>
          <cell r="B23" t="str">
            <v>NANGUEN MARTIN</v>
          </cell>
          <cell r="C23">
            <v>0</v>
          </cell>
          <cell r="D23">
            <v>50000</v>
          </cell>
          <cell r="E23">
            <v>0</v>
          </cell>
          <cell r="F23">
            <v>0</v>
          </cell>
          <cell r="H23">
            <v>0</v>
          </cell>
          <cell r="I23" t="str">
            <v>BANQUE</v>
          </cell>
          <cell r="J23">
            <v>1</v>
          </cell>
          <cell r="K23">
            <v>50000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U23">
            <v>50000</v>
          </cell>
          <cell r="Y23">
            <v>50000</v>
          </cell>
          <cell r="AQ23">
            <v>0</v>
          </cell>
          <cell r="AR23">
            <v>0</v>
          </cell>
          <cell r="AS23">
            <v>25000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C23">
            <v>0</v>
          </cell>
          <cell r="BD23">
            <v>0</v>
          </cell>
          <cell r="BF23">
            <v>0</v>
          </cell>
          <cell r="BG23">
            <v>9</v>
          </cell>
        </row>
        <row r="24">
          <cell r="A24" t="str">
            <v>AS201621</v>
          </cell>
          <cell r="B24" t="str">
            <v>NANKAM APPOLINAIRE</v>
          </cell>
          <cell r="C24">
            <v>0</v>
          </cell>
          <cell r="D24">
            <v>125000</v>
          </cell>
          <cell r="E24">
            <v>0</v>
          </cell>
          <cell r="F24">
            <v>0</v>
          </cell>
          <cell r="H24">
            <v>0</v>
          </cell>
          <cell r="I24" t="str">
            <v>BANQUE</v>
          </cell>
          <cell r="J24">
            <v>1</v>
          </cell>
          <cell r="K24">
            <v>50000</v>
          </cell>
          <cell r="L24">
            <v>1</v>
          </cell>
          <cell r="M24">
            <v>75000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U24">
            <v>125000</v>
          </cell>
          <cell r="Y24">
            <v>125000</v>
          </cell>
          <cell r="AQ24">
            <v>0</v>
          </cell>
          <cell r="AR24">
            <v>0</v>
          </cell>
          <cell r="AS24">
            <v>25000</v>
          </cell>
          <cell r="AV24">
            <v>600000</v>
          </cell>
          <cell r="AW24">
            <v>0</v>
          </cell>
          <cell r="AX24">
            <v>0</v>
          </cell>
          <cell r="AY24">
            <v>0</v>
          </cell>
          <cell r="AZ24">
            <v>600000</v>
          </cell>
          <cell r="BC24">
            <v>0</v>
          </cell>
          <cell r="BD24">
            <v>600000</v>
          </cell>
          <cell r="BE24" t="str">
            <v>OK</v>
          </cell>
          <cell r="BF24">
            <v>0</v>
          </cell>
          <cell r="BG24">
            <v>9</v>
          </cell>
          <cell r="BO24" t="str">
            <v>S/TOTAL</v>
          </cell>
          <cell r="BQ24">
            <v>0</v>
          </cell>
        </row>
        <row r="25">
          <cell r="A25" t="str">
            <v>AS201622</v>
          </cell>
          <cell r="B25" t="str">
            <v>NDJOMO ETIENNE</v>
          </cell>
          <cell r="C25">
            <v>0</v>
          </cell>
          <cell r="D25">
            <v>361000</v>
          </cell>
          <cell r="E25">
            <v>0</v>
          </cell>
          <cell r="F25">
            <v>0</v>
          </cell>
          <cell r="G25">
            <v>10000</v>
          </cell>
          <cell r="H25">
            <v>0</v>
          </cell>
          <cell r="I25" t="str">
            <v>BANQUE</v>
          </cell>
          <cell r="J25">
            <v>1</v>
          </cell>
          <cell r="K25">
            <v>50000</v>
          </cell>
          <cell r="M25">
            <v>0</v>
          </cell>
          <cell r="N25">
            <v>2</v>
          </cell>
          <cell r="O25">
            <v>200000</v>
          </cell>
          <cell r="P25">
            <v>0</v>
          </cell>
          <cell r="Q25">
            <v>0</v>
          </cell>
          <cell r="R25">
            <v>101000</v>
          </cell>
          <cell r="U25">
            <v>361000</v>
          </cell>
          <cell r="Y25">
            <v>250000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35000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C25">
            <v>0</v>
          </cell>
          <cell r="BD25">
            <v>27000</v>
          </cell>
          <cell r="BE25" t="str">
            <v>OK</v>
          </cell>
          <cell r="BF25">
            <v>0</v>
          </cell>
          <cell r="BG25">
            <v>9</v>
          </cell>
        </row>
        <row r="26">
          <cell r="A26" t="str">
            <v>AS201624</v>
          </cell>
          <cell r="B26" t="str">
            <v>NGONDIEP CLAUDE</v>
          </cell>
          <cell r="C26">
            <v>0</v>
          </cell>
          <cell r="D26">
            <v>240000</v>
          </cell>
          <cell r="E26">
            <v>0</v>
          </cell>
          <cell r="F26">
            <v>0</v>
          </cell>
          <cell r="G26">
            <v>15000</v>
          </cell>
          <cell r="H26">
            <v>0</v>
          </cell>
          <cell r="I26" t="str">
            <v>BANQUE</v>
          </cell>
          <cell r="J26">
            <v>1</v>
          </cell>
          <cell r="K26">
            <v>50000</v>
          </cell>
          <cell r="L26">
            <v>1</v>
          </cell>
          <cell r="M26">
            <v>75000</v>
          </cell>
          <cell r="N26">
            <v>1</v>
          </cell>
          <cell r="O26">
            <v>100000</v>
          </cell>
          <cell r="P26">
            <v>0</v>
          </cell>
          <cell r="Q26">
            <v>0</v>
          </cell>
          <cell r="R26">
            <v>0</v>
          </cell>
          <cell r="U26">
            <v>240000</v>
          </cell>
          <cell r="Y26">
            <v>225000</v>
          </cell>
          <cell r="AQ26">
            <v>0</v>
          </cell>
          <cell r="AR26">
            <v>0</v>
          </cell>
          <cell r="AS26">
            <v>40000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C26">
            <v>0</v>
          </cell>
          <cell r="BD26">
            <v>0</v>
          </cell>
          <cell r="BF26">
            <v>0</v>
          </cell>
          <cell r="BG26">
            <v>9</v>
          </cell>
          <cell r="BO26" t="str">
            <v>GRATIFICATION BUREAU 2023</v>
          </cell>
          <cell r="BP26" t="str">
            <v>FRAIS EXEPTIONNEL</v>
          </cell>
        </row>
        <row r="27">
          <cell r="A27" t="str">
            <v>AS201626</v>
          </cell>
          <cell r="B27" t="str">
            <v>NGUIEMEGNI MATHIEU BLAISE</v>
          </cell>
          <cell r="C27">
            <v>0</v>
          </cell>
          <cell r="D27">
            <v>450000</v>
          </cell>
          <cell r="E27">
            <v>0</v>
          </cell>
          <cell r="F27">
            <v>0</v>
          </cell>
          <cell r="G27">
            <v>-6500</v>
          </cell>
          <cell r="H27">
            <v>0</v>
          </cell>
          <cell r="I27" t="str">
            <v>BANQUE</v>
          </cell>
          <cell r="J27">
            <v>1</v>
          </cell>
          <cell r="K27">
            <v>50000</v>
          </cell>
          <cell r="M27">
            <v>0</v>
          </cell>
          <cell r="N27">
            <v>2</v>
          </cell>
          <cell r="O27">
            <v>200000</v>
          </cell>
          <cell r="P27">
            <v>0</v>
          </cell>
          <cell r="Q27">
            <v>0</v>
          </cell>
          <cell r="R27">
            <v>206500</v>
          </cell>
          <cell r="U27">
            <v>450000</v>
          </cell>
          <cell r="Y27">
            <v>250000</v>
          </cell>
          <cell r="AK27">
            <v>200000</v>
          </cell>
          <cell r="AN27">
            <v>2500</v>
          </cell>
          <cell r="AP27" t="str">
            <v>BANQUE</v>
          </cell>
          <cell r="AQ27">
            <v>0</v>
          </cell>
          <cell r="AR27">
            <v>0</v>
          </cell>
          <cell r="AS27">
            <v>18500</v>
          </cell>
          <cell r="AW27">
            <v>0</v>
          </cell>
          <cell r="AX27">
            <v>0</v>
          </cell>
          <cell r="AY27">
            <v>200000</v>
          </cell>
          <cell r="AZ27">
            <v>200000</v>
          </cell>
          <cell r="BA27">
            <v>100000</v>
          </cell>
          <cell r="BC27">
            <v>0</v>
          </cell>
          <cell r="BD27">
            <v>100000</v>
          </cell>
          <cell r="BE27" t="str">
            <v>OK</v>
          </cell>
          <cell r="BF27">
            <v>0</v>
          </cell>
          <cell r="BG27">
            <v>9</v>
          </cell>
          <cell r="BO27" t="str">
            <v>DOSSIER TECHNIQUE NGIEMENI</v>
          </cell>
          <cell r="BP27" t="str">
            <v>FRAIS EXEPTIONNEL</v>
          </cell>
        </row>
        <row r="28">
          <cell r="A28" t="str">
            <v>AS201628</v>
          </cell>
          <cell r="B28" t="str">
            <v>NKAMGANG JUSTIN DEJOLIE</v>
          </cell>
          <cell r="C28">
            <v>-970000</v>
          </cell>
          <cell r="D28">
            <v>122000</v>
          </cell>
          <cell r="E28">
            <v>0</v>
          </cell>
          <cell r="F28">
            <v>0</v>
          </cell>
          <cell r="H28">
            <v>0</v>
          </cell>
          <cell r="I28" t="str">
            <v>BANQUE</v>
          </cell>
          <cell r="J28">
            <v>1</v>
          </cell>
          <cell r="K28">
            <v>50000</v>
          </cell>
          <cell r="M28">
            <v>0</v>
          </cell>
          <cell r="O28">
            <v>0</v>
          </cell>
          <cell r="P28">
            <v>42000</v>
          </cell>
          <cell r="Q28">
            <v>0</v>
          </cell>
          <cell r="R28">
            <v>0</v>
          </cell>
          <cell r="S28">
            <v>1000000</v>
          </cell>
          <cell r="U28">
            <v>1092000</v>
          </cell>
          <cell r="Y28">
            <v>50000</v>
          </cell>
          <cell r="Z28">
            <v>1000000</v>
          </cell>
          <cell r="AA28" t="str">
            <v>AUTRES</v>
          </cell>
          <cell r="AP28" t="str">
            <v>BANQUE</v>
          </cell>
          <cell r="AQ28">
            <v>0</v>
          </cell>
          <cell r="AR28">
            <v>0</v>
          </cell>
          <cell r="AS28">
            <v>25000</v>
          </cell>
          <cell r="AW28">
            <v>0</v>
          </cell>
          <cell r="AX28">
            <v>0</v>
          </cell>
          <cell r="AY28">
            <v>0</v>
          </cell>
          <cell r="AZ28">
            <v>1000000</v>
          </cell>
          <cell r="BC28">
            <v>0</v>
          </cell>
          <cell r="BD28">
            <v>0</v>
          </cell>
          <cell r="BF28">
            <v>30000</v>
          </cell>
          <cell r="BG28">
            <v>3</v>
          </cell>
        </row>
        <row r="29">
          <cell r="A29" t="str">
            <v>AS201656</v>
          </cell>
          <cell r="B29" t="str">
            <v>NOUBE ETIENNE</v>
          </cell>
          <cell r="C29">
            <v>0</v>
          </cell>
          <cell r="D29">
            <v>50000</v>
          </cell>
          <cell r="E29">
            <v>0</v>
          </cell>
          <cell r="F29">
            <v>0</v>
          </cell>
          <cell r="H29">
            <v>0</v>
          </cell>
          <cell r="I29" t="str">
            <v>BANQUE</v>
          </cell>
          <cell r="J29">
            <v>1</v>
          </cell>
          <cell r="K29">
            <v>50000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U29">
            <v>50000</v>
          </cell>
          <cell r="Y29">
            <v>50000</v>
          </cell>
          <cell r="Z29">
            <v>150000</v>
          </cell>
          <cell r="AA29" t="str">
            <v>BANQUE</v>
          </cell>
          <cell r="AQ29">
            <v>0</v>
          </cell>
          <cell r="AR29">
            <v>0</v>
          </cell>
          <cell r="AS29">
            <v>25000</v>
          </cell>
          <cell r="AW29">
            <v>0</v>
          </cell>
          <cell r="AX29">
            <v>0</v>
          </cell>
          <cell r="AY29">
            <v>0</v>
          </cell>
          <cell r="AZ29">
            <v>136500</v>
          </cell>
          <cell r="BC29">
            <v>0</v>
          </cell>
          <cell r="BD29">
            <v>136500</v>
          </cell>
          <cell r="BE29" t="str">
            <v>OK</v>
          </cell>
          <cell r="BF29">
            <v>13500</v>
          </cell>
          <cell r="BG29">
            <v>9</v>
          </cell>
        </row>
        <row r="30">
          <cell r="A30" t="str">
            <v>AS201633</v>
          </cell>
          <cell r="B30" t="str">
            <v>PATEGO NJOSSU GUSTAVE</v>
          </cell>
          <cell r="C30">
            <v>0</v>
          </cell>
          <cell r="D30">
            <v>125000</v>
          </cell>
          <cell r="E30">
            <v>0</v>
          </cell>
          <cell r="F30">
            <v>0</v>
          </cell>
          <cell r="H30">
            <v>0</v>
          </cell>
          <cell r="I30" t="str">
            <v>BANQUE</v>
          </cell>
          <cell r="J30">
            <v>1</v>
          </cell>
          <cell r="K30">
            <v>50000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U30">
            <v>125000</v>
          </cell>
          <cell r="Y30">
            <v>125000</v>
          </cell>
          <cell r="AQ30">
            <v>0</v>
          </cell>
          <cell r="AR30">
            <v>0</v>
          </cell>
          <cell r="AS30">
            <v>25000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C30">
            <v>0</v>
          </cell>
          <cell r="BD30">
            <v>0</v>
          </cell>
          <cell r="BF30">
            <v>0</v>
          </cell>
          <cell r="BG30">
            <v>9</v>
          </cell>
          <cell r="BO30" t="str">
            <v>S/TOTAL</v>
          </cell>
          <cell r="BQ30">
            <v>0</v>
          </cell>
        </row>
        <row r="31">
          <cell r="A31" t="str">
            <v>AS201657</v>
          </cell>
          <cell r="B31" t="str">
            <v>SEUMO POLYCARPE</v>
          </cell>
          <cell r="C31">
            <v>0</v>
          </cell>
          <cell r="D31">
            <v>91000</v>
          </cell>
          <cell r="E31">
            <v>0</v>
          </cell>
          <cell r="F31">
            <v>0</v>
          </cell>
          <cell r="H31">
            <v>0</v>
          </cell>
          <cell r="I31" t="str">
            <v>BANQUE</v>
          </cell>
          <cell r="J31">
            <v>1</v>
          </cell>
          <cell r="K31">
            <v>50000</v>
          </cell>
          <cell r="M31">
            <v>0</v>
          </cell>
          <cell r="O31">
            <v>0</v>
          </cell>
          <cell r="P31">
            <v>41000</v>
          </cell>
          <cell r="Q31">
            <v>0</v>
          </cell>
          <cell r="R31">
            <v>0</v>
          </cell>
          <cell r="U31">
            <v>91000</v>
          </cell>
          <cell r="Y31">
            <v>50000</v>
          </cell>
          <cell r="AI31">
            <v>80000</v>
          </cell>
          <cell r="AL31">
            <v>3000</v>
          </cell>
          <cell r="AP31" t="str">
            <v>BANQUE</v>
          </cell>
          <cell r="AQ31">
            <v>0</v>
          </cell>
          <cell r="AR31">
            <v>0</v>
          </cell>
          <cell r="AS31">
            <v>25000</v>
          </cell>
          <cell r="AW31">
            <v>80000</v>
          </cell>
          <cell r="AX31">
            <v>0</v>
          </cell>
          <cell r="AY31">
            <v>0</v>
          </cell>
          <cell r="AZ31">
            <v>80000</v>
          </cell>
          <cell r="BA31">
            <v>80000</v>
          </cell>
          <cell r="BC31">
            <v>0</v>
          </cell>
          <cell r="BD31">
            <v>0</v>
          </cell>
          <cell r="BF31">
            <v>0</v>
          </cell>
          <cell r="BG31">
            <v>9</v>
          </cell>
        </row>
        <row r="32">
          <cell r="A32" t="str">
            <v>AS201653</v>
          </cell>
          <cell r="B32" t="str">
            <v>SIME BRICE</v>
          </cell>
          <cell r="C32">
            <v>-1000000</v>
          </cell>
          <cell r="D32">
            <v>0</v>
          </cell>
          <cell r="E32">
            <v>253000</v>
          </cell>
          <cell r="F32">
            <v>0</v>
          </cell>
          <cell r="H32">
            <v>3000</v>
          </cell>
          <cell r="I32" t="str">
            <v>ESPECES</v>
          </cell>
          <cell r="J32">
            <v>1</v>
          </cell>
          <cell r="K32">
            <v>50000</v>
          </cell>
          <cell r="M32">
            <v>0</v>
          </cell>
          <cell r="N32">
            <v>2</v>
          </cell>
          <cell r="O32">
            <v>200000</v>
          </cell>
          <cell r="P32">
            <v>0</v>
          </cell>
          <cell r="Q32">
            <v>0</v>
          </cell>
          <cell r="R32">
            <v>0</v>
          </cell>
          <cell r="S32">
            <v>1000000</v>
          </cell>
          <cell r="T32" t="str">
            <v>AUTRES</v>
          </cell>
          <cell r="U32">
            <v>1253000</v>
          </cell>
          <cell r="Y32">
            <v>250000</v>
          </cell>
          <cell r="Z32">
            <v>1000000</v>
          </cell>
          <cell r="AA32" t="str">
            <v>AUTRES</v>
          </cell>
          <cell r="AQ32">
            <v>0</v>
          </cell>
          <cell r="AR32">
            <v>0</v>
          </cell>
          <cell r="AS32">
            <v>25000</v>
          </cell>
          <cell r="AW32">
            <v>0</v>
          </cell>
          <cell r="AX32">
            <v>0</v>
          </cell>
          <cell r="AY32">
            <v>0</v>
          </cell>
          <cell r="AZ32">
            <v>970000</v>
          </cell>
          <cell r="BC32">
            <v>0</v>
          </cell>
          <cell r="BD32">
            <v>0</v>
          </cell>
          <cell r="BF32">
            <v>30000</v>
          </cell>
          <cell r="BG32">
            <v>3</v>
          </cell>
          <cell r="BO32" t="str">
            <v>DECES ELLE MERE DJOUKWE</v>
          </cell>
          <cell r="BP32" t="str">
            <v>MUTUELLE</v>
          </cell>
          <cell r="BQ32">
            <v>100000</v>
          </cell>
        </row>
        <row r="33">
          <cell r="A33" t="str">
            <v>AS201629</v>
          </cell>
          <cell r="B33" t="str">
            <v>SIMO FONGANG ERIC</v>
          </cell>
          <cell r="C33">
            <v>0</v>
          </cell>
          <cell r="D33">
            <v>50000</v>
          </cell>
          <cell r="E33">
            <v>0</v>
          </cell>
          <cell r="F33">
            <v>0</v>
          </cell>
          <cell r="H33">
            <v>0</v>
          </cell>
          <cell r="I33" t="str">
            <v>BANQUE</v>
          </cell>
          <cell r="J33">
            <v>1</v>
          </cell>
          <cell r="K33">
            <v>50000</v>
          </cell>
          <cell r="P33">
            <v>0</v>
          </cell>
          <cell r="Q33">
            <v>0</v>
          </cell>
          <cell r="R33">
            <v>0</v>
          </cell>
          <cell r="U33">
            <v>50000</v>
          </cell>
          <cell r="Y33">
            <v>50000</v>
          </cell>
          <cell r="AQ33">
            <v>0</v>
          </cell>
          <cell r="AR33">
            <v>0</v>
          </cell>
          <cell r="AS33">
            <v>25000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C33">
            <v>0</v>
          </cell>
          <cell r="BD33">
            <v>0</v>
          </cell>
          <cell r="BF33">
            <v>0</v>
          </cell>
          <cell r="BG33">
            <v>9</v>
          </cell>
          <cell r="BO33" t="str">
            <v>DECES ELLE MERE MASSEUGO</v>
          </cell>
          <cell r="BQ33">
            <v>100000</v>
          </cell>
        </row>
        <row r="34">
          <cell r="A34" t="str">
            <v>AS201638</v>
          </cell>
          <cell r="B34" t="str">
            <v>SIMO PIERRE</v>
          </cell>
          <cell r="C34">
            <v>0</v>
          </cell>
          <cell r="D34">
            <v>150000</v>
          </cell>
          <cell r="E34">
            <v>0</v>
          </cell>
          <cell r="F34">
            <v>0</v>
          </cell>
          <cell r="H34">
            <v>0</v>
          </cell>
          <cell r="I34" t="str">
            <v>BANQUE</v>
          </cell>
          <cell r="J34">
            <v>1</v>
          </cell>
          <cell r="K34">
            <v>50000</v>
          </cell>
          <cell r="M34">
            <v>0</v>
          </cell>
          <cell r="N34">
            <v>1</v>
          </cell>
          <cell r="O34">
            <v>100000</v>
          </cell>
          <cell r="P34">
            <v>0</v>
          </cell>
          <cell r="Q34">
            <v>0</v>
          </cell>
          <cell r="R34">
            <v>0</v>
          </cell>
          <cell r="U34">
            <v>150000</v>
          </cell>
          <cell r="Y34">
            <v>150000</v>
          </cell>
          <cell r="AQ34">
            <v>0</v>
          </cell>
          <cell r="AR34">
            <v>0</v>
          </cell>
          <cell r="AS34">
            <v>25000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C34">
            <v>0</v>
          </cell>
          <cell r="BD34">
            <v>0</v>
          </cell>
          <cell r="BF34">
            <v>0</v>
          </cell>
          <cell r="BG34">
            <v>9</v>
          </cell>
          <cell r="BO34" t="str">
            <v>DECES ELLE MERE MBONING</v>
          </cell>
          <cell r="BQ34">
            <v>100000</v>
          </cell>
        </row>
        <row r="35">
          <cell r="A35" t="str">
            <v>AS201641</v>
          </cell>
          <cell r="B35" t="str">
            <v>TCHOUAMOU MATHIEU</v>
          </cell>
          <cell r="C35">
            <v>0</v>
          </cell>
          <cell r="D35">
            <v>125000</v>
          </cell>
          <cell r="E35">
            <v>0</v>
          </cell>
          <cell r="F35">
            <v>0</v>
          </cell>
          <cell r="H35">
            <v>0</v>
          </cell>
          <cell r="I35" t="str">
            <v>BANQUE</v>
          </cell>
          <cell r="J35">
            <v>1</v>
          </cell>
          <cell r="K35">
            <v>50000</v>
          </cell>
          <cell r="L35">
            <v>1</v>
          </cell>
          <cell r="M35">
            <v>75000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U35">
            <v>125000</v>
          </cell>
          <cell r="Y35">
            <v>125000</v>
          </cell>
          <cell r="AJ35">
            <v>100000</v>
          </cell>
          <cell r="AM35">
            <v>2000</v>
          </cell>
          <cell r="AQ35">
            <v>0</v>
          </cell>
          <cell r="AR35">
            <v>0</v>
          </cell>
          <cell r="AS35">
            <v>25000</v>
          </cell>
          <cell r="AW35">
            <v>0</v>
          </cell>
          <cell r="AX35">
            <v>100000</v>
          </cell>
          <cell r="AY35">
            <v>0</v>
          </cell>
          <cell r="AZ35">
            <v>100000</v>
          </cell>
          <cell r="BC35">
            <v>0</v>
          </cell>
          <cell r="BD35">
            <v>100000</v>
          </cell>
          <cell r="BE35" t="str">
            <v>OK</v>
          </cell>
          <cell r="BF35">
            <v>0</v>
          </cell>
          <cell r="BG35">
            <v>9</v>
          </cell>
        </row>
        <row r="36">
          <cell r="A36" t="str">
            <v>AS201660</v>
          </cell>
          <cell r="B36" t="str">
            <v>TCHOUATEU AUGUSTIN</v>
          </cell>
          <cell r="C36">
            <v>0</v>
          </cell>
          <cell r="D36">
            <v>150000</v>
          </cell>
          <cell r="E36">
            <v>0</v>
          </cell>
          <cell r="F36">
            <v>0</v>
          </cell>
          <cell r="H36">
            <v>0</v>
          </cell>
          <cell r="I36" t="str">
            <v>BANQUE</v>
          </cell>
          <cell r="J36">
            <v>1</v>
          </cell>
          <cell r="K36">
            <v>50000</v>
          </cell>
          <cell r="M36">
            <v>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150000</v>
          </cell>
          <cell r="Y36">
            <v>150000</v>
          </cell>
          <cell r="AQ36">
            <v>0</v>
          </cell>
          <cell r="AR36">
            <v>0</v>
          </cell>
          <cell r="AS36">
            <v>25000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C36">
            <v>0</v>
          </cell>
          <cell r="BD36">
            <v>0</v>
          </cell>
          <cell r="BF36">
            <v>0</v>
          </cell>
          <cell r="BG36">
            <v>9</v>
          </cell>
          <cell r="BO36" t="str">
            <v>S/TOTAL</v>
          </cell>
          <cell r="BQ36">
            <v>300000</v>
          </cell>
        </row>
        <row r="37">
          <cell r="A37" t="str">
            <v>AS201643</v>
          </cell>
          <cell r="B37" t="str">
            <v>TCHOUTOU NANA CLAUDE</v>
          </cell>
          <cell r="C37">
            <v>0</v>
          </cell>
          <cell r="D37">
            <v>50000</v>
          </cell>
          <cell r="E37">
            <v>0</v>
          </cell>
          <cell r="F37">
            <v>0</v>
          </cell>
          <cell r="H37">
            <v>0</v>
          </cell>
          <cell r="I37" t="str">
            <v>BANQUE</v>
          </cell>
          <cell r="J37">
            <v>1</v>
          </cell>
          <cell r="K37">
            <v>50000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U37">
            <v>50000</v>
          </cell>
          <cell r="Y37">
            <v>50000</v>
          </cell>
          <cell r="AQ37">
            <v>0</v>
          </cell>
          <cell r="AR37">
            <v>0</v>
          </cell>
          <cell r="AS37">
            <v>25000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C37">
            <v>0</v>
          </cell>
          <cell r="BD37">
            <v>0</v>
          </cell>
          <cell r="BF37">
            <v>0</v>
          </cell>
          <cell r="BG37">
            <v>9</v>
          </cell>
          <cell r="BO37" t="str">
            <v>S/TOTAL</v>
          </cell>
          <cell r="BQ37">
            <v>400000</v>
          </cell>
        </row>
        <row r="38">
          <cell r="A38" t="str">
            <v>AS201662</v>
          </cell>
          <cell r="B38" t="str">
            <v>TIEYAM ERNEST</v>
          </cell>
          <cell r="C38">
            <v>0</v>
          </cell>
          <cell r="D38">
            <v>0</v>
          </cell>
          <cell r="E38">
            <v>50000</v>
          </cell>
          <cell r="F38">
            <v>0</v>
          </cell>
          <cell r="G38">
            <v>-3000</v>
          </cell>
          <cell r="H38">
            <v>3000</v>
          </cell>
          <cell r="I38" t="str">
            <v>ESPECES</v>
          </cell>
          <cell r="J38">
            <v>1</v>
          </cell>
          <cell r="K38">
            <v>50000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U38">
            <v>50000</v>
          </cell>
          <cell r="Y38">
            <v>50000</v>
          </cell>
          <cell r="AQ38">
            <v>0</v>
          </cell>
          <cell r="AR38">
            <v>0</v>
          </cell>
          <cell r="AS38">
            <v>22000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C38">
            <v>0</v>
          </cell>
          <cell r="BD38">
            <v>0</v>
          </cell>
          <cell r="BF38">
            <v>0</v>
          </cell>
          <cell r="BG38">
            <v>9</v>
          </cell>
        </row>
        <row r="39">
          <cell r="A39" t="str">
            <v>AS201658</v>
          </cell>
          <cell r="B39" t="str">
            <v>YANTCHOU GERVAIS</v>
          </cell>
          <cell r="C39">
            <v>0</v>
          </cell>
          <cell r="D39">
            <v>130000</v>
          </cell>
          <cell r="E39">
            <v>0</v>
          </cell>
          <cell r="F39">
            <v>0</v>
          </cell>
          <cell r="G39">
            <v>5000</v>
          </cell>
          <cell r="H39">
            <v>0</v>
          </cell>
          <cell r="I39" t="str">
            <v>BANQUE</v>
          </cell>
          <cell r="J39">
            <v>1</v>
          </cell>
          <cell r="K39">
            <v>50000</v>
          </cell>
          <cell r="L39">
            <v>1</v>
          </cell>
          <cell r="M39">
            <v>75000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U39">
            <v>130000</v>
          </cell>
          <cell r="Y39">
            <v>125000</v>
          </cell>
          <cell r="AQ39">
            <v>0</v>
          </cell>
          <cell r="AR39">
            <v>0</v>
          </cell>
          <cell r="AS39">
            <v>30000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C39">
            <v>0</v>
          </cell>
          <cell r="BD39">
            <v>0</v>
          </cell>
          <cell r="BF39">
            <v>0</v>
          </cell>
          <cell r="BG39">
            <v>9</v>
          </cell>
        </row>
        <row r="40">
          <cell r="A40" t="str">
            <v>AS201646</v>
          </cell>
          <cell r="B40" t="str">
            <v>YEPMOU JEAN JACQUES</v>
          </cell>
          <cell r="C40">
            <v>0</v>
          </cell>
          <cell r="D40">
            <v>50000</v>
          </cell>
          <cell r="E40">
            <v>0</v>
          </cell>
          <cell r="F40">
            <v>0</v>
          </cell>
          <cell r="H40">
            <v>0</v>
          </cell>
          <cell r="I40" t="str">
            <v>BANQUE</v>
          </cell>
          <cell r="J40">
            <v>1</v>
          </cell>
          <cell r="K40">
            <v>50000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U40">
            <v>50000</v>
          </cell>
          <cell r="Y40">
            <v>50000</v>
          </cell>
          <cell r="AQ40">
            <v>0</v>
          </cell>
          <cell r="AR40">
            <v>0</v>
          </cell>
          <cell r="AS40">
            <v>25000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C40">
            <v>0</v>
          </cell>
          <cell r="BD40">
            <v>0</v>
          </cell>
          <cell r="BF40">
            <v>0</v>
          </cell>
          <cell r="BG40">
            <v>9</v>
          </cell>
          <cell r="BO40" t="str">
            <v>COLLATION</v>
          </cell>
          <cell r="BP40" t="str">
            <v>COLLATION</v>
          </cell>
        </row>
        <row r="41">
          <cell r="A41" t="str">
            <v>AS201659</v>
          </cell>
          <cell r="B41" t="str">
            <v>YIALA ALAIN OSCAR</v>
          </cell>
          <cell r="C41">
            <v>0</v>
          </cell>
          <cell r="D41">
            <v>0</v>
          </cell>
          <cell r="E41">
            <v>253000</v>
          </cell>
          <cell r="F41">
            <v>0</v>
          </cell>
          <cell r="H41">
            <v>3000</v>
          </cell>
          <cell r="I41" t="str">
            <v>ESPECES</v>
          </cell>
          <cell r="J41">
            <v>1</v>
          </cell>
          <cell r="K41">
            <v>50000</v>
          </cell>
          <cell r="M41">
            <v>0</v>
          </cell>
          <cell r="N41">
            <v>2</v>
          </cell>
          <cell r="O41">
            <v>200000</v>
          </cell>
          <cell r="P41">
            <v>0</v>
          </cell>
          <cell r="Q41">
            <v>0</v>
          </cell>
          <cell r="R41">
            <v>0</v>
          </cell>
          <cell r="U41">
            <v>253000</v>
          </cell>
          <cell r="Y41">
            <v>250000</v>
          </cell>
          <cell r="AQ41">
            <v>0</v>
          </cell>
          <cell r="AR41">
            <v>0</v>
          </cell>
          <cell r="AS41">
            <v>25000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C41">
            <v>0</v>
          </cell>
          <cell r="BD41">
            <v>0</v>
          </cell>
          <cell r="BF41">
            <v>0</v>
          </cell>
          <cell r="BG41">
            <v>9</v>
          </cell>
          <cell r="BO41" t="str">
            <v>BOISSON</v>
          </cell>
          <cell r="BP41" t="str">
            <v>COLLATION</v>
          </cell>
        </row>
        <row r="42">
          <cell r="A42" t="str">
            <v>AS201647</v>
          </cell>
          <cell r="B42" t="str">
            <v>YOUMBI EMMANUEL</v>
          </cell>
          <cell r="C42">
            <v>0</v>
          </cell>
          <cell r="D42">
            <v>725000</v>
          </cell>
          <cell r="E42">
            <v>0</v>
          </cell>
          <cell r="F42">
            <v>0</v>
          </cell>
          <cell r="H42">
            <v>0</v>
          </cell>
          <cell r="I42" t="str">
            <v>BANQUE</v>
          </cell>
          <cell r="J42">
            <v>1</v>
          </cell>
          <cell r="K42">
            <v>50000</v>
          </cell>
          <cell r="L42">
            <v>1</v>
          </cell>
          <cell r="M42">
            <v>75000</v>
          </cell>
          <cell r="N42">
            <v>1</v>
          </cell>
          <cell r="O42">
            <v>100000</v>
          </cell>
          <cell r="P42">
            <v>0</v>
          </cell>
          <cell r="Q42">
            <v>0</v>
          </cell>
          <cell r="R42">
            <v>0</v>
          </cell>
          <cell r="S42">
            <v>500000</v>
          </cell>
          <cell r="T42" t="str">
            <v>BANQUE</v>
          </cell>
          <cell r="U42">
            <v>725000</v>
          </cell>
          <cell r="Y42">
            <v>225000</v>
          </cell>
          <cell r="AQ42">
            <v>0</v>
          </cell>
          <cell r="AR42">
            <v>0</v>
          </cell>
          <cell r="AS42">
            <v>25000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C42">
            <v>0</v>
          </cell>
          <cell r="BD42">
            <v>0</v>
          </cell>
          <cell r="BF42">
            <v>0</v>
          </cell>
          <cell r="BG42">
            <v>9</v>
          </cell>
        </row>
        <row r="44">
          <cell r="B44" t="str">
            <v>TOTAUX</v>
          </cell>
          <cell r="C44">
            <v>-4483500</v>
          </cell>
          <cell r="D44">
            <v>7358000</v>
          </cell>
          <cell r="E44">
            <v>636000</v>
          </cell>
          <cell r="F44">
            <v>0</v>
          </cell>
          <cell r="G44">
            <v>76500</v>
          </cell>
          <cell r="H44">
            <v>9000</v>
          </cell>
          <cell r="I44">
            <v>0</v>
          </cell>
          <cell r="J44">
            <v>35</v>
          </cell>
          <cell r="K44">
            <v>1750000</v>
          </cell>
          <cell r="L44">
            <v>13</v>
          </cell>
          <cell r="M44">
            <v>975000</v>
          </cell>
          <cell r="N44">
            <v>24</v>
          </cell>
          <cell r="O44">
            <v>2400000</v>
          </cell>
          <cell r="P44">
            <v>124000</v>
          </cell>
          <cell r="Q44">
            <v>208500</v>
          </cell>
          <cell r="R44">
            <v>719500</v>
          </cell>
          <cell r="S44">
            <v>6185000</v>
          </cell>
          <cell r="U44">
            <v>12447500</v>
          </cell>
          <cell r="V44">
            <v>0</v>
          </cell>
          <cell r="W44">
            <v>0</v>
          </cell>
          <cell r="X44">
            <v>0</v>
          </cell>
          <cell r="Y44">
            <v>5125000</v>
          </cell>
          <cell r="Z44">
            <v>4650000</v>
          </cell>
          <cell r="AA44">
            <v>0</v>
          </cell>
          <cell r="AC44">
            <v>21000</v>
          </cell>
          <cell r="AD44">
            <v>7500</v>
          </cell>
          <cell r="AE44">
            <v>65000</v>
          </cell>
          <cell r="AF44">
            <v>0</v>
          </cell>
          <cell r="AG44">
            <v>0</v>
          </cell>
          <cell r="AI44">
            <v>120000</v>
          </cell>
          <cell r="AJ44">
            <v>291125</v>
          </cell>
          <cell r="AK44">
            <v>905500</v>
          </cell>
          <cell r="AL44">
            <v>5000</v>
          </cell>
          <cell r="AM44">
            <v>6000</v>
          </cell>
          <cell r="AN44">
            <v>11000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951500</v>
          </cell>
          <cell r="AT44">
            <v>0</v>
          </cell>
          <cell r="AU44">
            <v>0</v>
          </cell>
          <cell r="AV44">
            <v>600000</v>
          </cell>
          <cell r="AW44">
            <v>999000</v>
          </cell>
          <cell r="AX44">
            <v>1183625</v>
          </cell>
          <cell r="AY44">
            <v>3240500</v>
          </cell>
          <cell r="AZ44">
            <v>10656625</v>
          </cell>
          <cell r="BA44">
            <v>636000</v>
          </cell>
          <cell r="BB44">
            <v>0</v>
          </cell>
          <cell r="BC44">
            <v>0</v>
          </cell>
          <cell r="BD44">
            <v>5183125</v>
          </cell>
          <cell r="BE44">
            <v>0</v>
          </cell>
          <cell r="BF44">
            <v>498500</v>
          </cell>
          <cell r="BH44">
            <v>52000</v>
          </cell>
          <cell r="BI44">
            <v>0</v>
          </cell>
          <cell r="BJ44">
            <v>300000</v>
          </cell>
          <cell r="BK44">
            <v>100000</v>
          </cell>
          <cell r="BL44">
            <v>0</v>
          </cell>
          <cell r="BM44">
            <v>0</v>
          </cell>
          <cell r="BO44" t="str">
            <v>S/TOTAL</v>
          </cell>
          <cell r="BQ44">
            <v>0</v>
          </cell>
        </row>
        <row r="46">
          <cell r="BA46">
            <v>636000</v>
          </cell>
          <cell r="BB46" t="str">
            <v>ESPECES EN CAISSE</v>
          </cell>
          <cell r="BE46" t="str">
            <v>CHEQUE TIRE</v>
          </cell>
        </row>
      </sheetData>
      <sheetData sheetId="8">
        <row r="6">
          <cell r="A6" t="str">
            <v>AS201648</v>
          </cell>
        </row>
      </sheetData>
      <sheetData sheetId="9">
        <row r="6">
          <cell r="A6" t="str">
            <v>AS201648</v>
          </cell>
        </row>
      </sheetData>
      <sheetData sheetId="10">
        <row r="6">
          <cell r="A6" t="str">
            <v>AS201648</v>
          </cell>
        </row>
      </sheetData>
      <sheetData sheetId="11">
        <row r="6">
          <cell r="A6" t="str">
            <v>AS201648</v>
          </cell>
        </row>
      </sheetData>
      <sheetData sheetId="12">
        <row r="6">
          <cell r="A6" t="str">
            <v>AS201648</v>
          </cell>
        </row>
      </sheetData>
      <sheetData sheetId="13">
        <row r="6">
          <cell r="A6" t="str">
            <v>AS201648</v>
          </cell>
        </row>
      </sheetData>
      <sheetData sheetId="14">
        <row r="6">
          <cell r="A6" t="str">
            <v>AS201648</v>
          </cell>
        </row>
      </sheetData>
      <sheetData sheetId="15">
        <row r="6">
          <cell r="A6" t="str">
            <v>AS201648</v>
          </cell>
        </row>
      </sheetData>
      <sheetData sheetId="16">
        <row r="6">
          <cell r="A6" t="str">
            <v>AS201648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"/>
  <sheetViews>
    <sheetView workbookViewId="0">
      <selection activeCell="A2" sqref="A2"/>
    </sheetView>
  </sheetViews>
  <sheetFormatPr baseColWidth="10" defaultColWidth="11" defaultRowHeight="14.5" x14ac:dyDescent="0.35"/>
  <sheetData>
    <row r="2" spans="1:1" x14ac:dyDescent="0.35">
      <c r="A2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workbookViewId="0">
      <selection activeCell="E7" sqref="E7"/>
    </sheetView>
  </sheetViews>
  <sheetFormatPr baseColWidth="10" defaultRowHeight="14.5" x14ac:dyDescent="0.35"/>
  <cols>
    <col min="1" max="1" width="19.1796875" bestFit="1" customWidth="1"/>
    <col min="2" max="2" width="19.1796875" customWidth="1"/>
    <col min="3" max="3" width="16.54296875" bestFit="1" customWidth="1"/>
    <col min="4" max="4" width="15" bestFit="1" customWidth="1"/>
    <col min="5" max="5" width="16.81640625" bestFit="1" customWidth="1"/>
    <col min="7" max="7" width="15" bestFit="1" customWidth="1"/>
    <col min="9" max="9" width="17.54296875" customWidth="1"/>
  </cols>
  <sheetData>
    <row r="1" spans="1:10" ht="26" x14ac:dyDescent="0.6">
      <c r="C1" s="48" t="s">
        <v>38</v>
      </c>
      <c r="D1" s="49"/>
      <c r="E1" s="49"/>
      <c r="H1" s="48" t="s">
        <v>57</v>
      </c>
      <c r="I1" s="49"/>
      <c r="J1" s="49"/>
    </row>
    <row r="2" spans="1:10" ht="15.5" x14ac:dyDescent="0.35">
      <c r="A2" s="6" t="s">
        <v>4</v>
      </c>
      <c r="B2" s="6"/>
      <c r="C2" s="50">
        <v>2021</v>
      </c>
      <c r="D2" s="49"/>
      <c r="E2" s="49"/>
      <c r="H2" s="50">
        <v>2021</v>
      </c>
      <c r="I2" s="49"/>
      <c r="J2" s="49"/>
    </row>
    <row r="3" spans="1:10" ht="15.5" x14ac:dyDescent="0.35">
      <c r="A3" s="6"/>
      <c r="B3" s="6"/>
      <c r="C3" s="6"/>
      <c r="D3" s="6"/>
      <c r="E3" s="6"/>
    </row>
    <row r="4" spans="1:10" ht="15.5" x14ac:dyDescent="0.35">
      <c r="A4" s="6" t="s">
        <v>39</v>
      </c>
      <c r="B4" s="6" t="s">
        <v>40</v>
      </c>
      <c r="C4" s="6" t="s">
        <v>41</v>
      </c>
      <c r="D4" s="6" t="s">
        <v>35</v>
      </c>
      <c r="E4" s="6" t="s">
        <v>37</v>
      </c>
      <c r="G4" s="6" t="s">
        <v>56</v>
      </c>
      <c r="H4" s="6" t="s">
        <v>35</v>
      </c>
      <c r="I4" s="6" t="s">
        <v>36</v>
      </c>
      <c r="J4" s="6" t="s">
        <v>37</v>
      </c>
    </row>
    <row r="5" spans="1:10" ht="17.5" x14ac:dyDescent="0.35">
      <c r="A5" s="6" t="s">
        <v>42</v>
      </c>
      <c r="E5" s="7">
        <f>14283661-6017000</f>
        <v>8266661</v>
      </c>
    </row>
    <row r="6" spans="1:10" ht="17.5" x14ac:dyDescent="0.35">
      <c r="A6" s="6" t="s">
        <v>43</v>
      </c>
      <c r="C6" s="5" t="e">
        <f>#REF!</f>
        <v>#REF!</v>
      </c>
      <c r="D6" s="4" t="e">
        <f>#REF!</f>
        <v>#REF!</v>
      </c>
      <c r="E6" s="7" t="e">
        <f>IF(D6=0,0,E5+D6-C6)</f>
        <v>#REF!</v>
      </c>
    </row>
    <row r="7" spans="1:10" ht="17.5" x14ac:dyDescent="0.35">
      <c r="A7" s="6" t="s">
        <v>44</v>
      </c>
      <c r="C7" s="5" t="e">
        <f>#REF!</f>
        <v>#REF!</v>
      </c>
      <c r="D7" s="4" t="e">
        <f>#REF!</f>
        <v>#REF!</v>
      </c>
      <c r="E7" s="7" t="e">
        <f>IF(D7=0,0,E6+D7-C7)</f>
        <v>#REF!</v>
      </c>
      <c r="G7" s="7"/>
    </row>
    <row r="8" spans="1:10" ht="17.5" x14ac:dyDescent="0.35">
      <c r="A8" s="6" t="s">
        <v>45</v>
      </c>
      <c r="C8" s="5" t="e">
        <f>#REF!</f>
        <v>#REF!</v>
      </c>
      <c r="D8" s="4" t="e">
        <f>#REF!</f>
        <v>#REF!</v>
      </c>
      <c r="E8" s="7" t="e">
        <f t="shared" ref="E8:E17" si="0">IF(D8=0,0,E7+D8-C8)</f>
        <v>#REF!</v>
      </c>
    </row>
    <row r="9" spans="1:10" ht="17.5" x14ac:dyDescent="0.35">
      <c r="A9" s="6" t="s">
        <v>46</v>
      </c>
      <c r="C9" s="5" t="e">
        <f>#REF!</f>
        <v>#REF!</v>
      </c>
      <c r="D9" s="4" t="e">
        <f>#REF!</f>
        <v>#REF!</v>
      </c>
      <c r="E9" s="7" t="e">
        <f t="shared" si="0"/>
        <v>#REF!</v>
      </c>
    </row>
    <row r="10" spans="1:10" ht="17.5" x14ac:dyDescent="0.35">
      <c r="A10" s="6" t="s">
        <v>47</v>
      </c>
      <c r="C10" s="5" t="e">
        <f>#REF!</f>
        <v>#REF!</v>
      </c>
      <c r="D10" s="4" t="e">
        <f>#REF!</f>
        <v>#REF!</v>
      </c>
      <c r="E10" s="7" t="e">
        <f t="shared" si="0"/>
        <v>#REF!</v>
      </c>
    </row>
    <row r="11" spans="1:10" ht="17.5" x14ac:dyDescent="0.35">
      <c r="A11" s="6" t="s">
        <v>48</v>
      </c>
      <c r="C11" s="5" t="e">
        <f>#REF!</f>
        <v>#REF!</v>
      </c>
      <c r="D11" s="4" t="e">
        <f>#REF!</f>
        <v>#REF!</v>
      </c>
      <c r="E11" s="7" t="e">
        <f t="shared" si="0"/>
        <v>#REF!</v>
      </c>
    </row>
    <row r="12" spans="1:10" ht="17.5" x14ac:dyDescent="0.35">
      <c r="A12" s="6" t="s">
        <v>49</v>
      </c>
      <c r="C12" s="5" t="e">
        <f>#REF!</f>
        <v>#REF!</v>
      </c>
      <c r="D12" s="4" t="e">
        <f>#REF!</f>
        <v>#REF!</v>
      </c>
      <c r="E12" s="7" t="e">
        <f t="shared" si="0"/>
        <v>#REF!</v>
      </c>
    </row>
    <row r="13" spans="1:10" ht="17.5" x14ac:dyDescent="0.35">
      <c r="A13" s="6" t="s">
        <v>50</v>
      </c>
      <c r="C13" s="5" t="e">
        <f>#REF!</f>
        <v>#REF!</v>
      </c>
      <c r="D13" s="4" t="e">
        <f>#REF!</f>
        <v>#REF!</v>
      </c>
      <c r="E13" s="7" t="e">
        <f t="shared" si="0"/>
        <v>#REF!</v>
      </c>
    </row>
    <row r="14" spans="1:10" ht="17.5" x14ac:dyDescent="0.35">
      <c r="A14" s="6" t="s">
        <v>51</v>
      </c>
      <c r="C14" s="5" t="e">
        <f>#REF!</f>
        <v>#REF!</v>
      </c>
      <c r="D14" s="4" t="e">
        <f>#REF!</f>
        <v>#REF!</v>
      </c>
      <c r="E14" s="7" t="e">
        <f t="shared" si="0"/>
        <v>#REF!</v>
      </c>
    </row>
    <row r="15" spans="1:10" ht="17.5" x14ac:dyDescent="0.35">
      <c r="A15" s="6" t="s">
        <v>52</v>
      </c>
      <c r="C15" s="5" t="e">
        <f>#REF!</f>
        <v>#REF!</v>
      </c>
      <c r="D15" s="4" t="e">
        <f>#REF!</f>
        <v>#REF!</v>
      </c>
      <c r="E15" s="7" t="e">
        <f t="shared" si="0"/>
        <v>#REF!</v>
      </c>
    </row>
    <row r="16" spans="1:10" ht="17.5" x14ac:dyDescent="0.35">
      <c r="A16" s="6" t="s">
        <v>53</v>
      </c>
      <c r="C16" s="5" t="e">
        <f>#REF!</f>
        <v>#REF!</v>
      </c>
      <c r="D16" s="4" t="e">
        <f>#REF!</f>
        <v>#REF!</v>
      </c>
      <c r="E16" s="7" t="e">
        <f t="shared" si="0"/>
        <v>#REF!</v>
      </c>
    </row>
    <row r="17" spans="1:5" ht="17.5" x14ac:dyDescent="0.35">
      <c r="A17" s="6" t="s">
        <v>54</v>
      </c>
      <c r="C17" s="5" t="e">
        <f>#REF!</f>
        <v>#REF!</v>
      </c>
      <c r="D17" s="4" t="e">
        <f>#REF!</f>
        <v>#REF!</v>
      </c>
      <c r="E17" s="7" t="e">
        <f t="shared" si="0"/>
        <v>#REF!</v>
      </c>
    </row>
    <row r="19" spans="1:5" x14ac:dyDescent="0.35">
      <c r="A19" t="s">
        <v>55</v>
      </c>
    </row>
  </sheetData>
  <mergeCells count="4">
    <mergeCell ref="C1:E1"/>
    <mergeCell ref="C2:E2"/>
    <mergeCell ref="H1:J1"/>
    <mergeCell ref="H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738BE-D237-4AFF-8ACF-1944A4E00D22}">
  <dimension ref="A1:H44"/>
  <sheetViews>
    <sheetView zoomScale="106" zoomScaleNormal="106" workbookViewId="0">
      <pane xSplit="3" ySplit="5" topLeftCell="D18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20" sqref="A20:B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6" width="17.54296875" customWidth="1"/>
    <col min="7" max="7" width="20.453125" customWidth="1"/>
  </cols>
  <sheetData>
    <row r="1" spans="1:8" ht="21" x14ac:dyDescent="0.5">
      <c r="A1" s="1" t="s">
        <v>2</v>
      </c>
      <c r="B1" s="1" t="s">
        <v>3</v>
      </c>
      <c r="C1" s="45">
        <v>45658</v>
      </c>
    </row>
    <row r="2" spans="1:8" x14ac:dyDescent="0.35">
      <c r="A2" s="1" t="s">
        <v>4</v>
      </c>
      <c r="B2" s="1">
        <v>2025</v>
      </c>
    </row>
    <row r="3" spans="1: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</row>
    <row r="4" spans="1:8" ht="28.5" x14ac:dyDescent="0.65">
      <c r="B4" s="51" t="s">
        <v>58</v>
      </c>
      <c r="C4" s="49"/>
      <c r="D4" s="49"/>
      <c r="E4" s="49"/>
      <c r="F4" s="38"/>
      <c r="G4" s="3"/>
    </row>
    <row r="5" spans="1:8" ht="68.25" customHeight="1" x14ac:dyDescent="0.35">
      <c r="A5" s="12" t="s">
        <v>0</v>
      </c>
      <c r="B5" s="12" t="s">
        <v>1</v>
      </c>
      <c r="C5" s="40" t="s">
        <v>91</v>
      </c>
      <c r="D5" s="40" t="s">
        <v>32</v>
      </c>
      <c r="E5" s="40" t="s">
        <v>92</v>
      </c>
      <c r="F5" s="40" t="s">
        <v>93</v>
      </c>
      <c r="G5" s="40" t="s">
        <v>31</v>
      </c>
      <c r="H5" s="41" t="s">
        <v>61</v>
      </c>
    </row>
    <row r="6" spans="1:8" ht="17.5" x14ac:dyDescent="0.35">
      <c r="A6" s="12" t="s">
        <v>60</v>
      </c>
      <c r="B6" s="12" t="str">
        <f>VLOOKUP(A6,[5]LISTADHERENT!$A$4:$J$44,3,0)</f>
        <v>ASELBY</v>
      </c>
      <c r="C6" s="25">
        <f>IF(G6&gt;0,VLOOKUP(A6,[6]HISTOJANV25!$A$6:$BQ$46,25,0),0)</f>
        <v>250000</v>
      </c>
      <c r="D6" s="13"/>
      <c r="E6" s="14">
        <v>250000</v>
      </c>
      <c r="F6" s="43"/>
      <c r="G6" s="15">
        <f>SUM(D6:F6)</f>
        <v>250000</v>
      </c>
      <c r="H6" s="15">
        <f>2385+2000+385</f>
        <v>4770</v>
      </c>
    </row>
    <row r="7" spans="1:8" ht="17.5" x14ac:dyDescent="0.35">
      <c r="A7" s="12" t="s">
        <v>66</v>
      </c>
      <c r="B7" s="12" t="str">
        <f>VLOOKUP(A7,[5]LISTADHERENT!$A$4:$J$44,3,0)</f>
        <v>BAKOP ACHILLE</v>
      </c>
      <c r="C7" s="25">
        <f>IF(G7&gt;0,VLOOKUP(A7,[6]HISTOJANV25!$A$6:$BQ$46,25,0),0)</f>
        <v>50000</v>
      </c>
      <c r="D7" s="13">
        <v>50000</v>
      </c>
      <c r="E7" s="14"/>
      <c r="F7" s="43"/>
      <c r="G7" s="15">
        <f>D7+E7+F7</f>
        <v>50000</v>
      </c>
      <c r="H7" s="17"/>
    </row>
    <row r="8" spans="1:8" ht="17.5" x14ac:dyDescent="0.35">
      <c r="A8" s="12" t="s">
        <v>6</v>
      </c>
      <c r="B8" s="12" t="str">
        <f>VLOOKUP(A8,[5]LISTADHERENT!$A$4:$J$44,3,0)</f>
        <v>BOUTCHOUANG WILLIAM</v>
      </c>
      <c r="C8" s="25">
        <f>IF(G8&gt;0,VLOOKUP(A8,[6]HISTOJANV25!$A$6:$BQ$46,25,0),0)</f>
        <v>125000</v>
      </c>
      <c r="D8" s="13"/>
      <c r="E8" s="14">
        <v>125000</v>
      </c>
      <c r="F8" s="43"/>
      <c r="G8" s="15">
        <f t="shared" ref="G8:G42" si="0">D8+E8+F8</f>
        <v>125000</v>
      </c>
      <c r="H8" s="17"/>
    </row>
    <row r="9" spans="1:8" ht="17.5" x14ac:dyDescent="0.35">
      <c r="A9" s="12" t="s">
        <v>7</v>
      </c>
      <c r="B9" s="12" t="str">
        <f>VLOOKUP(A9,[5]LISTADHERENT!$A$4:$J$44,3,0)</f>
        <v xml:space="preserve">DJOMO JEAN PAUL </v>
      </c>
      <c r="C9" s="25">
        <f>IF(G9&gt;0,VLOOKUP(A9,[6]HISTOJANV25!$A$6:$BQ$46,25,0),0)</f>
        <v>250000</v>
      </c>
      <c r="D9" s="13"/>
      <c r="E9" s="14">
        <v>250000</v>
      </c>
      <c r="F9" s="43"/>
      <c r="G9" s="15">
        <f t="shared" si="0"/>
        <v>250000</v>
      </c>
      <c r="H9" s="17"/>
    </row>
    <row r="10" spans="1:8" ht="17.5" x14ac:dyDescent="0.35">
      <c r="A10" s="12" t="s">
        <v>8</v>
      </c>
      <c r="B10" s="12" t="str">
        <f>VLOOKUP(A10,[5]LISTADHERENT!$A$4:$J$44,3,0)</f>
        <v>DJOMOU TCHAPDA</v>
      </c>
      <c r="C10" s="25">
        <f>IF(G10&gt;0,VLOOKUP(A10,[6]HISTOJANV25!$A$6:$BQ$46,25,0),0)</f>
        <v>50000</v>
      </c>
      <c r="D10" s="13">
        <v>50000</v>
      </c>
      <c r="E10" s="14"/>
      <c r="F10" s="43"/>
      <c r="G10" s="15">
        <f t="shared" si="0"/>
        <v>50000</v>
      </c>
      <c r="H10" s="17"/>
    </row>
    <row r="11" spans="1:8" ht="17.5" x14ac:dyDescent="0.35">
      <c r="A11" s="12" t="s">
        <v>9</v>
      </c>
      <c r="B11" s="12" t="str">
        <f>VLOOKUP(A11,[5]LISTADHERENT!$A$4:$J$44,3,0)</f>
        <v>DJOUKWE NANGUEN GUY BLAISE</v>
      </c>
      <c r="C11" s="25">
        <f>IF(G11&gt;0,VLOOKUP(A11,[6]HISTOJANV25!$A$6:$BQ$46,25,0),0)</f>
        <v>150000</v>
      </c>
      <c r="D11" s="13"/>
      <c r="E11" s="14">
        <v>150000</v>
      </c>
      <c r="F11" s="43"/>
      <c r="G11" s="15">
        <f t="shared" si="0"/>
        <v>150000</v>
      </c>
      <c r="H11" s="17"/>
    </row>
    <row r="12" spans="1:8" ht="17.5" x14ac:dyDescent="0.35">
      <c r="A12" s="12" t="s">
        <v>10</v>
      </c>
      <c r="B12" s="12" t="str">
        <f>VLOOKUP(A12,[5]LISTADHERENT!$A$4:$J$44,3,0)</f>
        <v>DJUOMBESSY ANTOINE</v>
      </c>
      <c r="C12" s="25">
        <f>IF(G12&gt;0,VLOOKUP(A12,[6]HISTOJANV25!$A$6:$BQ$46,25,0),0)</f>
        <v>250000</v>
      </c>
      <c r="D12" s="13"/>
      <c r="E12" s="14">
        <v>260000</v>
      </c>
      <c r="F12" s="43"/>
      <c r="G12" s="15">
        <f t="shared" si="0"/>
        <v>260000</v>
      </c>
      <c r="H12" s="17"/>
    </row>
    <row r="13" spans="1:8" ht="17.5" x14ac:dyDescent="0.35">
      <c r="A13" s="12" t="s">
        <v>11</v>
      </c>
      <c r="B13" s="12" t="str">
        <f>VLOOKUP(A13,[5]LISTADHERENT!$A$4:$J$44,3,0)</f>
        <v>DOMOU FABIEN</v>
      </c>
      <c r="C13" s="25">
        <f>IF(G13&gt;0,VLOOKUP(A13,[6]HISTOJANV25!$A$6:$BQ$46,25,0),0)</f>
        <v>50000</v>
      </c>
      <c r="D13" s="13"/>
      <c r="E13" s="14">
        <v>50000</v>
      </c>
      <c r="F13" s="43"/>
      <c r="G13" s="15">
        <f t="shared" si="0"/>
        <v>50000</v>
      </c>
      <c r="H13" s="17"/>
    </row>
    <row r="14" spans="1:8" ht="17.5" x14ac:dyDescent="0.35">
      <c r="A14" s="12" t="s">
        <v>12</v>
      </c>
      <c r="B14" s="12" t="str">
        <f>VLOOKUP(A14,[5]LISTADHERENT!$A$4:$J$44,3,0)</f>
        <v>DONHOU DAVID</v>
      </c>
      <c r="C14" s="25">
        <f>IF(G14&gt;0,VLOOKUP(A14,[6]HISTOJANV25!$A$6:$BQ$46,25,0),0)</f>
        <v>50000</v>
      </c>
      <c r="D14" s="13"/>
      <c r="E14" s="14">
        <v>50000</v>
      </c>
      <c r="F14" s="43"/>
      <c r="G14" s="15">
        <f t="shared" si="0"/>
        <v>50000</v>
      </c>
      <c r="H14" s="17"/>
    </row>
    <row r="15" spans="1:8" ht="17.5" x14ac:dyDescent="0.35">
      <c r="A15" s="12" t="s">
        <v>94</v>
      </c>
      <c r="B15" s="12" t="str">
        <f>VLOOKUP(A15,[5]LISTADHERENT!$A$4:$J$44,3,0)</f>
        <v>FAMPOU PAUL</v>
      </c>
      <c r="C15" s="25">
        <f>IF(G15&gt;0,VLOOKUP(A15,[6]HISTOJANV25!$A$6:$BQ$46,25,0),0)</f>
        <v>0</v>
      </c>
      <c r="D15" s="13"/>
      <c r="E15" s="14"/>
      <c r="F15" s="43"/>
      <c r="G15" s="15">
        <f t="shared" ref="G15" si="1">D15+E15+F15</f>
        <v>0</v>
      </c>
      <c r="H15" s="17"/>
    </row>
    <row r="16" spans="1:8" ht="17.5" x14ac:dyDescent="0.35">
      <c r="A16" s="12" t="s">
        <v>13</v>
      </c>
      <c r="B16" s="12" t="str">
        <f>VLOOKUP(A16,[5]LISTADHERENT!$A$4:$J$44,3,0)</f>
        <v>HENGUE PAUL OMER</v>
      </c>
      <c r="C16" s="25">
        <f>IF(G16&gt;0,VLOOKUP(A16,[6]HISTOJANV25!$A$6:$BQ$46,25,0),0)</f>
        <v>125000</v>
      </c>
      <c r="D16" s="13"/>
      <c r="E16" s="14">
        <v>125000</v>
      </c>
      <c r="F16" s="43"/>
      <c r="G16" s="15">
        <f t="shared" si="0"/>
        <v>125000</v>
      </c>
      <c r="H16" s="17"/>
    </row>
    <row r="17" spans="1:8" ht="17.5" x14ac:dyDescent="0.35">
      <c r="A17" s="12" t="s">
        <v>14</v>
      </c>
      <c r="B17" s="12" t="str">
        <f>VLOOKUP(A17,[5]LISTADHERENT!$A$4:$J$44,3,0)</f>
        <v>HOTCHO BENJAMIN</v>
      </c>
      <c r="C17" s="25">
        <f>IF(G17&gt;0,VLOOKUP(A17,[6]HISTOJANV25!$A$6:$BQ$46,25,0),0)</f>
        <v>225000</v>
      </c>
      <c r="D17" s="13">
        <v>25000</v>
      </c>
      <c r="E17" s="14">
        <v>250000</v>
      </c>
      <c r="F17" s="43"/>
      <c r="G17" s="15">
        <f t="shared" si="0"/>
        <v>275000</v>
      </c>
      <c r="H17" s="17"/>
    </row>
    <row r="18" spans="1:8" ht="17.5" x14ac:dyDescent="0.35">
      <c r="A18" s="12" t="s">
        <v>15</v>
      </c>
      <c r="B18" s="12" t="str">
        <f>VLOOKUP(A18,[5]LISTADHERENT!$A$4:$J$44,3,0)</f>
        <v>KOUAMOU MOISE</v>
      </c>
      <c r="C18" s="25">
        <f>IF(G18&gt;0,VLOOKUP(A18,[6]HISTOJANV25!$A$6:$BQ$46,25,0),0)</f>
        <v>150000</v>
      </c>
      <c r="D18" s="13"/>
      <c r="E18" s="14">
        <v>150000</v>
      </c>
      <c r="F18" s="43">
        <v>346500</v>
      </c>
      <c r="G18" s="15">
        <f t="shared" si="0"/>
        <v>496500</v>
      </c>
      <c r="H18" s="17"/>
    </row>
    <row r="19" spans="1:8" ht="17.5" x14ac:dyDescent="0.35">
      <c r="A19" s="12" t="s">
        <v>16</v>
      </c>
      <c r="B19" s="12" t="str">
        <f>VLOOKUP(A19,[5]LISTADHERENT!$A$4:$J$44,3,0)</f>
        <v>KOUATCHO MESSACK</v>
      </c>
      <c r="C19" s="25">
        <f>IF(G19&gt;0,VLOOKUP(A19,[6]HISTOJANV25!$A$6:$BQ$46,25,0),0)-75000</f>
        <v>150000</v>
      </c>
      <c r="D19" s="13"/>
      <c r="E19" s="14">
        <v>160000</v>
      </c>
      <c r="F19" s="43"/>
      <c r="G19" s="15">
        <f t="shared" si="0"/>
        <v>160000</v>
      </c>
      <c r="H19" s="17"/>
    </row>
    <row r="20" spans="1:8" ht="17.5" x14ac:dyDescent="0.35">
      <c r="A20" s="12" t="s">
        <v>129</v>
      </c>
      <c r="B20" s="12" t="str">
        <f>VLOOKUP(A20,[5]LISTADHERENT!$A$4:$J$44,3,0)</f>
        <v>LOWE JEAN</v>
      </c>
      <c r="C20" s="25"/>
      <c r="D20" s="13"/>
      <c r="E20" s="14"/>
      <c r="F20" s="43"/>
      <c r="G20" s="15"/>
      <c r="H20" s="17"/>
    </row>
    <row r="21" spans="1:8" ht="17.5" x14ac:dyDescent="0.35">
      <c r="A21" s="12" t="s">
        <v>82</v>
      </c>
      <c r="B21" s="12" t="str">
        <f>VLOOKUP(A21,[5]LISTADHERENT!$A$4:$J$44,3,0)</f>
        <v>MASSEUNGOUE DAGOBERT</v>
      </c>
      <c r="C21" s="25">
        <f>IF(G21&gt;0,VLOOKUP(A21,[6]HISTOJANV25!$A$6:$BQ$46,25,0),0)</f>
        <v>50000</v>
      </c>
      <c r="D21" s="13"/>
      <c r="E21" s="14">
        <v>650000</v>
      </c>
      <c r="F21" s="43"/>
      <c r="G21" s="15">
        <f t="shared" si="0"/>
        <v>650000</v>
      </c>
      <c r="H21" s="17"/>
    </row>
    <row r="22" spans="1:8" ht="17.5" x14ac:dyDescent="0.35">
      <c r="A22" s="12" t="s">
        <v>17</v>
      </c>
      <c r="B22" s="12" t="str">
        <f>VLOOKUP(A22,[5]LISTADHERENT!$A$4:$J$44,3,0)</f>
        <v>MBOGNING TUGMA GUY</v>
      </c>
      <c r="C22" s="25">
        <f>IF(G22&gt;0,VLOOKUP(A22,[6]HISTOJANV25!$A$6:$BQ$46,25,0),0)</f>
        <v>325000</v>
      </c>
      <c r="D22" s="13"/>
      <c r="E22" s="14">
        <v>325000</v>
      </c>
      <c r="F22" s="43"/>
      <c r="G22" s="15">
        <f t="shared" si="0"/>
        <v>325000</v>
      </c>
      <c r="H22" s="17"/>
    </row>
    <row r="23" spans="1:8" ht="17.5" x14ac:dyDescent="0.35">
      <c r="A23" s="12" t="s">
        <v>18</v>
      </c>
      <c r="B23" s="12" t="str">
        <f>VLOOKUP(A23,[5]LISTADHERENT!$A$4:$J$44,3,0)</f>
        <v>NANGUEN MARTIN</v>
      </c>
      <c r="C23" s="25">
        <f>IF(G23&gt;0,VLOOKUP(A23,[6]HISTOJANV25!$A$6:$BQ$46,25,0),0)</f>
        <v>50000</v>
      </c>
      <c r="D23" s="13"/>
      <c r="E23" s="14">
        <v>50000</v>
      </c>
      <c r="F23" s="43"/>
      <c r="G23" s="15">
        <f t="shared" si="0"/>
        <v>50000</v>
      </c>
      <c r="H23" s="17"/>
    </row>
    <row r="24" spans="1:8" ht="17.5" x14ac:dyDescent="0.35">
      <c r="A24" s="12" t="s">
        <v>19</v>
      </c>
      <c r="B24" s="12" t="str">
        <f>VLOOKUP(A24,[5]LISTADHERENT!$A$4:$J$44,3,0)</f>
        <v>NANKAM APPOLINAIRE</v>
      </c>
      <c r="C24" s="25">
        <f>IF(G24&gt;0,VLOOKUP(A24,[6]HISTOJANV25!$A$6:$BQ$46,25,0),0)</f>
        <v>125000</v>
      </c>
      <c r="D24" s="13"/>
      <c r="E24" s="14">
        <v>125000</v>
      </c>
      <c r="F24" s="43"/>
      <c r="G24" s="15">
        <f t="shared" si="0"/>
        <v>125000</v>
      </c>
      <c r="H24" s="17"/>
    </row>
    <row r="25" spans="1:8" ht="17.5" x14ac:dyDescent="0.35">
      <c r="A25" s="12" t="s">
        <v>20</v>
      </c>
      <c r="B25" s="12" t="str">
        <f>VLOOKUP(A25,[5]LISTADHERENT!$A$4:$J$44,3,0)</f>
        <v>NDJOMO ETIENNE</v>
      </c>
      <c r="C25" s="25">
        <f>IF(G25&gt;0,VLOOKUP(A25,[6]HISTOJANV25!$A$6:$BQ$46,25,0),0)</f>
        <v>250000</v>
      </c>
      <c r="D25" s="13"/>
      <c r="E25" s="14">
        <v>260000</v>
      </c>
      <c r="F25" s="43"/>
      <c r="G25" s="15">
        <f t="shared" si="0"/>
        <v>260000</v>
      </c>
      <c r="H25" s="17"/>
    </row>
    <row r="26" spans="1:8" ht="17.5" x14ac:dyDescent="0.35">
      <c r="A26" s="12" t="s">
        <v>21</v>
      </c>
      <c r="B26" s="12" t="str">
        <f>VLOOKUP(A26,[5]LISTADHERENT!$A$4:$J$44,3,0)</f>
        <v>NGONDIEP CLAUDE</v>
      </c>
      <c r="C26" s="25">
        <f>IF(G26&gt;0,VLOOKUP(A26,[6]HISTOJANV25!$A$6:$BQ$46,25,0),0)</f>
        <v>225000</v>
      </c>
      <c r="D26" s="13"/>
      <c r="E26" s="14">
        <v>240000</v>
      </c>
      <c r="F26" s="43"/>
      <c r="G26" s="15">
        <f t="shared" si="0"/>
        <v>240000</v>
      </c>
      <c r="H26" s="17"/>
    </row>
    <row r="27" spans="1:8" ht="17.5" x14ac:dyDescent="0.35">
      <c r="A27" s="12" t="s">
        <v>22</v>
      </c>
      <c r="B27" s="12" t="str">
        <f>VLOOKUP(A27,[5]LISTADHERENT!$A$4:$J$44,3,0)</f>
        <v>NGUIEMEGNI MATHIEU BLAISE</v>
      </c>
      <c r="C27" s="25">
        <f>IF(G27&gt;0,VLOOKUP(A27,[6]HISTOJANV25!$A$6:$BQ$46,25,0),0)</f>
        <v>250000</v>
      </c>
      <c r="D27" s="13">
        <v>25000</v>
      </c>
      <c r="E27" s="14">
        <v>225000</v>
      </c>
      <c r="F27" s="43"/>
      <c r="G27" s="15">
        <f t="shared" si="0"/>
        <v>250000</v>
      </c>
      <c r="H27" s="17"/>
    </row>
    <row r="28" spans="1:8" ht="17.5" x14ac:dyDescent="0.35">
      <c r="A28" s="12" t="s">
        <v>23</v>
      </c>
      <c r="B28" s="12" t="str">
        <f>VLOOKUP(A28,[5]LISTADHERENT!$A$4:$J$44,3,0)</f>
        <v>NKAMGANG JUSTIN DEJOLIE</v>
      </c>
      <c r="C28" s="25">
        <f>IF(G28&gt;0,VLOOKUP(A28,[6]HISTOJANV25!$A$6:$BQ$46,25,0),0)</f>
        <v>50000</v>
      </c>
      <c r="D28" s="13"/>
      <c r="E28" s="14">
        <v>50000</v>
      </c>
      <c r="F28" s="43"/>
      <c r="G28" s="15">
        <f t="shared" si="0"/>
        <v>50000</v>
      </c>
      <c r="H28" s="17"/>
    </row>
    <row r="29" spans="1:8" ht="17.5" x14ac:dyDescent="0.35">
      <c r="A29" s="12" t="s">
        <v>63</v>
      </c>
      <c r="B29" s="12" t="str">
        <f>VLOOKUP(A29,[5]LISTADHERENT!$A$4:$J$44,3,0)</f>
        <v>NOUBE ETIENNE</v>
      </c>
      <c r="C29" s="25">
        <f>IF(G29&gt;0,VLOOKUP(A29,[6]HISTOJANV25!$A$6:$BQ$46,25,0),0)</f>
        <v>50000</v>
      </c>
      <c r="D29" s="13"/>
      <c r="E29" s="14">
        <v>50000</v>
      </c>
      <c r="F29" s="43"/>
      <c r="G29" s="15">
        <f t="shared" si="0"/>
        <v>50000</v>
      </c>
      <c r="H29" s="17"/>
    </row>
    <row r="30" spans="1:8" ht="17.5" x14ac:dyDescent="0.35">
      <c r="A30" s="12" t="s">
        <v>24</v>
      </c>
      <c r="B30" s="12" t="str">
        <f>VLOOKUP(A30,[5]LISTADHERENT!$A$4:$J$44,3,0)</f>
        <v>PATEGO NJOSSU GUSTAVE</v>
      </c>
      <c r="C30" s="25">
        <f>IF(G30&gt;0,VLOOKUP(A30,[6]HISTOJANV25!$A$6:$BQ$46,25,0),0)</f>
        <v>125000</v>
      </c>
      <c r="D30" s="13"/>
      <c r="E30" s="14">
        <v>125000</v>
      </c>
      <c r="F30" s="43"/>
      <c r="G30" s="15">
        <f t="shared" si="0"/>
        <v>125000</v>
      </c>
      <c r="H30" s="17"/>
    </row>
    <row r="31" spans="1:8" ht="17.5" x14ac:dyDescent="0.35">
      <c r="A31" s="12" t="s">
        <v>64</v>
      </c>
      <c r="B31" s="12" t="str">
        <f>VLOOKUP(A31,[5]LISTADHERENT!$A$4:$J$44,3,0)</f>
        <v>SEUMO POLYCARPE</v>
      </c>
      <c r="C31" s="25">
        <f>IF(G31&gt;0,VLOOKUP(A31,[6]HISTOJANV25!$A$6:$BQ$46,25,0),0)</f>
        <v>50000</v>
      </c>
      <c r="D31" s="13"/>
      <c r="E31" s="14">
        <v>50000</v>
      </c>
      <c r="F31" s="43"/>
      <c r="G31" s="15">
        <f t="shared" si="0"/>
        <v>50000</v>
      </c>
      <c r="H31" s="17"/>
    </row>
    <row r="32" spans="1:8" ht="17.5" x14ac:dyDescent="0.35">
      <c r="A32" s="12" t="s">
        <v>25</v>
      </c>
      <c r="B32" s="12" t="str">
        <f>VLOOKUP(A32,[5]LISTADHERENT!$A$4:$J$44,3,0)</f>
        <v>SIME BRICE</v>
      </c>
      <c r="C32" s="25">
        <f>IF(G32&gt;0,VLOOKUP(A32,[6]HISTOJANV25!$A$6:$BQ$46,25,0),0)</f>
        <v>250000</v>
      </c>
      <c r="D32" s="13"/>
      <c r="E32" s="14">
        <v>250000</v>
      </c>
      <c r="F32" s="43"/>
      <c r="G32" s="15">
        <f t="shared" si="0"/>
        <v>250000</v>
      </c>
      <c r="H32" s="17"/>
    </row>
    <row r="33" spans="1:8" ht="17.5" x14ac:dyDescent="0.35">
      <c r="A33" s="12" t="s">
        <v>89</v>
      </c>
      <c r="B33" s="12" t="str">
        <f>VLOOKUP(A33,[5]LISTADHERENT!$A$4:$J$44,3,0)</f>
        <v>SIMO FONGANG ERIC</v>
      </c>
      <c r="C33" s="25">
        <f>IF(G33&gt;0,VLOOKUP(A33,[6]HISTOJANV25!$A$6:$BQ$46,25,0),0)</f>
        <v>50000</v>
      </c>
      <c r="D33" s="13"/>
      <c r="E33" s="14">
        <v>50000</v>
      </c>
      <c r="F33" s="43"/>
      <c r="G33" s="15">
        <f t="shared" si="0"/>
        <v>50000</v>
      </c>
      <c r="H33" s="17"/>
    </row>
    <row r="34" spans="1:8" ht="17.5" x14ac:dyDescent="0.35">
      <c r="A34" s="12" t="s">
        <v>26</v>
      </c>
      <c r="B34" s="12" t="str">
        <f>VLOOKUP(A34,[5]LISTADHERENT!$A$4:$J$44,3,0)</f>
        <v>SIMO PIERRE</v>
      </c>
      <c r="C34" s="25">
        <f>IF(G34&gt;0,VLOOKUP(A34,[6]HISTOJANV25!$A$6:$BQ$46,25,0),0)</f>
        <v>150000</v>
      </c>
      <c r="D34" s="13"/>
      <c r="E34" s="14">
        <f>100000+50000</f>
        <v>150000</v>
      </c>
      <c r="F34" s="43"/>
      <c r="G34" s="15">
        <f t="shared" si="0"/>
        <v>150000</v>
      </c>
      <c r="H34" s="17"/>
    </row>
    <row r="35" spans="1:8" ht="17.5" x14ac:dyDescent="0.35">
      <c r="A35" s="12" t="s">
        <v>27</v>
      </c>
      <c r="B35" s="12" t="str">
        <f>VLOOKUP(A35,[5]LISTADHERENT!$A$4:$J$44,3,0)</f>
        <v>TCHOUAMOU MATHIEU</v>
      </c>
      <c r="C35" s="25">
        <f>IF(G35&gt;0,VLOOKUP(A35,[6]HISTOJANV25!$A$6:$BQ$46,25,0),0)</f>
        <v>125000</v>
      </c>
      <c r="D35" s="13"/>
      <c r="E35" s="14">
        <v>125000</v>
      </c>
      <c r="F35" s="43"/>
      <c r="G35" s="15">
        <f t="shared" si="0"/>
        <v>125000</v>
      </c>
      <c r="H35" s="17"/>
    </row>
    <row r="36" spans="1:8" ht="17.5" x14ac:dyDescent="0.35">
      <c r="A36" s="12" t="s">
        <v>81</v>
      </c>
      <c r="B36" s="12" t="str">
        <f>VLOOKUP(A36,[5]LISTADHERENT!$A$4:$J$44,3,0)</f>
        <v>TCHOUATEU AUGUSTIN</v>
      </c>
      <c r="C36" s="25">
        <f>IF(G36&gt;0,VLOOKUP(A36,[6]HISTOJANV25!$A$6:$BQ$46,25,0),0)</f>
        <v>150000</v>
      </c>
      <c r="D36" s="13"/>
      <c r="E36" s="14">
        <v>150000</v>
      </c>
      <c r="F36" s="43"/>
      <c r="G36" s="15">
        <f t="shared" si="0"/>
        <v>150000</v>
      </c>
      <c r="H36" s="17"/>
    </row>
    <row r="37" spans="1:8" ht="17.5" x14ac:dyDescent="0.35">
      <c r="A37" s="12" t="s">
        <v>62</v>
      </c>
      <c r="B37" s="12" t="str">
        <f>VLOOKUP(A37,[5]LISTADHERENT!$A$4:$J$44,3,0)</f>
        <v>TCHOUTOU NANA CLAUDE</v>
      </c>
      <c r="C37" s="25">
        <f>IF(G37&gt;0,VLOOKUP(A37,[6]HISTOJANV25!$A$6:$BQ$46,25,0),0)</f>
        <v>50000</v>
      </c>
      <c r="D37" s="13"/>
      <c r="E37" s="14">
        <v>50000</v>
      </c>
      <c r="F37" s="43"/>
      <c r="G37" s="15">
        <f t="shared" si="0"/>
        <v>50000</v>
      </c>
      <c r="H37" s="17"/>
    </row>
    <row r="38" spans="1:8" ht="17.5" x14ac:dyDescent="0.35">
      <c r="A38" s="12" t="s">
        <v>90</v>
      </c>
      <c r="B38" s="12" t="str">
        <f>VLOOKUP(A38,[5]LISTADHERENT!$A$4:$J$44,3,0)</f>
        <v>TIEYAM ERNEST</v>
      </c>
      <c r="C38" s="25">
        <f>IF(G38&gt;0,VLOOKUP(A38,[6]HISTOJANV25!$A$6:$BQ$46,25,0),0)</f>
        <v>50000</v>
      </c>
      <c r="D38" s="13">
        <v>50000</v>
      </c>
      <c r="E38" s="14"/>
      <c r="F38" s="43"/>
      <c r="G38" s="15">
        <f t="shared" si="0"/>
        <v>50000</v>
      </c>
      <c r="H38" s="17"/>
    </row>
    <row r="39" spans="1:8" ht="17.5" x14ac:dyDescent="0.35">
      <c r="A39" s="12" t="s">
        <v>65</v>
      </c>
      <c r="B39" s="12" t="str">
        <f>VLOOKUP(A39,[5]LISTADHERENT!$A$4:$J$44,3,0)</f>
        <v>YANTCHOU GERVAIS</v>
      </c>
      <c r="C39" s="25">
        <f>IF(G39&gt;0,VLOOKUP(A39,[6]HISTOJANV25!$A$6:$BQ$46,25,0),0)</f>
        <v>125000</v>
      </c>
      <c r="D39" s="13">
        <v>25000</v>
      </c>
      <c r="E39" s="14">
        <v>100000</v>
      </c>
      <c r="F39" s="43"/>
      <c r="G39" s="15">
        <f t="shared" si="0"/>
        <v>125000</v>
      </c>
      <c r="H39" s="17"/>
    </row>
    <row r="40" spans="1:8" ht="17.5" x14ac:dyDescent="0.35">
      <c r="A40" s="12" t="s">
        <v>28</v>
      </c>
      <c r="B40" s="12" t="str">
        <f>VLOOKUP(A40,[5]LISTADHERENT!$A$4:$J$44,3,0)</f>
        <v>YEPMOU JEAN JACQUES</v>
      </c>
      <c r="C40" s="25">
        <f>IF(G40&gt;0,VLOOKUP(A40,[6]HISTOJANV25!$A$6:$BQ$46,25,0),0)</f>
        <v>50000</v>
      </c>
      <c r="D40" s="13">
        <v>50000</v>
      </c>
      <c r="E40" s="14"/>
      <c r="F40" s="43"/>
      <c r="G40" s="15">
        <f t="shared" si="0"/>
        <v>50000</v>
      </c>
      <c r="H40" s="17"/>
    </row>
    <row r="41" spans="1:8" ht="17.5" x14ac:dyDescent="0.35">
      <c r="A41" s="12" t="s">
        <v>80</v>
      </c>
      <c r="B41" s="12" t="str">
        <f>VLOOKUP(A41,[5]LISTADHERENT!$A$4:$J$44,3,0)</f>
        <v>YIALA ALAIN OSCAR</v>
      </c>
      <c r="C41" s="25">
        <f>IF(G41&gt;0,VLOOKUP(A41,[6]HISTOJANV25!$A$6:$BQ$46,25,0),0)</f>
        <v>250000</v>
      </c>
      <c r="D41" s="13"/>
      <c r="E41" s="14">
        <v>250000</v>
      </c>
      <c r="F41" s="43"/>
      <c r="G41" s="15">
        <f t="shared" si="0"/>
        <v>250000</v>
      </c>
      <c r="H41" s="17"/>
    </row>
    <row r="42" spans="1:8" ht="17.5" x14ac:dyDescent="0.35">
      <c r="A42" s="12" t="s">
        <v>29</v>
      </c>
      <c r="B42" s="12" t="str">
        <f>VLOOKUP(A42,[5]LISTADHERENT!$A$4:$J$44,3,0)</f>
        <v>YOUMBI EMMANUEL</v>
      </c>
      <c r="C42" s="25">
        <f>IF(G42&gt;0,VLOOKUP(A42,[6]HISTOJANV25!$A$6:$BQ$46,25,0),0)</f>
        <v>225000</v>
      </c>
      <c r="D42" s="13"/>
      <c r="E42" s="14">
        <v>225000</v>
      </c>
      <c r="F42" s="43"/>
      <c r="G42" s="15">
        <f t="shared" si="0"/>
        <v>225000</v>
      </c>
      <c r="H42" s="17"/>
    </row>
    <row r="43" spans="1:8" x14ac:dyDescent="0.35">
      <c r="A43" s="17"/>
      <c r="B43" s="17"/>
      <c r="C43" s="17"/>
      <c r="D43" s="17"/>
      <c r="E43" s="17"/>
      <c r="F43" s="17"/>
      <c r="G43" s="17"/>
      <c r="H43" s="17"/>
    </row>
    <row r="44" spans="1:8" ht="17.5" x14ac:dyDescent="0.35">
      <c r="A44" s="17"/>
      <c r="B44" s="12" t="s">
        <v>30</v>
      </c>
      <c r="C44" s="42">
        <f>SUM(C6:C42)</f>
        <v>4900000</v>
      </c>
      <c r="D44" s="42">
        <f t="shared" ref="D44:H44" si="2">SUM(D6:D42)</f>
        <v>275000</v>
      </c>
      <c r="E44" s="42">
        <f t="shared" si="2"/>
        <v>5320000</v>
      </c>
      <c r="F44" s="42">
        <f t="shared" si="2"/>
        <v>346500</v>
      </c>
      <c r="G44" s="42">
        <f t="shared" si="2"/>
        <v>5941500</v>
      </c>
      <c r="H44" s="42">
        <f t="shared" si="2"/>
        <v>4770</v>
      </c>
    </row>
  </sheetData>
  <autoFilter ref="A5:G42" xr:uid="{00000000-0009-0000-0000-000002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FBDD-6910-48CB-B188-65431C40CC4D}">
  <dimension ref="A1:H44"/>
  <sheetViews>
    <sheetView zoomScale="106" zoomScaleNormal="106" workbookViewId="0">
      <pane xSplit="3" ySplit="5" topLeftCell="D18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20" sqref="A20:B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6" width="17.54296875" customWidth="1"/>
    <col min="7" max="7" width="20.453125" customWidth="1"/>
  </cols>
  <sheetData>
    <row r="1" spans="1:8" ht="21" x14ac:dyDescent="0.5">
      <c r="A1" s="1" t="s">
        <v>2</v>
      </c>
      <c r="B1" s="1" t="s">
        <v>3</v>
      </c>
      <c r="C1" s="45">
        <v>45689</v>
      </c>
    </row>
    <row r="2" spans="1:8" x14ac:dyDescent="0.35">
      <c r="A2" s="1" t="s">
        <v>4</v>
      </c>
      <c r="B2" s="1">
        <v>2025</v>
      </c>
    </row>
    <row r="3" spans="1: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</row>
    <row r="4" spans="1:8" ht="28.5" x14ac:dyDescent="0.65">
      <c r="B4" s="51" t="s">
        <v>58</v>
      </c>
      <c r="C4" s="49"/>
      <c r="D4" s="49"/>
      <c r="E4" s="49"/>
      <c r="F4" s="39"/>
      <c r="G4" s="3"/>
    </row>
    <row r="5" spans="1:8" ht="68.25" customHeight="1" x14ac:dyDescent="0.35">
      <c r="A5" s="12" t="s">
        <v>0</v>
      </c>
      <c r="B5" s="12" t="s">
        <v>1</v>
      </c>
      <c r="C5" s="40" t="s">
        <v>91</v>
      </c>
      <c r="D5" s="40" t="s">
        <v>32</v>
      </c>
      <c r="E5" s="40" t="s">
        <v>92</v>
      </c>
      <c r="F5" s="40" t="s">
        <v>93</v>
      </c>
      <c r="G5" s="40" t="s">
        <v>31</v>
      </c>
      <c r="H5" s="41" t="s">
        <v>61</v>
      </c>
    </row>
    <row r="6" spans="1:8" ht="17.5" x14ac:dyDescent="0.35">
      <c r="A6" s="12" t="s">
        <v>60</v>
      </c>
      <c r="B6" s="12" t="str">
        <f>VLOOKUP(A6,[5]LISTADHERENT!$A$4:$J$44,3,0)</f>
        <v>ASELBY</v>
      </c>
      <c r="C6" s="25">
        <f>IF(G6&gt;0,VLOOKUP(A6,[6]HISTOJANV25!$A$6:$BQ$46,25,0),0)</f>
        <v>250000</v>
      </c>
      <c r="D6" s="13"/>
      <c r="E6" s="14">
        <v>250000</v>
      </c>
      <c r="F6" s="43"/>
      <c r="G6" s="15">
        <f>SUM(D6:F6)</f>
        <v>250000</v>
      </c>
      <c r="H6" s="15">
        <v>1191</v>
      </c>
    </row>
    <row r="7" spans="1:8" ht="17.5" x14ac:dyDescent="0.35">
      <c r="A7" s="12" t="s">
        <v>66</v>
      </c>
      <c r="B7" s="12" t="str">
        <f>VLOOKUP(A7,[5]LISTADHERENT!$A$4:$J$44,3,0)</f>
        <v>BAKOP ACHILLE</v>
      </c>
      <c r="C7" s="25">
        <f>IF(G7&gt;0,VLOOKUP(A7,[6]HISTOJANV25!$A$6:$BQ$46,25,0),0)</f>
        <v>50000</v>
      </c>
      <c r="D7" s="13">
        <v>50000</v>
      </c>
      <c r="E7" s="14"/>
      <c r="F7" s="43"/>
      <c r="G7" s="15">
        <f>D7+E7+F7</f>
        <v>50000</v>
      </c>
      <c r="H7" s="17"/>
    </row>
    <row r="8" spans="1:8" ht="17.5" x14ac:dyDescent="0.35">
      <c r="A8" s="12" t="s">
        <v>6</v>
      </c>
      <c r="B8" s="12" t="str">
        <f>VLOOKUP(A8,[5]LISTADHERENT!$A$4:$J$44,3,0)</f>
        <v>BOUTCHOUANG WILLIAM</v>
      </c>
      <c r="C8" s="25">
        <f>IF(G8&gt;0,VLOOKUP(A8,[6]HISTOJANV25!$A$6:$BQ$46,25,0),0)</f>
        <v>125000</v>
      </c>
      <c r="D8" s="13"/>
      <c r="E8" s="14">
        <v>125000</v>
      </c>
      <c r="F8" s="43"/>
      <c r="G8" s="15">
        <f t="shared" ref="G8:G42" si="0">D8+E8+F8</f>
        <v>125000</v>
      </c>
      <c r="H8" s="17"/>
    </row>
    <row r="9" spans="1:8" ht="17.5" x14ac:dyDescent="0.35">
      <c r="A9" s="12" t="s">
        <v>7</v>
      </c>
      <c r="B9" s="12" t="str">
        <f>VLOOKUP(A9,[5]LISTADHERENT!$A$4:$J$44,3,0)</f>
        <v xml:space="preserve">DJOMO JEAN PAUL </v>
      </c>
      <c r="C9" s="25">
        <f>IF(G9&gt;0,VLOOKUP(A9,[6]HISTOJANV25!$A$6:$BQ$46,25,0),0)</f>
        <v>250000</v>
      </c>
      <c r="D9" s="13"/>
      <c r="E9" s="14">
        <f>100000+150000</f>
        <v>250000</v>
      </c>
      <c r="F9" s="43"/>
      <c r="G9" s="15">
        <f t="shared" si="0"/>
        <v>250000</v>
      </c>
      <c r="H9" s="17"/>
    </row>
    <row r="10" spans="1:8" ht="17.5" x14ac:dyDescent="0.35">
      <c r="A10" s="12" t="s">
        <v>8</v>
      </c>
      <c r="B10" s="12" t="str">
        <f>VLOOKUP(A10,[5]LISTADHERENT!$A$4:$J$44,3,0)</f>
        <v>DJOMOU TCHAPDA</v>
      </c>
      <c r="C10" s="25">
        <f>IF(G10&gt;0,VLOOKUP(A10,[6]HISTOJANV25!$A$6:$BQ$46,25,0),0)</f>
        <v>50000</v>
      </c>
      <c r="D10" s="13"/>
      <c r="E10" s="14">
        <v>50000</v>
      </c>
      <c r="F10" s="43"/>
      <c r="G10" s="15">
        <f t="shared" si="0"/>
        <v>50000</v>
      </c>
      <c r="H10" s="17"/>
    </row>
    <row r="11" spans="1:8" ht="17.5" x14ac:dyDescent="0.35">
      <c r="A11" s="12" t="s">
        <v>9</v>
      </c>
      <c r="B11" s="12" t="str">
        <f>VLOOKUP(A11,[5]LISTADHERENT!$A$4:$J$44,3,0)</f>
        <v>DJOUKWE NANGUEN GUY BLAISE</v>
      </c>
      <c r="C11" s="25">
        <f>IF(G11&gt;0,VLOOKUP(A11,[6]HISTOJANV25!$A$6:$BQ$46,25,0),0)</f>
        <v>150000</v>
      </c>
      <c r="D11" s="13"/>
      <c r="E11" s="14">
        <f>226000-76000+375</f>
        <v>150375</v>
      </c>
      <c r="F11" s="43"/>
      <c r="G11" s="15">
        <f t="shared" si="0"/>
        <v>150375</v>
      </c>
      <c r="H11" s="17"/>
    </row>
    <row r="12" spans="1:8" ht="17.5" x14ac:dyDescent="0.35">
      <c r="A12" s="12" t="s">
        <v>10</v>
      </c>
      <c r="B12" s="12" t="str">
        <f>VLOOKUP(A12,[5]LISTADHERENT!$A$4:$J$44,3,0)</f>
        <v>DJUOMBESSY ANTOINE</v>
      </c>
      <c r="C12" s="25">
        <f>IF(G12&gt;0,VLOOKUP(A12,[6]HISTOJANV25!$A$6:$BQ$46,25,0),0)</f>
        <v>250000</v>
      </c>
      <c r="D12" s="13"/>
      <c r="E12" s="14">
        <f>600000+310000</f>
        <v>910000</v>
      </c>
      <c r="F12" s="43"/>
      <c r="G12" s="15">
        <f t="shared" si="0"/>
        <v>910000</v>
      </c>
      <c r="H12" s="17"/>
    </row>
    <row r="13" spans="1:8" ht="17.5" x14ac:dyDescent="0.35">
      <c r="A13" s="12" t="s">
        <v>11</v>
      </c>
      <c r="B13" s="12" t="str">
        <f>VLOOKUP(A13,[5]LISTADHERENT!$A$4:$J$44,3,0)</f>
        <v>DOMOU FABIEN</v>
      </c>
      <c r="C13" s="25">
        <f>IF(G13&gt;0,VLOOKUP(A13,[6]HISTOJANV25!$A$6:$BQ$46,25,0),0)</f>
        <v>50000</v>
      </c>
      <c r="D13" s="13"/>
      <c r="E13" s="14">
        <v>50000</v>
      </c>
      <c r="F13" s="43"/>
      <c r="G13" s="15">
        <f t="shared" si="0"/>
        <v>50000</v>
      </c>
      <c r="H13" s="17"/>
    </row>
    <row r="14" spans="1:8" ht="17.5" x14ac:dyDescent="0.35">
      <c r="A14" s="12" t="s">
        <v>12</v>
      </c>
      <c r="B14" s="12" t="str">
        <f>VLOOKUP(A14,[5]LISTADHERENT!$A$4:$J$44,3,0)</f>
        <v>DONHOU DAVID</v>
      </c>
      <c r="C14" s="25">
        <f>IF(G14&gt;0,VLOOKUP(A14,[6]HISTOJANV25!$A$6:$BQ$46,25,0),0)</f>
        <v>50000</v>
      </c>
      <c r="D14" s="13"/>
      <c r="E14" s="14">
        <v>50000</v>
      </c>
      <c r="F14" s="43"/>
      <c r="G14" s="15">
        <f t="shared" si="0"/>
        <v>50000</v>
      </c>
      <c r="H14" s="17"/>
    </row>
    <row r="15" spans="1:8" ht="17.5" x14ac:dyDescent="0.35">
      <c r="A15" s="12" t="s">
        <v>94</v>
      </c>
      <c r="B15" s="12" t="str">
        <f>VLOOKUP(A15,[5]LISTADHERENT!$A$4:$J$44,3,0)</f>
        <v>FAMPOU PAUL</v>
      </c>
      <c r="C15" s="25">
        <f>IF(G15&gt;0,VLOOKUP(A15,[6]HISTOJANV25!$A$6:$BQ$46,25,0),0)</f>
        <v>0</v>
      </c>
      <c r="D15" s="13">
        <v>125000</v>
      </c>
      <c r="E15" s="14"/>
      <c r="F15" s="43"/>
      <c r="G15" s="15">
        <f t="shared" ref="G15" si="1">D15+E15+F15</f>
        <v>125000</v>
      </c>
      <c r="H15" s="17"/>
    </row>
    <row r="16" spans="1:8" ht="17.5" x14ac:dyDescent="0.35">
      <c r="A16" s="12" t="s">
        <v>13</v>
      </c>
      <c r="B16" s="12" t="str">
        <f>VLOOKUP(A16,[5]LISTADHERENT!$A$4:$J$44,3,0)</f>
        <v>HENGUE PAUL OMER</v>
      </c>
      <c r="C16" s="25">
        <f>IF(G16&gt;0,VLOOKUP(A16,[6]HISTOJANV25!$A$6:$BQ$46,25,0),0)</f>
        <v>125000</v>
      </c>
      <c r="D16" s="13"/>
      <c r="E16" s="14">
        <v>125000</v>
      </c>
      <c r="F16" s="43"/>
      <c r="G16" s="15">
        <f t="shared" si="0"/>
        <v>125000</v>
      </c>
      <c r="H16" s="17"/>
    </row>
    <row r="17" spans="1:8" ht="17.5" x14ac:dyDescent="0.35">
      <c r="A17" s="12" t="s">
        <v>14</v>
      </c>
      <c r="B17" s="12" t="str">
        <f>VLOOKUP(A17,[5]LISTADHERENT!$A$4:$J$44,3,0)</f>
        <v>HOTCHO BENJAMIN</v>
      </c>
      <c r="C17" s="25">
        <f>IF(G17&gt;0,VLOOKUP(A17,[6]HISTOJANV25!$A$6:$BQ$46,25,0),0)</f>
        <v>225000</v>
      </c>
      <c r="D17" s="13"/>
      <c r="E17" s="14">
        <v>260000</v>
      </c>
      <c r="F17" s="43"/>
      <c r="G17" s="15">
        <f t="shared" si="0"/>
        <v>260000</v>
      </c>
      <c r="H17" s="17"/>
    </row>
    <row r="18" spans="1:8" ht="17.5" x14ac:dyDescent="0.35">
      <c r="A18" s="12" t="s">
        <v>15</v>
      </c>
      <c r="B18" s="12" t="str">
        <f>VLOOKUP(A18,[5]LISTADHERENT!$A$4:$J$44,3,0)</f>
        <v>KOUAMOU MOISE</v>
      </c>
      <c r="C18" s="25">
        <f>IF(G18&gt;0,VLOOKUP(A18,[6]HISTOJANV25!$A$6:$BQ$46,25,0),0)</f>
        <v>150000</v>
      </c>
      <c r="D18" s="13"/>
      <c r="E18" s="14">
        <v>150000</v>
      </c>
      <c r="F18" s="43"/>
      <c r="G18" s="15">
        <f t="shared" si="0"/>
        <v>150000</v>
      </c>
      <c r="H18" s="17"/>
    </row>
    <row r="19" spans="1:8" ht="17.5" x14ac:dyDescent="0.35">
      <c r="A19" s="12" t="s">
        <v>16</v>
      </c>
      <c r="B19" s="12" t="str">
        <f>VLOOKUP(A19,[5]LISTADHERENT!$A$4:$J$44,3,0)</f>
        <v>KOUATCHO MESSACK</v>
      </c>
      <c r="C19" s="25">
        <f>IF(G19&gt;0,VLOOKUP(A19,[6]HISTOJANV25!$A$6:$BQ$46,25,0),0)</f>
        <v>225000</v>
      </c>
      <c r="D19" s="13"/>
      <c r="E19" s="14">
        <f>235000+75000</f>
        <v>310000</v>
      </c>
      <c r="F19" s="43"/>
      <c r="G19" s="15">
        <f t="shared" si="0"/>
        <v>310000</v>
      </c>
      <c r="H19" s="17"/>
    </row>
    <row r="20" spans="1:8" ht="17.5" x14ac:dyDescent="0.35">
      <c r="A20" s="12" t="s">
        <v>129</v>
      </c>
      <c r="B20" s="12" t="str">
        <f>VLOOKUP(A20,[5]LISTADHERENT!$A$4:$J$44,3,0)</f>
        <v>LOWE JEAN</v>
      </c>
      <c r="C20" s="25"/>
      <c r="D20" s="13"/>
      <c r="E20" s="14"/>
      <c r="F20" s="43"/>
      <c r="G20" s="15"/>
      <c r="H20" s="17"/>
    </row>
    <row r="21" spans="1:8" ht="17.5" x14ac:dyDescent="0.35">
      <c r="A21" s="12" t="s">
        <v>82</v>
      </c>
      <c r="B21" s="12" t="str">
        <f>VLOOKUP(A21,[5]LISTADHERENT!$A$4:$J$44,3,0)</f>
        <v>MASSEUNGOUE DAGOBERT</v>
      </c>
      <c r="C21" s="25">
        <f>IF(G21&gt;0,VLOOKUP(A21,[6]HISTOJANV25!$A$6:$BQ$46,25,0),0)</f>
        <v>50000</v>
      </c>
      <c r="D21" s="13"/>
      <c r="E21" s="14">
        <v>50000</v>
      </c>
      <c r="F21" s="43"/>
      <c r="G21" s="15">
        <f t="shared" si="0"/>
        <v>50000</v>
      </c>
      <c r="H21" s="17"/>
    </row>
    <row r="22" spans="1:8" ht="17.5" x14ac:dyDescent="0.35">
      <c r="A22" s="12" t="s">
        <v>17</v>
      </c>
      <c r="B22" s="12" t="str">
        <f>VLOOKUP(A22,[5]LISTADHERENT!$A$4:$J$44,3,0)</f>
        <v>MBOGNING TUGMA GUY</v>
      </c>
      <c r="C22" s="25">
        <f>IF(G22&gt;0,VLOOKUP(A22,[6]HISTOJANV25!$A$6:$BQ$46,25,0),0)</f>
        <v>325000</v>
      </c>
      <c r="D22" s="13"/>
      <c r="E22" s="14">
        <v>325000</v>
      </c>
      <c r="F22" s="43"/>
      <c r="G22" s="15">
        <f t="shared" si="0"/>
        <v>325000</v>
      </c>
      <c r="H22" s="17"/>
    </row>
    <row r="23" spans="1:8" ht="17.5" x14ac:dyDescent="0.35">
      <c r="A23" s="12" t="s">
        <v>18</v>
      </c>
      <c r="B23" s="12" t="str">
        <f>VLOOKUP(A23,[5]LISTADHERENT!$A$4:$J$44,3,0)</f>
        <v>NANGUEN MARTIN</v>
      </c>
      <c r="C23" s="25">
        <f>IF(G23&gt;0,VLOOKUP(A23,[6]HISTOJANV25!$A$6:$BQ$46,25,0),0)</f>
        <v>50000</v>
      </c>
      <c r="D23" s="13"/>
      <c r="E23" s="14">
        <v>50000</v>
      </c>
      <c r="F23" s="43"/>
      <c r="G23" s="15">
        <f t="shared" si="0"/>
        <v>50000</v>
      </c>
      <c r="H23" s="17"/>
    </row>
    <row r="24" spans="1:8" ht="17.5" x14ac:dyDescent="0.35">
      <c r="A24" s="12" t="s">
        <v>19</v>
      </c>
      <c r="B24" s="12" t="str">
        <f>VLOOKUP(A24,[5]LISTADHERENT!$A$4:$J$44,3,0)</f>
        <v>NANKAM APPOLINAIRE</v>
      </c>
      <c r="C24" s="25">
        <f>IF(G24&gt;0,VLOOKUP(A24,[6]HISTOJANV25!$A$6:$BQ$46,25,0),0)</f>
        <v>125000</v>
      </c>
      <c r="D24" s="13"/>
      <c r="E24" s="14">
        <v>125000</v>
      </c>
      <c r="F24" s="43">
        <v>892500</v>
      </c>
      <c r="G24" s="15">
        <f t="shared" si="0"/>
        <v>1017500</v>
      </c>
      <c r="H24" s="17"/>
    </row>
    <row r="25" spans="1:8" ht="17.5" x14ac:dyDescent="0.35">
      <c r="A25" s="12" t="s">
        <v>20</v>
      </c>
      <c r="B25" s="12" t="str">
        <f>VLOOKUP(A25,[5]LISTADHERENT!$A$4:$J$44,3,0)</f>
        <v>NDJOMO ETIENNE</v>
      </c>
      <c r="C25" s="25">
        <f>IF(G25&gt;0,VLOOKUP(A25,[6]HISTOJANV25!$A$6:$BQ$46,25,0),0)</f>
        <v>250000</v>
      </c>
      <c r="D25" s="13"/>
      <c r="E25" s="14">
        <v>260000</v>
      </c>
      <c r="F25" s="43"/>
      <c r="G25" s="15">
        <f t="shared" si="0"/>
        <v>260000</v>
      </c>
      <c r="H25" s="17"/>
    </row>
    <row r="26" spans="1:8" ht="17.5" x14ac:dyDescent="0.35">
      <c r="A26" s="12" t="s">
        <v>21</v>
      </c>
      <c r="B26" s="12" t="str">
        <f>VLOOKUP(A26,[5]LISTADHERENT!$A$4:$J$44,3,0)</f>
        <v>NGONDIEP CLAUDE</v>
      </c>
      <c r="C26" s="25">
        <f>IF(G26&gt;0,VLOOKUP(A26,[6]HISTOJANV25!$A$6:$BQ$46,25,0),0)</f>
        <v>225000</v>
      </c>
      <c r="D26" s="13"/>
      <c r="E26" s="14">
        <v>240000</v>
      </c>
      <c r="F26" s="43"/>
      <c r="G26" s="15">
        <f t="shared" si="0"/>
        <v>240000</v>
      </c>
      <c r="H26" s="17"/>
    </row>
    <row r="27" spans="1:8" ht="17.5" x14ac:dyDescent="0.35">
      <c r="A27" s="12" t="s">
        <v>22</v>
      </c>
      <c r="B27" s="12" t="str">
        <f>VLOOKUP(A27,[5]LISTADHERENT!$A$4:$J$44,3,0)</f>
        <v>NGUIEMEGNI MATHIEU BLAISE</v>
      </c>
      <c r="C27" s="25">
        <f>IF(G27&gt;0,VLOOKUP(A27,[6]HISTOJANV25!$A$6:$BQ$46,25,0),0)</f>
        <v>250000</v>
      </c>
      <c r="D27" s="13">
        <v>25000</v>
      </c>
      <c r="E27" s="14">
        <v>225000</v>
      </c>
      <c r="F27" s="43"/>
      <c r="G27" s="15">
        <f t="shared" si="0"/>
        <v>250000</v>
      </c>
      <c r="H27" s="17"/>
    </row>
    <row r="28" spans="1:8" ht="17.5" x14ac:dyDescent="0.35">
      <c r="A28" s="12" t="s">
        <v>23</v>
      </c>
      <c r="B28" s="12" t="str">
        <f>VLOOKUP(A28,[5]LISTADHERENT!$A$4:$J$44,3,0)</f>
        <v>NKAMGANG JUSTIN DEJOLIE</v>
      </c>
      <c r="C28" s="25">
        <f>IF(G28&gt;0,VLOOKUP(A28,[6]HISTOJANV25!$A$6:$BQ$46,25,0),0)</f>
        <v>50000</v>
      </c>
      <c r="D28" s="13"/>
      <c r="E28" s="14">
        <v>100000</v>
      </c>
      <c r="F28" s="43"/>
      <c r="G28" s="15">
        <f t="shared" si="0"/>
        <v>100000</v>
      </c>
      <c r="H28" s="17"/>
    </row>
    <row r="29" spans="1:8" ht="17.5" x14ac:dyDescent="0.35">
      <c r="A29" s="12" t="s">
        <v>63</v>
      </c>
      <c r="B29" s="12" t="str">
        <f>VLOOKUP(A29,[5]LISTADHERENT!$A$4:$J$44,3,0)</f>
        <v>NOUBE ETIENNE</v>
      </c>
      <c r="C29" s="25">
        <f>IF(G29&gt;0,VLOOKUP(A29,[6]HISTOJANV25!$A$6:$BQ$46,25,0),0)</f>
        <v>50000</v>
      </c>
      <c r="D29" s="13"/>
      <c r="E29" s="14">
        <v>50000</v>
      </c>
      <c r="F29" s="43"/>
      <c r="G29" s="15">
        <f t="shared" si="0"/>
        <v>50000</v>
      </c>
      <c r="H29" s="17"/>
    </row>
    <row r="30" spans="1:8" ht="17.5" x14ac:dyDescent="0.35">
      <c r="A30" s="12" t="s">
        <v>24</v>
      </c>
      <c r="B30" s="12" t="str">
        <f>VLOOKUP(A30,[5]LISTADHERENT!$A$4:$J$44,3,0)</f>
        <v>PATEGO NJOSSU GUSTAVE</v>
      </c>
      <c r="C30" s="25">
        <f>IF(G30&gt;0,VLOOKUP(A30,[6]HISTOJANV25!$A$6:$BQ$46,25,0),0)</f>
        <v>125000</v>
      </c>
      <c r="D30" s="13"/>
      <c r="E30" s="14">
        <v>125000</v>
      </c>
      <c r="F30" s="43"/>
      <c r="G30" s="15">
        <f t="shared" si="0"/>
        <v>125000</v>
      </c>
      <c r="H30" s="17"/>
    </row>
    <row r="31" spans="1:8" ht="17.5" x14ac:dyDescent="0.35">
      <c r="A31" s="12" t="s">
        <v>64</v>
      </c>
      <c r="B31" s="12" t="str">
        <f>VLOOKUP(A31,[5]LISTADHERENT!$A$4:$J$44,3,0)</f>
        <v>SEUMO POLYCARPE</v>
      </c>
      <c r="C31" s="25">
        <f>IF(G31&gt;0,VLOOKUP(A31,[6]HISTOJANV25!$A$6:$BQ$46,25,0),0)</f>
        <v>50000</v>
      </c>
      <c r="D31" s="13"/>
      <c r="E31" s="14">
        <v>50000</v>
      </c>
      <c r="F31" s="43"/>
      <c r="G31" s="15">
        <f t="shared" si="0"/>
        <v>50000</v>
      </c>
      <c r="H31" s="17"/>
    </row>
    <row r="32" spans="1:8" ht="17.5" x14ac:dyDescent="0.35">
      <c r="A32" s="12" t="s">
        <v>25</v>
      </c>
      <c r="B32" s="12" t="str">
        <f>VLOOKUP(A32,[5]LISTADHERENT!$A$4:$J$44,3,0)</f>
        <v>SIME BRICE</v>
      </c>
      <c r="C32" s="25">
        <f>IF(G32&gt;0,VLOOKUP(A32,[6]HISTOJANV25!$A$6:$BQ$46,25,0),0)</f>
        <v>250000</v>
      </c>
      <c r="D32" s="13"/>
      <c r="E32" s="14">
        <v>250000</v>
      </c>
      <c r="F32" s="43"/>
      <c r="G32" s="15">
        <f t="shared" si="0"/>
        <v>250000</v>
      </c>
      <c r="H32" s="17"/>
    </row>
    <row r="33" spans="1:8" ht="17.5" x14ac:dyDescent="0.35">
      <c r="A33" s="12" t="s">
        <v>89</v>
      </c>
      <c r="B33" s="12" t="str">
        <f>VLOOKUP(A33,[5]LISTADHERENT!$A$4:$J$44,3,0)</f>
        <v>SIMO FONGANG ERIC</v>
      </c>
      <c r="C33" s="25">
        <f>IF(G33&gt;0,VLOOKUP(A33,[6]HISTOJANV25!$A$6:$BQ$46,25,0),0)</f>
        <v>50000</v>
      </c>
      <c r="D33" s="13"/>
      <c r="E33" s="14">
        <v>50000</v>
      </c>
      <c r="F33" s="43"/>
      <c r="G33" s="15">
        <f t="shared" si="0"/>
        <v>50000</v>
      </c>
      <c r="H33" s="17"/>
    </row>
    <row r="34" spans="1:8" ht="17.5" x14ac:dyDescent="0.35">
      <c r="A34" s="12" t="s">
        <v>26</v>
      </c>
      <c r="B34" s="12" t="str">
        <f>VLOOKUP(A34,[5]LISTADHERENT!$A$4:$J$44,3,0)</f>
        <v>SIMO PIERRE</v>
      </c>
      <c r="C34" s="25">
        <f>IF(G34&gt;0,VLOOKUP(A34,[6]HISTOJANV25!$A$6:$BQ$46,25,0),0)</f>
        <v>150000</v>
      </c>
      <c r="D34" s="13"/>
      <c r="E34" s="14">
        <f>100000+50000</f>
        <v>150000</v>
      </c>
      <c r="F34" s="43"/>
      <c r="G34" s="15">
        <f t="shared" si="0"/>
        <v>150000</v>
      </c>
      <c r="H34" s="17"/>
    </row>
    <row r="35" spans="1:8" ht="17.5" x14ac:dyDescent="0.35">
      <c r="A35" s="12" t="s">
        <v>27</v>
      </c>
      <c r="B35" s="12" t="str">
        <f>VLOOKUP(A35,[5]LISTADHERENT!$A$4:$J$44,3,0)</f>
        <v>TCHOUAMOU MATHIEU</v>
      </c>
      <c r="C35" s="25">
        <f>IF(G35&gt;0,VLOOKUP(A35,[6]HISTOJANV25!$A$6:$BQ$46,25,0),0)</f>
        <v>125000</v>
      </c>
      <c r="D35" s="13"/>
      <c r="E35" s="14">
        <v>125000</v>
      </c>
      <c r="F35" s="43"/>
      <c r="G35" s="15">
        <f t="shared" si="0"/>
        <v>125000</v>
      </c>
      <c r="H35" s="17"/>
    </row>
    <row r="36" spans="1:8" ht="17.5" x14ac:dyDescent="0.35">
      <c r="A36" s="12" t="s">
        <v>81</v>
      </c>
      <c r="B36" s="12" t="str">
        <f>VLOOKUP(A36,[5]LISTADHERENT!$A$4:$J$44,3,0)</f>
        <v>TCHOUATEU AUGUSTIN</v>
      </c>
      <c r="C36" s="25">
        <f>IF(G36&gt;0,VLOOKUP(A36,[6]HISTOJANV25!$A$6:$BQ$46,25,0),0)</f>
        <v>150000</v>
      </c>
      <c r="D36" s="13"/>
      <c r="E36" s="14">
        <v>150000</v>
      </c>
      <c r="F36" s="43"/>
      <c r="G36" s="15">
        <f t="shared" si="0"/>
        <v>150000</v>
      </c>
      <c r="H36" s="17"/>
    </row>
    <row r="37" spans="1:8" ht="17.5" x14ac:dyDescent="0.35">
      <c r="A37" s="12" t="s">
        <v>62</v>
      </c>
      <c r="B37" s="12" t="str">
        <f>VLOOKUP(A37,[5]LISTADHERENT!$A$4:$J$44,3,0)</f>
        <v>TCHOUTOU NANA CLAUDE</v>
      </c>
      <c r="C37" s="25">
        <f>IF(G37&gt;0,VLOOKUP(A37,[6]HISTOJANV25!$A$6:$BQ$46,25,0),0)</f>
        <v>50000</v>
      </c>
      <c r="D37" s="13"/>
      <c r="E37" s="14">
        <v>50000</v>
      </c>
      <c r="F37" s="43"/>
      <c r="G37" s="15">
        <f t="shared" si="0"/>
        <v>50000</v>
      </c>
      <c r="H37" s="17"/>
    </row>
    <row r="38" spans="1:8" ht="17.5" x14ac:dyDescent="0.35">
      <c r="A38" s="12" t="s">
        <v>90</v>
      </c>
      <c r="B38" s="12" t="str">
        <f>VLOOKUP(A38,[5]LISTADHERENT!$A$4:$J$44,3,0)</f>
        <v>TIEYAM ERNEST</v>
      </c>
      <c r="C38" s="25">
        <f>IF(G38&gt;0,VLOOKUP(A38,[6]HISTOJANV25!$A$6:$BQ$46,25,0),0)</f>
        <v>50000</v>
      </c>
      <c r="D38" s="13">
        <v>50000</v>
      </c>
      <c r="E38" s="14"/>
      <c r="F38" s="43"/>
      <c r="G38" s="15">
        <f t="shared" si="0"/>
        <v>50000</v>
      </c>
      <c r="H38" s="17"/>
    </row>
    <row r="39" spans="1:8" ht="17.5" x14ac:dyDescent="0.35">
      <c r="A39" s="12" t="s">
        <v>65</v>
      </c>
      <c r="B39" s="12" t="str">
        <f>VLOOKUP(A39,[5]LISTADHERENT!$A$4:$J$44,3,0)</f>
        <v>YANTCHOU GERVAIS</v>
      </c>
      <c r="C39" s="25">
        <f>IF(G39&gt;0,VLOOKUP(A39,[6]HISTOJANV25!$A$6:$BQ$46,25,0),0)</f>
        <v>125000</v>
      </c>
      <c r="D39" s="13"/>
      <c r="E39" s="14">
        <v>125000</v>
      </c>
      <c r="F39" s="43"/>
      <c r="G39" s="15">
        <f t="shared" si="0"/>
        <v>125000</v>
      </c>
      <c r="H39" s="17"/>
    </row>
    <row r="40" spans="1:8" ht="17.5" x14ac:dyDescent="0.35">
      <c r="A40" s="12" t="s">
        <v>28</v>
      </c>
      <c r="B40" s="12" t="str">
        <f>VLOOKUP(A40,[5]LISTADHERENT!$A$4:$J$44,3,0)</f>
        <v>YEPMOU JEAN JACQUES</v>
      </c>
      <c r="C40" s="25">
        <f>IF(G40&gt;0,VLOOKUP(A40,[6]HISTOJANV25!$A$6:$BQ$46,25,0),0)</f>
        <v>50000</v>
      </c>
      <c r="D40" s="13">
        <v>50000</v>
      </c>
      <c r="E40" s="14"/>
      <c r="F40" s="43"/>
      <c r="G40" s="15">
        <f t="shared" si="0"/>
        <v>50000</v>
      </c>
      <c r="H40" s="17"/>
    </row>
    <row r="41" spans="1:8" ht="17.5" x14ac:dyDescent="0.35">
      <c r="A41" s="12" t="s">
        <v>80</v>
      </c>
      <c r="B41" s="12" t="str">
        <f>VLOOKUP(A41,[5]LISTADHERENT!$A$4:$J$44,3,0)</f>
        <v>YIALA ALAIN OSCAR</v>
      </c>
      <c r="C41" s="25">
        <f>IF(G41&gt;0,VLOOKUP(A41,[6]HISTOJANV25!$A$6:$BQ$46,25,0),0)</f>
        <v>250000</v>
      </c>
      <c r="D41" s="13"/>
      <c r="E41" s="14">
        <v>250000</v>
      </c>
      <c r="F41" s="43"/>
      <c r="G41" s="15">
        <f t="shared" si="0"/>
        <v>250000</v>
      </c>
      <c r="H41" s="17"/>
    </row>
    <row r="42" spans="1:8" ht="17.5" x14ac:dyDescent="0.35">
      <c r="A42" s="12" t="s">
        <v>29</v>
      </c>
      <c r="B42" s="12" t="str">
        <f>VLOOKUP(A42,[5]LISTADHERENT!$A$4:$J$44,3,0)</f>
        <v>YOUMBI EMMANUEL</v>
      </c>
      <c r="C42" s="25">
        <f>IF(G42&gt;0,VLOOKUP(A42,[6]HISTOJANV25!$A$6:$BQ$46,25,0),0)</f>
        <v>225000</v>
      </c>
      <c r="D42" s="13"/>
      <c r="E42" s="14">
        <v>225000</v>
      </c>
      <c r="F42" s="43"/>
      <c r="G42" s="15">
        <f t="shared" si="0"/>
        <v>225000</v>
      </c>
      <c r="H42" s="17"/>
    </row>
    <row r="43" spans="1:8" x14ac:dyDescent="0.35">
      <c r="A43" s="17"/>
      <c r="B43" s="17"/>
      <c r="C43" s="17"/>
      <c r="D43" s="17"/>
      <c r="E43" s="17"/>
      <c r="F43" s="17"/>
      <c r="G43" s="17"/>
      <c r="H43" s="17"/>
    </row>
    <row r="44" spans="1:8" ht="17.5" x14ac:dyDescent="0.35">
      <c r="A44" s="17"/>
      <c r="B44" s="12" t="s">
        <v>30</v>
      </c>
      <c r="C44" s="42">
        <f>SUM(C6:C42)</f>
        <v>4975000</v>
      </c>
      <c r="D44" s="42">
        <f t="shared" ref="D44:H44" si="2">SUM(D6:D42)</f>
        <v>300000</v>
      </c>
      <c r="E44" s="42">
        <f t="shared" si="2"/>
        <v>5655375</v>
      </c>
      <c r="F44" s="42">
        <f t="shared" si="2"/>
        <v>892500</v>
      </c>
      <c r="G44" s="42">
        <f t="shared" si="2"/>
        <v>6847875</v>
      </c>
      <c r="H44" s="42">
        <f t="shared" si="2"/>
        <v>1191</v>
      </c>
    </row>
  </sheetData>
  <autoFilter ref="A5:G42" xr:uid="{00000000-0009-0000-0000-000002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7F25-C8AA-443D-9597-31BAF023E0CD}">
  <dimension ref="A1:H44"/>
  <sheetViews>
    <sheetView zoomScale="106" zoomScaleNormal="106" workbookViewId="0">
      <pane xSplit="3" ySplit="5" topLeftCell="D15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E17" sqref="E17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6" width="17.54296875" customWidth="1"/>
    <col min="7" max="7" width="20.453125" customWidth="1"/>
  </cols>
  <sheetData>
    <row r="1" spans="1:8" ht="21" x14ac:dyDescent="0.5">
      <c r="A1" s="1" t="s">
        <v>2</v>
      </c>
      <c r="B1" s="1" t="s">
        <v>3</v>
      </c>
      <c r="C1" s="45">
        <v>45717</v>
      </c>
    </row>
    <row r="2" spans="1:8" x14ac:dyDescent="0.35">
      <c r="A2" s="1" t="s">
        <v>4</v>
      </c>
      <c r="B2" s="1">
        <v>2025</v>
      </c>
    </row>
    <row r="3" spans="1: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</row>
    <row r="4" spans="1:8" ht="28.5" x14ac:dyDescent="0.65">
      <c r="B4" s="51" t="s">
        <v>58</v>
      </c>
      <c r="C4" s="49"/>
      <c r="D4" s="49"/>
      <c r="E4" s="49"/>
      <c r="F4" s="44"/>
      <c r="G4" s="3"/>
    </row>
    <row r="5" spans="1:8" ht="68.25" customHeight="1" x14ac:dyDescent="0.35">
      <c r="A5" s="12" t="s">
        <v>0</v>
      </c>
      <c r="B5" s="12" t="s">
        <v>1</v>
      </c>
      <c r="C5" s="40" t="s">
        <v>91</v>
      </c>
      <c r="D5" s="40" t="s">
        <v>32</v>
      </c>
      <c r="E5" s="40" t="s">
        <v>92</v>
      </c>
      <c r="F5" s="40" t="s">
        <v>93</v>
      </c>
      <c r="G5" s="40" t="s">
        <v>31</v>
      </c>
      <c r="H5" s="41" t="s">
        <v>61</v>
      </c>
    </row>
    <row r="6" spans="1:8" ht="17.5" x14ac:dyDescent="0.35">
      <c r="A6" s="12" t="s">
        <v>60</v>
      </c>
      <c r="B6" s="12" t="str">
        <f>VLOOKUP(A6,[5]LISTADHERENT!$A$4:$J$44,3,0)</f>
        <v>ASELBY</v>
      </c>
      <c r="C6" s="25">
        <f>IF(G6&gt;0,VLOOKUP(A6,[6]HISTOJANV25!$A$6:$BQ$46,25,0),0)</f>
        <v>250000</v>
      </c>
      <c r="D6" s="13"/>
      <c r="E6" s="14">
        <v>250000</v>
      </c>
      <c r="F6" s="43"/>
      <c r="G6" s="15">
        <f>SUM(D6:F6)</f>
        <v>250000</v>
      </c>
      <c r="H6" s="15">
        <v>2395</v>
      </c>
    </row>
    <row r="7" spans="1:8" ht="17.5" x14ac:dyDescent="0.35">
      <c r="A7" s="12" t="s">
        <v>66</v>
      </c>
      <c r="B7" s="12" t="str">
        <f>VLOOKUP(A7,[5]LISTADHERENT!$A$4:$J$44,3,0)</f>
        <v>BAKOP ACHILLE</v>
      </c>
      <c r="C7" s="25">
        <f>IF(G7&gt;0,VLOOKUP(A7,[6]HISTOJANV25!$A$6:$BQ$46,25,0),0)</f>
        <v>50000</v>
      </c>
      <c r="D7" s="13">
        <v>50000</v>
      </c>
      <c r="E7" s="14"/>
      <c r="F7" s="43"/>
      <c r="G7" s="15">
        <f>D7+E7+F7</f>
        <v>50000</v>
      </c>
      <c r="H7" s="17"/>
    </row>
    <row r="8" spans="1:8" ht="17.5" x14ac:dyDescent="0.35">
      <c r="A8" s="12" t="s">
        <v>6</v>
      </c>
      <c r="B8" s="12" t="str">
        <f>VLOOKUP(A8,[5]LISTADHERENT!$A$4:$J$44,3,0)</f>
        <v>BOUTCHOUANG WILLIAM</v>
      </c>
      <c r="C8" s="25">
        <f>IF(G8&gt;0,VLOOKUP(A8,[6]HISTOJANV25!$A$6:$BQ$46,25,0),0)</f>
        <v>125000</v>
      </c>
      <c r="D8" s="13"/>
      <c r="E8" s="14">
        <f>125000+103000</f>
        <v>228000</v>
      </c>
      <c r="F8" s="43"/>
      <c r="G8" s="15">
        <f t="shared" ref="G8:G42" si="0">D8+E8+F8</f>
        <v>228000</v>
      </c>
      <c r="H8" s="17"/>
    </row>
    <row r="9" spans="1:8" ht="17.5" x14ac:dyDescent="0.35">
      <c r="A9" s="12" t="s">
        <v>7</v>
      </c>
      <c r="B9" s="12" t="str">
        <f>VLOOKUP(A9,[5]LISTADHERENT!$A$4:$J$44,3,0)</f>
        <v xml:space="preserve">DJOMO JEAN PAUL </v>
      </c>
      <c r="C9" s="25">
        <f>IF(G9&gt;0,VLOOKUP(A9,[6]HISTOJANV25!$A$6:$BQ$46,25,0),0)</f>
        <v>250000</v>
      </c>
      <c r="D9" s="13"/>
      <c r="E9" s="14">
        <f>150000+307500</f>
        <v>457500</v>
      </c>
      <c r="F9" s="43"/>
      <c r="G9" s="15">
        <f t="shared" si="0"/>
        <v>457500</v>
      </c>
      <c r="H9" s="17"/>
    </row>
    <row r="10" spans="1:8" ht="17.5" x14ac:dyDescent="0.35">
      <c r="A10" s="12" t="s">
        <v>8</v>
      </c>
      <c r="B10" s="12" t="str">
        <f>VLOOKUP(A10,[5]LISTADHERENT!$A$4:$J$44,3,0)</f>
        <v>DJOMOU TCHAPDA</v>
      </c>
      <c r="C10" s="25">
        <f>IF(G10&gt;0,VLOOKUP(A10,[6]HISTOJANV25!$A$6:$BQ$46,25,0),0)</f>
        <v>50000</v>
      </c>
      <c r="D10" s="13"/>
      <c r="E10" s="14">
        <f>511000-307500-103000</f>
        <v>100500</v>
      </c>
      <c r="F10" s="43"/>
      <c r="G10" s="15">
        <f t="shared" si="0"/>
        <v>100500</v>
      </c>
      <c r="H10" s="17"/>
    </row>
    <row r="11" spans="1:8" ht="17.5" x14ac:dyDescent="0.35">
      <c r="A11" s="12" t="s">
        <v>9</v>
      </c>
      <c r="B11" s="12" t="str">
        <f>VLOOKUP(A11,[5]LISTADHERENT!$A$4:$J$44,3,0)</f>
        <v>DJOUKWE NANGUEN GUY BLAISE</v>
      </c>
      <c r="C11" s="25">
        <f>IF(G11&gt;0,VLOOKUP(A11,[6]HISTOJANV25!$A$6:$BQ$46,25,0),0)</f>
        <v>150000</v>
      </c>
      <c r="D11" s="13"/>
      <c r="E11" s="14">
        <f>187500-37500</f>
        <v>150000</v>
      </c>
      <c r="F11" s="43"/>
      <c r="G11" s="15">
        <f t="shared" si="0"/>
        <v>150000</v>
      </c>
      <c r="H11" s="17"/>
    </row>
    <row r="12" spans="1:8" ht="17.5" x14ac:dyDescent="0.35">
      <c r="A12" s="12" t="s">
        <v>10</v>
      </c>
      <c r="B12" s="12" t="str">
        <f>VLOOKUP(A12,[5]LISTADHERENT!$A$4:$J$44,3,0)</f>
        <v>DJUOMBESSY ANTOINE</v>
      </c>
      <c r="C12" s="25">
        <f>IF(G12&gt;0,VLOOKUP(A12,[6]HISTOJANV25!$A$6:$BQ$46,25,0),0)</f>
        <v>250000</v>
      </c>
      <c r="D12" s="13"/>
      <c r="E12" s="14">
        <v>260000</v>
      </c>
      <c r="F12" s="43"/>
      <c r="G12" s="15">
        <f t="shared" si="0"/>
        <v>260000</v>
      </c>
      <c r="H12" s="17"/>
    </row>
    <row r="13" spans="1:8" ht="17.5" x14ac:dyDescent="0.35">
      <c r="A13" s="12" t="s">
        <v>11</v>
      </c>
      <c r="B13" s="12" t="str">
        <f>VLOOKUP(A13,[5]LISTADHERENT!$A$4:$J$44,3,0)</f>
        <v>DOMOU FABIEN</v>
      </c>
      <c r="C13" s="25">
        <f>IF(G13&gt;0,VLOOKUP(A13,[6]HISTOJANV25!$A$6:$BQ$46,25,0),0)</f>
        <v>50000</v>
      </c>
      <c r="D13" s="13"/>
      <c r="E13" s="14">
        <v>50000</v>
      </c>
      <c r="F13" s="43"/>
      <c r="G13" s="15">
        <f t="shared" si="0"/>
        <v>50000</v>
      </c>
      <c r="H13" s="17"/>
    </row>
    <row r="14" spans="1:8" ht="17.5" x14ac:dyDescent="0.35">
      <c r="A14" s="12" t="s">
        <v>12</v>
      </c>
      <c r="B14" s="12" t="str">
        <f>VLOOKUP(A14,[5]LISTADHERENT!$A$4:$J$44,3,0)</f>
        <v>DONHOU DAVID</v>
      </c>
      <c r="C14" s="25">
        <f>IF(G14&gt;0,VLOOKUP(A14,[6]HISTOJANV25!$A$6:$BQ$46,25,0),0)</f>
        <v>50000</v>
      </c>
      <c r="D14" s="13"/>
      <c r="E14" s="14">
        <v>50000</v>
      </c>
      <c r="F14" s="43"/>
      <c r="G14" s="15">
        <f t="shared" si="0"/>
        <v>50000</v>
      </c>
      <c r="H14" s="17"/>
    </row>
    <row r="15" spans="1:8" ht="17.5" x14ac:dyDescent="0.35">
      <c r="A15" s="12" t="s">
        <v>94</v>
      </c>
      <c r="B15" s="12" t="str">
        <f>VLOOKUP(A15,[5]LISTADHERENT!$A$4:$J$44,3,0)</f>
        <v>FAMPOU PAUL</v>
      </c>
      <c r="C15" s="25">
        <f>IF(G15&gt;0,VLOOKUP(A15,[6]HISTOMARS25!$A$6:$BQ$46,25,0),0)</f>
        <v>150000</v>
      </c>
      <c r="D15" s="13"/>
      <c r="E15" s="14">
        <v>376000</v>
      </c>
      <c r="F15" s="43"/>
      <c r="G15" s="15">
        <f t="shared" si="0"/>
        <v>376000</v>
      </c>
      <c r="H15" s="17"/>
    </row>
    <row r="16" spans="1:8" ht="17.5" x14ac:dyDescent="0.35">
      <c r="A16" s="12" t="s">
        <v>13</v>
      </c>
      <c r="B16" s="12" t="str">
        <f>VLOOKUP(A16,[5]LISTADHERENT!$A$4:$J$44,3,0)</f>
        <v>HENGUE PAUL OMER</v>
      </c>
      <c r="C16" s="25">
        <f>IF(G16&gt;0,VLOOKUP(A16,[6]HISTOJANV25!$A$6:$BQ$46,25,0),0)</f>
        <v>125000</v>
      </c>
      <c r="D16" s="13"/>
      <c r="E16" s="14">
        <f>1000000+275000</f>
        <v>1275000</v>
      </c>
      <c r="F16" s="43"/>
      <c r="G16" s="15">
        <f t="shared" si="0"/>
        <v>1275000</v>
      </c>
      <c r="H16" s="17"/>
    </row>
    <row r="17" spans="1:8" ht="17.5" x14ac:dyDescent="0.35">
      <c r="A17" s="12" t="s">
        <v>14</v>
      </c>
      <c r="B17" s="12" t="str">
        <f>VLOOKUP(A17,[5]LISTADHERENT!$A$4:$J$44,3,0)</f>
        <v>HOTCHO BENJAMIN</v>
      </c>
      <c r="C17" s="25">
        <f>IF(G17&gt;0,VLOOKUP(A17,[6]HISTOJANV25!$A$6:$BQ$46,25,0),0)</f>
        <v>225000</v>
      </c>
      <c r="D17" s="13"/>
      <c r="E17" s="14">
        <f>250000</f>
        <v>250000</v>
      </c>
      <c r="F17" s="43"/>
      <c r="G17" s="15">
        <f t="shared" si="0"/>
        <v>250000</v>
      </c>
      <c r="H17" s="17"/>
    </row>
    <row r="18" spans="1:8" ht="17.5" x14ac:dyDescent="0.35">
      <c r="A18" s="12" t="s">
        <v>15</v>
      </c>
      <c r="B18" s="12" t="str">
        <f>VLOOKUP(A18,[5]LISTADHERENT!$A$4:$J$44,3,0)</f>
        <v>KOUAMOU MOISE</v>
      </c>
      <c r="C18" s="25">
        <f>IF(G18&gt;0,VLOOKUP(A18,[6]HISTOJANV25!$A$6:$BQ$46,25,0),0)</f>
        <v>150000</v>
      </c>
      <c r="D18" s="13"/>
      <c r="E18" s="14">
        <v>150000</v>
      </c>
      <c r="F18" s="43"/>
      <c r="G18" s="15">
        <f t="shared" si="0"/>
        <v>150000</v>
      </c>
      <c r="H18" s="17"/>
    </row>
    <row r="19" spans="1:8" ht="17.5" x14ac:dyDescent="0.35">
      <c r="A19" s="12" t="s">
        <v>16</v>
      </c>
      <c r="B19" s="12" t="str">
        <f>VLOOKUP(A19,[5]LISTADHERENT!$A$4:$J$44,3,0)</f>
        <v>KOUATCHO MESSACK</v>
      </c>
      <c r="C19" s="25">
        <f>IF(G19&gt;0,VLOOKUP(A19,[6]HISTOJANV25!$A$6:$BQ$46,25,0),0)</f>
        <v>225000</v>
      </c>
      <c r="D19" s="13"/>
      <c r="E19" s="14">
        <f>253500+37500</f>
        <v>291000</v>
      </c>
      <c r="F19" s="43"/>
      <c r="G19" s="15">
        <f t="shared" si="0"/>
        <v>291000</v>
      </c>
      <c r="H19" s="17"/>
    </row>
    <row r="20" spans="1:8" ht="17.5" x14ac:dyDescent="0.35">
      <c r="A20" s="12" t="s">
        <v>129</v>
      </c>
      <c r="B20" s="12" t="str">
        <f>VLOOKUP(A20,[5]LISTADHERENT!$A$4:$J$44,3,0)</f>
        <v>LOWE JEAN</v>
      </c>
      <c r="C20" s="25"/>
      <c r="D20" s="13"/>
      <c r="E20" s="14"/>
      <c r="F20" s="43"/>
      <c r="G20" s="15"/>
      <c r="H20" s="17"/>
    </row>
    <row r="21" spans="1:8" ht="17.5" x14ac:dyDescent="0.35">
      <c r="A21" s="12" t="s">
        <v>82</v>
      </c>
      <c r="B21" s="12" t="str">
        <f>VLOOKUP(A21,[5]LISTADHERENT!$A$4:$J$44,3,0)</f>
        <v>MASSEUNGOUE DAGOBERT</v>
      </c>
      <c r="C21" s="25">
        <f>IF(G21&gt;0,VLOOKUP(A21,[6]HISTOJANV25!$A$6:$BQ$46,25,0),0)</f>
        <v>50000</v>
      </c>
      <c r="D21" s="13"/>
      <c r="E21" s="14">
        <v>50000</v>
      </c>
      <c r="F21" s="43"/>
      <c r="G21" s="15">
        <f t="shared" si="0"/>
        <v>50000</v>
      </c>
      <c r="H21" s="17"/>
    </row>
    <row r="22" spans="1:8" ht="17.5" x14ac:dyDescent="0.35">
      <c r="A22" s="12" t="s">
        <v>17</v>
      </c>
      <c r="B22" s="12" t="str">
        <f>VLOOKUP(A22,[5]LISTADHERENT!$A$4:$J$44,3,0)</f>
        <v>MBOGNING TUGMA GUY</v>
      </c>
      <c r="C22" s="25">
        <f>IF(G22&gt;0,VLOOKUP(A22,[6]HISTOJANV25!$A$6:$BQ$46,25,0),0)</f>
        <v>325000</v>
      </c>
      <c r="D22" s="13"/>
      <c r="E22" s="14">
        <v>376000</v>
      </c>
      <c r="F22" s="43"/>
      <c r="G22" s="15">
        <f t="shared" si="0"/>
        <v>376000</v>
      </c>
      <c r="H22" s="17"/>
    </row>
    <row r="23" spans="1:8" ht="17.5" x14ac:dyDescent="0.35">
      <c r="A23" s="12" t="s">
        <v>18</v>
      </c>
      <c r="B23" s="12" t="str">
        <f>VLOOKUP(A23,[5]LISTADHERENT!$A$4:$J$44,3,0)</f>
        <v>NANGUEN MARTIN</v>
      </c>
      <c r="C23" s="25">
        <f>IF(G23&gt;0,VLOOKUP(A23,[6]HISTOJANV25!$A$6:$BQ$46,25,0),0)</f>
        <v>50000</v>
      </c>
      <c r="D23" s="13"/>
      <c r="E23" s="14">
        <v>50000</v>
      </c>
      <c r="F23" s="43"/>
      <c r="G23" s="15">
        <f t="shared" si="0"/>
        <v>50000</v>
      </c>
      <c r="H23" s="17"/>
    </row>
    <row r="24" spans="1:8" ht="17.5" x14ac:dyDescent="0.35">
      <c r="A24" s="12" t="s">
        <v>19</v>
      </c>
      <c r="B24" s="12" t="str">
        <f>VLOOKUP(A24,[5]LISTADHERENT!$A$4:$J$44,3,0)</f>
        <v>NANKAM APPOLINAIRE</v>
      </c>
      <c r="C24" s="25">
        <f>IF(G24&gt;0,VLOOKUP(A24,[6]HISTOJANV25!$A$6:$BQ$46,25,0),0)</f>
        <v>125000</v>
      </c>
      <c r="D24" s="13"/>
      <c r="E24" s="14">
        <v>125000</v>
      </c>
      <c r="F24" s="43"/>
      <c r="G24" s="15">
        <f t="shared" si="0"/>
        <v>125000</v>
      </c>
      <c r="H24" s="17"/>
    </row>
    <row r="25" spans="1:8" ht="17.5" x14ac:dyDescent="0.35">
      <c r="A25" s="12" t="s">
        <v>20</v>
      </c>
      <c r="B25" s="12" t="str">
        <f>VLOOKUP(A25,[5]LISTADHERENT!$A$4:$J$44,3,0)</f>
        <v>NDJOMO ETIENNE</v>
      </c>
      <c r="C25" s="25">
        <f>IF(G25&gt;0,VLOOKUP(A25,[6]HISTOJANV25!$A$6:$BQ$46,25,0),0)</f>
        <v>250000</v>
      </c>
      <c r="D25" s="13"/>
      <c r="E25" s="14">
        <f>260000+101000</f>
        <v>361000</v>
      </c>
      <c r="F25" s="43"/>
      <c r="G25" s="15">
        <f t="shared" si="0"/>
        <v>361000</v>
      </c>
      <c r="H25" s="17"/>
    </row>
    <row r="26" spans="1:8" ht="17.5" x14ac:dyDescent="0.35">
      <c r="A26" s="12" t="s">
        <v>21</v>
      </c>
      <c r="B26" s="12" t="str">
        <f>VLOOKUP(A26,[5]LISTADHERENT!$A$4:$J$44,3,0)</f>
        <v>NGONDIEP CLAUDE</v>
      </c>
      <c r="C26" s="25">
        <f>IF(G26&gt;0,VLOOKUP(A26,[6]HISTOJANV25!$A$6:$BQ$46,25,0),0)</f>
        <v>225000</v>
      </c>
      <c r="D26" s="13"/>
      <c r="E26" s="14">
        <v>240000</v>
      </c>
      <c r="F26" s="43"/>
      <c r="G26" s="15">
        <f t="shared" si="0"/>
        <v>240000</v>
      </c>
      <c r="H26" s="17"/>
    </row>
    <row r="27" spans="1:8" ht="17.5" x14ac:dyDescent="0.35">
      <c r="A27" s="12" t="s">
        <v>22</v>
      </c>
      <c r="B27" s="12" t="str">
        <f>VLOOKUP(A27,[5]LISTADHERENT!$A$4:$J$44,3,0)</f>
        <v>NGUIEMEGNI MATHIEU BLAISE</v>
      </c>
      <c r="C27" s="25">
        <f>IF(G27&gt;0,VLOOKUP(A27,[6]HISTOJANV25!$A$6:$BQ$46,25,0),0)</f>
        <v>250000</v>
      </c>
      <c r="D27" s="13"/>
      <c r="E27" s="14">
        <f>150000+50000+200000+50000</f>
        <v>450000</v>
      </c>
      <c r="F27" s="43"/>
      <c r="G27" s="15">
        <f t="shared" si="0"/>
        <v>450000</v>
      </c>
      <c r="H27" s="17"/>
    </row>
    <row r="28" spans="1:8" ht="17.5" x14ac:dyDescent="0.35">
      <c r="A28" s="12" t="s">
        <v>23</v>
      </c>
      <c r="B28" s="12" t="str">
        <f>VLOOKUP(A28,[5]LISTADHERENT!$A$4:$J$44,3,0)</f>
        <v>NKAMGANG JUSTIN DEJOLIE</v>
      </c>
      <c r="C28" s="25">
        <f>IF(G28&gt;0,VLOOKUP(A28,[6]HISTOJANV25!$A$6:$BQ$46,25,0),0)</f>
        <v>50000</v>
      </c>
      <c r="D28" s="13"/>
      <c r="E28" s="14">
        <f>700000-101000-50000-427000</f>
        <v>122000</v>
      </c>
      <c r="F28" s="43"/>
      <c r="G28" s="15">
        <f t="shared" si="0"/>
        <v>122000</v>
      </c>
      <c r="H28" s="17"/>
    </row>
    <row r="29" spans="1:8" ht="17.5" x14ac:dyDescent="0.35">
      <c r="A29" s="12" t="s">
        <v>63</v>
      </c>
      <c r="B29" s="12" t="str">
        <f>VLOOKUP(A29,[5]LISTADHERENT!$A$4:$J$44,3,0)</f>
        <v>NOUBE ETIENNE</v>
      </c>
      <c r="C29" s="25">
        <f>IF(G29&gt;0,VLOOKUP(A29,[6]HISTOJANV25!$A$6:$BQ$46,25,0),0)</f>
        <v>50000</v>
      </c>
      <c r="D29" s="13"/>
      <c r="E29" s="14">
        <v>50000</v>
      </c>
      <c r="F29" s="43"/>
      <c r="G29" s="15">
        <f t="shared" si="0"/>
        <v>50000</v>
      </c>
      <c r="H29" s="17"/>
    </row>
    <row r="30" spans="1:8" ht="17.5" x14ac:dyDescent="0.35">
      <c r="A30" s="12" t="s">
        <v>24</v>
      </c>
      <c r="B30" s="12" t="str">
        <f>VLOOKUP(A30,[5]LISTADHERENT!$A$4:$J$44,3,0)</f>
        <v>PATEGO NJOSSU GUSTAVE</v>
      </c>
      <c r="C30" s="25">
        <f>IF(G30&gt;0,VLOOKUP(A30,[6]HISTOJANV25!$A$6:$BQ$46,25,0),0)</f>
        <v>125000</v>
      </c>
      <c r="D30" s="13"/>
      <c r="E30" s="14">
        <v>125000</v>
      </c>
      <c r="F30" s="43"/>
      <c r="G30" s="15">
        <f t="shared" si="0"/>
        <v>125000</v>
      </c>
      <c r="H30" s="17"/>
    </row>
    <row r="31" spans="1:8" ht="17.5" x14ac:dyDescent="0.35">
      <c r="A31" s="12" t="s">
        <v>64</v>
      </c>
      <c r="B31" s="12" t="str">
        <f>VLOOKUP(A31,[5]LISTADHERENT!$A$4:$J$44,3,0)</f>
        <v>SEUMO POLYCARPE</v>
      </c>
      <c r="C31" s="25">
        <f>IF(G31&gt;0,VLOOKUP(A31,[6]HISTOJANV25!$A$6:$BQ$46,25,0),0)</f>
        <v>50000</v>
      </c>
      <c r="D31" s="13"/>
      <c r="E31" s="14">
        <v>91000</v>
      </c>
      <c r="F31" s="43"/>
      <c r="G31" s="15">
        <f t="shared" si="0"/>
        <v>91000</v>
      </c>
      <c r="H31" s="17"/>
    </row>
    <row r="32" spans="1:8" ht="17.5" x14ac:dyDescent="0.35">
      <c r="A32" s="12" t="s">
        <v>25</v>
      </c>
      <c r="B32" s="12" t="str">
        <f>VLOOKUP(A32,[5]LISTADHERENT!$A$4:$J$44,3,0)</f>
        <v>SIME BRICE</v>
      </c>
      <c r="C32" s="25">
        <f>IF(G32&gt;0,VLOOKUP(A32,[6]HISTOJANV25!$A$6:$BQ$46,25,0),0)</f>
        <v>250000</v>
      </c>
      <c r="D32" s="13">
        <v>253000</v>
      </c>
      <c r="E32" s="14"/>
      <c r="F32" s="43"/>
      <c r="G32" s="15">
        <f t="shared" si="0"/>
        <v>253000</v>
      </c>
      <c r="H32" s="17"/>
    </row>
    <row r="33" spans="1:8" ht="17.5" x14ac:dyDescent="0.35">
      <c r="A33" s="12" t="s">
        <v>89</v>
      </c>
      <c r="B33" s="12" t="str">
        <f>VLOOKUP(A33,[5]LISTADHERENT!$A$4:$J$44,3,0)</f>
        <v>SIMO FONGANG ERIC</v>
      </c>
      <c r="C33" s="25">
        <f>IF(G33&gt;0,VLOOKUP(A33,[6]HISTOJANV25!$A$6:$BQ$46,25,0),0)</f>
        <v>50000</v>
      </c>
      <c r="D33" s="13"/>
      <c r="E33" s="14">
        <v>50000</v>
      </c>
      <c r="F33" s="43"/>
      <c r="G33" s="15">
        <f t="shared" si="0"/>
        <v>50000</v>
      </c>
      <c r="H33" s="17"/>
    </row>
    <row r="34" spans="1:8" ht="17.5" x14ac:dyDescent="0.35">
      <c r="A34" s="12" t="s">
        <v>26</v>
      </c>
      <c r="B34" s="12" t="str">
        <f>VLOOKUP(A34,[5]LISTADHERENT!$A$4:$J$44,3,0)</f>
        <v>SIMO PIERRE</v>
      </c>
      <c r="C34" s="25">
        <f>IF(G34&gt;0,VLOOKUP(A34,[6]HISTOJANV25!$A$6:$BQ$46,25,0),0)</f>
        <v>150000</v>
      </c>
      <c r="D34" s="13"/>
      <c r="E34" s="14">
        <f>100000+50000</f>
        <v>150000</v>
      </c>
      <c r="F34" s="43"/>
      <c r="G34" s="15">
        <f t="shared" si="0"/>
        <v>150000</v>
      </c>
      <c r="H34" s="17"/>
    </row>
    <row r="35" spans="1:8" ht="17.5" x14ac:dyDescent="0.35">
      <c r="A35" s="12" t="s">
        <v>27</v>
      </c>
      <c r="B35" s="12" t="str">
        <f>VLOOKUP(A35,[5]LISTADHERENT!$A$4:$J$44,3,0)</f>
        <v>TCHOUAMOU MATHIEU</v>
      </c>
      <c r="C35" s="25">
        <f>IF(G35&gt;0,VLOOKUP(A35,[6]HISTOJANV25!$A$6:$BQ$46,25,0),0)</f>
        <v>125000</v>
      </c>
      <c r="D35" s="13"/>
      <c r="E35" s="14">
        <v>125000</v>
      </c>
      <c r="F35" s="43"/>
      <c r="G35" s="15">
        <f t="shared" si="0"/>
        <v>125000</v>
      </c>
      <c r="H35" s="17"/>
    </row>
    <row r="36" spans="1:8" ht="17.5" x14ac:dyDescent="0.35">
      <c r="A36" s="12" t="s">
        <v>81</v>
      </c>
      <c r="B36" s="12" t="str">
        <f>VLOOKUP(A36,[5]LISTADHERENT!$A$4:$J$44,3,0)</f>
        <v>TCHOUATEU AUGUSTIN</v>
      </c>
      <c r="C36" s="25">
        <f>IF(G36&gt;0,VLOOKUP(A36,[6]HISTOJANV25!$A$6:$BQ$46,25,0),0)</f>
        <v>150000</v>
      </c>
      <c r="D36" s="13"/>
      <c r="E36" s="14">
        <v>150000</v>
      </c>
      <c r="F36" s="43"/>
      <c r="G36" s="15">
        <f t="shared" si="0"/>
        <v>150000</v>
      </c>
      <c r="H36" s="17"/>
    </row>
    <row r="37" spans="1:8" ht="17.5" x14ac:dyDescent="0.35">
      <c r="A37" s="12" t="s">
        <v>62</v>
      </c>
      <c r="B37" s="12" t="str">
        <f>VLOOKUP(A37,[5]LISTADHERENT!$A$4:$J$44,3,0)</f>
        <v>TCHOUTOU NANA CLAUDE</v>
      </c>
      <c r="C37" s="25">
        <f>IF(G37&gt;0,VLOOKUP(A37,[6]HISTOJANV25!$A$6:$BQ$46,25,0),0)</f>
        <v>50000</v>
      </c>
      <c r="D37" s="13"/>
      <c r="E37" s="14">
        <v>50000</v>
      </c>
      <c r="F37" s="43"/>
      <c r="G37" s="15">
        <f t="shared" si="0"/>
        <v>50000</v>
      </c>
      <c r="H37" s="17"/>
    </row>
    <row r="38" spans="1:8" ht="17.5" x14ac:dyDescent="0.35">
      <c r="A38" s="12" t="s">
        <v>90</v>
      </c>
      <c r="B38" s="12" t="str">
        <f>VLOOKUP(A38,[5]LISTADHERENT!$A$4:$J$44,3,0)</f>
        <v>TIEYAM ERNEST</v>
      </c>
      <c r="C38" s="25">
        <f>IF(G38&gt;0,VLOOKUP(A38,[6]HISTOJANV25!$A$6:$BQ$46,25,0),0)</f>
        <v>50000</v>
      </c>
      <c r="D38" s="13">
        <v>50000</v>
      </c>
      <c r="E38" s="14"/>
      <c r="F38" s="43"/>
      <c r="G38" s="15">
        <f t="shared" si="0"/>
        <v>50000</v>
      </c>
      <c r="H38" s="17"/>
    </row>
    <row r="39" spans="1:8" ht="17.5" x14ac:dyDescent="0.35">
      <c r="A39" s="12" t="s">
        <v>65</v>
      </c>
      <c r="B39" s="12" t="str">
        <f>VLOOKUP(A39,[5]LISTADHERENT!$A$4:$J$44,3,0)</f>
        <v>YANTCHOU GERVAIS</v>
      </c>
      <c r="C39" s="25">
        <f>IF(G39&gt;0,VLOOKUP(A39,[6]HISTOJANV25!$A$6:$BQ$46,25,0),0)</f>
        <v>125000</v>
      </c>
      <c r="D39" s="13"/>
      <c r="E39" s="14">
        <v>130000</v>
      </c>
      <c r="F39" s="43"/>
      <c r="G39" s="15">
        <f t="shared" si="0"/>
        <v>130000</v>
      </c>
      <c r="H39" s="17"/>
    </row>
    <row r="40" spans="1:8" ht="17.5" x14ac:dyDescent="0.35">
      <c r="A40" s="12" t="s">
        <v>28</v>
      </c>
      <c r="B40" s="12" t="str">
        <f>VLOOKUP(A40,[5]LISTADHERENT!$A$4:$J$44,3,0)</f>
        <v>YEPMOU JEAN JACQUES</v>
      </c>
      <c r="C40" s="25">
        <f>IF(G40&gt;0,VLOOKUP(A40,[6]HISTOJANV25!$A$6:$BQ$46,25,0),0)</f>
        <v>50000</v>
      </c>
      <c r="D40" s="13"/>
      <c r="E40" s="14">
        <f>50000</f>
        <v>50000</v>
      </c>
      <c r="F40" s="43"/>
      <c r="G40" s="15">
        <f t="shared" si="0"/>
        <v>50000</v>
      </c>
      <c r="H40" s="17"/>
    </row>
    <row r="41" spans="1:8" ht="17.5" x14ac:dyDescent="0.35">
      <c r="A41" s="12" t="s">
        <v>80</v>
      </c>
      <c r="B41" s="12" t="str">
        <f>VLOOKUP(A41,[5]LISTADHERENT!$A$4:$J$44,3,0)</f>
        <v>YIALA ALAIN OSCAR</v>
      </c>
      <c r="C41" s="25">
        <f>IF(G41&gt;0,VLOOKUP(A41,[6]HISTOJANV25!$A$6:$BQ$46,25,0),0)</f>
        <v>250000</v>
      </c>
      <c r="D41" s="13">
        <v>253000</v>
      </c>
      <c r="E41" s="14"/>
      <c r="F41" s="43"/>
      <c r="G41" s="15">
        <f t="shared" si="0"/>
        <v>253000</v>
      </c>
      <c r="H41" s="17"/>
    </row>
    <row r="42" spans="1:8" ht="17.5" x14ac:dyDescent="0.35">
      <c r="A42" s="12" t="s">
        <v>29</v>
      </c>
      <c r="B42" s="12" t="str">
        <f>VLOOKUP(A42,[5]LISTADHERENT!$A$4:$J$44,3,0)</f>
        <v>YOUMBI EMMANUEL</v>
      </c>
      <c r="C42" s="25">
        <f>IF(G42&gt;0,VLOOKUP(A42,[6]HISTOJANV25!$A$6:$BQ$46,25,0),0)</f>
        <v>225000</v>
      </c>
      <c r="D42" s="13"/>
      <c r="E42" s="14">
        <f>225000+427000</f>
        <v>652000</v>
      </c>
      <c r="F42" s="43"/>
      <c r="G42" s="15">
        <f t="shared" si="0"/>
        <v>652000</v>
      </c>
      <c r="H42" s="17"/>
    </row>
    <row r="43" spans="1:8" x14ac:dyDescent="0.35">
      <c r="A43" s="17"/>
      <c r="B43" s="17"/>
      <c r="C43" s="17"/>
      <c r="D43" s="17"/>
      <c r="E43" s="17"/>
      <c r="F43" s="17"/>
      <c r="G43" s="17"/>
      <c r="H43" s="17"/>
    </row>
    <row r="44" spans="1:8" ht="17.5" x14ac:dyDescent="0.35">
      <c r="A44" s="17"/>
      <c r="B44" s="12" t="s">
        <v>30</v>
      </c>
      <c r="C44" s="42">
        <f>SUM(C6:C42)</f>
        <v>5125000</v>
      </c>
      <c r="D44" s="42">
        <f t="shared" ref="D44:H44" si="1">SUM(D6:D42)</f>
        <v>606000</v>
      </c>
      <c r="E44" s="42">
        <f t="shared" si="1"/>
        <v>7285000</v>
      </c>
      <c r="F44" s="42">
        <f t="shared" si="1"/>
        <v>0</v>
      </c>
      <c r="G44" s="42">
        <f t="shared" si="1"/>
        <v>7891000</v>
      </c>
      <c r="H44" s="42">
        <f t="shared" si="1"/>
        <v>2395</v>
      </c>
    </row>
  </sheetData>
  <autoFilter ref="A5:G42" xr:uid="{00000000-0009-0000-0000-000002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7726A-D721-4E68-955A-2C6321D4EC51}">
  <dimension ref="A1:H46"/>
  <sheetViews>
    <sheetView zoomScale="106" zoomScaleNormal="106" workbookViewId="0">
      <pane xSplit="3" ySplit="5" topLeftCell="D15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F17" sqref="F17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6" width="17.54296875" customWidth="1"/>
    <col min="7" max="7" width="20.453125" customWidth="1"/>
  </cols>
  <sheetData>
    <row r="1" spans="1:8" ht="21" x14ac:dyDescent="0.5">
      <c r="A1" s="1" t="s">
        <v>2</v>
      </c>
      <c r="B1" s="1" t="s">
        <v>3</v>
      </c>
      <c r="C1" s="45">
        <v>45748</v>
      </c>
    </row>
    <row r="2" spans="1:8" x14ac:dyDescent="0.35">
      <c r="A2" s="1" t="s">
        <v>4</v>
      </c>
      <c r="B2" s="1">
        <v>2025</v>
      </c>
    </row>
    <row r="3" spans="1: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</row>
    <row r="4" spans="1:8" ht="28.5" x14ac:dyDescent="0.65">
      <c r="B4" s="51" t="s">
        <v>58</v>
      </c>
      <c r="C4" s="49"/>
      <c r="D4" s="49"/>
      <c r="E4" s="49"/>
      <c r="F4" s="46"/>
      <c r="G4" s="3"/>
    </row>
    <row r="5" spans="1:8" ht="68.25" customHeight="1" x14ac:dyDescent="0.35">
      <c r="A5" s="12" t="s">
        <v>0</v>
      </c>
      <c r="B5" s="12" t="s">
        <v>1</v>
      </c>
      <c r="C5" s="40" t="s">
        <v>91</v>
      </c>
      <c r="D5" s="40" t="s">
        <v>32</v>
      </c>
      <c r="E5" s="40" t="s">
        <v>92</v>
      </c>
      <c r="F5" s="40" t="s">
        <v>93</v>
      </c>
      <c r="G5" s="40" t="s">
        <v>31</v>
      </c>
      <c r="H5" s="41" t="s">
        <v>61</v>
      </c>
    </row>
    <row r="6" spans="1:8" ht="17.5" x14ac:dyDescent="0.35">
      <c r="A6" s="12" t="s">
        <v>60</v>
      </c>
      <c r="B6" s="12" t="str">
        <f>VLOOKUP(A6,[5]LISTADHERENT!$A$4:$J$44,3,0)</f>
        <v>ASELBY</v>
      </c>
      <c r="C6" s="25">
        <f>IF(G6&gt;0,VLOOKUP(A6,[6]HISTOJANV25!$A$6:$BQ$46,25,0),0)</f>
        <v>250000</v>
      </c>
      <c r="D6" s="13"/>
      <c r="E6" s="14">
        <v>250000</v>
      </c>
      <c r="F6" s="43"/>
      <c r="G6" s="15">
        <f>SUM(D6:F6)</f>
        <v>250000</v>
      </c>
      <c r="H6" s="15">
        <v>2385</v>
      </c>
    </row>
    <row r="7" spans="1:8" ht="17.5" x14ac:dyDescent="0.35">
      <c r="A7" s="12" t="s">
        <v>66</v>
      </c>
      <c r="B7" s="12" t="str">
        <f>VLOOKUP(A7,[5]LISTADHERENT!$A$4:$J$44,3,0)</f>
        <v>BAKOP ACHILLE</v>
      </c>
      <c r="C7" s="25">
        <f>IF(G7&gt;0,VLOOKUP(A7,[6]HISTOJANV25!$A$6:$BQ$46,25,0),0)</f>
        <v>0</v>
      </c>
      <c r="D7" s="13"/>
      <c r="E7" s="14"/>
      <c r="F7" s="43"/>
      <c r="G7" s="15">
        <f>D7+E7+F7</f>
        <v>0</v>
      </c>
      <c r="H7" s="17"/>
    </row>
    <row r="8" spans="1:8" ht="17.5" x14ac:dyDescent="0.35">
      <c r="A8" s="12" t="s">
        <v>6</v>
      </c>
      <c r="B8" s="12" t="str">
        <f>VLOOKUP(A8,[5]LISTADHERENT!$A$4:$J$44,3,0)</f>
        <v>BOUTCHOUANG WILLIAM</v>
      </c>
      <c r="C8" s="25">
        <f>IF(G8&gt;0,VLOOKUP(A8,[6]HISTOJANV25!$A$6:$BQ$46,25,0),0)</f>
        <v>125000</v>
      </c>
      <c r="D8" s="13"/>
      <c r="E8" s="14">
        <v>125000</v>
      </c>
      <c r="F8" s="43"/>
      <c r="G8" s="15">
        <f t="shared" ref="G8:G42" si="0">D8+E8+F8</f>
        <v>125000</v>
      </c>
      <c r="H8" s="17"/>
    </row>
    <row r="9" spans="1:8" ht="17.5" x14ac:dyDescent="0.35">
      <c r="A9" s="12" t="s">
        <v>7</v>
      </c>
      <c r="B9" s="12" t="str">
        <f>VLOOKUP(A9,[5]LISTADHERENT!$A$4:$J$44,3,0)</f>
        <v xml:space="preserve">DJOMO JEAN PAUL </v>
      </c>
      <c r="C9" s="25">
        <f>IF(G9&gt;0,VLOOKUP(A9,[6]HISTOJANV25!$A$6:$BQ$46,25,0),0)</f>
        <v>250000</v>
      </c>
      <c r="D9" s="13">
        <f>102000+101500+50000</f>
        <v>253500</v>
      </c>
      <c r="E9" s="14"/>
      <c r="F9" s="43"/>
      <c r="G9" s="15">
        <f t="shared" si="0"/>
        <v>253500</v>
      </c>
      <c r="H9" s="17"/>
    </row>
    <row r="10" spans="1:8" ht="17.5" x14ac:dyDescent="0.35">
      <c r="A10" s="12" t="s">
        <v>8</v>
      </c>
      <c r="B10" s="12" t="str">
        <f>VLOOKUP(A10,[5]LISTADHERENT!$A$4:$J$44,3,0)</f>
        <v>DJOMOU TCHAPDA</v>
      </c>
      <c r="C10" s="25">
        <f>IF(G10&gt;0,VLOOKUP(A10,[6]HISTOJANV25!$A$6:$BQ$46,25,0),0)</f>
        <v>50000</v>
      </c>
      <c r="D10" s="13"/>
      <c r="E10" s="14">
        <v>50000</v>
      </c>
      <c r="F10" s="43"/>
      <c r="G10" s="15">
        <f t="shared" si="0"/>
        <v>50000</v>
      </c>
      <c r="H10" s="17"/>
    </row>
    <row r="11" spans="1:8" ht="17.5" x14ac:dyDescent="0.35">
      <c r="A11" s="12" t="s">
        <v>9</v>
      </c>
      <c r="B11" s="12" t="str">
        <f>VLOOKUP(A11,[5]LISTADHERENT!$A$4:$J$44,3,0)</f>
        <v>DJOUKWE NANGUEN GUY BLAISE</v>
      </c>
      <c r="C11" s="25">
        <f>IF(G11&gt;0,VLOOKUP(A11,[6]HISTOJANV25!$A$6:$BQ$46,25,0),0)</f>
        <v>150000</v>
      </c>
      <c r="D11" s="13">
        <v>100000</v>
      </c>
      <c r="E11" s="14">
        <v>50000</v>
      </c>
      <c r="F11" s="43"/>
      <c r="G11" s="15">
        <f t="shared" si="0"/>
        <v>150000</v>
      </c>
      <c r="H11" s="17"/>
    </row>
    <row r="12" spans="1:8" ht="17.5" x14ac:dyDescent="0.35">
      <c r="A12" s="12" t="s">
        <v>10</v>
      </c>
      <c r="B12" s="12" t="str">
        <f>VLOOKUP(A12,[5]LISTADHERENT!$A$4:$J$44,3,0)</f>
        <v>DJUOMBESSY ANTOINE</v>
      </c>
      <c r="C12" s="25">
        <f>IF(G12&gt;0,VLOOKUP(A12,[6]HISTOJANV25!$A$6:$BQ$46,25,0),0)</f>
        <v>250000</v>
      </c>
      <c r="D12" s="13"/>
      <c r="E12" s="14">
        <v>260000</v>
      </c>
      <c r="F12" s="43"/>
      <c r="G12" s="15">
        <f t="shared" si="0"/>
        <v>260000</v>
      </c>
      <c r="H12" s="17"/>
    </row>
    <row r="13" spans="1:8" ht="17.5" x14ac:dyDescent="0.35">
      <c r="A13" s="12" t="s">
        <v>11</v>
      </c>
      <c r="B13" s="12" t="str">
        <f>VLOOKUP(A13,[5]LISTADHERENT!$A$4:$J$44,3,0)</f>
        <v>DOMOU FABIEN</v>
      </c>
      <c r="C13" s="25">
        <f>IF(G13&gt;0,VLOOKUP(A13,[6]HISTOJANV25!$A$6:$BQ$46,25,0),0)</f>
        <v>50000</v>
      </c>
      <c r="D13" s="13"/>
      <c r="E13" s="14">
        <v>50000</v>
      </c>
      <c r="F13" s="43"/>
      <c r="G13" s="15">
        <f t="shared" si="0"/>
        <v>50000</v>
      </c>
      <c r="H13" s="17"/>
    </row>
    <row r="14" spans="1:8" ht="17.5" x14ac:dyDescent="0.35">
      <c r="A14" s="12" t="s">
        <v>12</v>
      </c>
      <c r="B14" s="12" t="str">
        <f>VLOOKUP(A14,[5]LISTADHERENT!$A$4:$J$44,3,0)</f>
        <v>DONHOU DAVID</v>
      </c>
      <c r="C14" s="25">
        <f>IF(G14&gt;0,VLOOKUP(A14,[6]HISTOJANV25!$A$6:$BQ$46,25,0),0)</f>
        <v>50000</v>
      </c>
      <c r="D14" s="13"/>
      <c r="E14" s="14">
        <v>50000</v>
      </c>
      <c r="F14" s="43"/>
      <c r="G14" s="15">
        <f t="shared" si="0"/>
        <v>50000</v>
      </c>
      <c r="H14" s="17"/>
    </row>
    <row r="15" spans="1:8" ht="17.5" x14ac:dyDescent="0.35">
      <c r="A15" s="12" t="s">
        <v>94</v>
      </c>
      <c r="B15" s="12" t="str">
        <f>VLOOKUP(A15,[5]LISTADHERENT!$A$4:$J$44,3,0)</f>
        <v>FAMPOU PAUL</v>
      </c>
      <c r="C15" s="25">
        <f>IF(G15&gt;0,VLOOKUP(A15,[6]HISTOMARS25!$A$6:$BQ$46,25,0),0)</f>
        <v>150000</v>
      </c>
      <c r="D15" s="13"/>
      <c r="E15" s="14">
        <v>150000</v>
      </c>
      <c r="F15" s="43"/>
      <c r="G15" s="15">
        <f t="shared" si="0"/>
        <v>150000</v>
      </c>
      <c r="H15" s="17"/>
    </row>
    <row r="16" spans="1:8" ht="17.5" x14ac:dyDescent="0.35">
      <c r="A16" s="12" t="s">
        <v>13</v>
      </c>
      <c r="B16" s="12" t="str">
        <f>VLOOKUP(A16,[5]LISTADHERENT!$A$4:$J$44,3,0)</f>
        <v>HENGUE PAUL OMER</v>
      </c>
      <c r="C16" s="25">
        <f>IF(G16&gt;0,VLOOKUP(A16,[6]HISTOJANV25!$A$6:$BQ$46,25,0),0)</f>
        <v>125000</v>
      </c>
      <c r="D16" s="13"/>
      <c r="E16" s="14">
        <v>125000</v>
      </c>
      <c r="F16" s="43"/>
      <c r="G16" s="15">
        <f t="shared" si="0"/>
        <v>125000</v>
      </c>
      <c r="H16" s="17"/>
    </row>
    <row r="17" spans="1:8" ht="17.5" x14ac:dyDescent="0.35">
      <c r="A17" s="12" t="s">
        <v>14</v>
      </c>
      <c r="B17" s="12" t="str">
        <f>VLOOKUP(A17,[5]LISTADHERENT!$A$4:$J$44,3,0)</f>
        <v>HOTCHO BENJAMIN</v>
      </c>
      <c r="C17" s="25">
        <f>IF(G17&gt;0,VLOOKUP(A17,[6]HISTOJANV25!$A$6:$BQ$46,25,0),0)</f>
        <v>225000</v>
      </c>
      <c r="D17" s="13"/>
      <c r="E17" s="14">
        <v>220000</v>
      </c>
      <c r="F17" s="43"/>
      <c r="G17" s="15">
        <f t="shared" si="0"/>
        <v>220000</v>
      </c>
      <c r="H17" s="17"/>
    </row>
    <row r="18" spans="1:8" ht="17.5" x14ac:dyDescent="0.35">
      <c r="A18" s="12" t="s">
        <v>15</v>
      </c>
      <c r="B18" s="12" t="str">
        <f>VLOOKUP(A18,[5]LISTADHERENT!$A$4:$J$44,3,0)</f>
        <v>KOUAMOU MOISE</v>
      </c>
      <c r="C18" s="25">
        <f>IF(G18&gt;0,VLOOKUP(A18,[6]HISTOJANV25!$A$6:$BQ$46,25,0),0)</f>
        <v>150000</v>
      </c>
      <c r="D18" s="13"/>
      <c r="E18" s="14">
        <v>150000</v>
      </c>
      <c r="F18" s="43"/>
      <c r="G18" s="15">
        <f t="shared" si="0"/>
        <v>150000</v>
      </c>
      <c r="H18" s="17"/>
    </row>
    <row r="19" spans="1:8" ht="17.5" x14ac:dyDescent="0.35">
      <c r="A19" s="12" t="s">
        <v>16</v>
      </c>
      <c r="B19" s="12" t="str">
        <f>VLOOKUP(A19,[5]LISTADHERENT!$A$4:$J$44,3,0)</f>
        <v>KOUATCHO MESSACK</v>
      </c>
      <c r="C19" s="25">
        <f>IF(G19&gt;0,VLOOKUP(A19,[6]HISTOJANV25!$A$6:$BQ$46,25,0),0)</f>
        <v>225000</v>
      </c>
      <c r="D19" s="13"/>
      <c r="E19" s="14">
        <v>150000</v>
      </c>
      <c r="F19" s="43"/>
      <c r="G19" s="15">
        <f t="shared" si="0"/>
        <v>150000</v>
      </c>
      <c r="H19" s="17"/>
    </row>
    <row r="20" spans="1:8" ht="17.5" x14ac:dyDescent="0.35">
      <c r="A20" s="12" t="s">
        <v>129</v>
      </c>
      <c r="B20" s="12" t="str">
        <f>VLOOKUP(A20,[5]LISTADHERENT!$A$4:$J$44,3,0)</f>
        <v>LOWE JEAN</v>
      </c>
      <c r="C20" s="25"/>
      <c r="D20" s="13"/>
      <c r="E20" s="14"/>
      <c r="F20" s="43"/>
      <c r="G20" s="15"/>
      <c r="H20" s="17"/>
    </row>
    <row r="21" spans="1:8" ht="17.5" x14ac:dyDescent="0.35">
      <c r="A21" s="12" t="s">
        <v>82</v>
      </c>
      <c r="B21" s="12" t="str">
        <f>VLOOKUP(A21,[5]LISTADHERENT!$A$4:$J$44,3,0)</f>
        <v>MASSEUNGOUE DAGOBERT</v>
      </c>
      <c r="C21" s="25">
        <f>IF(G21&gt;0,VLOOKUP(A21,[6]HISTOJANV25!$A$6:$BQ$46,25,0),0)</f>
        <v>50000</v>
      </c>
      <c r="D21" s="13"/>
      <c r="E21" s="14">
        <v>50000</v>
      </c>
      <c r="F21" s="43"/>
      <c r="G21" s="15">
        <f t="shared" si="0"/>
        <v>50000</v>
      </c>
      <c r="H21" s="17"/>
    </row>
    <row r="22" spans="1:8" ht="17.5" x14ac:dyDescent="0.35">
      <c r="A22" s="12" t="s">
        <v>17</v>
      </c>
      <c r="B22" s="12" t="str">
        <f>VLOOKUP(A22,[5]LISTADHERENT!$A$4:$J$44,3,0)</f>
        <v>MBOGNING TUGMA GUY</v>
      </c>
      <c r="C22" s="25">
        <f>IF(G22&gt;0,VLOOKUP(A22,[6]HISTOJANV25!$A$6:$BQ$46,25,0),0)</f>
        <v>325000</v>
      </c>
      <c r="D22" s="13">
        <v>202000</v>
      </c>
      <c r="E22" s="14">
        <v>325000</v>
      </c>
      <c r="F22" s="43"/>
      <c r="G22" s="15">
        <f t="shared" si="0"/>
        <v>527000</v>
      </c>
      <c r="H22" s="17"/>
    </row>
    <row r="23" spans="1:8" ht="17.5" x14ac:dyDescent="0.35">
      <c r="A23" s="12" t="s">
        <v>18</v>
      </c>
      <c r="B23" s="12" t="str">
        <f>VLOOKUP(A23,[5]LISTADHERENT!$A$4:$J$44,3,0)</f>
        <v>NANGUEN MARTIN</v>
      </c>
      <c r="C23" s="25">
        <f>IF(G23&gt;0,VLOOKUP(A23,[6]HISTOJANV25!$A$6:$BQ$46,25,0),0)</f>
        <v>50000</v>
      </c>
      <c r="D23" s="13"/>
      <c r="E23" s="14">
        <v>50000</v>
      </c>
      <c r="F23" s="43"/>
      <c r="G23" s="15">
        <f t="shared" si="0"/>
        <v>50000</v>
      </c>
      <c r="H23" s="17"/>
    </row>
    <row r="24" spans="1:8" ht="17.5" x14ac:dyDescent="0.35">
      <c r="A24" s="12" t="s">
        <v>19</v>
      </c>
      <c r="B24" s="12" t="str">
        <f>VLOOKUP(A24,[5]LISTADHERENT!$A$4:$J$44,3,0)</f>
        <v>NANKAM APPOLINAIRE</v>
      </c>
      <c r="C24" s="25">
        <f>IF(G24&gt;0,VLOOKUP(A24,[6]HISTOJANV25!$A$6:$BQ$46,25,0),0)</f>
        <v>125000</v>
      </c>
      <c r="D24" s="13"/>
      <c r="E24" s="14">
        <v>125000</v>
      </c>
      <c r="F24" s="43"/>
      <c r="G24" s="15">
        <f t="shared" si="0"/>
        <v>125000</v>
      </c>
      <c r="H24" s="17"/>
    </row>
    <row r="25" spans="1:8" ht="17.5" x14ac:dyDescent="0.35">
      <c r="A25" s="12" t="s">
        <v>20</v>
      </c>
      <c r="B25" s="12" t="str">
        <f>VLOOKUP(A25,[5]LISTADHERENT!$A$4:$J$44,3,0)</f>
        <v>NDJOMO ETIENNE</v>
      </c>
      <c r="C25" s="25">
        <f>IF(G25&gt;0,VLOOKUP(A25,[6]HISTOJANV25!$A$6:$BQ$46,25,0),0)</f>
        <v>250000</v>
      </c>
      <c r="D25" s="13"/>
      <c r="E25" s="14">
        <v>260000</v>
      </c>
      <c r="F25" s="43"/>
      <c r="G25" s="15">
        <f t="shared" si="0"/>
        <v>260000</v>
      </c>
      <c r="H25" s="17"/>
    </row>
    <row r="26" spans="1:8" ht="17.5" x14ac:dyDescent="0.35">
      <c r="A26" s="12" t="s">
        <v>21</v>
      </c>
      <c r="B26" s="12" t="str">
        <f>VLOOKUP(A26,[5]LISTADHERENT!$A$4:$J$44,3,0)</f>
        <v>NGONDIEP CLAUDE</v>
      </c>
      <c r="C26" s="25">
        <f>IF(G26&gt;0,VLOOKUP(A26,[6]HISTOJANV25!$A$6:$BQ$46,25,0),0)</f>
        <v>225000</v>
      </c>
      <c r="D26" s="13"/>
      <c r="E26" s="14">
        <v>240000</v>
      </c>
      <c r="F26" s="43"/>
      <c r="G26" s="15">
        <f t="shared" si="0"/>
        <v>240000</v>
      </c>
      <c r="H26" s="17"/>
    </row>
    <row r="27" spans="1:8" ht="17.5" x14ac:dyDescent="0.35">
      <c r="A27" s="12" t="s">
        <v>22</v>
      </c>
      <c r="B27" s="12" t="str">
        <f>VLOOKUP(A27,[5]LISTADHERENT!$A$4:$J$44,3,0)</f>
        <v>NGUIEMEGNI MATHIEU BLAISE</v>
      </c>
      <c r="C27" s="25">
        <f>IF(G27&gt;0,VLOOKUP(A27,[6]HISTOJANV25!$A$6:$BQ$46,25,0),0)</f>
        <v>250000</v>
      </c>
      <c r="D27" s="13">
        <v>35000</v>
      </c>
      <c r="E27" s="14">
        <v>300000</v>
      </c>
      <c r="F27" s="43"/>
      <c r="G27" s="15">
        <f t="shared" si="0"/>
        <v>335000</v>
      </c>
      <c r="H27" s="17"/>
    </row>
    <row r="28" spans="1:8" ht="17.5" x14ac:dyDescent="0.35">
      <c r="A28" s="12" t="s">
        <v>23</v>
      </c>
      <c r="B28" s="12" t="str">
        <f>VLOOKUP(A28,[5]LISTADHERENT!$A$4:$J$44,3,0)</f>
        <v>NKAMGANG JUSTIN DEJOLIE</v>
      </c>
      <c r="C28" s="25">
        <f>IF(G28&gt;0,VLOOKUP(A28,[6]HISTOJANV25!$A$6:$BQ$46,25,0),0)</f>
        <v>50000</v>
      </c>
      <c r="D28" s="13"/>
      <c r="E28" s="14">
        <v>50000</v>
      </c>
      <c r="F28" s="43"/>
      <c r="G28" s="15">
        <f t="shared" si="0"/>
        <v>50000</v>
      </c>
      <c r="H28" s="17"/>
    </row>
    <row r="29" spans="1:8" ht="17.5" x14ac:dyDescent="0.35">
      <c r="A29" s="12" t="s">
        <v>63</v>
      </c>
      <c r="B29" s="12" t="str">
        <f>VLOOKUP(A29,[5]LISTADHERENT!$A$4:$J$44,3,0)</f>
        <v>NOUBE ETIENNE</v>
      </c>
      <c r="C29" s="25">
        <f>IF(G29&gt;0,VLOOKUP(A29,[6]HISTOJANV25!$A$6:$BQ$46,25,0),0)</f>
        <v>50000</v>
      </c>
      <c r="D29" s="13"/>
      <c r="E29" s="14">
        <v>50000</v>
      </c>
      <c r="F29" s="43"/>
      <c r="G29" s="15">
        <f t="shared" si="0"/>
        <v>50000</v>
      </c>
      <c r="H29" s="17"/>
    </row>
    <row r="30" spans="1:8" ht="17.5" x14ac:dyDescent="0.35">
      <c r="A30" s="12" t="s">
        <v>24</v>
      </c>
      <c r="B30" s="12" t="str">
        <f>VLOOKUP(A30,[5]LISTADHERENT!$A$4:$J$44,3,0)</f>
        <v>PATEGO NJOSSU GUSTAVE</v>
      </c>
      <c r="C30" s="25">
        <f>IF(G30&gt;0,VLOOKUP(A30,[6]HISTOJANV25!$A$6:$BQ$46,25,0),0)</f>
        <v>125000</v>
      </c>
      <c r="D30" s="13"/>
      <c r="E30" s="14">
        <v>125000</v>
      </c>
      <c r="F30" s="43"/>
      <c r="G30" s="15">
        <f t="shared" si="0"/>
        <v>125000</v>
      </c>
      <c r="H30" s="17"/>
    </row>
    <row r="31" spans="1:8" ht="17.5" x14ac:dyDescent="0.35">
      <c r="A31" s="12" t="s">
        <v>64</v>
      </c>
      <c r="B31" s="12" t="str">
        <f>VLOOKUP(A31,[5]LISTADHERENT!$A$4:$J$44,3,0)</f>
        <v>SEUMO POLYCARPE</v>
      </c>
      <c r="C31" s="25">
        <f>IF(G31&gt;0,VLOOKUP(A31,[6]HISTOJANV25!$A$6:$BQ$46,25,0),0)</f>
        <v>50000</v>
      </c>
      <c r="D31" s="13"/>
      <c r="E31" s="14">
        <v>50000</v>
      </c>
      <c r="F31" s="43"/>
      <c r="G31" s="15">
        <f t="shared" si="0"/>
        <v>50000</v>
      </c>
      <c r="H31" s="17"/>
    </row>
    <row r="32" spans="1:8" ht="17.5" x14ac:dyDescent="0.35">
      <c r="A32" s="12" t="s">
        <v>25</v>
      </c>
      <c r="B32" s="12" t="str">
        <f>VLOOKUP(A32,[5]LISTADHERENT!$A$4:$J$44,3,0)</f>
        <v>SIME BRICE</v>
      </c>
      <c r="C32" s="25">
        <f>IF(G32&gt;0,VLOOKUP(A32,[6]HISTOJANV25!$A$6:$BQ$46,25,0),0)</f>
        <v>250000</v>
      </c>
      <c r="D32" s="13">
        <v>50000</v>
      </c>
      <c r="E32" s="14">
        <v>250000</v>
      </c>
      <c r="F32" s="43"/>
      <c r="G32" s="15">
        <f t="shared" si="0"/>
        <v>300000</v>
      </c>
      <c r="H32" s="17"/>
    </row>
    <row r="33" spans="1:8" ht="17.5" x14ac:dyDescent="0.35">
      <c r="A33" s="12" t="s">
        <v>89</v>
      </c>
      <c r="B33" s="12" t="str">
        <f>VLOOKUP(A33,[5]LISTADHERENT!$A$4:$J$44,3,0)</f>
        <v>SIMO FONGANG ERIC</v>
      </c>
      <c r="C33" s="25">
        <f>IF(G33&gt;0,VLOOKUP(A33,[6]HISTOJANV25!$A$6:$BQ$46,25,0),0)</f>
        <v>50000</v>
      </c>
      <c r="D33" s="13">
        <v>50000</v>
      </c>
      <c r="E33" s="14"/>
      <c r="F33" s="43"/>
      <c r="G33" s="15">
        <f t="shared" si="0"/>
        <v>50000</v>
      </c>
      <c r="H33" s="17"/>
    </row>
    <row r="34" spans="1:8" ht="17.5" x14ac:dyDescent="0.35">
      <c r="A34" s="12" t="s">
        <v>26</v>
      </c>
      <c r="B34" s="12" t="str">
        <f>VLOOKUP(A34,[5]LISTADHERENT!$A$4:$J$44,3,0)</f>
        <v>SIMO PIERRE</v>
      </c>
      <c r="C34" s="25">
        <f>IF(G34&gt;0,VLOOKUP(A34,[6]HISTOJANV25!$A$6:$BQ$46,25,0),0)</f>
        <v>150000</v>
      </c>
      <c r="D34" s="13"/>
      <c r="E34" s="14">
        <v>100000</v>
      </c>
      <c r="F34" s="43"/>
      <c r="G34" s="15">
        <f t="shared" si="0"/>
        <v>100000</v>
      </c>
      <c r="H34" s="17"/>
    </row>
    <row r="35" spans="1:8" ht="17.5" x14ac:dyDescent="0.35">
      <c r="A35" s="12" t="s">
        <v>27</v>
      </c>
      <c r="B35" s="12" t="str">
        <f>VLOOKUP(A35,[5]LISTADHERENT!$A$4:$J$44,3,0)</f>
        <v>TCHOUAMOU MATHIEU</v>
      </c>
      <c r="C35" s="25">
        <f>IF(G35&gt;0,VLOOKUP(A35,[6]HISTOJANV25!$A$6:$BQ$46,25,0),0)</f>
        <v>125000</v>
      </c>
      <c r="D35" s="13"/>
      <c r="E35" s="14">
        <v>125000</v>
      </c>
      <c r="F35" s="43"/>
      <c r="G35" s="15">
        <f t="shared" si="0"/>
        <v>125000</v>
      </c>
      <c r="H35" s="17"/>
    </row>
    <row r="36" spans="1:8" ht="17.5" x14ac:dyDescent="0.35">
      <c r="A36" s="12" t="s">
        <v>81</v>
      </c>
      <c r="B36" s="12" t="str">
        <f>VLOOKUP(A36,[5]LISTADHERENT!$A$4:$J$44,3,0)</f>
        <v>TCHOUATEU AUGUSTIN</v>
      </c>
      <c r="C36" s="25">
        <f>IF(G36&gt;0,VLOOKUP(A36,[6]HISTOJANV25!$A$6:$BQ$46,25,0),0)</f>
        <v>150000</v>
      </c>
      <c r="D36" s="13">
        <v>102000</v>
      </c>
      <c r="E36" s="14">
        <v>150000</v>
      </c>
      <c r="F36" s="43"/>
      <c r="G36" s="15">
        <f t="shared" si="0"/>
        <v>252000</v>
      </c>
      <c r="H36" s="17"/>
    </row>
    <row r="37" spans="1:8" ht="17.5" x14ac:dyDescent="0.35">
      <c r="A37" s="12" t="s">
        <v>62</v>
      </c>
      <c r="B37" s="12" t="str">
        <f>VLOOKUP(A37,[5]LISTADHERENT!$A$4:$J$44,3,0)</f>
        <v>TCHOUTOU NANA CLAUDE</v>
      </c>
      <c r="C37" s="25">
        <f>IF(G37&gt;0,VLOOKUP(A37,[6]HISTOJANV25!$A$6:$BQ$46,25,0),0)</f>
        <v>50000</v>
      </c>
      <c r="D37" s="13"/>
      <c r="E37" s="14">
        <v>50000</v>
      </c>
      <c r="F37" s="43"/>
      <c r="G37" s="15">
        <f t="shared" si="0"/>
        <v>50000</v>
      </c>
      <c r="H37" s="17"/>
    </row>
    <row r="38" spans="1:8" ht="17.5" x14ac:dyDescent="0.35">
      <c r="A38" s="12" t="s">
        <v>90</v>
      </c>
      <c r="B38" s="12" t="str">
        <f>VLOOKUP(A38,[5]LISTADHERENT!$A$4:$J$44,3,0)</f>
        <v>TIEYAM ERNEST</v>
      </c>
      <c r="C38" s="25">
        <f>IF(G38&gt;0,VLOOKUP(A38,[6]HISTOJANV25!$A$6:$BQ$46,25,0),0)</f>
        <v>50000</v>
      </c>
      <c r="D38" s="13">
        <v>50000</v>
      </c>
      <c r="E38" s="14"/>
      <c r="F38" s="43"/>
      <c r="G38" s="15">
        <f t="shared" si="0"/>
        <v>50000</v>
      </c>
      <c r="H38" s="17"/>
    </row>
    <row r="39" spans="1:8" ht="17.5" x14ac:dyDescent="0.35">
      <c r="A39" s="12" t="s">
        <v>65</v>
      </c>
      <c r="B39" s="12" t="str">
        <f>VLOOKUP(A39,[5]LISTADHERENT!$A$4:$J$44,3,0)</f>
        <v>YANTCHOU GERVAIS</v>
      </c>
      <c r="C39" s="25">
        <f>IF(G39&gt;0,VLOOKUP(A39,[6]HISTOJANV25!$A$6:$BQ$46,25,0),0)</f>
        <v>125000</v>
      </c>
      <c r="D39" s="13"/>
      <c r="E39" s="14">
        <v>125000</v>
      </c>
      <c r="F39" s="43"/>
      <c r="G39" s="15">
        <f t="shared" si="0"/>
        <v>125000</v>
      </c>
      <c r="H39" s="17"/>
    </row>
    <row r="40" spans="1:8" ht="17.5" x14ac:dyDescent="0.35">
      <c r="A40" s="12" t="s">
        <v>28</v>
      </c>
      <c r="B40" s="12" t="str">
        <f>VLOOKUP(A40,[5]LISTADHERENT!$A$4:$J$44,3,0)</f>
        <v>YEPMOU JEAN JACQUES</v>
      </c>
      <c r="C40" s="25">
        <f>IF(G40&gt;0,VLOOKUP(A40,[6]HISTOJANV25!$A$6:$BQ$46,25,0),0)</f>
        <v>50000</v>
      </c>
      <c r="D40" s="13">
        <v>50000</v>
      </c>
      <c r="E40" s="14"/>
      <c r="F40" s="43"/>
      <c r="G40" s="15">
        <f t="shared" si="0"/>
        <v>50000</v>
      </c>
      <c r="H40" s="17"/>
    </row>
    <row r="41" spans="1:8" ht="17.5" x14ac:dyDescent="0.35">
      <c r="A41" s="12" t="s">
        <v>80</v>
      </c>
      <c r="B41" s="12" t="str">
        <f>VLOOKUP(A41,[5]LISTADHERENT!$A$4:$J$44,3,0)</f>
        <v>YIALA ALAIN OSCAR</v>
      </c>
      <c r="C41" s="25">
        <f>IF(G41&gt;0,VLOOKUP(A41,[6]HISTOJANV25!$A$6:$BQ$46,25,0),0)</f>
        <v>250000</v>
      </c>
      <c r="D41" s="13">
        <v>250000</v>
      </c>
      <c r="E41" s="14"/>
      <c r="F41" s="43"/>
      <c r="G41" s="15">
        <f t="shared" si="0"/>
        <v>250000</v>
      </c>
      <c r="H41" s="17"/>
    </row>
    <row r="42" spans="1:8" ht="17.5" x14ac:dyDescent="0.35">
      <c r="A42" s="12" t="s">
        <v>29</v>
      </c>
      <c r="B42" s="12" t="str">
        <f>VLOOKUP(A42,[5]LISTADHERENT!$A$4:$J$44,3,0)</f>
        <v>YOUMBI EMMANUEL</v>
      </c>
      <c r="C42" s="25">
        <f>IF(G42&gt;0,VLOOKUP(A42,[6]HISTOJANV25!$A$6:$BQ$46,25,0),0)</f>
        <v>225000</v>
      </c>
      <c r="D42" s="13"/>
      <c r="E42" s="14">
        <v>225000</v>
      </c>
      <c r="F42" s="43"/>
      <c r="G42" s="15">
        <f t="shared" si="0"/>
        <v>225000</v>
      </c>
      <c r="H42" s="17"/>
    </row>
    <row r="43" spans="1:8" x14ac:dyDescent="0.35">
      <c r="A43" s="17"/>
      <c r="B43" s="17"/>
      <c r="C43" s="17"/>
      <c r="D43" s="17"/>
      <c r="E43" s="17"/>
      <c r="F43" s="17"/>
      <c r="G43" s="17"/>
      <c r="H43" s="17"/>
    </row>
    <row r="44" spans="1:8" ht="17.5" x14ac:dyDescent="0.35">
      <c r="A44" s="17"/>
      <c r="B44" s="12" t="s">
        <v>30</v>
      </c>
      <c r="C44" s="42">
        <f>SUM(C6:C42)</f>
        <v>5075000</v>
      </c>
      <c r="D44" s="42">
        <f t="shared" ref="D44:H44" si="1">SUM(D6:D42)</f>
        <v>1142500</v>
      </c>
      <c r="E44" s="42">
        <f t="shared" si="1"/>
        <v>4280000</v>
      </c>
      <c r="F44" s="42">
        <f t="shared" si="1"/>
        <v>0</v>
      </c>
      <c r="G44" s="42">
        <f t="shared" si="1"/>
        <v>5422500</v>
      </c>
      <c r="H44" s="42">
        <f t="shared" si="1"/>
        <v>2385</v>
      </c>
    </row>
    <row r="46" spans="1:8" x14ac:dyDescent="0.35">
      <c r="E46">
        <v>8568500</v>
      </c>
    </row>
  </sheetData>
  <autoFilter ref="A5:G42" xr:uid="{00000000-0009-0000-0000-000002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3CB0D-66A7-400B-8676-3D0CF0EB973E}">
  <dimension ref="A1:H44"/>
  <sheetViews>
    <sheetView zoomScale="106" zoomScaleNormal="106" workbookViewId="0">
      <pane xSplit="3" ySplit="5" topLeftCell="D18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20" sqref="A20:B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6" width="17.54296875" customWidth="1"/>
    <col min="7" max="7" width="20.453125" customWidth="1"/>
  </cols>
  <sheetData>
    <row r="1" spans="1:8" ht="21" x14ac:dyDescent="0.5">
      <c r="A1" s="1" t="s">
        <v>2</v>
      </c>
      <c r="B1" s="1" t="s">
        <v>3</v>
      </c>
      <c r="C1" s="45">
        <v>45778</v>
      </c>
    </row>
    <row r="2" spans="1:8" x14ac:dyDescent="0.35">
      <c r="A2" s="1" t="s">
        <v>4</v>
      </c>
      <c r="B2" s="1">
        <v>2025</v>
      </c>
    </row>
    <row r="3" spans="1: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</row>
    <row r="4" spans="1:8" ht="28.5" x14ac:dyDescent="0.65">
      <c r="B4" s="51" t="s">
        <v>58</v>
      </c>
      <c r="C4" s="49"/>
      <c r="D4" s="49"/>
      <c r="E4" s="49"/>
      <c r="F4" s="46"/>
      <c r="G4" s="3"/>
    </row>
    <row r="5" spans="1:8" ht="68.25" customHeight="1" x14ac:dyDescent="0.35">
      <c r="A5" s="12" t="s">
        <v>0</v>
      </c>
      <c r="B5" s="12" t="s">
        <v>1</v>
      </c>
      <c r="C5" s="40" t="s">
        <v>91</v>
      </c>
      <c r="D5" s="40" t="s">
        <v>32</v>
      </c>
      <c r="E5" s="40" t="s">
        <v>92</v>
      </c>
      <c r="F5" s="40" t="s">
        <v>93</v>
      </c>
      <c r="G5" s="40" t="s">
        <v>31</v>
      </c>
      <c r="H5" s="41" t="s">
        <v>61</v>
      </c>
    </row>
    <row r="6" spans="1:8" ht="17.5" x14ac:dyDescent="0.35">
      <c r="A6" s="12" t="s">
        <v>60</v>
      </c>
      <c r="B6" s="12" t="str">
        <f>VLOOKUP(A6,[5]LISTADHERENT!$A$4:$J$44,3,0)</f>
        <v>ASELBY</v>
      </c>
      <c r="C6" s="25">
        <f>IF(G6&gt;0,VLOOKUP(A6,[6]HISTOJANV25!$A$6:$BQ$46,25,0),0)</f>
        <v>250000</v>
      </c>
      <c r="D6" s="13"/>
      <c r="E6" s="14">
        <v>250000</v>
      </c>
      <c r="F6" s="43"/>
      <c r="G6" s="15">
        <f>SUM(D6:F6)</f>
        <v>250000</v>
      </c>
      <c r="H6" s="15">
        <v>2385</v>
      </c>
    </row>
    <row r="7" spans="1:8" ht="17.5" x14ac:dyDescent="0.35">
      <c r="A7" s="12" t="s">
        <v>66</v>
      </c>
      <c r="B7" s="12" t="str">
        <f>VLOOKUP(A7,[5]LISTADHERENT!$A$4:$J$44,3,0)</f>
        <v>BAKOP ACHILLE</v>
      </c>
      <c r="C7" s="25">
        <f>IF(G7&gt;0,VLOOKUP(A7,[6]HISTOJANV25!$A$6:$BQ$46,25,0),0)</f>
        <v>50000</v>
      </c>
      <c r="D7" s="13"/>
      <c r="E7" s="14">
        <v>100000</v>
      </c>
      <c r="F7" s="43"/>
      <c r="G7" s="15">
        <f t="shared" ref="G7:G42" si="0">SUM(D7:F7)</f>
        <v>100000</v>
      </c>
      <c r="H7" s="17"/>
    </row>
    <row r="8" spans="1:8" ht="17.5" x14ac:dyDescent="0.35">
      <c r="A8" s="12" t="s">
        <v>6</v>
      </c>
      <c r="B8" s="12" t="str">
        <f>VLOOKUP(A8,[5]LISTADHERENT!$A$4:$J$44,3,0)</f>
        <v>BOUTCHOUANG WILLIAM</v>
      </c>
      <c r="C8" s="25">
        <f>IF(G8&gt;0,VLOOKUP(A8,[6]HISTOJANV25!$A$6:$BQ$46,25,0),0)</f>
        <v>125000</v>
      </c>
      <c r="D8" s="13"/>
      <c r="E8" s="14">
        <v>125000</v>
      </c>
      <c r="F8" s="43"/>
      <c r="G8" s="15">
        <f t="shared" si="0"/>
        <v>125000</v>
      </c>
      <c r="H8" s="17"/>
    </row>
    <row r="9" spans="1:8" ht="17.5" x14ac:dyDescent="0.35">
      <c r="A9" s="12" t="s">
        <v>7</v>
      </c>
      <c r="B9" s="12" t="str">
        <f>VLOOKUP(A9,[5]LISTADHERENT!$A$4:$J$44,3,0)</f>
        <v xml:space="preserve">DJOMO JEAN PAUL </v>
      </c>
      <c r="C9" s="25">
        <f>IF(G9&gt;0,VLOOKUP(A9,[6]HISTOJANV25!$A$6:$BQ$46,25,0),0)</f>
        <v>250000</v>
      </c>
      <c r="D9" s="13">
        <f>202000+50000</f>
        <v>252000</v>
      </c>
      <c r="E9" s="14">
        <v>250000</v>
      </c>
      <c r="F9" s="43"/>
      <c r="G9" s="15">
        <f t="shared" si="0"/>
        <v>502000</v>
      </c>
      <c r="H9" s="17"/>
    </row>
    <row r="10" spans="1:8" ht="17.5" x14ac:dyDescent="0.35">
      <c r="A10" s="12" t="s">
        <v>8</v>
      </c>
      <c r="B10" s="12" t="str">
        <f>VLOOKUP(A10,[5]LISTADHERENT!$A$4:$J$44,3,0)</f>
        <v>DJOMOU TCHAPDA</v>
      </c>
      <c r="C10" s="25">
        <f>IF(G10&gt;0,VLOOKUP(A10,[6]HISTOJANV25!$A$6:$BQ$46,25,0),0)</f>
        <v>50000</v>
      </c>
      <c r="D10" s="13">
        <v>1500</v>
      </c>
      <c r="E10" s="14">
        <f>50000+31000</f>
        <v>81000</v>
      </c>
      <c r="F10" s="43"/>
      <c r="G10" s="15">
        <f t="shared" si="0"/>
        <v>82500</v>
      </c>
      <c r="H10" s="17"/>
    </row>
    <row r="11" spans="1:8" ht="17.5" x14ac:dyDescent="0.35">
      <c r="A11" s="12" t="s">
        <v>9</v>
      </c>
      <c r="B11" s="12" t="str">
        <f>VLOOKUP(A11,[5]LISTADHERENT!$A$4:$J$44,3,0)</f>
        <v>DJOUKWE NANGUEN GUY BLAISE</v>
      </c>
      <c r="C11" s="25">
        <f>IF(G11&gt;0,VLOOKUP(A11,[6]HISTOJANV25!$A$6:$BQ$46,25,0),0)</f>
        <v>150000</v>
      </c>
      <c r="D11" s="13"/>
      <c r="E11" s="14">
        <v>150000</v>
      </c>
      <c r="F11" s="43"/>
      <c r="G11" s="15">
        <f t="shared" si="0"/>
        <v>150000</v>
      </c>
      <c r="H11" s="17"/>
    </row>
    <row r="12" spans="1:8" ht="17.5" x14ac:dyDescent="0.35">
      <c r="A12" s="12" t="s">
        <v>10</v>
      </c>
      <c r="B12" s="12" t="str">
        <f>VLOOKUP(A12,[5]LISTADHERENT!$A$4:$J$44,3,0)</f>
        <v>DJUOMBESSY ANTOINE</v>
      </c>
      <c r="C12" s="25">
        <f>IF(G12&gt;0,VLOOKUP(A12,[6]HISTOJANV25!$A$6:$BQ$46,25,0),0)</f>
        <v>250000</v>
      </c>
      <c r="D12" s="13"/>
      <c r="E12" s="14">
        <v>260000</v>
      </c>
      <c r="F12" s="43"/>
      <c r="G12" s="15">
        <f t="shared" si="0"/>
        <v>260000</v>
      </c>
      <c r="H12" s="17"/>
    </row>
    <row r="13" spans="1:8" ht="17.5" x14ac:dyDescent="0.35">
      <c r="A13" s="12" t="s">
        <v>11</v>
      </c>
      <c r="B13" s="12" t="str">
        <f>VLOOKUP(A13,[5]LISTADHERENT!$A$4:$J$44,3,0)</f>
        <v>DOMOU FABIEN</v>
      </c>
      <c r="C13" s="25">
        <f>IF(G13&gt;0,VLOOKUP(A13,[6]HISTOJANV25!$A$6:$BQ$46,25,0),0)</f>
        <v>50000</v>
      </c>
      <c r="D13" s="13"/>
      <c r="E13" s="14">
        <v>50000</v>
      </c>
      <c r="F13" s="43"/>
      <c r="G13" s="15">
        <f t="shared" si="0"/>
        <v>50000</v>
      </c>
      <c r="H13" s="17"/>
    </row>
    <row r="14" spans="1:8" ht="17.5" x14ac:dyDescent="0.35">
      <c r="A14" s="12" t="s">
        <v>12</v>
      </c>
      <c r="B14" s="12" t="str">
        <f>VLOOKUP(A14,[5]LISTADHERENT!$A$4:$J$44,3,0)</f>
        <v>DONHOU DAVID</v>
      </c>
      <c r="C14" s="25">
        <f>IF(G14&gt;0,VLOOKUP(A14,[6]HISTOJANV25!$A$6:$BQ$46,25,0),0)</f>
        <v>50000</v>
      </c>
      <c r="D14" s="13"/>
      <c r="E14" s="14">
        <v>50000</v>
      </c>
      <c r="F14" s="43"/>
      <c r="G14" s="15">
        <f t="shared" si="0"/>
        <v>50000</v>
      </c>
      <c r="H14" s="17"/>
    </row>
    <row r="15" spans="1:8" ht="17.5" x14ac:dyDescent="0.35">
      <c r="A15" s="12" t="s">
        <v>94</v>
      </c>
      <c r="B15" s="12" t="str">
        <f>VLOOKUP(A15,[5]LISTADHERENT!$A$4:$J$44,3,0)</f>
        <v>FAMPOU PAUL</v>
      </c>
      <c r="C15" s="25">
        <f>IF(G15&gt;0,VLOOKUP(A15,[6]HISTOMARS25!$A$6:$BQ$46,25,0),0)</f>
        <v>150000</v>
      </c>
      <c r="D15" s="13"/>
      <c r="E15" s="14">
        <v>150000</v>
      </c>
      <c r="F15" s="43"/>
      <c r="G15" s="15">
        <f t="shared" si="0"/>
        <v>150000</v>
      </c>
      <c r="H15" s="17"/>
    </row>
    <row r="16" spans="1:8" ht="17.5" x14ac:dyDescent="0.35">
      <c r="A16" s="12" t="s">
        <v>13</v>
      </c>
      <c r="B16" s="12" t="str">
        <f>VLOOKUP(A16,[5]LISTADHERENT!$A$4:$J$44,3,0)</f>
        <v>HENGUE PAUL OMER</v>
      </c>
      <c r="C16" s="25">
        <f>IF(G16&gt;0,VLOOKUP(A16,[6]HISTOJANV25!$A$6:$BQ$46,25,0),0)</f>
        <v>125000</v>
      </c>
      <c r="D16" s="13"/>
      <c r="E16" s="14">
        <v>125000</v>
      </c>
      <c r="F16" s="43"/>
      <c r="G16" s="15">
        <f t="shared" si="0"/>
        <v>125000</v>
      </c>
      <c r="H16" s="17"/>
    </row>
    <row r="17" spans="1:8" ht="17.5" x14ac:dyDescent="0.35">
      <c r="A17" s="12" t="s">
        <v>14</v>
      </c>
      <c r="B17" s="12" t="str">
        <f>VLOOKUP(A17,[5]LISTADHERENT!$A$4:$J$44,3,0)</f>
        <v>HOTCHO BENJAMIN</v>
      </c>
      <c r="C17" s="25">
        <f>IF(G17&gt;0,VLOOKUP(A17,[6]HISTOJANV25!$A$6:$BQ$46,25,0),0)</f>
        <v>225000</v>
      </c>
      <c r="D17" s="13"/>
      <c r="E17" s="14">
        <v>250000</v>
      </c>
      <c r="F17" s="43"/>
      <c r="G17" s="15">
        <f t="shared" si="0"/>
        <v>250000</v>
      </c>
      <c r="H17" s="17"/>
    </row>
    <row r="18" spans="1:8" ht="17.5" x14ac:dyDescent="0.35">
      <c r="A18" s="12" t="s">
        <v>15</v>
      </c>
      <c r="B18" s="12" t="str">
        <f>VLOOKUP(A18,[5]LISTADHERENT!$A$4:$J$44,3,0)</f>
        <v>KOUAMOU MOISE</v>
      </c>
      <c r="C18" s="25">
        <f>IF(G18&gt;0,VLOOKUP(A18,[6]HISTOJANV25!$A$6:$BQ$46,25,0),0)</f>
        <v>150000</v>
      </c>
      <c r="D18" s="13">
        <v>102000</v>
      </c>
      <c r="E18" s="14">
        <v>150000</v>
      </c>
      <c r="F18" s="43"/>
      <c r="G18" s="15">
        <f t="shared" si="0"/>
        <v>252000</v>
      </c>
      <c r="H18" s="17"/>
    </row>
    <row r="19" spans="1:8" ht="17.5" x14ac:dyDescent="0.35">
      <c r="A19" s="12" t="s">
        <v>16</v>
      </c>
      <c r="B19" s="12" t="str">
        <f>VLOOKUP(A19,[5]LISTADHERENT!$A$4:$J$44,3,0)</f>
        <v>KOUATCHO MESSACK</v>
      </c>
      <c r="C19" s="25">
        <f>IF(G19&gt;0,VLOOKUP(A19,[6]HISTOJANV25!$A$6:$BQ$46,25,0),0)</f>
        <v>225000</v>
      </c>
      <c r="D19" s="13">
        <v>27000</v>
      </c>
      <c r="E19" s="14">
        <v>298500</v>
      </c>
      <c r="F19" s="43"/>
      <c r="G19" s="15">
        <f t="shared" si="0"/>
        <v>325500</v>
      </c>
      <c r="H19" s="17"/>
    </row>
    <row r="20" spans="1:8" ht="17.5" x14ac:dyDescent="0.35">
      <c r="A20" s="12" t="s">
        <v>129</v>
      </c>
      <c r="B20" s="12" t="str">
        <f>VLOOKUP(A20,[5]LISTADHERENT!$A$4:$J$44,3,0)</f>
        <v>LOWE JEAN</v>
      </c>
      <c r="C20" s="25"/>
      <c r="D20" s="13"/>
      <c r="E20" s="14"/>
      <c r="F20" s="43"/>
      <c r="G20" s="15"/>
      <c r="H20" s="17"/>
    </row>
    <row r="21" spans="1:8" ht="17.5" x14ac:dyDescent="0.35">
      <c r="A21" s="12" t="s">
        <v>82</v>
      </c>
      <c r="B21" s="12" t="str">
        <f>VLOOKUP(A21,[5]LISTADHERENT!$A$4:$J$44,3,0)</f>
        <v>MASSEUNGOUE DAGOBERT</v>
      </c>
      <c r="C21" s="25">
        <f>IF(G21&gt;0,VLOOKUP(A21,[6]HISTOJANV25!$A$6:$BQ$46,25,0),0)</f>
        <v>50000</v>
      </c>
      <c r="D21" s="13"/>
      <c r="E21" s="14">
        <v>50000</v>
      </c>
      <c r="F21" s="43"/>
      <c r="G21" s="15">
        <f t="shared" si="0"/>
        <v>50000</v>
      </c>
      <c r="H21" s="17"/>
    </row>
    <row r="22" spans="1:8" ht="17.5" x14ac:dyDescent="0.35">
      <c r="A22" s="12" t="s">
        <v>17</v>
      </c>
      <c r="B22" s="12" t="str">
        <f>VLOOKUP(A22,[5]LISTADHERENT!$A$4:$J$44,3,0)</f>
        <v>MBOGNING TUGMA GUY</v>
      </c>
      <c r="C22" s="25">
        <f>IF(G22&gt;0,VLOOKUP(A22,[6]HISTOJANV25!$A$6:$BQ$46,25,0),0)</f>
        <v>325000</v>
      </c>
      <c r="D22" s="13">
        <v>202000</v>
      </c>
      <c r="E22" s="14">
        <v>325000</v>
      </c>
      <c r="F22" s="43"/>
      <c r="G22" s="15">
        <f t="shared" si="0"/>
        <v>527000</v>
      </c>
      <c r="H22" s="17"/>
    </row>
    <row r="23" spans="1:8" ht="17.5" x14ac:dyDescent="0.35">
      <c r="A23" s="12" t="s">
        <v>18</v>
      </c>
      <c r="B23" s="12" t="str">
        <f>VLOOKUP(A23,[5]LISTADHERENT!$A$4:$J$44,3,0)</f>
        <v>NANGUEN MARTIN</v>
      </c>
      <c r="C23" s="25">
        <f>IF(G23&gt;0,VLOOKUP(A23,[6]HISTOJANV25!$A$6:$BQ$46,25,0),0)</f>
        <v>50000</v>
      </c>
      <c r="D23" s="13">
        <v>203000</v>
      </c>
      <c r="E23" s="14"/>
      <c r="F23" s="43"/>
      <c r="G23" s="15">
        <f t="shared" si="0"/>
        <v>203000</v>
      </c>
      <c r="H23" s="17"/>
    </row>
    <row r="24" spans="1:8" ht="17.5" x14ac:dyDescent="0.35">
      <c r="A24" s="12" t="s">
        <v>19</v>
      </c>
      <c r="B24" s="12" t="str">
        <f>VLOOKUP(A24,[5]LISTADHERENT!$A$4:$J$44,3,0)</f>
        <v>NANKAM APPOLINAIRE</v>
      </c>
      <c r="C24" s="25">
        <f>IF(G24&gt;0,VLOOKUP(A24,[6]HISTOJANV25!$A$6:$BQ$46,25,0),0)</f>
        <v>125000</v>
      </c>
      <c r="D24" s="13"/>
      <c r="E24" s="14">
        <v>125000</v>
      </c>
      <c r="F24" s="43"/>
      <c r="G24" s="15">
        <f t="shared" si="0"/>
        <v>125000</v>
      </c>
      <c r="H24" s="17"/>
    </row>
    <row r="25" spans="1:8" ht="17.5" x14ac:dyDescent="0.35">
      <c r="A25" s="12" t="s">
        <v>20</v>
      </c>
      <c r="B25" s="12" t="str">
        <f>VLOOKUP(A25,[5]LISTADHERENT!$A$4:$J$44,3,0)</f>
        <v>NDJOMO ETIENNE</v>
      </c>
      <c r="C25" s="25">
        <f>IF(G25&gt;0,VLOOKUP(A25,[6]HISTOJANV25!$A$6:$BQ$46,25,0),0)</f>
        <v>250000</v>
      </c>
      <c r="D25" s="13"/>
      <c r="E25" s="14">
        <v>260000</v>
      </c>
      <c r="F25" s="43"/>
      <c r="G25" s="15">
        <f t="shared" si="0"/>
        <v>260000</v>
      </c>
      <c r="H25" s="17"/>
    </row>
    <row r="26" spans="1:8" ht="17.5" x14ac:dyDescent="0.35">
      <c r="A26" s="12" t="s">
        <v>21</v>
      </c>
      <c r="B26" s="12" t="str">
        <f>VLOOKUP(A26,[5]LISTADHERENT!$A$4:$J$44,3,0)</f>
        <v>NGONDIEP CLAUDE</v>
      </c>
      <c r="C26" s="25">
        <f>IF(G26&gt;0,VLOOKUP(A26,[6]HISTOJANV25!$A$6:$BQ$46,25,0),0)</f>
        <v>225000</v>
      </c>
      <c r="D26" s="13">
        <f>80625+203000</f>
        <v>283625</v>
      </c>
      <c r="E26" s="14">
        <v>240000</v>
      </c>
      <c r="F26" s="43"/>
      <c r="G26" s="15">
        <f t="shared" si="0"/>
        <v>523625</v>
      </c>
      <c r="H26" s="17"/>
    </row>
    <row r="27" spans="1:8" ht="17.5" x14ac:dyDescent="0.35">
      <c r="A27" s="12" t="s">
        <v>22</v>
      </c>
      <c r="B27" s="12" t="str">
        <f>VLOOKUP(A27,[5]LISTADHERENT!$A$4:$J$44,3,0)</f>
        <v>NGUIEMEGNI MATHIEU BLAISE</v>
      </c>
      <c r="C27" s="25">
        <f>IF(G27&gt;0,VLOOKUP(A27,[6]HISTOJANV25!$A$6:$BQ$46,25,0),0)</f>
        <v>250000</v>
      </c>
      <c r="D27" s="13"/>
      <c r="E27" s="14">
        <v>250000</v>
      </c>
      <c r="F27" s="43"/>
      <c r="G27" s="15">
        <f t="shared" si="0"/>
        <v>250000</v>
      </c>
      <c r="H27" s="17"/>
    </row>
    <row r="28" spans="1:8" ht="17.5" x14ac:dyDescent="0.35">
      <c r="A28" s="12" t="s">
        <v>23</v>
      </c>
      <c r="B28" s="12" t="str">
        <f>VLOOKUP(A28,[5]LISTADHERENT!$A$4:$J$44,3,0)</f>
        <v>NKAMGANG JUSTIN DEJOLIE</v>
      </c>
      <c r="C28" s="25">
        <f>IF(G28&gt;0,VLOOKUP(A28,[6]HISTOJANV25!$A$6:$BQ$46,25,0),0)</f>
        <v>50000</v>
      </c>
      <c r="D28" s="13"/>
      <c r="E28" s="14">
        <v>345000</v>
      </c>
      <c r="F28" s="43"/>
      <c r="G28" s="15">
        <f t="shared" si="0"/>
        <v>345000</v>
      </c>
      <c r="H28" s="17"/>
    </row>
    <row r="29" spans="1:8" ht="17.5" x14ac:dyDescent="0.35">
      <c r="A29" s="12" t="s">
        <v>63</v>
      </c>
      <c r="B29" s="12" t="str">
        <f>VLOOKUP(A29,[5]LISTADHERENT!$A$4:$J$44,3,0)</f>
        <v>NOUBE ETIENNE</v>
      </c>
      <c r="C29" s="25">
        <f>IF(G29&gt;0,VLOOKUP(A29,[6]HISTOJANV25!$A$6:$BQ$46,25,0),0)</f>
        <v>50000</v>
      </c>
      <c r="D29" s="13"/>
      <c r="E29" s="14">
        <v>50000</v>
      </c>
      <c r="F29" s="43"/>
      <c r="G29" s="15">
        <f t="shared" si="0"/>
        <v>50000</v>
      </c>
      <c r="H29" s="17"/>
    </row>
    <row r="30" spans="1:8" ht="17.5" x14ac:dyDescent="0.35">
      <c r="A30" s="12" t="s">
        <v>24</v>
      </c>
      <c r="B30" s="12" t="str">
        <f>VLOOKUP(A30,[5]LISTADHERENT!$A$4:$J$44,3,0)</f>
        <v>PATEGO NJOSSU GUSTAVE</v>
      </c>
      <c r="C30" s="25">
        <f>IF(G30&gt;0,VLOOKUP(A30,[6]HISTOJANV25!$A$6:$BQ$46,25,0),0)</f>
        <v>125000</v>
      </c>
      <c r="D30" s="13"/>
      <c r="E30" s="14">
        <v>125000</v>
      </c>
      <c r="F30" s="43"/>
      <c r="G30" s="15">
        <f t="shared" si="0"/>
        <v>125000</v>
      </c>
      <c r="H30" s="17"/>
    </row>
    <row r="31" spans="1:8" ht="17.5" x14ac:dyDescent="0.35">
      <c r="A31" s="12" t="s">
        <v>64</v>
      </c>
      <c r="B31" s="12" t="str">
        <f>VLOOKUP(A31,[5]LISTADHERENT!$A$4:$J$44,3,0)</f>
        <v>SEUMO POLYCARPE</v>
      </c>
      <c r="C31" s="25">
        <f>IF(G31&gt;0,VLOOKUP(A31,[6]HISTOJANV25!$A$6:$BQ$46,25,0),0)</f>
        <v>50000</v>
      </c>
      <c r="D31" s="13">
        <v>30000</v>
      </c>
      <c r="E31" s="14">
        <v>50000</v>
      </c>
      <c r="F31" s="43"/>
      <c r="G31" s="15">
        <f t="shared" si="0"/>
        <v>80000</v>
      </c>
      <c r="H31" s="17"/>
    </row>
    <row r="32" spans="1:8" ht="17.5" x14ac:dyDescent="0.35">
      <c r="A32" s="12" t="s">
        <v>25</v>
      </c>
      <c r="B32" s="12" t="str">
        <f>VLOOKUP(A32,[5]LISTADHERENT!$A$4:$J$44,3,0)</f>
        <v>SIME BRICE</v>
      </c>
      <c r="C32" s="25">
        <f>IF(G32&gt;0,VLOOKUP(A32,[6]HISTOJANV25!$A$6:$BQ$46,25,0),0)</f>
        <v>250000</v>
      </c>
      <c r="D32" s="13"/>
      <c r="E32" s="14">
        <v>250000</v>
      </c>
      <c r="F32" s="43"/>
      <c r="G32" s="15">
        <f t="shared" si="0"/>
        <v>250000</v>
      </c>
      <c r="H32" s="17"/>
    </row>
    <row r="33" spans="1:8" ht="17.5" x14ac:dyDescent="0.35">
      <c r="A33" s="12" t="s">
        <v>89</v>
      </c>
      <c r="B33" s="12" t="str">
        <f>VLOOKUP(A33,[5]LISTADHERENT!$A$4:$J$44,3,0)</f>
        <v>SIMO FONGANG ERIC</v>
      </c>
      <c r="C33" s="25">
        <f>IF(G33&gt;0,VLOOKUP(A33,[6]HISTOJANV25!$A$6:$BQ$46,25,0),0)</f>
        <v>50000</v>
      </c>
      <c r="D33" s="13">
        <v>53000</v>
      </c>
      <c r="E33" s="14"/>
      <c r="F33" s="43"/>
      <c r="G33" s="15">
        <f t="shared" si="0"/>
        <v>53000</v>
      </c>
      <c r="H33" s="17"/>
    </row>
    <row r="34" spans="1:8" ht="17.5" x14ac:dyDescent="0.35">
      <c r="A34" s="12" t="s">
        <v>26</v>
      </c>
      <c r="B34" s="12" t="str">
        <f>VLOOKUP(A34,[5]LISTADHERENT!$A$4:$J$44,3,0)</f>
        <v>SIMO PIERRE</v>
      </c>
      <c r="C34" s="25">
        <f>IF(G34&gt;0,VLOOKUP(A34,[6]HISTOJANV25!$A$6:$BQ$46,25,0),0)</f>
        <v>150000</v>
      </c>
      <c r="D34" s="13"/>
      <c r="E34" s="14">
        <f>100000+50000</f>
        <v>150000</v>
      </c>
      <c r="F34" s="43"/>
      <c r="G34" s="15">
        <f t="shared" si="0"/>
        <v>150000</v>
      </c>
      <c r="H34" s="17"/>
    </row>
    <row r="35" spans="1:8" ht="17.5" x14ac:dyDescent="0.35">
      <c r="A35" s="12" t="s">
        <v>27</v>
      </c>
      <c r="B35" s="12" t="str">
        <f>VLOOKUP(A35,[5]LISTADHERENT!$A$4:$J$44,3,0)</f>
        <v>TCHOUAMOU MATHIEU</v>
      </c>
      <c r="C35" s="25">
        <f>IF(G35&gt;0,VLOOKUP(A35,[6]HISTOJANV25!$A$6:$BQ$46,25,0),0)</f>
        <v>125000</v>
      </c>
      <c r="D35" s="13"/>
      <c r="E35" s="14">
        <v>125000</v>
      </c>
      <c r="F35" s="43"/>
      <c r="G35" s="15">
        <f t="shared" si="0"/>
        <v>125000</v>
      </c>
      <c r="H35" s="17"/>
    </row>
    <row r="36" spans="1:8" ht="17.5" x14ac:dyDescent="0.35">
      <c r="A36" s="12" t="s">
        <v>81</v>
      </c>
      <c r="B36" s="12" t="str">
        <f>VLOOKUP(A36,[5]LISTADHERENT!$A$4:$J$44,3,0)</f>
        <v>TCHOUATEU AUGUSTIN</v>
      </c>
      <c r="C36" s="25">
        <f>IF(G36&gt;0,VLOOKUP(A36,[6]HISTOJANV25!$A$6:$BQ$46,25,0),0)</f>
        <v>150000</v>
      </c>
      <c r="D36" s="13"/>
      <c r="E36" s="14">
        <v>150000</v>
      </c>
      <c r="F36" s="43"/>
      <c r="G36" s="15">
        <f t="shared" si="0"/>
        <v>150000</v>
      </c>
      <c r="H36" s="17"/>
    </row>
    <row r="37" spans="1:8" ht="17.5" x14ac:dyDescent="0.35">
      <c r="A37" s="12" t="s">
        <v>62</v>
      </c>
      <c r="B37" s="12" t="str">
        <f>VLOOKUP(A37,[5]LISTADHERENT!$A$4:$J$44,3,0)</f>
        <v>TCHOUTOU NANA CLAUDE</v>
      </c>
      <c r="C37" s="25">
        <f>IF(G37&gt;0,VLOOKUP(A37,[6]HISTOJANV25!$A$6:$BQ$46,25,0),0)</f>
        <v>50000</v>
      </c>
      <c r="D37" s="13"/>
      <c r="E37" s="14">
        <v>50000</v>
      </c>
      <c r="F37" s="43"/>
      <c r="G37" s="15">
        <f t="shared" si="0"/>
        <v>50000</v>
      </c>
      <c r="H37" s="17"/>
    </row>
    <row r="38" spans="1:8" ht="17.5" x14ac:dyDescent="0.35">
      <c r="A38" s="12" t="s">
        <v>90</v>
      </c>
      <c r="B38" s="12" t="str">
        <f>VLOOKUP(A38,[5]LISTADHERENT!$A$4:$J$44,3,0)</f>
        <v>TIEYAM ERNEST</v>
      </c>
      <c r="C38" s="25">
        <f>IF(G38&gt;0,VLOOKUP(A38,[6]HISTOJANV25!$A$6:$BQ$46,25,0),0)</f>
        <v>50000</v>
      </c>
      <c r="D38" s="13">
        <v>50000</v>
      </c>
      <c r="E38" s="14"/>
      <c r="F38" s="43"/>
      <c r="G38" s="15">
        <f t="shared" si="0"/>
        <v>50000</v>
      </c>
      <c r="H38" s="17"/>
    </row>
    <row r="39" spans="1:8" ht="17.5" x14ac:dyDescent="0.35">
      <c r="A39" s="12" t="s">
        <v>65</v>
      </c>
      <c r="B39" s="12" t="str">
        <f>VLOOKUP(A39,[5]LISTADHERENT!$A$4:$J$44,3,0)</f>
        <v>YANTCHOU GERVAIS</v>
      </c>
      <c r="C39" s="25">
        <f>IF(G39&gt;0,VLOOKUP(A39,[6]HISTOJANV25!$A$6:$BQ$46,25,0),0)</f>
        <v>125000</v>
      </c>
      <c r="D39" s="13"/>
      <c r="E39" s="14">
        <v>125000</v>
      </c>
      <c r="F39" s="43"/>
      <c r="G39" s="15">
        <f t="shared" si="0"/>
        <v>125000</v>
      </c>
      <c r="H39" s="17"/>
    </row>
    <row r="40" spans="1:8" ht="17.5" x14ac:dyDescent="0.35">
      <c r="A40" s="12" t="s">
        <v>28</v>
      </c>
      <c r="B40" s="12" t="str">
        <f>VLOOKUP(A40,[5]LISTADHERENT!$A$4:$J$44,3,0)</f>
        <v>YEPMOU JEAN JACQUES</v>
      </c>
      <c r="C40" s="25">
        <f>IF(G40&gt;0,VLOOKUP(A40,[6]HISTOJANV25!$A$6:$BQ$46,25,0),0)</f>
        <v>50000</v>
      </c>
      <c r="D40" s="13"/>
      <c r="E40" s="14">
        <v>50000</v>
      </c>
      <c r="F40" s="43"/>
      <c r="G40" s="15">
        <f t="shared" si="0"/>
        <v>50000</v>
      </c>
      <c r="H40" s="17"/>
    </row>
    <row r="41" spans="1:8" ht="17.5" x14ac:dyDescent="0.35">
      <c r="A41" s="12" t="s">
        <v>80</v>
      </c>
      <c r="B41" s="12" t="str">
        <f>VLOOKUP(A41,[5]LISTADHERENT!$A$4:$J$44,3,0)</f>
        <v>YIALA ALAIN OSCAR</v>
      </c>
      <c r="C41" s="25">
        <f>IF(G41&gt;0,VLOOKUP(A41,[6]HISTOJANV25!$A$6:$BQ$46,25,0),0)</f>
        <v>250000</v>
      </c>
      <c r="D41" s="13"/>
      <c r="E41" s="14">
        <v>250000</v>
      </c>
      <c r="F41" s="43"/>
      <c r="G41" s="15">
        <f t="shared" si="0"/>
        <v>250000</v>
      </c>
      <c r="H41" s="17"/>
    </row>
    <row r="42" spans="1:8" ht="17.5" x14ac:dyDescent="0.35">
      <c r="A42" s="12" t="s">
        <v>29</v>
      </c>
      <c r="B42" s="12" t="str">
        <f>VLOOKUP(A42,[5]LISTADHERENT!$A$4:$J$44,3,0)</f>
        <v>YOUMBI EMMANUEL</v>
      </c>
      <c r="C42" s="25">
        <f>IF(G42&gt;0,VLOOKUP(A42,[6]HISTOJANV25!$A$6:$BQ$46,25,0),0)</f>
        <v>225000</v>
      </c>
      <c r="D42" s="13"/>
      <c r="E42" s="14">
        <v>225000</v>
      </c>
      <c r="F42" s="43"/>
      <c r="G42" s="15">
        <f t="shared" si="0"/>
        <v>225000</v>
      </c>
      <c r="H42" s="17"/>
    </row>
    <row r="43" spans="1:8" x14ac:dyDescent="0.35">
      <c r="A43" s="17"/>
      <c r="B43" s="17"/>
      <c r="C43" s="17"/>
      <c r="D43" s="17"/>
      <c r="E43" s="17"/>
      <c r="F43" s="17"/>
      <c r="G43" s="17"/>
      <c r="H43" s="17"/>
    </row>
    <row r="44" spans="1:8" ht="17.5" x14ac:dyDescent="0.35">
      <c r="A44" s="17"/>
      <c r="B44" s="12" t="s">
        <v>30</v>
      </c>
      <c r="C44" s="42">
        <f>SUM(C6:C42)</f>
        <v>5125000</v>
      </c>
      <c r="D44" s="42">
        <f t="shared" ref="D44:H44" si="1">SUM(D6:D42)</f>
        <v>1204125</v>
      </c>
      <c r="E44" s="42">
        <f t="shared" si="1"/>
        <v>5484500</v>
      </c>
      <c r="F44" s="42">
        <f t="shared" si="1"/>
        <v>0</v>
      </c>
      <c r="G44" s="42">
        <f t="shared" si="1"/>
        <v>6688625</v>
      </c>
      <c r="H44" s="42">
        <f t="shared" si="1"/>
        <v>2385</v>
      </c>
    </row>
  </sheetData>
  <autoFilter ref="A5:G42" xr:uid="{00000000-0009-0000-0000-000002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79B7-CA69-491C-BA94-61F576EE2872}">
  <dimension ref="A1:H47"/>
  <sheetViews>
    <sheetView zoomScale="106" zoomScaleNormal="106" workbookViewId="0">
      <pane xSplit="3" ySplit="5" topLeftCell="D18" activePane="bottomRight" state="frozen"/>
      <selection activeCell="E41" sqref="E41"/>
      <selection pane="topRight" activeCell="E41" sqref="E41"/>
      <selection pane="bottomLeft" activeCell="E41" sqref="E41"/>
      <selection pane="bottomRight" activeCell="A20" sqref="A20:B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6" width="17.54296875" customWidth="1"/>
    <col min="7" max="7" width="20.453125" customWidth="1"/>
  </cols>
  <sheetData>
    <row r="1" spans="1:8" ht="21" x14ac:dyDescent="0.5">
      <c r="A1" s="1" t="s">
        <v>2</v>
      </c>
      <c r="B1" s="1" t="s">
        <v>3</v>
      </c>
      <c r="C1" s="45">
        <v>45809</v>
      </c>
    </row>
    <row r="2" spans="1:8" x14ac:dyDescent="0.35">
      <c r="A2" s="1" t="s">
        <v>4</v>
      </c>
      <c r="B2" s="1">
        <v>2025</v>
      </c>
    </row>
    <row r="3" spans="1: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</row>
    <row r="4" spans="1:8" ht="28.5" x14ac:dyDescent="0.65">
      <c r="B4" s="51" t="s">
        <v>58</v>
      </c>
      <c r="C4" s="49"/>
      <c r="D4" s="49"/>
      <c r="E4" s="49"/>
      <c r="F4" s="47"/>
      <c r="G4" s="3"/>
    </row>
    <row r="5" spans="1:8" ht="68.25" customHeight="1" x14ac:dyDescent="0.35">
      <c r="A5" s="12" t="s">
        <v>0</v>
      </c>
      <c r="B5" s="12" t="s">
        <v>1</v>
      </c>
      <c r="C5" s="40" t="s">
        <v>91</v>
      </c>
      <c r="D5" s="40" t="s">
        <v>32</v>
      </c>
      <c r="E5" s="40" t="s">
        <v>92</v>
      </c>
      <c r="F5" s="40" t="s">
        <v>93</v>
      </c>
      <c r="G5" s="40" t="s">
        <v>31</v>
      </c>
      <c r="H5" s="41" t="s">
        <v>61</v>
      </c>
    </row>
    <row r="6" spans="1:8" ht="17.5" x14ac:dyDescent="0.35">
      <c r="A6" s="12" t="s">
        <v>60</v>
      </c>
      <c r="B6" s="12" t="str">
        <f>VLOOKUP(A6,[5]LISTADHERENT!$A$4:$J$44,3,0)</f>
        <v>ASELBY</v>
      </c>
      <c r="C6" s="25">
        <f>IF(G6&gt;0,VLOOKUP(A6,[6]HISTOJANV25!$A$6:$BQ$46,25,0),0)</f>
        <v>250000</v>
      </c>
      <c r="D6" s="13"/>
      <c r="E6" s="14">
        <v>250000</v>
      </c>
      <c r="F6" s="43"/>
      <c r="G6" s="15">
        <f>SUM(D6:F6)</f>
        <v>250000</v>
      </c>
      <c r="H6" s="15">
        <v>2385</v>
      </c>
    </row>
    <row r="7" spans="1:8" ht="17.5" x14ac:dyDescent="0.35">
      <c r="A7" s="12" t="s">
        <v>66</v>
      </c>
      <c r="B7" s="12" t="str">
        <f>VLOOKUP(A7,[5]LISTADHERENT!$A$4:$J$44,3,0)</f>
        <v>BAKOP ACHILLE</v>
      </c>
      <c r="C7" s="25">
        <f>IF(G7&gt;0,VLOOKUP(A7,[6]HISTOJANV25!$A$6:$BQ$46,25,0),0)</f>
        <v>50000</v>
      </c>
      <c r="D7" s="13">
        <v>50000</v>
      </c>
      <c r="E7" s="14"/>
      <c r="F7" s="43"/>
      <c r="G7" s="15">
        <f t="shared" ref="G7:G42" si="0">SUM(D7:F7)</f>
        <v>50000</v>
      </c>
      <c r="H7" s="17"/>
    </row>
    <row r="8" spans="1:8" ht="17.5" x14ac:dyDescent="0.35">
      <c r="A8" s="12" t="s">
        <v>6</v>
      </c>
      <c r="B8" s="12" t="str">
        <f>VLOOKUP(A8,[5]LISTADHERENT!$A$4:$J$44,3,0)</f>
        <v>BOUTCHOUANG WILLIAM</v>
      </c>
      <c r="C8" s="25">
        <f>IF(G8&gt;0,VLOOKUP(A8,[6]HISTOJANV25!$A$6:$BQ$46,25,0),0)</f>
        <v>125000</v>
      </c>
      <c r="D8" s="13"/>
      <c r="E8" s="14">
        <v>125000</v>
      </c>
      <c r="F8" s="43"/>
      <c r="G8" s="15">
        <f t="shared" si="0"/>
        <v>125000</v>
      </c>
      <c r="H8" s="17"/>
    </row>
    <row r="9" spans="1:8" ht="17.5" x14ac:dyDescent="0.35">
      <c r="A9" s="12" t="s">
        <v>7</v>
      </c>
      <c r="B9" s="12" t="str">
        <f>VLOOKUP(A9,[5]LISTADHERENT!$A$4:$J$44,3,0)</f>
        <v xml:space="preserve">DJOMO JEAN PAUL </v>
      </c>
      <c r="C9" s="25">
        <f>IF(G9&gt;0,VLOOKUP(A9,[6]HISTOJANV25!$A$6:$BQ$46,25,0),0)</f>
        <v>250000</v>
      </c>
      <c r="D9" s="13">
        <f>200000+101000+50000</f>
        <v>351000</v>
      </c>
      <c r="E9" s="14"/>
      <c r="F9" s="43"/>
      <c r="G9" s="15">
        <f t="shared" si="0"/>
        <v>351000</v>
      </c>
      <c r="H9" s="17"/>
    </row>
    <row r="10" spans="1:8" ht="17.5" x14ac:dyDescent="0.35">
      <c r="A10" s="12" t="s">
        <v>8</v>
      </c>
      <c r="B10" s="12" t="str">
        <f>VLOOKUP(A10,[5]LISTADHERENT!$A$4:$J$44,3,0)</f>
        <v>DJOMOU TCHAPDA</v>
      </c>
      <c r="C10" s="25">
        <f>IF(G10&gt;0,VLOOKUP(A10,[6]HISTOJANV25!$A$6:$BQ$46,25,0),0)</f>
        <v>50000</v>
      </c>
      <c r="D10" s="13"/>
      <c r="E10" s="14">
        <v>81000</v>
      </c>
      <c r="F10" s="43"/>
      <c r="G10" s="15">
        <f t="shared" si="0"/>
        <v>81000</v>
      </c>
      <c r="H10" s="17"/>
    </row>
    <row r="11" spans="1:8" ht="17.5" x14ac:dyDescent="0.35">
      <c r="A11" s="12" t="s">
        <v>9</v>
      </c>
      <c r="B11" s="12" t="str">
        <f>VLOOKUP(A11,[5]LISTADHERENT!$A$4:$J$44,3,0)</f>
        <v>DJOUKWE NANGUEN GUY BLAISE</v>
      </c>
      <c r="C11" s="25">
        <f>IF(G11&gt;0,VLOOKUP(A11,[6]HISTOJANV25!$A$6:$BQ$46,25,0),0)</f>
        <v>150000</v>
      </c>
      <c r="D11" s="13"/>
      <c r="E11" s="14">
        <v>251000</v>
      </c>
      <c r="F11" s="43"/>
      <c r="G11" s="15">
        <f t="shared" si="0"/>
        <v>251000</v>
      </c>
      <c r="H11" s="17"/>
    </row>
    <row r="12" spans="1:8" ht="17.5" x14ac:dyDescent="0.35">
      <c r="A12" s="12" t="s">
        <v>10</v>
      </c>
      <c r="B12" s="12" t="str">
        <f>VLOOKUP(A12,[5]LISTADHERENT!$A$4:$J$44,3,0)</f>
        <v>DJUOMBESSY ANTOINE</v>
      </c>
      <c r="C12" s="25">
        <f>IF(G12&gt;0,VLOOKUP(A12,[6]HISTOJANV25!$A$6:$BQ$46,25,0),0)</f>
        <v>250000</v>
      </c>
      <c r="D12" s="13"/>
      <c r="E12" s="14">
        <v>315000</v>
      </c>
      <c r="F12" s="43"/>
      <c r="G12" s="15">
        <f t="shared" si="0"/>
        <v>315000</v>
      </c>
      <c r="H12" s="17"/>
    </row>
    <row r="13" spans="1:8" ht="17.5" x14ac:dyDescent="0.35">
      <c r="A13" s="12" t="s">
        <v>11</v>
      </c>
      <c r="B13" s="12" t="str">
        <f>VLOOKUP(A13,[5]LISTADHERENT!$A$4:$J$44,3,0)</f>
        <v>DOMOU FABIEN</v>
      </c>
      <c r="C13" s="25">
        <f>IF(G13&gt;0,VLOOKUP(A13,[6]HISTOJANV25!$A$6:$BQ$46,25,0),0)</f>
        <v>50000</v>
      </c>
      <c r="D13" s="13"/>
      <c r="E13" s="14">
        <v>50000</v>
      </c>
      <c r="F13" s="43"/>
      <c r="G13" s="15">
        <f t="shared" si="0"/>
        <v>50000</v>
      </c>
      <c r="H13" s="17"/>
    </row>
    <row r="14" spans="1:8" ht="17.5" x14ac:dyDescent="0.35">
      <c r="A14" s="12" t="s">
        <v>12</v>
      </c>
      <c r="B14" s="12" t="str">
        <f>VLOOKUP(A14,[5]LISTADHERENT!$A$4:$J$44,3,0)</f>
        <v>DONHOU DAVID</v>
      </c>
      <c r="C14" s="25">
        <f>IF(G14&gt;0,VLOOKUP(A14,[6]HISTOJANV25!$A$6:$BQ$46,25,0),0)</f>
        <v>50000</v>
      </c>
      <c r="D14" s="13"/>
      <c r="E14" s="14">
        <v>50000</v>
      </c>
      <c r="F14" s="43"/>
      <c r="G14" s="15">
        <f t="shared" si="0"/>
        <v>50000</v>
      </c>
      <c r="H14" s="17"/>
    </row>
    <row r="15" spans="1:8" ht="17.5" x14ac:dyDescent="0.35">
      <c r="A15" s="12" t="s">
        <v>94</v>
      </c>
      <c r="B15" s="12" t="str">
        <f>VLOOKUP(A15,[5]LISTADHERENT!$A$4:$J$44,3,0)</f>
        <v>FAMPOU PAUL</v>
      </c>
      <c r="C15" s="25">
        <f>IF(G15&gt;0,VLOOKUP(A15,[6]HISTOMARS25!$A$6:$BQ$46,25,0),0)</f>
        <v>150000</v>
      </c>
      <c r="D15" s="13"/>
      <c r="E15" s="14">
        <v>150000</v>
      </c>
      <c r="F15" s="43"/>
      <c r="G15" s="15">
        <f t="shared" si="0"/>
        <v>150000</v>
      </c>
      <c r="H15" s="17"/>
    </row>
    <row r="16" spans="1:8" ht="17.5" x14ac:dyDescent="0.35">
      <c r="A16" s="12" t="s">
        <v>13</v>
      </c>
      <c r="B16" s="12" t="str">
        <f>VLOOKUP(A16,[5]LISTADHERENT!$A$4:$J$44,3,0)</f>
        <v>HENGUE PAUL OMER</v>
      </c>
      <c r="C16" s="25">
        <f>IF(G16&gt;0,VLOOKUP(A16,[6]HISTOJANV25!$A$6:$BQ$46,25,0),0)</f>
        <v>125000</v>
      </c>
      <c r="D16" s="13"/>
      <c r="E16" s="14">
        <v>125000</v>
      </c>
      <c r="F16" s="43"/>
      <c r="G16" s="15">
        <f t="shared" si="0"/>
        <v>125000</v>
      </c>
      <c r="H16" s="17"/>
    </row>
    <row r="17" spans="1:8" ht="17.5" x14ac:dyDescent="0.35">
      <c r="A17" s="12" t="s">
        <v>14</v>
      </c>
      <c r="B17" s="12" t="str">
        <f>VLOOKUP(A17,[5]LISTADHERENT!$A$4:$J$44,3,0)</f>
        <v>HOTCHO BENJAMIN</v>
      </c>
      <c r="C17" s="25">
        <f>IF(G17&gt;0,VLOOKUP(A17,[6]HISTOJANV25!$A$6:$BQ$46,25,0),0)</f>
        <v>225000</v>
      </c>
      <c r="D17" s="13"/>
      <c r="E17" s="14">
        <f>51000+250000</f>
        <v>301000</v>
      </c>
      <c r="F17" s="43"/>
      <c r="G17" s="15">
        <f t="shared" si="0"/>
        <v>301000</v>
      </c>
      <c r="H17" s="17"/>
    </row>
    <row r="18" spans="1:8" ht="17.5" x14ac:dyDescent="0.35">
      <c r="A18" s="12" t="s">
        <v>15</v>
      </c>
      <c r="B18" s="12" t="str">
        <f>VLOOKUP(A18,[5]LISTADHERENT!$A$4:$J$44,3,0)</f>
        <v>KOUAMOU MOISE</v>
      </c>
      <c r="C18" s="25">
        <f>IF(G18&gt;0,VLOOKUP(A18,[6]HISTOJANV25!$A$6:$BQ$46,25,0),0)</f>
        <v>150000</v>
      </c>
      <c r="D18" s="13"/>
      <c r="E18" s="14">
        <v>150000</v>
      </c>
      <c r="F18" s="43"/>
      <c r="G18" s="15">
        <f t="shared" si="0"/>
        <v>150000</v>
      </c>
      <c r="H18" s="17"/>
    </row>
    <row r="19" spans="1:8" ht="17.5" x14ac:dyDescent="0.35">
      <c r="A19" s="12" t="s">
        <v>16</v>
      </c>
      <c r="B19" s="12" t="str">
        <f>VLOOKUP(A19,[5]LISTADHERENT!$A$4:$J$44,3,0)</f>
        <v>KOUATCHO MESSACK</v>
      </c>
      <c r="C19" s="25">
        <f>IF(G19&gt;0,VLOOKUP(A19,[6]HISTOJANV25!$A$6:$BQ$46,25,0),0)</f>
        <v>225000</v>
      </c>
      <c r="D19" s="13"/>
      <c r="E19" s="14">
        <v>235000</v>
      </c>
      <c r="F19" s="43"/>
      <c r="G19" s="15">
        <f t="shared" si="0"/>
        <v>235000</v>
      </c>
      <c r="H19" s="17"/>
    </row>
    <row r="20" spans="1:8" ht="17.5" x14ac:dyDescent="0.35">
      <c r="A20" s="12" t="s">
        <v>129</v>
      </c>
      <c r="B20" s="12" t="str">
        <f>VLOOKUP(A20,[5]LISTADHERENT!$A$4:$J$44,3,0)</f>
        <v>LOWE JEAN</v>
      </c>
      <c r="C20" s="25"/>
      <c r="D20" s="13"/>
      <c r="E20" s="14"/>
      <c r="F20" s="43"/>
      <c r="G20" s="15"/>
      <c r="H20" s="17"/>
    </row>
    <row r="21" spans="1:8" ht="17.5" x14ac:dyDescent="0.35">
      <c r="A21" s="12" t="s">
        <v>82</v>
      </c>
      <c r="B21" s="12" t="str">
        <f>VLOOKUP(A21,[5]LISTADHERENT!$A$4:$J$44,3,0)</f>
        <v>MASSEUNGOUE DAGOBERT</v>
      </c>
      <c r="C21" s="25">
        <f>IF(G21&gt;0,VLOOKUP(A21,[6]HISTOJANV25!$A$6:$BQ$46,25,0),0)</f>
        <v>50000</v>
      </c>
      <c r="D21" s="13"/>
      <c r="E21" s="14">
        <v>50000</v>
      </c>
      <c r="F21" s="43"/>
      <c r="G21" s="15">
        <f t="shared" si="0"/>
        <v>50000</v>
      </c>
      <c r="H21" s="17"/>
    </row>
    <row r="22" spans="1:8" ht="17.5" x14ac:dyDescent="0.35">
      <c r="A22" s="12" t="s">
        <v>17</v>
      </c>
      <c r="B22" s="12" t="str">
        <f>VLOOKUP(A22,[5]LISTADHERENT!$A$4:$J$44,3,0)</f>
        <v>MBOGNING TUGMA GUY</v>
      </c>
      <c r="C22" s="25">
        <f>IF(G22&gt;0,VLOOKUP(A22,[6]HISTOJANV25!$A$6:$BQ$46,25,0),0)</f>
        <v>325000</v>
      </c>
      <c r="D22" s="13"/>
      <c r="E22" s="14">
        <v>628000</v>
      </c>
      <c r="F22" s="43"/>
      <c r="G22" s="15">
        <f t="shared" si="0"/>
        <v>628000</v>
      </c>
      <c r="H22" s="17"/>
    </row>
    <row r="23" spans="1:8" ht="17.5" x14ac:dyDescent="0.35">
      <c r="A23" s="12" t="s">
        <v>18</v>
      </c>
      <c r="B23" s="12" t="str">
        <f>VLOOKUP(A23,[5]LISTADHERENT!$A$4:$J$44,3,0)</f>
        <v>NANGUEN MARTIN</v>
      </c>
      <c r="C23" s="25">
        <f>IF(G23&gt;0,VLOOKUP(A23,[6]HISTOJANV25!$A$6:$BQ$46,25,0),0)</f>
        <v>50000</v>
      </c>
      <c r="D23" s="13"/>
      <c r="E23" s="14">
        <v>50000</v>
      </c>
      <c r="F23" s="43"/>
      <c r="G23" s="15">
        <f t="shared" si="0"/>
        <v>50000</v>
      </c>
      <c r="H23" s="17"/>
    </row>
    <row r="24" spans="1:8" ht="17.5" x14ac:dyDescent="0.35">
      <c r="A24" s="12" t="s">
        <v>19</v>
      </c>
      <c r="B24" s="12" t="str">
        <f>VLOOKUP(A24,[5]LISTADHERENT!$A$4:$J$44,3,0)</f>
        <v>NANKAM APPOLINAIRE</v>
      </c>
      <c r="C24" s="25">
        <f>IF(G24&gt;0,VLOOKUP(A24,[6]HISTOJANV25!$A$6:$BQ$46,25,0),0)</f>
        <v>125000</v>
      </c>
      <c r="D24" s="13"/>
      <c r="E24" s="14">
        <v>125000</v>
      </c>
      <c r="F24" s="43"/>
      <c r="G24" s="15">
        <f t="shared" si="0"/>
        <v>125000</v>
      </c>
      <c r="H24" s="17"/>
    </row>
    <row r="25" spans="1:8" ht="17.5" x14ac:dyDescent="0.35">
      <c r="A25" s="12" t="s">
        <v>20</v>
      </c>
      <c r="B25" s="12" t="str">
        <f>VLOOKUP(A25,[5]LISTADHERENT!$A$4:$J$44,3,0)</f>
        <v>NDJOMO ETIENNE</v>
      </c>
      <c r="C25" s="25">
        <f>IF(G25&gt;0,VLOOKUP(A25,[6]HISTOJANV25!$A$6:$BQ$46,25,0),0)</f>
        <v>250000</v>
      </c>
      <c r="D25" s="13">
        <v>202500</v>
      </c>
      <c r="E25" s="14">
        <v>260000</v>
      </c>
      <c r="F25" s="43"/>
      <c r="G25" s="15">
        <f t="shared" si="0"/>
        <v>462500</v>
      </c>
      <c r="H25" s="17"/>
    </row>
    <row r="26" spans="1:8" ht="17.5" x14ac:dyDescent="0.35">
      <c r="A26" s="12" t="s">
        <v>21</v>
      </c>
      <c r="B26" s="12" t="str">
        <f>VLOOKUP(A26,[5]LISTADHERENT!$A$4:$J$44,3,0)</f>
        <v>NGONDIEP CLAUDE</v>
      </c>
      <c r="C26" s="25">
        <f>IF(G26&gt;0,VLOOKUP(A26,[6]HISTOJANV25!$A$6:$BQ$46,25,0),0)</f>
        <v>225000</v>
      </c>
      <c r="D26" s="13"/>
      <c r="E26" s="14">
        <v>240000</v>
      </c>
      <c r="F26" s="43"/>
      <c r="G26" s="15">
        <f t="shared" si="0"/>
        <v>240000</v>
      </c>
      <c r="H26" s="17"/>
    </row>
    <row r="27" spans="1:8" ht="17.5" x14ac:dyDescent="0.35">
      <c r="A27" s="12" t="s">
        <v>22</v>
      </c>
      <c r="B27" s="12" t="str">
        <f>VLOOKUP(A27,[5]LISTADHERENT!$A$4:$J$44,3,0)</f>
        <v>NGUIEMEGNI MATHIEU BLAISE</v>
      </c>
      <c r="C27" s="25">
        <f>IF(G27&gt;0,VLOOKUP(A27,[6]HISTOJANV25!$A$6:$BQ$46,25,0),0)</f>
        <v>250000</v>
      </c>
      <c r="D27" s="13"/>
      <c r="E27" s="14">
        <f>100000+285000+65000</f>
        <v>450000</v>
      </c>
      <c r="F27" s="43"/>
      <c r="G27" s="15">
        <f t="shared" si="0"/>
        <v>450000</v>
      </c>
      <c r="H27" s="17"/>
    </row>
    <row r="28" spans="1:8" ht="17.5" x14ac:dyDescent="0.35">
      <c r="A28" s="12" t="s">
        <v>23</v>
      </c>
      <c r="B28" s="12" t="str">
        <f>VLOOKUP(A28,[5]LISTADHERENT!$A$4:$J$44,3,0)</f>
        <v>NKAMGANG JUSTIN DEJOLIE</v>
      </c>
      <c r="C28" s="25">
        <f>IF(G28&gt;0,VLOOKUP(A28,[6]HISTOJANV25!$A$6:$BQ$46,25,0),0)</f>
        <v>50000</v>
      </c>
      <c r="D28" s="13">
        <v>53000</v>
      </c>
      <c r="E28" s="14"/>
      <c r="F28" s="43"/>
      <c r="G28" s="15">
        <f t="shared" si="0"/>
        <v>53000</v>
      </c>
      <c r="H28" s="17"/>
    </row>
    <row r="29" spans="1:8" ht="17.5" x14ac:dyDescent="0.35">
      <c r="A29" s="12" t="s">
        <v>63</v>
      </c>
      <c r="B29" s="12" t="str">
        <f>VLOOKUP(A29,[5]LISTADHERENT!$A$4:$J$44,3,0)</f>
        <v>NOUBE ETIENNE</v>
      </c>
      <c r="C29" s="25">
        <f>IF(G29&gt;0,VLOOKUP(A29,[6]HISTOJANV25!$A$6:$BQ$46,25,0),0)</f>
        <v>50000</v>
      </c>
      <c r="D29" s="13"/>
      <c r="E29" s="14">
        <v>50000</v>
      </c>
      <c r="F29" s="43"/>
      <c r="G29" s="15">
        <f t="shared" si="0"/>
        <v>50000</v>
      </c>
      <c r="H29" s="17"/>
    </row>
    <row r="30" spans="1:8" ht="17.5" x14ac:dyDescent="0.35">
      <c r="A30" s="12" t="s">
        <v>24</v>
      </c>
      <c r="B30" s="12" t="str">
        <f>VLOOKUP(A30,[5]LISTADHERENT!$A$4:$J$44,3,0)</f>
        <v>PATEGO NJOSSU GUSTAVE</v>
      </c>
      <c r="C30" s="25">
        <f>IF(G30&gt;0,VLOOKUP(A30,[6]HISTOJANV25!$A$6:$BQ$46,25,0),0)</f>
        <v>125000</v>
      </c>
      <c r="D30" s="13"/>
      <c r="E30" s="14">
        <v>125000</v>
      </c>
      <c r="F30" s="43"/>
      <c r="G30" s="15">
        <f t="shared" si="0"/>
        <v>125000</v>
      </c>
      <c r="H30" s="17"/>
    </row>
    <row r="31" spans="1:8" ht="17.5" x14ac:dyDescent="0.35">
      <c r="A31" s="12" t="s">
        <v>64</v>
      </c>
      <c r="B31" s="12" t="str">
        <f>VLOOKUP(A31,[5]LISTADHERENT!$A$4:$J$44,3,0)</f>
        <v>SEUMO POLYCARPE</v>
      </c>
      <c r="C31" s="25">
        <f>IF(G31&gt;0,VLOOKUP(A31,[6]HISTOJANV25!$A$6:$BQ$46,25,0),0)</f>
        <v>50000</v>
      </c>
      <c r="D31" s="13"/>
      <c r="E31" s="14">
        <v>50000</v>
      </c>
      <c r="F31" s="43"/>
      <c r="G31" s="15">
        <f t="shared" si="0"/>
        <v>50000</v>
      </c>
      <c r="H31" s="17"/>
    </row>
    <row r="32" spans="1:8" ht="17.5" x14ac:dyDescent="0.35">
      <c r="A32" s="12" t="s">
        <v>25</v>
      </c>
      <c r="B32" s="12" t="str">
        <f>VLOOKUP(A32,[5]LISTADHERENT!$A$4:$J$44,3,0)</f>
        <v>SIME BRICE</v>
      </c>
      <c r="C32" s="25">
        <f>IF(G32&gt;0,VLOOKUP(A32,[6]HISTOJANV25!$A$6:$BQ$46,25,0),0)</f>
        <v>250000</v>
      </c>
      <c r="D32" s="13"/>
      <c r="E32" s="14">
        <v>250000</v>
      </c>
      <c r="F32" s="43"/>
      <c r="G32" s="15">
        <f t="shared" si="0"/>
        <v>250000</v>
      </c>
      <c r="H32" s="17"/>
    </row>
    <row r="33" spans="1:8" ht="17.5" x14ac:dyDescent="0.35">
      <c r="A33" s="12" t="s">
        <v>89</v>
      </c>
      <c r="B33" s="12" t="str">
        <f>VLOOKUP(A33,[5]LISTADHERENT!$A$4:$J$44,3,0)</f>
        <v>SIMO FONGANG ERIC</v>
      </c>
      <c r="C33" s="25">
        <f>IF(G33&gt;0,VLOOKUP(A33,[6]HISTOJANV25!$A$6:$BQ$46,25,0),0)</f>
        <v>50000</v>
      </c>
      <c r="D33" s="13">
        <v>50000</v>
      </c>
      <c r="E33" s="14"/>
      <c r="F33" s="43"/>
      <c r="G33" s="15">
        <f t="shared" si="0"/>
        <v>50000</v>
      </c>
      <c r="H33" s="17"/>
    </row>
    <row r="34" spans="1:8" ht="17.5" x14ac:dyDescent="0.35">
      <c r="A34" s="12" t="s">
        <v>26</v>
      </c>
      <c r="B34" s="12" t="str">
        <f>VLOOKUP(A34,[5]LISTADHERENT!$A$4:$J$44,3,0)</f>
        <v>SIMO PIERRE</v>
      </c>
      <c r="C34" s="25">
        <f>IF(G34&gt;0,VLOOKUP(A34,[6]HISTOJANV25!$A$6:$BQ$46,25,0),0)</f>
        <v>150000</v>
      </c>
      <c r="D34" s="13"/>
      <c r="E34" s="14">
        <f>51000+130000</f>
        <v>181000</v>
      </c>
      <c r="F34" s="43"/>
      <c r="G34" s="15">
        <f t="shared" si="0"/>
        <v>181000</v>
      </c>
      <c r="H34" s="17"/>
    </row>
    <row r="35" spans="1:8" ht="17.5" x14ac:dyDescent="0.35">
      <c r="A35" s="12" t="s">
        <v>27</v>
      </c>
      <c r="B35" s="12" t="str">
        <f>VLOOKUP(A35,[5]LISTADHERENT!$A$4:$J$44,3,0)</f>
        <v>TCHOUAMOU MATHIEU</v>
      </c>
      <c r="C35" s="25">
        <f>IF(G35&gt;0,VLOOKUP(A35,[6]HISTOJANV25!$A$6:$BQ$46,25,0),0)</f>
        <v>125000</v>
      </c>
      <c r="D35" s="13">
        <v>102000</v>
      </c>
      <c r="E35" s="14">
        <v>125000</v>
      </c>
      <c r="F35" s="43"/>
      <c r="G35" s="15">
        <f t="shared" si="0"/>
        <v>227000</v>
      </c>
      <c r="H35" s="17"/>
    </row>
    <row r="36" spans="1:8" ht="17.5" x14ac:dyDescent="0.35">
      <c r="A36" s="12" t="s">
        <v>81</v>
      </c>
      <c r="B36" s="12" t="str">
        <f>VLOOKUP(A36,[5]LISTADHERENT!$A$4:$J$44,3,0)</f>
        <v>TCHOUATEU AUGUSTIN</v>
      </c>
      <c r="C36" s="25">
        <f>IF(G36&gt;0,VLOOKUP(A36,[6]HISTOJANV25!$A$6:$BQ$46,25,0),0)</f>
        <v>150000</v>
      </c>
      <c r="D36" s="13"/>
      <c r="E36" s="14">
        <v>150000</v>
      </c>
      <c r="F36" s="43"/>
      <c r="G36" s="15">
        <f t="shared" si="0"/>
        <v>150000</v>
      </c>
      <c r="H36" s="17"/>
    </row>
    <row r="37" spans="1:8" ht="17.5" x14ac:dyDescent="0.35">
      <c r="A37" s="12" t="s">
        <v>62</v>
      </c>
      <c r="B37" s="12" t="str">
        <f>VLOOKUP(A37,[5]LISTADHERENT!$A$4:$J$44,3,0)</f>
        <v>TCHOUTOU NANA CLAUDE</v>
      </c>
      <c r="C37" s="25">
        <f>IF(G37&gt;0,VLOOKUP(A37,[6]HISTOJANV25!$A$6:$BQ$46,25,0),0)</f>
        <v>50000</v>
      </c>
      <c r="D37" s="13"/>
      <c r="E37" s="14">
        <v>50000</v>
      </c>
      <c r="F37" s="43"/>
      <c r="G37" s="15">
        <f t="shared" si="0"/>
        <v>50000</v>
      </c>
      <c r="H37" s="17"/>
    </row>
    <row r="38" spans="1:8" ht="17.5" x14ac:dyDescent="0.35">
      <c r="A38" s="12" t="s">
        <v>90</v>
      </c>
      <c r="B38" s="12" t="str">
        <f>VLOOKUP(A38,[5]LISTADHERENT!$A$4:$J$44,3,0)</f>
        <v>TIEYAM ERNEST</v>
      </c>
      <c r="C38" s="25">
        <f>IF(G38&gt;0,VLOOKUP(A38,[6]HISTOJANV25!$A$6:$BQ$46,25,0),0)</f>
        <v>50000</v>
      </c>
      <c r="D38" s="13">
        <v>50000</v>
      </c>
      <c r="E38" s="14"/>
      <c r="F38" s="43"/>
      <c r="G38" s="15">
        <f t="shared" si="0"/>
        <v>50000</v>
      </c>
      <c r="H38" s="17"/>
    </row>
    <row r="39" spans="1:8" ht="17.5" x14ac:dyDescent="0.35">
      <c r="A39" s="12" t="s">
        <v>65</v>
      </c>
      <c r="B39" s="12" t="str">
        <f>VLOOKUP(A39,[5]LISTADHERENT!$A$4:$J$44,3,0)</f>
        <v>YANTCHOU GERVAIS</v>
      </c>
      <c r="C39" s="25">
        <f>IF(G39&gt;0,VLOOKUP(A39,[6]HISTOJANV25!$A$6:$BQ$46,25,0),0)</f>
        <v>125000</v>
      </c>
      <c r="D39" s="13"/>
      <c r="E39" s="14">
        <f>125000+102000</f>
        <v>227000</v>
      </c>
      <c r="F39" s="43"/>
      <c r="G39" s="15">
        <f t="shared" si="0"/>
        <v>227000</v>
      </c>
      <c r="H39" s="17"/>
    </row>
    <row r="40" spans="1:8" ht="17.5" x14ac:dyDescent="0.35">
      <c r="A40" s="12" t="s">
        <v>28</v>
      </c>
      <c r="B40" s="12" t="str">
        <f>VLOOKUP(A40,[5]LISTADHERENT!$A$4:$J$44,3,0)</f>
        <v>YEPMOU JEAN JACQUES</v>
      </c>
      <c r="C40" s="25">
        <f>IF(G40&gt;0,VLOOKUP(A40,[6]HISTOJANV25!$A$6:$BQ$46,25,0),0)</f>
        <v>50000</v>
      </c>
      <c r="D40" s="13">
        <v>50000</v>
      </c>
      <c r="E40" s="14"/>
      <c r="F40" s="43"/>
      <c r="G40" s="15">
        <f t="shared" si="0"/>
        <v>50000</v>
      </c>
      <c r="H40" s="17"/>
    </row>
    <row r="41" spans="1:8" ht="17.5" x14ac:dyDescent="0.35">
      <c r="A41" s="12" t="s">
        <v>80</v>
      </c>
      <c r="B41" s="12" t="str">
        <f>VLOOKUP(A41,[5]LISTADHERENT!$A$4:$J$44,3,0)</f>
        <v>YIALA ALAIN OSCAR</v>
      </c>
      <c r="C41" s="25">
        <f>IF(G41&gt;0,VLOOKUP(A41,[6]HISTOJANV25!$A$6:$BQ$46,25,0),0)</f>
        <v>250000</v>
      </c>
      <c r="D41" s="13">
        <v>253000</v>
      </c>
      <c r="E41" s="14"/>
      <c r="F41" s="43"/>
      <c r="G41" s="15">
        <f t="shared" si="0"/>
        <v>253000</v>
      </c>
      <c r="H41" s="17"/>
    </row>
    <row r="42" spans="1:8" ht="17.5" x14ac:dyDescent="0.35">
      <c r="A42" s="12" t="s">
        <v>29</v>
      </c>
      <c r="B42" s="12" t="str">
        <f>VLOOKUP(A42,[5]LISTADHERENT!$A$4:$J$44,3,0)</f>
        <v>YOUMBI EMMANUEL</v>
      </c>
      <c r="C42" s="25">
        <f>IF(G42&gt;0,VLOOKUP(A42,[6]HISTOJANV25!$A$6:$BQ$46,25,0),0)</f>
        <v>225000</v>
      </c>
      <c r="D42" s="13"/>
      <c r="E42" s="14">
        <v>225000</v>
      </c>
      <c r="F42" s="43"/>
      <c r="G42" s="15">
        <f t="shared" si="0"/>
        <v>225000</v>
      </c>
      <c r="H42" s="17"/>
    </row>
    <row r="43" spans="1:8" ht="17.5" x14ac:dyDescent="0.35">
      <c r="A43" s="17"/>
      <c r="B43" s="17"/>
      <c r="C43" s="17"/>
      <c r="D43" s="13"/>
      <c r="E43" s="17"/>
      <c r="F43" s="17"/>
      <c r="G43" s="17"/>
      <c r="H43" s="17"/>
    </row>
    <row r="44" spans="1:8" ht="17.5" x14ac:dyDescent="0.35">
      <c r="A44" s="17"/>
      <c r="B44" s="12" t="s">
        <v>30</v>
      </c>
      <c r="C44" s="42">
        <f>SUM(C6:C42)</f>
        <v>5125000</v>
      </c>
      <c r="D44" s="42">
        <f>SUM(D6:D43)</f>
        <v>1161500</v>
      </c>
      <c r="E44" s="42">
        <f t="shared" ref="E44:H44" si="1">SUM(E6:E42)</f>
        <v>5319000</v>
      </c>
      <c r="F44" s="42">
        <f t="shared" si="1"/>
        <v>0</v>
      </c>
      <c r="G44" s="42">
        <f t="shared" si="1"/>
        <v>6480500</v>
      </c>
      <c r="H44" s="42">
        <f t="shared" si="1"/>
        <v>2385</v>
      </c>
    </row>
    <row r="47" spans="1:8" x14ac:dyDescent="0.35">
      <c r="B47" s="17" t="s">
        <v>127</v>
      </c>
      <c r="D47">
        <v>100000</v>
      </c>
    </row>
  </sheetData>
  <autoFilter ref="A5:G42" xr:uid="{00000000-0009-0000-0000-000002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39982-9205-4251-AE87-E62D732E13A2}">
  <dimension ref="A1:H47"/>
  <sheetViews>
    <sheetView zoomScale="106" zoomScaleNormal="106" workbookViewId="0">
      <pane xSplit="3" ySplit="5" topLeftCell="D18" activePane="bottomRight" state="frozen"/>
      <selection activeCell="E41" sqref="E41"/>
      <selection pane="topRight" activeCell="E41" sqref="E41"/>
      <selection pane="bottomLeft" activeCell="E41" sqref="E41"/>
      <selection pane="bottomRight" activeCell="A20" sqref="A20:B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6" width="17.54296875" customWidth="1"/>
    <col min="7" max="7" width="20.453125" customWidth="1"/>
  </cols>
  <sheetData>
    <row r="1" spans="1:8" ht="21" x14ac:dyDescent="0.5">
      <c r="A1" s="1" t="s">
        <v>2</v>
      </c>
      <c r="B1" s="1" t="s">
        <v>3</v>
      </c>
      <c r="C1" s="45">
        <v>45839</v>
      </c>
    </row>
    <row r="2" spans="1:8" x14ac:dyDescent="0.35">
      <c r="A2" s="1" t="s">
        <v>4</v>
      </c>
      <c r="B2" s="1">
        <v>2025</v>
      </c>
    </row>
    <row r="3" spans="1: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</row>
    <row r="4" spans="1:8" ht="28.5" x14ac:dyDescent="0.65">
      <c r="B4" s="51" t="s">
        <v>58</v>
      </c>
      <c r="C4" s="49"/>
      <c r="D4" s="49"/>
      <c r="E4" s="49"/>
      <c r="F4" s="47"/>
      <c r="G4" s="3"/>
    </row>
    <row r="5" spans="1:8" ht="68.25" customHeight="1" x14ac:dyDescent="0.35">
      <c r="A5" s="12" t="s">
        <v>0</v>
      </c>
      <c r="B5" s="12" t="s">
        <v>1</v>
      </c>
      <c r="C5" s="40" t="s">
        <v>91</v>
      </c>
      <c r="D5" s="40" t="s">
        <v>32</v>
      </c>
      <c r="E5" s="40" t="s">
        <v>92</v>
      </c>
      <c r="F5" s="40" t="s">
        <v>93</v>
      </c>
      <c r="G5" s="40" t="s">
        <v>31</v>
      </c>
      <c r="H5" s="41" t="s">
        <v>61</v>
      </c>
    </row>
    <row r="6" spans="1:8" ht="17.5" x14ac:dyDescent="0.35">
      <c r="A6" s="12" t="s">
        <v>60</v>
      </c>
      <c r="B6" s="12" t="str">
        <f>VLOOKUP(A6,[5]LISTADHERENT!$A$4:$J$44,3,0)</f>
        <v>ASELBY</v>
      </c>
      <c r="C6" s="25">
        <f>IF(G6&gt;0,VLOOKUP(A6,[6]HISTOJANV25!$A$6:$BQ$46,25,0),0)</f>
        <v>250000</v>
      </c>
      <c r="D6" s="13"/>
      <c r="E6" s="14">
        <v>250000</v>
      </c>
      <c r="F6" s="43"/>
      <c r="G6" s="15">
        <f>SUM(D6:F6)</f>
        <v>250000</v>
      </c>
      <c r="H6" s="15">
        <f>2385+2000+385</f>
        <v>4770</v>
      </c>
    </row>
    <row r="7" spans="1:8" ht="17.5" x14ac:dyDescent="0.35">
      <c r="A7" s="12" t="s">
        <v>66</v>
      </c>
      <c r="B7" s="12" t="str">
        <f>VLOOKUP(A7,[5]LISTADHERENT!$A$4:$J$44,3,0)</f>
        <v>BAKOP ACHILLE</v>
      </c>
      <c r="C7" s="25">
        <f>IF(G7&gt;0,VLOOKUP(A7,[6]HISTOJANV25!$A$6:$BQ$46,25,0),0)</f>
        <v>50000</v>
      </c>
      <c r="D7" s="13">
        <v>50000</v>
      </c>
      <c r="E7" s="14"/>
      <c r="F7" s="43"/>
      <c r="G7" s="15">
        <f t="shared" ref="G7:G42" si="0">SUM(D7:F7)</f>
        <v>50000</v>
      </c>
      <c r="H7" s="17"/>
    </row>
    <row r="8" spans="1:8" ht="17.5" x14ac:dyDescent="0.35">
      <c r="A8" s="12" t="s">
        <v>6</v>
      </c>
      <c r="B8" s="12" t="str">
        <f>VLOOKUP(A8,[5]LISTADHERENT!$A$4:$J$44,3,0)</f>
        <v>BOUTCHOUANG WILLIAM</v>
      </c>
      <c r="C8" s="25">
        <f>IF(G8&gt;0,VLOOKUP(A8,[6]HISTOJANV25!$A$6:$BQ$46,25,0),0)</f>
        <v>125000</v>
      </c>
      <c r="D8" s="13"/>
      <c r="E8" s="14">
        <v>125000</v>
      </c>
      <c r="F8" s="43"/>
      <c r="G8" s="15">
        <f t="shared" si="0"/>
        <v>125000</v>
      </c>
      <c r="H8" s="17"/>
    </row>
    <row r="9" spans="1:8" ht="17.5" x14ac:dyDescent="0.35">
      <c r="A9" s="12" t="s">
        <v>7</v>
      </c>
      <c r="B9" s="12" t="str">
        <f>VLOOKUP(A9,[5]LISTADHERENT!$A$4:$J$44,3,0)</f>
        <v xml:space="preserve">DJOMO JEAN PAUL </v>
      </c>
      <c r="C9" s="25">
        <f>IF(G9&gt;0,VLOOKUP(A9,[6]HISTOJANV25!$A$6:$BQ$46,25,0),0)</f>
        <v>250000</v>
      </c>
      <c r="D9" s="13">
        <f>250000+41500</f>
        <v>291500</v>
      </c>
      <c r="E9" s="14"/>
      <c r="F9" s="43"/>
      <c r="G9" s="15">
        <f t="shared" si="0"/>
        <v>291500</v>
      </c>
      <c r="H9" s="17"/>
    </row>
    <row r="10" spans="1:8" ht="17.5" x14ac:dyDescent="0.35">
      <c r="A10" s="12" t="s">
        <v>8</v>
      </c>
      <c r="B10" s="12" t="str">
        <f>VLOOKUP(A10,[5]LISTADHERENT!$A$4:$J$44,3,0)</f>
        <v>DJOMOU TCHAPDA</v>
      </c>
      <c r="C10" s="25">
        <f>IF(G10&gt;0,VLOOKUP(A10,[6]HISTOJANV25!$A$6:$BQ$46,25,0),0)</f>
        <v>50000</v>
      </c>
      <c r="D10" s="13"/>
      <c r="E10" s="14">
        <v>50000</v>
      </c>
      <c r="F10" s="43"/>
      <c r="G10" s="15">
        <f t="shared" si="0"/>
        <v>50000</v>
      </c>
      <c r="H10" s="17"/>
    </row>
    <row r="11" spans="1:8" ht="17.5" x14ac:dyDescent="0.35">
      <c r="A11" s="12" t="s">
        <v>9</v>
      </c>
      <c r="B11" s="12" t="str">
        <f>VLOOKUP(A11,[5]LISTADHERENT!$A$4:$J$44,3,0)</f>
        <v>DJOUKWE NANGUEN GUY BLAISE</v>
      </c>
      <c r="C11" s="25">
        <f>IF(G11&gt;0,VLOOKUP(A11,[6]HISTOJANV25!$A$6:$BQ$46,25,0),0)</f>
        <v>150000</v>
      </c>
      <c r="D11" s="13"/>
      <c r="E11" s="14">
        <v>290000</v>
      </c>
      <c r="F11" s="43"/>
      <c r="G11" s="15">
        <f t="shared" si="0"/>
        <v>290000</v>
      </c>
      <c r="H11" s="17"/>
    </row>
    <row r="12" spans="1:8" ht="17.5" x14ac:dyDescent="0.35">
      <c r="A12" s="12" t="s">
        <v>10</v>
      </c>
      <c r="B12" s="12" t="str">
        <f>VLOOKUP(A12,[5]LISTADHERENT!$A$4:$J$44,3,0)</f>
        <v>DJUOMBESSY ANTOINE</v>
      </c>
      <c r="C12" s="25">
        <f>IF(G12&gt;0,VLOOKUP(A12,[6]HISTOJANV25!$A$6:$BQ$46,25,0),0)</f>
        <v>250000</v>
      </c>
      <c r="D12" s="13">
        <v>31000</v>
      </c>
      <c r="E12" s="14">
        <f>365000+101500</f>
        <v>466500</v>
      </c>
      <c r="F12" s="43"/>
      <c r="G12" s="15">
        <f t="shared" si="0"/>
        <v>497500</v>
      </c>
      <c r="H12" s="17"/>
    </row>
    <row r="13" spans="1:8" ht="17.5" x14ac:dyDescent="0.35">
      <c r="A13" s="12" t="s">
        <v>11</v>
      </c>
      <c r="B13" s="12" t="str">
        <f>VLOOKUP(A13,[5]LISTADHERENT!$A$4:$J$44,3,0)</f>
        <v>DOMOU FABIEN</v>
      </c>
      <c r="C13" s="25">
        <f>IF(G13&gt;0,VLOOKUP(A13,[6]HISTOJANV25!$A$6:$BQ$46,25,0),0)</f>
        <v>50000</v>
      </c>
      <c r="D13" s="13"/>
      <c r="E13" s="14">
        <v>50000</v>
      </c>
      <c r="F13" s="43"/>
      <c r="G13" s="15">
        <f t="shared" si="0"/>
        <v>50000</v>
      </c>
      <c r="H13" s="17"/>
    </row>
    <row r="14" spans="1:8" ht="17.5" x14ac:dyDescent="0.35">
      <c r="A14" s="12" t="s">
        <v>12</v>
      </c>
      <c r="B14" s="12" t="str">
        <f>VLOOKUP(A14,[5]LISTADHERENT!$A$4:$J$44,3,0)</f>
        <v>DONHOU DAVID</v>
      </c>
      <c r="C14" s="25">
        <f>IF(G14&gt;0,VLOOKUP(A14,[6]HISTOJANV25!$A$6:$BQ$46,25,0),0)</f>
        <v>50000</v>
      </c>
      <c r="D14" s="13"/>
      <c r="E14" s="14">
        <v>50000</v>
      </c>
      <c r="F14" s="43"/>
      <c r="G14" s="15">
        <f t="shared" si="0"/>
        <v>50000</v>
      </c>
      <c r="H14" s="17"/>
    </row>
    <row r="15" spans="1:8" ht="17.5" x14ac:dyDescent="0.35">
      <c r="A15" s="12" t="s">
        <v>94</v>
      </c>
      <c r="B15" s="12" t="str">
        <f>VLOOKUP(A15,[5]LISTADHERENT!$A$4:$J$44,3,0)</f>
        <v>FAMPOU PAUL</v>
      </c>
      <c r="C15" s="25">
        <f>IF(G15&gt;0,VLOOKUP(A15,[6]HISTOMARS25!$A$6:$BQ$46,25,0),0)</f>
        <v>150000</v>
      </c>
      <c r="D15" s="13"/>
      <c r="E15" s="14">
        <v>150000</v>
      </c>
      <c r="F15" s="43"/>
      <c r="G15" s="15">
        <f t="shared" si="0"/>
        <v>150000</v>
      </c>
      <c r="H15" s="17"/>
    </row>
    <row r="16" spans="1:8" ht="17.5" x14ac:dyDescent="0.35">
      <c r="A16" s="12" t="s">
        <v>13</v>
      </c>
      <c r="B16" s="12" t="str">
        <f>VLOOKUP(A16,[5]LISTADHERENT!$A$4:$J$44,3,0)</f>
        <v>HENGUE PAUL OMER</v>
      </c>
      <c r="C16" s="25">
        <f>IF(G16&gt;0,VLOOKUP(A16,[6]HISTOJANV25!$A$6:$BQ$46,25,0),0)</f>
        <v>125000</v>
      </c>
      <c r="D16" s="13"/>
      <c r="E16" s="14">
        <v>125000</v>
      </c>
      <c r="F16" s="43"/>
      <c r="G16" s="15">
        <f t="shared" si="0"/>
        <v>125000</v>
      </c>
      <c r="H16" s="17"/>
    </row>
    <row r="17" spans="1:8" ht="17.5" x14ac:dyDescent="0.35">
      <c r="A17" s="12" t="s">
        <v>14</v>
      </c>
      <c r="B17" s="12" t="str">
        <f>VLOOKUP(A17,[5]LISTADHERENT!$A$4:$J$44,3,0)</f>
        <v>HOTCHO BENJAMIN</v>
      </c>
      <c r="C17" s="25">
        <f>IF(G17&gt;0,VLOOKUP(A17,[6]HISTOJANV25!$A$6:$BQ$46,25,0),0)</f>
        <v>225000</v>
      </c>
      <c r="D17" s="13"/>
      <c r="E17" s="14">
        <v>342000</v>
      </c>
      <c r="F17" s="43"/>
      <c r="G17" s="15">
        <f t="shared" si="0"/>
        <v>342000</v>
      </c>
      <c r="H17" s="17"/>
    </row>
    <row r="18" spans="1:8" ht="17.5" x14ac:dyDescent="0.35">
      <c r="A18" s="12" t="s">
        <v>15</v>
      </c>
      <c r="B18" s="12" t="str">
        <f>VLOOKUP(A18,[5]LISTADHERENT!$A$4:$J$44,3,0)</f>
        <v>KOUAMOU MOISE</v>
      </c>
      <c r="C18" s="25">
        <f>IF(G18&gt;0,VLOOKUP(A18,[6]HISTOJANV25!$A$6:$BQ$46,25,0),0)</f>
        <v>150000</v>
      </c>
      <c r="D18" s="13"/>
      <c r="E18" s="14">
        <v>180000</v>
      </c>
      <c r="F18" s="43"/>
      <c r="G18" s="15">
        <f t="shared" si="0"/>
        <v>180000</v>
      </c>
      <c r="H18" s="17"/>
    </row>
    <row r="19" spans="1:8" ht="17.5" x14ac:dyDescent="0.35">
      <c r="A19" s="12" t="s">
        <v>16</v>
      </c>
      <c r="B19" s="12" t="str">
        <f>VLOOKUP(A19,[5]LISTADHERENT!$A$4:$J$44,3,0)</f>
        <v>KOUATCHO MESSACK</v>
      </c>
      <c r="C19" s="25">
        <f>IF(G19&gt;0,VLOOKUP(A19,[6]HISTOJANV25!$A$6:$BQ$46,25,0),0)</f>
        <v>225000</v>
      </c>
      <c r="D19" s="13"/>
      <c r="E19" s="14">
        <f>201000+175000</f>
        <v>376000</v>
      </c>
      <c r="F19" s="43"/>
      <c r="G19" s="15">
        <f t="shared" si="0"/>
        <v>376000</v>
      </c>
      <c r="H19" s="17"/>
    </row>
    <row r="20" spans="1:8" ht="17.5" x14ac:dyDescent="0.35">
      <c r="A20" s="12" t="s">
        <v>129</v>
      </c>
      <c r="B20" s="12" t="str">
        <f>VLOOKUP(A20,[5]LISTADHERENT!$A$4:$J$44,3,0)</f>
        <v>LOWE JEAN</v>
      </c>
      <c r="C20" s="25"/>
      <c r="D20" s="13"/>
      <c r="E20" s="14"/>
      <c r="F20" s="43"/>
      <c r="G20" s="15"/>
      <c r="H20" s="17"/>
    </row>
    <row r="21" spans="1:8" ht="17.5" x14ac:dyDescent="0.35">
      <c r="A21" s="12" t="s">
        <v>82</v>
      </c>
      <c r="B21" s="12" t="str">
        <f>VLOOKUP(A21,[5]LISTADHERENT!$A$4:$J$44,3,0)</f>
        <v>MASSEUNGOUE DAGOBERT</v>
      </c>
      <c r="C21" s="25">
        <f>IF(G21&gt;0,VLOOKUP(A21,[6]HISTOJANV25!$A$6:$BQ$46,25,0),0)</f>
        <v>50000</v>
      </c>
      <c r="D21" s="13"/>
      <c r="E21" s="14">
        <f>50000+25000</f>
        <v>75000</v>
      </c>
      <c r="F21" s="43"/>
      <c r="G21" s="15">
        <f t="shared" si="0"/>
        <v>75000</v>
      </c>
      <c r="H21" s="17"/>
    </row>
    <row r="22" spans="1:8" ht="17.5" x14ac:dyDescent="0.35">
      <c r="A22" s="12" t="s">
        <v>17</v>
      </c>
      <c r="B22" s="12" t="str">
        <f>VLOOKUP(A22,[5]LISTADHERENT!$A$4:$J$44,3,0)</f>
        <v>MBOGNING TUGMA GUY</v>
      </c>
      <c r="C22" s="25">
        <f>IF(G22&gt;0,VLOOKUP(A22,[6]HISTOJANV25!$A$6:$BQ$46,25,0),0)</f>
        <v>325000</v>
      </c>
      <c r="D22" s="13"/>
      <c r="E22" s="14">
        <v>530000</v>
      </c>
      <c r="F22" s="43"/>
      <c r="G22" s="15">
        <f t="shared" si="0"/>
        <v>530000</v>
      </c>
      <c r="H22" s="17"/>
    </row>
    <row r="23" spans="1:8" ht="17.5" x14ac:dyDescent="0.35">
      <c r="A23" s="12" t="s">
        <v>18</v>
      </c>
      <c r="B23" s="12" t="str">
        <f>VLOOKUP(A23,[5]LISTADHERENT!$A$4:$J$44,3,0)</f>
        <v>NANGUEN MARTIN</v>
      </c>
      <c r="C23" s="25">
        <f>IF(G23&gt;0,VLOOKUP(A23,[6]HISTOJANV25!$A$6:$BQ$46,25,0),0)</f>
        <v>50000</v>
      </c>
      <c r="D23" s="13"/>
      <c r="E23" s="14">
        <v>50000</v>
      </c>
      <c r="F23" s="43"/>
      <c r="G23" s="15">
        <f t="shared" si="0"/>
        <v>50000</v>
      </c>
      <c r="H23" s="17"/>
    </row>
    <row r="24" spans="1:8" ht="17.5" x14ac:dyDescent="0.35">
      <c r="A24" s="12" t="s">
        <v>19</v>
      </c>
      <c r="B24" s="12" t="str">
        <f>VLOOKUP(A24,[5]LISTADHERENT!$A$4:$J$44,3,0)</f>
        <v>NANKAM APPOLINAIRE</v>
      </c>
      <c r="C24" s="25">
        <f>IF(G24&gt;0,VLOOKUP(A24,[6]HISTOJANV25!$A$6:$BQ$46,25,0),0)</f>
        <v>125000</v>
      </c>
      <c r="D24" s="13"/>
      <c r="E24" s="14">
        <v>125000</v>
      </c>
      <c r="F24" s="43"/>
      <c r="G24" s="15">
        <f t="shared" si="0"/>
        <v>125000</v>
      </c>
      <c r="H24" s="17"/>
    </row>
    <row r="25" spans="1:8" ht="17.5" x14ac:dyDescent="0.35">
      <c r="A25" s="12" t="s">
        <v>20</v>
      </c>
      <c r="B25" s="12" t="str">
        <f>VLOOKUP(A25,[5]LISTADHERENT!$A$4:$J$44,3,0)</f>
        <v>NDJOMO ETIENNE</v>
      </c>
      <c r="C25" s="25">
        <f>IF(G25&gt;0,VLOOKUP(A25,[6]HISTOJANV25!$A$6:$BQ$46,25,0),0)</f>
        <v>250000</v>
      </c>
      <c r="D25" s="13"/>
      <c r="E25" s="14">
        <f>275000+206500</f>
        <v>481500</v>
      </c>
      <c r="F25" s="43"/>
      <c r="G25" s="15">
        <f t="shared" si="0"/>
        <v>481500</v>
      </c>
      <c r="H25" s="17"/>
    </row>
    <row r="26" spans="1:8" ht="17.5" x14ac:dyDescent="0.35">
      <c r="A26" s="12" t="s">
        <v>21</v>
      </c>
      <c r="B26" s="12" t="str">
        <f>VLOOKUP(A26,[5]LISTADHERENT!$A$4:$J$44,3,0)</f>
        <v>NGONDIEP CLAUDE</v>
      </c>
      <c r="C26" s="25">
        <f>IF(G26&gt;0,VLOOKUP(A26,[6]HISTOJANV25!$A$6:$BQ$46,25,0),0)</f>
        <v>225000</v>
      </c>
      <c r="D26" s="13"/>
      <c r="E26" s="14">
        <v>240000</v>
      </c>
      <c r="F26" s="43"/>
      <c r="G26" s="15">
        <f t="shared" si="0"/>
        <v>240000</v>
      </c>
      <c r="H26" s="17"/>
    </row>
    <row r="27" spans="1:8" ht="17.5" x14ac:dyDescent="0.35">
      <c r="A27" s="12" t="s">
        <v>22</v>
      </c>
      <c r="B27" s="12" t="str">
        <f>VLOOKUP(A27,[5]LISTADHERENT!$A$4:$J$44,3,0)</f>
        <v>NGUIEMEGNI MATHIEU BLAISE</v>
      </c>
      <c r="C27" s="25">
        <f>IF(G27&gt;0,VLOOKUP(A27,[6]HISTOJANV25!$A$6:$BQ$46,25,0),0)</f>
        <v>250000</v>
      </c>
      <c r="D27" s="13"/>
      <c r="E27" s="14">
        <f>240000+103000</f>
        <v>343000</v>
      </c>
      <c r="F27" s="43"/>
      <c r="G27" s="15">
        <f t="shared" si="0"/>
        <v>343000</v>
      </c>
      <c r="H27" s="17"/>
    </row>
    <row r="28" spans="1:8" ht="17.5" x14ac:dyDescent="0.35">
      <c r="A28" s="12" t="s">
        <v>23</v>
      </c>
      <c r="B28" s="12" t="str">
        <f>VLOOKUP(A28,[5]LISTADHERENT!$A$4:$J$44,3,0)</f>
        <v>NKAMGANG JUSTIN DEJOLIE</v>
      </c>
      <c r="C28" s="25">
        <f>IF(G28&gt;0,VLOOKUP(A28,[6]HISTOJANV25!$A$6:$BQ$46,25,0),0)</f>
        <v>50000</v>
      </c>
      <c r="D28" s="13"/>
      <c r="E28" s="14">
        <v>50000</v>
      </c>
      <c r="F28" s="43"/>
      <c r="G28" s="15">
        <f t="shared" si="0"/>
        <v>50000</v>
      </c>
      <c r="H28" s="17"/>
    </row>
    <row r="29" spans="1:8" ht="17.5" x14ac:dyDescent="0.35">
      <c r="A29" s="12" t="s">
        <v>63</v>
      </c>
      <c r="B29" s="12" t="str">
        <f>VLOOKUP(A29,[5]LISTADHERENT!$A$4:$J$44,3,0)</f>
        <v>NOUBE ETIENNE</v>
      </c>
      <c r="C29" s="25">
        <f>IF(G29&gt;0,VLOOKUP(A29,[6]HISTOJANV25!$A$6:$BQ$46,25,0),0)</f>
        <v>50000</v>
      </c>
      <c r="D29" s="13"/>
      <c r="E29" s="14">
        <v>50000</v>
      </c>
      <c r="F29" s="43"/>
      <c r="G29" s="15">
        <f t="shared" si="0"/>
        <v>50000</v>
      </c>
      <c r="H29" s="17"/>
    </row>
    <row r="30" spans="1:8" ht="17.5" x14ac:dyDescent="0.35">
      <c r="A30" s="12" t="s">
        <v>24</v>
      </c>
      <c r="B30" s="12" t="str">
        <f>VLOOKUP(A30,[5]LISTADHERENT!$A$4:$J$44,3,0)</f>
        <v>PATEGO NJOSSU GUSTAVE</v>
      </c>
      <c r="C30" s="25">
        <f>IF(G30&gt;0,VLOOKUP(A30,[6]HISTOJANV25!$A$6:$BQ$46,25,0),0)</f>
        <v>125000</v>
      </c>
      <c r="D30" s="13"/>
      <c r="E30" s="14">
        <v>125000</v>
      </c>
      <c r="F30" s="43"/>
      <c r="G30" s="15">
        <f t="shared" si="0"/>
        <v>125000</v>
      </c>
      <c r="H30" s="17"/>
    </row>
    <row r="31" spans="1:8" ht="17.5" x14ac:dyDescent="0.35">
      <c r="A31" s="12" t="s">
        <v>64</v>
      </c>
      <c r="B31" s="12" t="str">
        <f>VLOOKUP(A31,[5]LISTADHERENT!$A$4:$J$44,3,0)</f>
        <v>SEUMO POLYCARPE</v>
      </c>
      <c r="C31" s="25">
        <f>IF(G31&gt;0,VLOOKUP(A31,[6]HISTOJANV25!$A$6:$BQ$46,25,0),0)</f>
        <v>50000</v>
      </c>
      <c r="D31" s="13"/>
      <c r="E31" s="14">
        <v>50000</v>
      </c>
      <c r="F31" s="43"/>
      <c r="G31" s="15">
        <f t="shared" si="0"/>
        <v>50000</v>
      </c>
      <c r="H31" s="17"/>
    </row>
    <row r="32" spans="1:8" ht="17.5" x14ac:dyDescent="0.35">
      <c r="A32" s="12" t="s">
        <v>25</v>
      </c>
      <c r="B32" s="12" t="str">
        <f>VLOOKUP(A32,[5]LISTADHERENT!$A$4:$J$44,3,0)</f>
        <v>SIME BRICE</v>
      </c>
      <c r="C32" s="25">
        <f>IF(G32&gt;0,VLOOKUP(A32,[6]HISTOJANV25!$A$6:$BQ$46,25,0),0)</f>
        <v>250000</v>
      </c>
      <c r="D32" s="13"/>
      <c r="E32" s="14">
        <v>250000</v>
      </c>
      <c r="F32" s="43"/>
      <c r="G32" s="15">
        <f t="shared" si="0"/>
        <v>250000</v>
      </c>
      <c r="H32" s="17"/>
    </row>
    <row r="33" spans="1:8" ht="17.5" x14ac:dyDescent="0.35">
      <c r="A33" s="12" t="s">
        <v>89</v>
      </c>
      <c r="B33" s="12" t="str">
        <f>VLOOKUP(A33,[5]LISTADHERENT!$A$4:$J$44,3,0)</f>
        <v>SIMO FONGANG ERIC</v>
      </c>
      <c r="C33" s="25">
        <f>IF(G33&gt;0,VLOOKUP(A33,[6]HISTOJANV25!$A$6:$BQ$46,25,0),0)</f>
        <v>50000</v>
      </c>
      <c r="D33" s="13">
        <v>50000</v>
      </c>
      <c r="E33" s="14"/>
      <c r="F33" s="43"/>
      <c r="G33" s="15">
        <f t="shared" si="0"/>
        <v>50000</v>
      </c>
      <c r="H33" s="17"/>
    </row>
    <row r="34" spans="1:8" ht="17.5" x14ac:dyDescent="0.35">
      <c r="A34" s="12" t="s">
        <v>26</v>
      </c>
      <c r="B34" s="12" t="str">
        <f>VLOOKUP(A34,[5]LISTADHERENT!$A$4:$J$44,3,0)</f>
        <v>SIMO PIERRE</v>
      </c>
      <c r="C34" s="25">
        <f>IF(G34&gt;0,VLOOKUP(A34,[6]HISTOJANV25!$A$6:$BQ$46,25,0),0)</f>
        <v>150000</v>
      </c>
      <c r="D34" s="13"/>
      <c r="E34" s="14">
        <f>130000+45000</f>
        <v>175000</v>
      </c>
      <c r="F34" s="43"/>
      <c r="G34" s="15">
        <f t="shared" si="0"/>
        <v>175000</v>
      </c>
      <c r="H34" s="17"/>
    </row>
    <row r="35" spans="1:8" ht="17.5" x14ac:dyDescent="0.35">
      <c r="A35" s="12" t="s">
        <v>27</v>
      </c>
      <c r="B35" s="12" t="str">
        <f>VLOOKUP(A35,[5]LISTADHERENT!$A$4:$J$44,3,0)</f>
        <v>TCHOUAMOU MATHIEU</v>
      </c>
      <c r="C35" s="25">
        <f>IF(G35&gt;0,VLOOKUP(A35,[6]HISTOJANV25!$A$6:$BQ$46,25,0),0)</f>
        <v>125000</v>
      </c>
      <c r="D35" s="13"/>
      <c r="E35" s="14">
        <f>125000+102000</f>
        <v>227000</v>
      </c>
      <c r="F35" s="43"/>
      <c r="G35" s="15">
        <f t="shared" si="0"/>
        <v>227000</v>
      </c>
      <c r="H35" s="17"/>
    </row>
    <row r="36" spans="1:8" ht="17.5" x14ac:dyDescent="0.35">
      <c r="A36" s="12" t="s">
        <v>81</v>
      </c>
      <c r="B36" s="12" t="str">
        <f>VLOOKUP(A36,[5]LISTADHERENT!$A$4:$J$44,3,0)</f>
        <v>TCHOUATEU AUGUSTIN</v>
      </c>
      <c r="C36" s="25">
        <f>IF(G36&gt;0,VLOOKUP(A36,[6]HISTOJANV25!$A$6:$BQ$46,25,0),0)</f>
        <v>150000</v>
      </c>
      <c r="D36" s="13"/>
      <c r="E36" s="14">
        <v>150000</v>
      </c>
      <c r="F36" s="43"/>
      <c r="G36" s="15">
        <f t="shared" si="0"/>
        <v>150000</v>
      </c>
      <c r="H36" s="17"/>
    </row>
    <row r="37" spans="1:8" ht="17.5" x14ac:dyDescent="0.35">
      <c r="A37" s="12" t="s">
        <v>62</v>
      </c>
      <c r="B37" s="12" t="str">
        <f>VLOOKUP(A37,[5]LISTADHERENT!$A$4:$J$44,3,0)</f>
        <v>TCHOUTOU NANA CLAUDE</v>
      </c>
      <c r="C37" s="25">
        <f>IF(G37&gt;0,VLOOKUP(A37,[6]HISTOJANV25!$A$6:$BQ$46,25,0),0)</f>
        <v>50000</v>
      </c>
      <c r="D37" s="13"/>
      <c r="E37" s="14">
        <v>50000</v>
      </c>
      <c r="F37" s="43"/>
      <c r="G37" s="15">
        <f t="shared" si="0"/>
        <v>50000</v>
      </c>
      <c r="H37" s="17"/>
    </row>
    <row r="38" spans="1:8" ht="17.5" x14ac:dyDescent="0.35">
      <c r="A38" s="12" t="s">
        <v>90</v>
      </c>
      <c r="B38" s="12" t="str">
        <f>VLOOKUP(A38,[5]LISTADHERENT!$A$4:$J$44,3,0)</f>
        <v>TIEYAM ERNEST</v>
      </c>
      <c r="C38" s="25">
        <f>IF(G38&gt;0,VLOOKUP(A38,[6]HISTOJANV25!$A$6:$BQ$46,25,0),0)</f>
        <v>50000</v>
      </c>
      <c r="D38" s="13">
        <v>53000</v>
      </c>
      <c r="E38" s="14"/>
      <c r="F38" s="43"/>
      <c r="G38" s="15">
        <f t="shared" si="0"/>
        <v>53000</v>
      </c>
      <c r="H38" s="17"/>
    </row>
    <row r="39" spans="1:8" ht="17.5" x14ac:dyDescent="0.35">
      <c r="A39" s="12" t="s">
        <v>65</v>
      </c>
      <c r="B39" s="12" t="str">
        <f>VLOOKUP(A39,[5]LISTADHERENT!$A$4:$J$44,3,0)</f>
        <v>YANTCHOU GERVAIS</v>
      </c>
      <c r="C39" s="25">
        <f>IF(G39&gt;0,VLOOKUP(A39,[6]HISTOJANV25!$A$6:$BQ$46,25,0),0)</f>
        <v>125000</v>
      </c>
      <c r="D39" s="13"/>
      <c r="E39" s="14">
        <v>125000</v>
      </c>
      <c r="F39" s="43"/>
      <c r="G39" s="15">
        <f t="shared" si="0"/>
        <v>125000</v>
      </c>
      <c r="H39" s="17"/>
    </row>
    <row r="40" spans="1:8" ht="17.5" x14ac:dyDescent="0.35">
      <c r="A40" s="12" t="s">
        <v>28</v>
      </c>
      <c r="B40" s="12" t="str">
        <f>VLOOKUP(A40,[5]LISTADHERENT!$A$4:$J$44,3,0)</f>
        <v>YEPMOU JEAN JACQUES</v>
      </c>
      <c r="C40" s="25">
        <f>IF(G40&gt;0,VLOOKUP(A40,[6]HISTOJANV25!$A$6:$BQ$46,25,0),0)</f>
        <v>50000</v>
      </c>
      <c r="D40" s="13"/>
      <c r="E40" s="14">
        <v>50000</v>
      </c>
      <c r="F40" s="43"/>
      <c r="G40" s="15">
        <f t="shared" si="0"/>
        <v>50000</v>
      </c>
      <c r="H40" s="17"/>
    </row>
    <row r="41" spans="1:8" ht="17.5" x14ac:dyDescent="0.35">
      <c r="A41" s="12" t="s">
        <v>80</v>
      </c>
      <c r="B41" s="12" t="str">
        <f>VLOOKUP(A41,[5]LISTADHERENT!$A$4:$J$44,3,0)</f>
        <v>YIALA ALAIN OSCAR</v>
      </c>
      <c r="C41" s="25">
        <f>IF(G41&gt;0,VLOOKUP(A41,[6]HISTOJANV25!$A$6:$BQ$46,25,0),0)</f>
        <v>250000</v>
      </c>
      <c r="D41" s="13"/>
      <c r="E41" s="14">
        <v>250000</v>
      </c>
      <c r="F41" s="43"/>
      <c r="G41" s="15">
        <f t="shared" si="0"/>
        <v>250000</v>
      </c>
      <c r="H41" s="17"/>
    </row>
    <row r="42" spans="1:8" ht="17.5" x14ac:dyDescent="0.35">
      <c r="A42" s="12" t="s">
        <v>29</v>
      </c>
      <c r="B42" s="12" t="str">
        <f>VLOOKUP(A42,[5]LISTADHERENT!$A$4:$J$44,3,0)</f>
        <v>YOUMBI EMMANUEL</v>
      </c>
      <c r="C42" s="25">
        <f>IF(G42&gt;0,VLOOKUP(A42,[6]HISTOJANV25!$A$6:$BQ$46,25,0),0)</f>
        <v>225000</v>
      </c>
      <c r="D42" s="13"/>
      <c r="E42" s="14">
        <v>225000</v>
      </c>
      <c r="F42" s="43"/>
      <c r="G42" s="15">
        <f t="shared" si="0"/>
        <v>225000</v>
      </c>
      <c r="H42" s="17"/>
    </row>
    <row r="43" spans="1:8" x14ac:dyDescent="0.35">
      <c r="A43" s="17"/>
      <c r="B43" s="17" t="s">
        <v>127</v>
      </c>
      <c r="C43" s="17"/>
      <c r="D43" s="17"/>
      <c r="E43" s="17"/>
      <c r="F43" s="17"/>
      <c r="G43" s="17"/>
      <c r="H43" s="17"/>
    </row>
    <row r="44" spans="1:8" ht="17.5" x14ac:dyDescent="0.35">
      <c r="A44" s="17"/>
      <c r="B44" s="12" t="s">
        <v>30</v>
      </c>
      <c r="C44" s="42">
        <f>SUM(C6:C42)</f>
        <v>5125000</v>
      </c>
      <c r="D44" s="42">
        <f>SUM(D6:D43)</f>
        <v>475500</v>
      </c>
      <c r="E44" s="42">
        <f t="shared" ref="E44:H44" si="1">SUM(E6:E42)</f>
        <v>6076000</v>
      </c>
      <c r="F44" s="42">
        <f t="shared" si="1"/>
        <v>0</v>
      </c>
      <c r="G44" s="42">
        <f t="shared" si="1"/>
        <v>6551500</v>
      </c>
      <c r="H44" s="42">
        <f t="shared" si="1"/>
        <v>4770</v>
      </c>
    </row>
    <row r="47" spans="1:8" x14ac:dyDescent="0.35">
      <c r="B47" s="17" t="s">
        <v>127</v>
      </c>
      <c r="D47">
        <v>50000</v>
      </c>
    </row>
  </sheetData>
  <autoFilter ref="A5:G42" xr:uid="{00000000-0009-0000-0000-000002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F849-CFBB-4040-8E16-6122D28796C7}">
  <dimension ref="A1:H47"/>
  <sheetViews>
    <sheetView zoomScale="106" zoomScaleNormal="106" workbookViewId="0">
      <pane xSplit="3" ySplit="5" topLeftCell="D18" activePane="bottomRight" state="frozen"/>
      <selection activeCell="E41" sqref="E41"/>
      <selection pane="topRight" activeCell="E41" sqref="E41"/>
      <selection pane="bottomLeft" activeCell="E41" sqref="E41"/>
      <selection pane="bottomRight" activeCell="A20" sqref="A20:B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6" width="17.54296875" customWidth="1"/>
    <col min="7" max="7" width="20.453125" customWidth="1"/>
  </cols>
  <sheetData>
    <row r="1" spans="1:8" ht="21" x14ac:dyDescent="0.5">
      <c r="A1" s="1" t="s">
        <v>2</v>
      </c>
      <c r="B1" s="1" t="s">
        <v>3</v>
      </c>
      <c r="C1" s="45">
        <v>45870</v>
      </c>
    </row>
    <row r="2" spans="1:8" x14ac:dyDescent="0.35">
      <c r="A2" s="1" t="s">
        <v>4</v>
      </c>
      <c r="B2" s="1">
        <v>2025</v>
      </c>
    </row>
    <row r="3" spans="1: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</row>
    <row r="4" spans="1:8" ht="28.5" x14ac:dyDescent="0.65">
      <c r="B4" s="51" t="s">
        <v>58</v>
      </c>
      <c r="C4" s="49"/>
      <c r="D4" s="49"/>
      <c r="E4" s="49"/>
      <c r="F4" s="47"/>
      <c r="G4" s="3"/>
    </row>
    <row r="5" spans="1:8" ht="68.25" customHeight="1" x14ac:dyDescent="0.35">
      <c r="A5" s="12" t="s">
        <v>0</v>
      </c>
      <c r="B5" s="12" t="s">
        <v>1</v>
      </c>
      <c r="C5" s="40" t="s">
        <v>91</v>
      </c>
      <c r="D5" s="40" t="s">
        <v>32</v>
      </c>
      <c r="E5" s="40" t="s">
        <v>92</v>
      </c>
      <c r="F5" s="40" t="s">
        <v>93</v>
      </c>
      <c r="G5" s="40" t="s">
        <v>31</v>
      </c>
      <c r="H5" s="41" t="s">
        <v>61</v>
      </c>
    </row>
    <row r="6" spans="1:8" ht="17.5" x14ac:dyDescent="0.35">
      <c r="A6" s="12" t="s">
        <v>60</v>
      </c>
      <c r="B6" s="12" t="str">
        <f>VLOOKUP(A6,[5]LISTADHERENT!$A$4:$J$44,3,0)</f>
        <v>ASELBY</v>
      </c>
      <c r="C6" s="25">
        <f>IF(G6&gt;0,VLOOKUP(A6,[6]HISTOJANV25!$A$6:$BQ$46,25,0),0)</f>
        <v>250000</v>
      </c>
      <c r="D6" s="13"/>
      <c r="E6" s="14">
        <v>250000</v>
      </c>
      <c r="F6" s="43"/>
      <c r="G6" s="15">
        <f>SUM(D6:F6)</f>
        <v>250000</v>
      </c>
      <c r="H6" s="15">
        <v>2385</v>
      </c>
    </row>
    <row r="7" spans="1:8" ht="17.5" x14ac:dyDescent="0.35">
      <c r="A7" s="12" t="s">
        <v>66</v>
      </c>
      <c r="B7" s="12" t="str">
        <f>VLOOKUP(A7,[5]LISTADHERENT!$A$4:$J$44,3,0)</f>
        <v>BAKOP ACHILLE</v>
      </c>
      <c r="C7" s="25">
        <f>IF(G7&gt;0,VLOOKUP(A7,[6]HISTOJANV25!$A$6:$BQ$46,25,0),0)</f>
        <v>50000</v>
      </c>
      <c r="D7" s="13">
        <v>50000</v>
      </c>
      <c r="E7" s="14"/>
      <c r="F7" s="43"/>
      <c r="G7" s="15">
        <f t="shared" ref="G7:G43" si="0">SUM(D7:F7)</f>
        <v>50000</v>
      </c>
      <c r="H7" s="17"/>
    </row>
    <row r="8" spans="1:8" ht="17.5" x14ac:dyDescent="0.35">
      <c r="A8" s="12" t="s">
        <v>6</v>
      </c>
      <c r="B8" s="12" t="str">
        <f>VLOOKUP(A8,[5]LISTADHERENT!$A$4:$J$44,3,0)</f>
        <v>BOUTCHOUANG WILLIAM</v>
      </c>
      <c r="C8" s="25">
        <f>IF(G8&gt;0,VLOOKUP(A8,[6]HISTOJANV25!$A$6:$BQ$46,25,0),0)</f>
        <v>125000</v>
      </c>
      <c r="D8" s="13"/>
      <c r="E8" s="14">
        <v>125000</v>
      </c>
      <c r="F8" s="43"/>
      <c r="G8" s="15">
        <f t="shared" si="0"/>
        <v>125000</v>
      </c>
      <c r="H8" s="17"/>
    </row>
    <row r="9" spans="1:8" ht="17.5" x14ac:dyDescent="0.35">
      <c r="A9" s="12" t="s">
        <v>7</v>
      </c>
      <c r="B9" s="12" t="str">
        <f>VLOOKUP(A9,[5]LISTADHERENT!$A$4:$J$44,3,0)</f>
        <v xml:space="preserve">DJOMO JEAN PAUL </v>
      </c>
      <c r="C9" s="25">
        <f>IF(G9&gt;0,VLOOKUP(A9,[6]HISTOJANV25!$A$6:$BQ$46,25,0),0)</f>
        <v>250000</v>
      </c>
      <c r="D9" s="13">
        <f>351000+102500</f>
        <v>453500</v>
      </c>
      <c r="E9" s="14"/>
      <c r="F9" s="43"/>
      <c r="G9" s="15">
        <f t="shared" si="0"/>
        <v>453500</v>
      </c>
      <c r="H9" s="17"/>
    </row>
    <row r="10" spans="1:8" ht="17.5" x14ac:dyDescent="0.35">
      <c r="A10" s="12" t="s">
        <v>8</v>
      </c>
      <c r="B10" s="12" t="str">
        <f>VLOOKUP(A10,[5]LISTADHERENT!$A$4:$J$44,3,0)</f>
        <v>DJOMOU TCHAPDA</v>
      </c>
      <c r="C10" s="25">
        <f>IF(G10&gt;0,VLOOKUP(A10,[6]HISTOJANV25!$A$6:$BQ$46,25,0),0)</f>
        <v>50000</v>
      </c>
      <c r="D10" s="13"/>
      <c r="E10" s="14">
        <v>77000</v>
      </c>
      <c r="F10" s="43"/>
      <c r="G10" s="15">
        <f t="shared" si="0"/>
        <v>77000</v>
      </c>
      <c r="H10" s="17"/>
    </row>
    <row r="11" spans="1:8" ht="17.5" x14ac:dyDescent="0.35">
      <c r="A11" s="12" t="s">
        <v>9</v>
      </c>
      <c r="B11" s="12" t="str">
        <f>VLOOKUP(A11,[5]LISTADHERENT!$A$4:$J$44,3,0)</f>
        <v>DJOUKWE NANGUEN GUY BLAISE</v>
      </c>
      <c r="C11" s="25">
        <f>IF(G11&gt;0,VLOOKUP(A11,[6]HISTOJANV25!$A$6:$BQ$46,25,0),0)</f>
        <v>150000</v>
      </c>
      <c r="D11" s="13"/>
      <c r="E11" s="14">
        <v>400000</v>
      </c>
      <c r="F11" s="43"/>
      <c r="G11" s="15">
        <f t="shared" si="0"/>
        <v>400000</v>
      </c>
      <c r="H11" s="17"/>
    </row>
    <row r="12" spans="1:8" ht="17.5" x14ac:dyDescent="0.35">
      <c r="A12" s="12" t="s">
        <v>10</v>
      </c>
      <c r="B12" s="12" t="str">
        <f>VLOOKUP(A12,[5]LISTADHERENT!$A$4:$J$44,3,0)</f>
        <v>DJUOMBESSY ANTOINE</v>
      </c>
      <c r="C12" s="25">
        <f>IF(G12&gt;0,VLOOKUP(A12,[6]HISTOJANV25!$A$6:$BQ$46,25,0),0)</f>
        <v>250000</v>
      </c>
      <c r="D12" s="13"/>
      <c r="E12" s="14">
        <f>300000+125000+104500</f>
        <v>529500</v>
      </c>
      <c r="F12" s="43"/>
      <c r="G12" s="15">
        <f t="shared" si="0"/>
        <v>529500</v>
      </c>
      <c r="H12" s="17"/>
    </row>
    <row r="13" spans="1:8" ht="17.5" x14ac:dyDescent="0.35">
      <c r="A13" s="12" t="s">
        <v>11</v>
      </c>
      <c r="B13" s="12" t="str">
        <f>VLOOKUP(A13,[5]LISTADHERENT!$A$4:$J$44,3,0)</f>
        <v>DOMOU FABIEN</v>
      </c>
      <c r="C13" s="25">
        <f>IF(G13&gt;0,VLOOKUP(A13,[6]HISTOJANV25!$A$6:$BQ$46,25,0),0)</f>
        <v>50000</v>
      </c>
      <c r="D13" s="13"/>
      <c r="E13" s="14">
        <v>50000</v>
      </c>
      <c r="F13" s="43"/>
      <c r="G13" s="15">
        <f t="shared" si="0"/>
        <v>50000</v>
      </c>
      <c r="H13" s="17"/>
    </row>
    <row r="14" spans="1:8" ht="17.5" x14ac:dyDescent="0.35">
      <c r="A14" s="12" t="s">
        <v>12</v>
      </c>
      <c r="B14" s="12" t="str">
        <f>VLOOKUP(A14,[5]LISTADHERENT!$A$4:$J$44,3,0)</f>
        <v>DONHOU DAVID</v>
      </c>
      <c r="C14" s="25">
        <f>IF(G14&gt;0,VLOOKUP(A14,[6]HISTOJANV25!$A$6:$BQ$46,25,0),0)</f>
        <v>50000</v>
      </c>
      <c r="D14" s="13"/>
      <c r="E14" s="14">
        <v>50000</v>
      </c>
      <c r="F14" s="43"/>
      <c r="G14" s="15">
        <f t="shared" si="0"/>
        <v>50000</v>
      </c>
      <c r="H14" s="17"/>
    </row>
    <row r="15" spans="1:8" ht="17.5" x14ac:dyDescent="0.35">
      <c r="A15" s="12" t="s">
        <v>94</v>
      </c>
      <c r="B15" s="12" t="str">
        <f>VLOOKUP(A15,[5]LISTADHERENT!$A$4:$J$44,3,0)</f>
        <v>FAMPOU PAUL</v>
      </c>
      <c r="C15" s="25">
        <f>IF(G15&gt;0,VLOOKUP(A15,[6]HISTOMARS25!$A$6:$BQ$46,25,0),0)</f>
        <v>150000</v>
      </c>
      <c r="D15" s="13"/>
      <c r="E15" s="14">
        <v>251000</v>
      </c>
      <c r="F15" s="43"/>
      <c r="G15" s="15">
        <f t="shared" si="0"/>
        <v>251000</v>
      </c>
      <c r="H15" s="17"/>
    </row>
    <row r="16" spans="1:8" ht="17.5" x14ac:dyDescent="0.35">
      <c r="A16" s="12" t="s">
        <v>13</v>
      </c>
      <c r="B16" s="12" t="str">
        <f>VLOOKUP(A16,[5]LISTADHERENT!$A$4:$J$44,3,0)</f>
        <v>HENGUE PAUL OMER</v>
      </c>
      <c r="C16" s="25">
        <f>IF(G16&gt;0,VLOOKUP(A16,[6]HISTOJANV25!$A$6:$BQ$46,25,0),0)</f>
        <v>125000</v>
      </c>
      <c r="D16" s="13"/>
      <c r="E16" s="14">
        <v>125000</v>
      </c>
      <c r="F16" s="43"/>
      <c r="G16" s="15">
        <f t="shared" si="0"/>
        <v>125000</v>
      </c>
      <c r="H16" s="17"/>
    </row>
    <row r="17" spans="1:8" ht="17.5" x14ac:dyDescent="0.35">
      <c r="A17" s="12" t="s">
        <v>14</v>
      </c>
      <c r="B17" s="12" t="str">
        <f>VLOOKUP(A17,[5]LISTADHERENT!$A$4:$J$44,3,0)</f>
        <v>HOTCHO BENJAMIN</v>
      </c>
      <c r="C17" s="25">
        <f>IF(G17&gt;0,VLOOKUP(A17,[6]HISTOJANV25!$A$6:$BQ$46,25,0),0)</f>
        <v>225000</v>
      </c>
      <c r="D17" s="13"/>
      <c r="E17" s="14">
        <v>250000</v>
      </c>
      <c r="F17" s="43"/>
      <c r="G17" s="15">
        <f t="shared" si="0"/>
        <v>250000</v>
      </c>
      <c r="H17" s="17"/>
    </row>
    <row r="18" spans="1:8" ht="17.5" x14ac:dyDescent="0.35">
      <c r="A18" s="12" t="s">
        <v>15</v>
      </c>
      <c r="B18" s="12" t="str">
        <f>VLOOKUP(A18,[5]LISTADHERENT!$A$4:$J$44,3,0)</f>
        <v>KOUAMOU MOISE</v>
      </c>
      <c r="C18" s="25">
        <f>IF(G18&gt;0,VLOOKUP(A18,[6]HISTOJANV25!$A$6:$BQ$46,25,0),0)</f>
        <v>150000</v>
      </c>
      <c r="D18" s="13"/>
      <c r="E18" s="14">
        <v>150000</v>
      </c>
      <c r="F18" s="43"/>
      <c r="G18" s="15">
        <f t="shared" si="0"/>
        <v>150000</v>
      </c>
      <c r="H18" s="17"/>
    </row>
    <row r="19" spans="1:8" ht="17.5" x14ac:dyDescent="0.35">
      <c r="A19" s="12" t="s">
        <v>16</v>
      </c>
      <c r="B19" s="12" t="str">
        <f>VLOOKUP(A19,[5]LISTADHERENT!$A$4:$J$44,3,0)</f>
        <v>KOUATCHO MESSACK</v>
      </c>
      <c r="C19" s="25">
        <f>IF(G19&gt;0,VLOOKUP(A19,[6]HISTOJANV25!$A$6:$BQ$46,25,0),0)</f>
        <v>225000</v>
      </c>
      <c r="D19" s="13"/>
      <c r="E19" s="14">
        <f>235000+135000</f>
        <v>370000</v>
      </c>
      <c r="F19" s="43"/>
      <c r="G19" s="15">
        <f t="shared" si="0"/>
        <v>370000</v>
      </c>
      <c r="H19" s="17"/>
    </row>
    <row r="20" spans="1:8" ht="17.5" x14ac:dyDescent="0.35">
      <c r="A20" s="12" t="s">
        <v>129</v>
      </c>
      <c r="B20" s="12" t="str">
        <f>VLOOKUP(A20,[5]LISTADHERENT!$A$4:$J$44,3,0)</f>
        <v>LOWE JEAN</v>
      </c>
      <c r="C20" s="25"/>
      <c r="D20" s="13"/>
      <c r="E20" s="14"/>
      <c r="F20" s="43"/>
      <c r="G20" s="15"/>
      <c r="H20" s="17"/>
    </row>
    <row r="21" spans="1:8" ht="17.5" x14ac:dyDescent="0.35">
      <c r="A21" s="12" t="s">
        <v>82</v>
      </c>
      <c r="B21" s="12" t="str">
        <f>VLOOKUP(A21,[5]LISTADHERENT!$A$4:$J$44,3,0)</f>
        <v>MASSEUNGOUE DAGOBERT</v>
      </c>
      <c r="C21" s="25">
        <f>IF(G21&gt;0,VLOOKUP(A21,[6]HISTOJANV25!$A$6:$BQ$46,25,0),0)</f>
        <v>50000</v>
      </c>
      <c r="D21" s="13"/>
      <c r="E21" s="14">
        <v>50000</v>
      </c>
      <c r="F21" s="43"/>
      <c r="G21" s="15">
        <f t="shared" si="0"/>
        <v>50000</v>
      </c>
      <c r="H21" s="17"/>
    </row>
    <row r="22" spans="1:8" ht="17.5" x14ac:dyDescent="0.35">
      <c r="A22" s="12" t="s">
        <v>17</v>
      </c>
      <c r="B22" s="12" t="str">
        <f>VLOOKUP(A22,[5]LISTADHERENT!$A$4:$J$44,3,0)</f>
        <v>MBOGNING TUGMA GUY</v>
      </c>
      <c r="C22" s="25">
        <f>IF(G22&gt;0,VLOOKUP(A22,[6]HISTOJANV25!$A$6:$BQ$46,25,0),0)</f>
        <v>325000</v>
      </c>
      <c r="D22" s="13"/>
      <c r="E22" s="14">
        <f>530000+104500</f>
        <v>634500</v>
      </c>
      <c r="F22" s="43"/>
      <c r="G22" s="15">
        <f t="shared" si="0"/>
        <v>634500</v>
      </c>
      <c r="H22" s="17"/>
    </row>
    <row r="23" spans="1:8" ht="17.5" x14ac:dyDescent="0.35">
      <c r="A23" s="12" t="s">
        <v>18</v>
      </c>
      <c r="B23" s="12" t="str">
        <f>VLOOKUP(A23,[5]LISTADHERENT!$A$4:$J$44,3,0)</f>
        <v>NANGUEN MARTIN</v>
      </c>
      <c r="C23" s="25">
        <f>IF(G23&gt;0,VLOOKUP(A23,[6]HISTOJANV25!$A$6:$BQ$46,25,0),0)</f>
        <v>50000</v>
      </c>
      <c r="D23" s="13"/>
      <c r="E23" s="14">
        <v>50000</v>
      </c>
      <c r="F23" s="43"/>
      <c r="G23" s="15">
        <f t="shared" si="0"/>
        <v>50000</v>
      </c>
      <c r="H23" s="17"/>
    </row>
    <row r="24" spans="1:8" ht="17.5" x14ac:dyDescent="0.35">
      <c r="A24" s="12" t="s">
        <v>19</v>
      </c>
      <c r="B24" s="12" t="str">
        <f>VLOOKUP(A24,[5]LISTADHERENT!$A$4:$J$44,3,0)</f>
        <v>NANKAM APPOLINAIRE</v>
      </c>
      <c r="C24" s="25">
        <f>IF(G24&gt;0,VLOOKUP(A24,[6]HISTOJANV25!$A$6:$BQ$46,25,0),0)</f>
        <v>125000</v>
      </c>
      <c r="D24" s="13"/>
      <c r="E24" s="14">
        <v>125000</v>
      </c>
      <c r="F24" s="43"/>
      <c r="G24" s="15">
        <f t="shared" si="0"/>
        <v>125000</v>
      </c>
      <c r="H24" s="17"/>
    </row>
    <row r="25" spans="1:8" ht="17.5" x14ac:dyDescent="0.35">
      <c r="A25" s="12" t="s">
        <v>20</v>
      </c>
      <c r="B25" s="12" t="str">
        <f>VLOOKUP(A25,[5]LISTADHERENT!$A$4:$J$44,3,0)</f>
        <v>NDJOMO ETIENNE</v>
      </c>
      <c r="C25" s="25">
        <f>IF(G25&gt;0,VLOOKUP(A25,[6]HISTOJANV25!$A$6:$BQ$46,25,0),0)</f>
        <v>250000</v>
      </c>
      <c r="D25" s="13"/>
      <c r="E25" s="14">
        <f>260000+206000</f>
        <v>466000</v>
      </c>
      <c r="F25" s="43"/>
      <c r="G25" s="15">
        <f t="shared" si="0"/>
        <v>466000</v>
      </c>
      <c r="H25" s="17"/>
    </row>
    <row r="26" spans="1:8" ht="17.5" x14ac:dyDescent="0.35">
      <c r="A26" s="12" t="s">
        <v>21</v>
      </c>
      <c r="B26" s="12" t="str">
        <f>VLOOKUP(A26,[5]LISTADHERENT!$A$4:$J$44,3,0)</f>
        <v>NGONDIEP CLAUDE</v>
      </c>
      <c r="C26" s="25">
        <f>IF(G26&gt;0,VLOOKUP(A26,[6]HISTOJANV25!$A$6:$BQ$46,25,0),0)</f>
        <v>225000</v>
      </c>
      <c r="D26" s="13"/>
      <c r="E26" s="14">
        <f>240000+125000</f>
        <v>365000</v>
      </c>
      <c r="F26" s="43"/>
      <c r="G26" s="15">
        <f t="shared" si="0"/>
        <v>365000</v>
      </c>
      <c r="H26" s="17"/>
    </row>
    <row r="27" spans="1:8" ht="17.5" x14ac:dyDescent="0.35">
      <c r="A27" s="12" t="s">
        <v>22</v>
      </c>
      <c r="B27" s="12" t="str">
        <f>VLOOKUP(A27,[5]LISTADHERENT!$A$4:$J$44,3,0)</f>
        <v>NGUIEMEGNI MATHIEU BLAISE</v>
      </c>
      <c r="C27" s="25">
        <f>IF(G27&gt;0,VLOOKUP(A27,[6]HISTOJANV25!$A$6:$BQ$46,25,0),0)</f>
        <v>250000</v>
      </c>
      <c r="D27" s="13"/>
      <c r="E27" s="14">
        <f>170000+150000</f>
        <v>320000</v>
      </c>
      <c r="F27" s="43">
        <v>133500</v>
      </c>
      <c r="G27" s="15">
        <f t="shared" si="0"/>
        <v>453500</v>
      </c>
      <c r="H27" s="17"/>
    </row>
    <row r="28" spans="1:8" ht="17.5" x14ac:dyDescent="0.35">
      <c r="A28" s="12" t="s">
        <v>23</v>
      </c>
      <c r="B28" s="12" t="str">
        <f>VLOOKUP(A28,[5]LISTADHERENT!$A$4:$J$44,3,0)</f>
        <v>NKAMGANG JUSTIN DEJOLIE</v>
      </c>
      <c r="C28" s="25">
        <f>IF(G28&gt;0,VLOOKUP(A28,[6]HISTOJANV25!$A$6:$BQ$46,25,0),0)</f>
        <v>50000</v>
      </c>
      <c r="D28" s="13"/>
      <c r="E28" s="14">
        <v>50000</v>
      </c>
      <c r="F28" s="43"/>
      <c r="G28" s="15">
        <f t="shared" si="0"/>
        <v>50000</v>
      </c>
      <c r="H28" s="17"/>
    </row>
    <row r="29" spans="1:8" ht="17.5" x14ac:dyDescent="0.35">
      <c r="A29" s="12" t="s">
        <v>63</v>
      </c>
      <c r="B29" s="12" t="str">
        <f>VLOOKUP(A29,[5]LISTADHERENT!$A$4:$J$44,3,0)</f>
        <v>NOUBE ETIENNE</v>
      </c>
      <c r="C29" s="25">
        <f>IF(G29&gt;0,VLOOKUP(A29,[6]HISTOJANV25!$A$6:$BQ$46,25,0),0)</f>
        <v>50000</v>
      </c>
      <c r="D29" s="13"/>
      <c r="E29" s="14">
        <v>50000</v>
      </c>
      <c r="F29" s="43"/>
      <c r="G29" s="15">
        <f t="shared" si="0"/>
        <v>50000</v>
      </c>
      <c r="H29" s="17"/>
    </row>
    <row r="30" spans="1:8" ht="17.5" x14ac:dyDescent="0.35">
      <c r="A30" s="12" t="s">
        <v>24</v>
      </c>
      <c r="B30" s="12" t="str">
        <f>VLOOKUP(A30,[5]LISTADHERENT!$A$4:$J$44,3,0)</f>
        <v>PATEGO NJOSSU GUSTAVE</v>
      </c>
      <c r="C30" s="25">
        <f>IF(G30&gt;0,VLOOKUP(A30,[6]HISTOJANV25!$A$6:$BQ$46,25,0),0)</f>
        <v>125000</v>
      </c>
      <c r="D30" s="13"/>
      <c r="E30" s="14">
        <v>125000</v>
      </c>
      <c r="F30" s="43"/>
      <c r="G30" s="15">
        <f t="shared" si="0"/>
        <v>125000</v>
      </c>
      <c r="H30" s="17"/>
    </row>
    <row r="31" spans="1:8" ht="17.5" x14ac:dyDescent="0.35">
      <c r="A31" s="12" t="s">
        <v>64</v>
      </c>
      <c r="B31" s="12" t="str">
        <f>VLOOKUP(A31,[5]LISTADHERENT!$A$4:$J$44,3,0)</f>
        <v>SEUMO POLYCARPE</v>
      </c>
      <c r="C31" s="25">
        <f>IF(G31&gt;0,VLOOKUP(A31,[6]HISTOJANV25!$A$6:$BQ$46,25,0),0)</f>
        <v>50000</v>
      </c>
      <c r="D31" s="13"/>
      <c r="E31" s="14">
        <v>50000</v>
      </c>
      <c r="F31" s="43"/>
      <c r="G31" s="15">
        <f t="shared" si="0"/>
        <v>50000</v>
      </c>
      <c r="H31" s="17"/>
    </row>
    <row r="32" spans="1:8" ht="17.5" x14ac:dyDescent="0.35">
      <c r="A32" s="12" t="s">
        <v>25</v>
      </c>
      <c r="B32" s="12" t="str">
        <f>VLOOKUP(A32,[5]LISTADHERENT!$A$4:$J$44,3,0)</f>
        <v>SIME BRICE</v>
      </c>
      <c r="C32" s="25">
        <f>IF(G32&gt;0,VLOOKUP(A32,[6]HISTOJANV25!$A$6:$BQ$46,25,0),0)</f>
        <v>250000</v>
      </c>
      <c r="D32" s="13"/>
      <c r="E32" s="14">
        <v>250000</v>
      </c>
      <c r="F32" s="43"/>
      <c r="G32" s="15">
        <f t="shared" si="0"/>
        <v>250000</v>
      </c>
      <c r="H32" s="17"/>
    </row>
    <row r="33" spans="1:8" ht="17.5" x14ac:dyDescent="0.35">
      <c r="A33" s="12" t="s">
        <v>89</v>
      </c>
      <c r="B33" s="12" t="str">
        <f>VLOOKUP(A33,[5]LISTADHERENT!$A$4:$J$44,3,0)</f>
        <v>SIMO FONGANG ERIC</v>
      </c>
      <c r="C33" s="25">
        <f>IF(G33&gt;0,VLOOKUP(A33,[6]HISTOJANV25!$A$6:$BQ$46,25,0),0)</f>
        <v>50000</v>
      </c>
      <c r="D33" s="13">
        <v>50000</v>
      </c>
      <c r="E33" s="14"/>
      <c r="F33" s="43"/>
      <c r="G33" s="15">
        <f t="shared" si="0"/>
        <v>50000</v>
      </c>
      <c r="H33" s="17"/>
    </row>
    <row r="34" spans="1:8" ht="17.5" x14ac:dyDescent="0.35">
      <c r="A34" s="12" t="s">
        <v>26</v>
      </c>
      <c r="B34" s="12" t="str">
        <f>VLOOKUP(A34,[5]LISTADHERENT!$A$4:$J$44,3,0)</f>
        <v>SIMO PIERRE</v>
      </c>
      <c r="C34" s="25">
        <f>IF(G34&gt;0,VLOOKUP(A34,[6]HISTOJANV25!$A$6:$BQ$46,25,0),0)</f>
        <v>150000</v>
      </c>
      <c r="D34" s="13"/>
      <c r="E34" s="14">
        <f>110000+75000</f>
        <v>185000</v>
      </c>
      <c r="F34" s="43"/>
      <c r="G34" s="15">
        <f t="shared" si="0"/>
        <v>185000</v>
      </c>
      <c r="H34" s="17"/>
    </row>
    <row r="35" spans="1:8" ht="17.5" x14ac:dyDescent="0.35">
      <c r="A35" s="12" t="s">
        <v>27</v>
      </c>
      <c r="B35" s="12" t="str">
        <f>VLOOKUP(A35,[5]LISTADHERENT!$A$4:$J$44,3,0)</f>
        <v>TCHOUAMOU MATHIEU</v>
      </c>
      <c r="C35" s="25">
        <f>IF(G35&gt;0,VLOOKUP(A35,[6]HISTOJANV25!$A$6:$BQ$46,25,0),0)</f>
        <v>125000</v>
      </c>
      <c r="D35" s="13"/>
      <c r="E35" s="14">
        <f>125000+102000</f>
        <v>227000</v>
      </c>
      <c r="F35" s="43"/>
      <c r="G35" s="15">
        <f t="shared" si="0"/>
        <v>227000</v>
      </c>
      <c r="H35" s="17"/>
    </row>
    <row r="36" spans="1:8" ht="17.5" x14ac:dyDescent="0.35">
      <c r="A36" s="12" t="s">
        <v>81</v>
      </c>
      <c r="B36" s="12" t="str">
        <f>VLOOKUP(A36,[5]LISTADHERENT!$A$4:$J$44,3,0)</f>
        <v>TCHOUATEU AUGUSTIN</v>
      </c>
      <c r="C36" s="25">
        <f>IF(G36&gt;0,VLOOKUP(A36,[6]HISTOJANV25!$A$6:$BQ$46,25,0),0)</f>
        <v>150000</v>
      </c>
      <c r="D36" s="13"/>
      <c r="E36" s="14">
        <v>150000</v>
      </c>
      <c r="F36" s="43"/>
      <c r="G36" s="15">
        <f t="shared" si="0"/>
        <v>150000</v>
      </c>
      <c r="H36" s="17"/>
    </row>
    <row r="37" spans="1:8" ht="17.5" x14ac:dyDescent="0.35">
      <c r="A37" s="12" t="s">
        <v>62</v>
      </c>
      <c r="B37" s="12" t="str">
        <f>VLOOKUP(A37,[5]LISTADHERENT!$A$4:$J$44,3,0)</f>
        <v>TCHOUTOU NANA CLAUDE</v>
      </c>
      <c r="C37" s="25">
        <f>IF(G37&gt;0,VLOOKUP(A37,[6]HISTOJANV25!$A$6:$BQ$46,25,0),0)</f>
        <v>50000</v>
      </c>
      <c r="D37" s="13"/>
      <c r="E37" s="14">
        <v>50000</v>
      </c>
      <c r="F37" s="43"/>
      <c r="G37" s="15">
        <f t="shared" si="0"/>
        <v>50000</v>
      </c>
      <c r="H37" s="17"/>
    </row>
    <row r="38" spans="1:8" ht="17.5" x14ac:dyDescent="0.35">
      <c r="A38" s="12" t="s">
        <v>90</v>
      </c>
      <c r="B38" s="12" t="str">
        <f>VLOOKUP(A38,[5]LISTADHERENT!$A$4:$J$44,3,0)</f>
        <v>TIEYAM ERNEST</v>
      </c>
      <c r="C38" s="25">
        <f>IF(G38&gt;0,VLOOKUP(A38,[6]HISTOJANV25!$A$6:$BQ$46,25,0),0)</f>
        <v>50000</v>
      </c>
      <c r="D38" s="13"/>
      <c r="E38" s="14">
        <v>50000</v>
      </c>
      <c r="F38" s="43"/>
      <c r="G38" s="15">
        <f t="shared" si="0"/>
        <v>50000</v>
      </c>
      <c r="H38" s="17"/>
    </row>
    <row r="39" spans="1:8" ht="17.5" x14ac:dyDescent="0.35">
      <c r="A39" s="12" t="s">
        <v>65</v>
      </c>
      <c r="B39" s="12" t="str">
        <f>VLOOKUP(A39,[5]LISTADHERENT!$A$4:$J$44,3,0)</f>
        <v>YANTCHOU GERVAIS</v>
      </c>
      <c r="C39" s="25">
        <f>IF(G39&gt;0,VLOOKUP(A39,[6]HISTOJANV25!$A$6:$BQ$46,25,0),0)</f>
        <v>125000</v>
      </c>
      <c r="D39" s="13"/>
      <c r="E39" s="14">
        <v>125000</v>
      </c>
      <c r="F39" s="43"/>
      <c r="G39" s="15">
        <f t="shared" si="0"/>
        <v>125000</v>
      </c>
      <c r="H39" s="17"/>
    </row>
    <row r="40" spans="1:8" ht="17.5" x14ac:dyDescent="0.35">
      <c r="A40" s="12" t="s">
        <v>28</v>
      </c>
      <c r="B40" s="12" t="str">
        <f>VLOOKUP(A40,[5]LISTADHERENT!$A$4:$J$44,3,0)</f>
        <v>YEPMOU JEAN JACQUES</v>
      </c>
      <c r="C40" s="25">
        <f>IF(G40&gt;0,VLOOKUP(A40,[6]HISTOJANV25!$A$6:$BQ$46,25,0),0)</f>
        <v>50000</v>
      </c>
      <c r="D40" s="13"/>
      <c r="E40" s="14">
        <v>50000</v>
      </c>
      <c r="F40" s="43"/>
      <c r="G40" s="15">
        <f t="shared" si="0"/>
        <v>50000</v>
      </c>
      <c r="H40" s="17"/>
    </row>
    <row r="41" spans="1:8" ht="17.5" x14ac:dyDescent="0.35">
      <c r="A41" s="12" t="s">
        <v>80</v>
      </c>
      <c r="B41" s="12" t="str">
        <f>VLOOKUP(A41,[5]LISTADHERENT!$A$4:$J$44,3,0)</f>
        <v>YIALA ALAIN OSCAR</v>
      </c>
      <c r="C41" s="25">
        <f>IF(G41&gt;0,VLOOKUP(A41,[6]HISTOJANV25!$A$6:$BQ$46,25,0),0)</f>
        <v>250000</v>
      </c>
      <c r="D41" s="13">
        <v>253000</v>
      </c>
      <c r="E41" s="14"/>
      <c r="F41" s="43"/>
      <c r="G41" s="15">
        <f t="shared" si="0"/>
        <v>253000</v>
      </c>
      <c r="H41" s="17"/>
    </row>
    <row r="42" spans="1:8" ht="17.5" x14ac:dyDescent="0.35">
      <c r="A42" s="12" t="s">
        <v>29</v>
      </c>
      <c r="B42" s="12" t="str">
        <f>VLOOKUP(A42,[5]LISTADHERENT!$A$4:$J$44,3,0)</f>
        <v>YOUMBI EMMANUEL</v>
      </c>
      <c r="C42" s="25">
        <f>IF(G42&gt;0,VLOOKUP(A42,[6]HISTOJANV25!$A$6:$BQ$46,25,0),0)</f>
        <v>225000</v>
      </c>
      <c r="D42" s="13"/>
      <c r="E42" s="14">
        <v>225000</v>
      </c>
      <c r="F42" s="43"/>
      <c r="G42" s="15">
        <f t="shared" si="0"/>
        <v>225000</v>
      </c>
      <c r="H42" s="17"/>
    </row>
    <row r="43" spans="1:8" x14ac:dyDescent="0.35">
      <c r="A43" s="17"/>
      <c r="B43" s="17"/>
      <c r="C43" s="17"/>
      <c r="D43" s="17"/>
      <c r="E43" s="17"/>
      <c r="F43" s="17"/>
      <c r="G43" s="17">
        <f t="shared" si="0"/>
        <v>0</v>
      </c>
      <c r="H43" s="17"/>
    </row>
    <row r="44" spans="1:8" ht="17.5" x14ac:dyDescent="0.35">
      <c r="A44" s="17"/>
      <c r="B44" s="12" t="s">
        <v>30</v>
      </c>
      <c r="C44" s="42">
        <f>SUM(C6:C42)</f>
        <v>5125000</v>
      </c>
      <c r="D44" s="42">
        <f t="shared" ref="D44:H44" si="1">SUM(D6:D42)</f>
        <v>806500</v>
      </c>
      <c r="E44" s="42">
        <f>SUM(E6:E43)</f>
        <v>6225000</v>
      </c>
      <c r="F44" s="42">
        <f t="shared" si="1"/>
        <v>133500</v>
      </c>
      <c r="G44" s="42">
        <f>SUM(G6:G43)</f>
        <v>7165000</v>
      </c>
      <c r="H44" s="42">
        <f t="shared" si="1"/>
        <v>2385</v>
      </c>
    </row>
    <row r="46" spans="1:8" x14ac:dyDescent="0.35">
      <c r="B46" t="s">
        <v>128</v>
      </c>
      <c r="E46">
        <v>20000</v>
      </c>
    </row>
    <row r="47" spans="1:8" x14ac:dyDescent="0.35">
      <c r="B47" t="s">
        <v>127</v>
      </c>
      <c r="E47">
        <v>50000</v>
      </c>
    </row>
  </sheetData>
  <autoFilter ref="A5:G42" xr:uid="{00000000-0009-0000-0000-000002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73CC-8B8D-461B-A337-37BD89476265}">
  <dimension ref="A1:H44"/>
  <sheetViews>
    <sheetView zoomScale="106" zoomScaleNormal="106" workbookViewId="0">
      <pane xSplit="3" ySplit="5" topLeftCell="D20" activePane="bottomRight" state="frozen"/>
      <selection activeCell="E41" sqref="E41"/>
      <selection pane="topRight" activeCell="E41" sqref="E41"/>
      <selection pane="bottomLeft" activeCell="E41" sqref="E41"/>
      <selection pane="bottomRight" activeCell="A20" sqref="A20:B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6" width="17.54296875" customWidth="1"/>
    <col min="7" max="7" width="20.453125" customWidth="1"/>
  </cols>
  <sheetData>
    <row r="1" spans="1:8" ht="21" x14ac:dyDescent="0.5">
      <c r="A1" s="1" t="s">
        <v>2</v>
      </c>
      <c r="B1" s="1" t="s">
        <v>3</v>
      </c>
      <c r="C1" s="45">
        <v>45901</v>
      </c>
    </row>
    <row r="2" spans="1:8" x14ac:dyDescent="0.35">
      <c r="A2" s="1" t="s">
        <v>4</v>
      </c>
      <c r="B2" s="1">
        <v>2025</v>
      </c>
    </row>
    <row r="3" spans="1: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</row>
    <row r="4" spans="1:8" ht="28.5" x14ac:dyDescent="0.65">
      <c r="B4" s="51" t="s">
        <v>58</v>
      </c>
      <c r="C4" s="49"/>
      <c r="D4" s="49"/>
      <c r="E4" s="49"/>
      <c r="F4" s="47"/>
      <c r="G4" s="3"/>
    </row>
    <row r="5" spans="1:8" ht="68.25" customHeight="1" x14ac:dyDescent="0.35">
      <c r="A5" s="12" t="s">
        <v>0</v>
      </c>
      <c r="B5" s="12" t="s">
        <v>1</v>
      </c>
      <c r="C5" s="40" t="s">
        <v>91</v>
      </c>
      <c r="D5" s="40" t="s">
        <v>32</v>
      </c>
      <c r="E5" s="40" t="s">
        <v>92</v>
      </c>
      <c r="F5" s="40" t="s">
        <v>93</v>
      </c>
      <c r="G5" s="40" t="s">
        <v>31</v>
      </c>
      <c r="H5" s="41" t="s">
        <v>61</v>
      </c>
    </row>
    <row r="6" spans="1:8" ht="17.5" x14ac:dyDescent="0.35">
      <c r="A6" s="12" t="s">
        <v>60</v>
      </c>
      <c r="B6" s="12" t="str">
        <f>VLOOKUP(A6,[5]LISTADHERENT!$A$4:$J$44,3,0)</f>
        <v>ASELBY</v>
      </c>
      <c r="C6" s="25">
        <f>IF(G6&gt;0,VLOOKUP(A6,[6]HISTOJANV25!$A$6:$BQ$46,25,0),0)</f>
        <v>250000</v>
      </c>
      <c r="D6" s="13"/>
      <c r="E6" s="14">
        <v>250000</v>
      </c>
      <c r="F6" s="43"/>
      <c r="G6" s="15">
        <f>SUM(D6:F6)</f>
        <v>250000</v>
      </c>
      <c r="H6" s="15">
        <v>1193</v>
      </c>
    </row>
    <row r="7" spans="1:8" ht="17.5" x14ac:dyDescent="0.35">
      <c r="A7" s="12" t="s">
        <v>66</v>
      </c>
      <c r="B7" s="12" t="str">
        <f>VLOOKUP(A7,[5]LISTADHERENT!$A$4:$J$44,3,0)</f>
        <v>BAKOP ACHILLE</v>
      </c>
      <c r="C7" s="25">
        <f>IF(G7&gt;0,VLOOKUP(A7,[6]HISTOJANV25!$A$6:$BQ$46,25,0),0)</f>
        <v>50000</v>
      </c>
      <c r="D7" s="13">
        <v>50000</v>
      </c>
      <c r="E7" s="14"/>
      <c r="F7" s="43"/>
      <c r="G7" s="15">
        <f t="shared" ref="G7:G42" si="0">SUM(D7:F7)</f>
        <v>50000</v>
      </c>
      <c r="H7" s="17"/>
    </row>
    <row r="8" spans="1:8" ht="17.5" x14ac:dyDescent="0.35">
      <c r="A8" s="12" t="s">
        <v>6</v>
      </c>
      <c r="B8" s="12" t="str">
        <f>VLOOKUP(A8,[5]LISTADHERENT!$A$4:$J$44,3,0)</f>
        <v>BOUTCHOUANG WILLIAM</v>
      </c>
      <c r="C8" s="25">
        <f>IF(G8&gt;0,VLOOKUP(A8,[6]HISTOJANV25!$A$6:$BQ$46,25,0),0)</f>
        <v>125000</v>
      </c>
      <c r="D8" s="13"/>
      <c r="E8" s="14">
        <v>125000</v>
      </c>
      <c r="F8" s="43"/>
      <c r="G8" s="15">
        <f t="shared" si="0"/>
        <v>125000</v>
      </c>
      <c r="H8" s="17"/>
    </row>
    <row r="9" spans="1:8" ht="17.5" x14ac:dyDescent="0.35">
      <c r="A9" s="12" t="s">
        <v>7</v>
      </c>
      <c r="B9" s="12" t="str">
        <f>VLOOKUP(A9,[5]LISTADHERENT!$A$4:$J$44,3,0)</f>
        <v xml:space="preserve">DJOMO JEAN PAUL </v>
      </c>
      <c r="C9" s="25">
        <f>IF(G9&gt;0,VLOOKUP(A9,[6]HISTOJANV25!$A$6:$BQ$46,25,0),0)</f>
        <v>250000</v>
      </c>
      <c r="D9" s="13">
        <v>382000</v>
      </c>
      <c r="E9" s="14"/>
      <c r="F9" s="43"/>
      <c r="G9" s="15">
        <f t="shared" si="0"/>
        <v>382000</v>
      </c>
      <c r="H9" s="17"/>
    </row>
    <row r="10" spans="1:8" ht="17.5" x14ac:dyDescent="0.35">
      <c r="A10" s="12" t="s">
        <v>8</v>
      </c>
      <c r="B10" s="12" t="str">
        <f>VLOOKUP(A10,[5]LISTADHERENT!$A$4:$J$44,3,0)</f>
        <v>DJOMOU TCHAPDA</v>
      </c>
      <c r="C10" s="25">
        <f>IF(G10&gt;0,VLOOKUP(A10,[6]HISTOJANV25!$A$6:$BQ$46,25,0),0)</f>
        <v>50000</v>
      </c>
      <c r="D10" s="13">
        <v>61000</v>
      </c>
      <c r="E10" s="14">
        <v>50000</v>
      </c>
      <c r="F10" s="43"/>
      <c r="G10" s="15">
        <f t="shared" si="0"/>
        <v>111000</v>
      </c>
      <c r="H10" s="17"/>
    </row>
    <row r="11" spans="1:8" ht="17.5" x14ac:dyDescent="0.35">
      <c r="A11" s="12" t="s">
        <v>9</v>
      </c>
      <c r="B11" s="12" t="str">
        <f>VLOOKUP(A11,[5]LISTADHERENT!$A$4:$J$44,3,0)</f>
        <v>DJOUKWE NANGUEN GUY BLAISE</v>
      </c>
      <c r="C11" s="25">
        <f>IF(G11&gt;0,VLOOKUP(A11,[6]HISTOJANV25!$A$6:$BQ$46,25,0),0)</f>
        <v>150000</v>
      </c>
      <c r="D11" s="13"/>
      <c r="E11" s="14">
        <v>150000</v>
      </c>
      <c r="F11" s="43"/>
      <c r="G11" s="15">
        <f t="shared" si="0"/>
        <v>150000</v>
      </c>
      <c r="H11" s="17"/>
    </row>
    <row r="12" spans="1:8" ht="17.5" x14ac:dyDescent="0.35">
      <c r="A12" s="12" t="s">
        <v>10</v>
      </c>
      <c r="B12" s="12" t="str">
        <f>VLOOKUP(A12,[5]LISTADHERENT!$A$4:$J$44,3,0)</f>
        <v>DJUOMBESSY ANTOINE</v>
      </c>
      <c r="C12" s="25">
        <f>IF(G12&gt;0,VLOOKUP(A12,[6]HISTOJANV25!$A$6:$BQ$46,25,0),0)</f>
        <v>250000</v>
      </c>
      <c r="D12" s="13"/>
      <c r="E12" s="14">
        <f>100000+160000+101000</f>
        <v>361000</v>
      </c>
      <c r="F12" s="43"/>
      <c r="G12" s="15">
        <f t="shared" si="0"/>
        <v>361000</v>
      </c>
      <c r="H12" s="17"/>
    </row>
    <row r="13" spans="1:8" ht="17.5" x14ac:dyDescent="0.35">
      <c r="A13" s="12" t="s">
        <v>11</v>
      </c>
      <c r="B13" s="12" t="str">
        <f>VLOOKUP(A13,[5]LISTADHERENT!$A$4:$J$44,3,0)</f>
        <v>DOMOU FABIEN</v>
      </c>
      <c r="C13" s="25">
        <f>IF(G13&gt;0,VLOOKUP(A13,[6]HISTOJANV25!$A$6:$BQ$46,25,0),0)</f>
        <v>50000</v>
      </c>
      <c r="D13" s="13"/>
      <c r="E13" s="14">
        <v>50000</v>
      </c>
      <c r="F13" s="43"/>
      <c r="G13" s="15">
        <f t="shared" si="0"/>
        <v>50000</v>
      </c>
      <c r="H13" s="17"/>
    </row>
    <row r="14" spans="1:8" ht="17.5" x14ac:dyDescent="0.35">
      <c r="A14" s="12" t="s">
        <v>12</v>
      </c>
      <c r="B14" s="12" t="str">
        <f>VLOOKUP(A14,[5]LISTADHERENT!$A$4:$J$44,3,0)</f>
        <v>DONHOU DAVID</v>
      </c>
      <c r="C14" s="25">
        <f>IF(G14&gt;0,VLOOKUP(A14,[6]HISTOJANV25!$A$6:$BQ$46,25,0),0)</f>
        <v>50000</v>
      </c>
      <c r="D14" s="13"/>
      <c r="E14" s="14">
        <v>50000</v>
      </c>
      <c r="F14" s="43"/>
      <c r="G14" s="15">
        <f t="shared" si="0"/>
        <v>50000</v>
      </c>
      <c r="H14" s="17"/>
    </row>
    <row r="15" spans="1:8" ht="17.5" x14ac:dyDescent="0.35">
      <c r="A15" s="12" t="s">
        <v>94</v>
      </c>
      <c r="B15" s="12" t="str">
        <f>VLOOKUP(A15,[5]LISTADHERENT!$A$4:$J$44,3,0)</f>
        <v>FAMPOU PAUL</v>
      </c>
      <c r="C15" s="25">
        <f>IF(G15&gt;0,VLOOKUP(A15,[6]HISTOMARS25!$A$6:$BQ$46,25,0),0)</f>
        <v>150000</v>
      </c>
      <c r="D15" s="13"/>
      <c r="E15" s="14">
        <v>150000</v>
      </c>
      <c r="F15" s="43">
        <v>800000</v>
      </c>
      <c r="G15" s="15">
        <f t="shared" si="0"/>
        <v>950000</v>
      </c>
      <c r="H15" s="17"/>
    </row>
    <row r="16" spans="1:8" ht="17.5" x14ac:dyDescent="0.35">
      <c r="A16" s="12" t="s">
        <v>13</v>
      </c>
      <c r="B16" s="12" t="str">
        <f>VLOOKUP(A16,[5]LISTADHERENT!$A$4:$J$44,3,0)</f>
        <v>HENGUE PAUL OMER</v>
      </c>
      <c r="C16" s="25">
        <f>IF(G16&gt;0,VLOOKUP(A16,[6]HISTOJANV25!$A$6:$BQ$46,25,0),0)</f>
        <v>125000</v>
      </c>
      <c r="D16" s="13"/>
      <c r="E16" s="14">
        <v>125000</v>
      </c>
      <c r="F16" s="43"/>
      <c r="G16" s="15">
        <f t="shared" si="0"/>
        <v>125000</v>
      </c>
      <c r="H16" s="17"/>
    </row>
    <row r="17" spans="1:8" ht="17.5" x14ac:dyDescent="0.35">
      <c r="A17" s="12" t="s">
        <v>14</v>
      </c>
      <c r="B17" s="12" t="str">
        <f>VLOOKUP(A17,[5]LISTADHERENT!$A$4:$J$44,3,0)</f>
        <v>HOTCHO BENJAMIN</v>
      </c>
      <c r="C17" s="25">
        <f>IF(G17&gt;0,VLOOKUP(A17,[6]HISTOJANV25!$A$6:$BQ$46,25,0),0)</f>
        <v>225000</v>
      </c>
      <c r="D17" s="13"/>
      <c r="E17" s="14">
        <f>250000+234000</f>
        <v>484000</v>
      </c>
      <c r="F17" s="43"/>
      <c r="G17" s="15">
        <f t="shared" si="0"/>
        <v>484000</v>
      </c>
      <c r="H17" s="17"/>
    </row>
    <row r="18" spans="1:8" ht="17.5" x14ac:dyDescent="0.35">
      <c r="A18" s="12" t="s">
        <v>15</v>
      </c>
      <c r="B18" s="12" t="str">
        <f>VLOOKUP(A18,[5]LISTADHERENT!$A$4:$J$44,3,0)</f>
        <v>KOUAMOU MOISE</v>
      </c>
      <c r="C18" s="25">
        <f>IF(G18&gt;0,VLOOKUP(A18,[6]HISTOJANV25!$A$6:$BQ$46,25,0),0)</f>
        <v>150000</v>
      </c>
      <c r="D18" s="13"/>
      <c r="E18" s="14">
        <v>150000</v>
      </c>
      <c r="F18" s="43"/>
      <c r="G18" s="15">
        <f t="shared" si="0"/>
        <v>150000</v>
      </c>
      <c r="H18" s="17"/>
    </row>
    <row r="19" spans="1:8" ht="17.5" x14ac:dyDescent="0.35">
      <c r="A19" s="12" t="s">
        <v>16</v>
      </c>
      <c r="B19" s="12" t="str">
        <f>VLOOKUP(A19,[5]LISTADHERENT!$A$4:$J$44,3,0)</f>
        <v>KOUATCHO MESSACK</v>
      </c>
      <c r="C19" s="25">
        <f>IF(G19&gt;0,VLOOKUP(A19,[6]HISTOJANV25!$A$6:$BQ$46,25,0),0)</f>
        <v>225000</v>
      </c>
      <c r="D19" s="13">
        <v>30500</v>
      </c>
      <c r="E19" s="14">
        <v>641000</v>
      </c>
      <c r="F19" s="43"/>
      <c r="G19" s="15">
        <f t="shared" si="0"/>
        <v>671500</v>
      </c>
      <c r="H19" s="17"/>
    </row>
    <row r="20" spans="1:8" ht="17.5" x14ac:dyDescent="0.35">
      <c r="A20" s="12" t="s">
        <v>129</v>
      </c>
      <c r="B20" s="12" t="str">
        <f>VLOOKUP(A20,[5]LISTADHERENT!$A$4:$J$44,3,0)</f>
        <v>LOWE JEAN</v>
      </c>
      <c r="C20" s="25"/>
      <c r="D20" s="13"/>
      <c r="E20" s="14"/>
      <c r="F20" s="43"/>
      <c r="G20" s="15"/>
      <c r="H20" s="17"/>
    </row>
    <row r="21" spans="1:8" ht="17.5" x14ac:dyDescent="0.35">
      <c r="A21" s="12" t="s">
        <v>82</v>
      </c>
      <c r="B21" s="12" t="str">
        <f>VLOOKUP(A21,[5]LISTADHERENT!$A$4:$J$44,3,0)</f>
        <v>MASSEUNGOUE DAGOBERT</v>
      </c>
      <c r="C21" s="25">
        <f>IF(G21&gt;0,VLOOKUP(A21,[6]HISTOJANV25!$A$6:$BQ$46,25,0),0)</f>
        <v>50000</v>
      </c>
      <c r="D21" s="13"/>
      <c r="E21" s="14">
        <v>50000</v>
      </c>
      <c r="F21" s="43"/>
      <c r="G21" s="15">
        <f t="shared" si="0"/>
        <v>50000</v>
      </c>
      <c r="H21" s="17"/>
    </row>
    <row r="22" spans="1:8" ht="17.5" x14ac:dyDescent="0.35">
      <c r="A22" s="12" t="s">
        <v>17</v>
      </c>
      <c r="B22" s="12" t="str">
        <f>VLOOKUP(A22,[5]LISTADHERENT!$A$4:$J$44,3,0)</f>
        <v>MBOGNING TUGMA GUY</v>
      </c>
      <c r="C22" s="25">
        <f>IF(G22&gt;0,VLOOKUP(A22,[6]HISTOJANV25!$A$6:$BQ$46,25,0),0)</f>
        <v>325000</v>
      </c>
      <c r="D22" s="13">
        <f>103000+158000</f>
        <v>261000</v>
      </c>
      <c r="E22" s="14">
        <v>471000</v>
      </c>
      <c r="F22" s="43"/>
      <c r="G22" s="15">
        <f t="shared" si="0"/>
        <v>732000</v>
      </c>
      <c r="H22" s="17"/>
    </row>
    <row r="23" spans="1:8" ht="17.5" x14ac:dyDescent="0.35">
      <c r="A23" s="12" t="s">
        <v>18</v>
      </c>
      <c r="B23" s="12" t="str">
        <f>VLOOKUP(A23,[5]LISTADHERENT!$A$4:$J$44,3,0)</f>
        <v>NANGUEN MARTIN</v>
      </c>
      <c r="C23" s="25">
        <f>IF(G23&gt;0,VLOOKUP(A23,[6]HISTOJANV25!$A$6:$BQ$46,25,0),0)</f>
        <v>50000</v>
      </c>
      <c r="D23" s="13"/>
      <c r="E23" s="14">
        <v>50000</v>
      </c>
      <c r="F23" s="43"/>
      <c r="G23" s="15">
        <f t="shared" si="0"/>
        <v>50000</v>
      </c>
      <c r="H23" s="17"/>
    </row>
    <row r="24" spans="1:8" ht="17.5" x14ac:dyDescent="0.35">
      <c r="A24" s="12" t="s">
        <v>19</v>
      </c>
      <c r="B24" s="12" t="str">
        <f>VLOOKUP(A24,[5]LISTADHERENT!$A$4:$J$44,3,0)</f>
        <v>NANKAM APPOLINAIRE</v>
      </c>
      <c r="C24" s="25">
        <f>IF(G24&gt;0,VLOOKUP(A24,[6]HISTOJANV25!$A$6:$BQ$46,25,0),0)</f>
        <v>125000</v>
      </c>
      <c r="D24" s="13"/>
      <c r="E24" s="14">
        <v>125000</v>
      </c>
      <c r="F24" s="43"/>
      <c r="G24" s="15">
        <f t="shared" si="0"/>
        <v>125000</v>
      </c>
      <c r="H24" s="17"/>
    </row>
    <row r="25" spans="1:8" ht="17.5" x14ac:dyDescent="0.35">
      <c r="A25" s="12" t="s">
        <v>20</v>
      </c>
      <c r="B25" s="12" t="str">
        <f>VLOOKUP(A25,[5]LISTADHERENT!$A$4:$J$44,3,0)</f>
        <v>NDJOMO ETIENNE</v>
      </c>
      <c r="C25" s="25">
        <f>IF(G25&gt;0,VLOOKUP(A25,[6]HISTOJANV25!$A$6:$BQ$46,25,0),0)</f>
        <v>250000</v>
      </c>
      <c r="D25" s="13"/>
      <c r="E25" s="14">
        <f>260000+202000</f>
        <v>462000</v>
      </c>
      <c r="F25" s="43"/>
      <c r="G25" s="15">
        <f t="shared" si="0"/>
        <v>462000</v>
      </c>
      <c r="H25" s="17"/>
    </row>
    <row r="26" spans="1:8" ht="17.5" x14ac:dyDescent="0.35">
      <c r="A26" s="12" t="s">
        <v>21</v>
      </c>
      <c r="B26" s="12" t="str">
        <f>VLOOKUP(A26,[5]LISTADHERENT!$A$4:$J$44,3,0)</f>
        <v>NGONDIEP CLAUDE</v>
      </c>
      <c r="C26" s="25">
        <f>IF(G26&gt;0,VLOOKUP(A26,[6]HISTOJANV25!$A$6:$BQ$46,25,0),0)</f>
        <v>225000</v>
      </c>
      <c r="D26" s="13">
        <f>240000</f>
        <v>240000</v>
      </c>
      <c r="E26" s="14">
        <v>52500</v>
      </c>
      <c r="F26" s="43"/>
      <c r="G26" s="15">
        <f t="shared" si="0"/>
        <v>292500</v>
      </c>
      <c r="H26" s="17"/>
    </row>
    <row r="27" spans="1:8" ht="17.5" x14ac:dyDescent="0.35">
      <c r="A27" s="12" t="s">
        <v>22</v>
      </c>
      <c r="B27" s="12" t="str">
        <f>VLOOKUP(A27,[5]LISTADHERENT!$A$4:$J$44,3,0)</f>
        <v>NGUIEMEGNI MATHIEU BLAISE</v>
      </c>
      <c r="C27" s="25">
        <f>IF(G27&gt;0,VLOOKUP(A27,[6]HISTOJANV25!$A$6:$BQ$46,25,0),0)</f>
        <v>250000</v>
      </c>
      <c r="D27" s="13"/>
      <c r="E27" s="14">
        <f>120000+80000+100000+50000</f>
        <v>350000</v>
      </c>
      <c r="F27" s="43"/>
      <c r="G27" s="15">
        <f t="shared" si="0"/>
        <v>350000</v>
      </c>
      <c r="H27" s="17"/>
    </row>
    <row r="28" spans="1:8" ht="17.5" x14ac:dyDescent="0.35">
      <c r="A28" s="12" t="s">
        <v>23</v>
      </c>
      <c r="B28" s="12" t="str">
        <f>VLOOKUP(A28,[5]LISTADHERENT!$A$4:$J$44,3,0)</f>
        <v>NKAMGANG JUSTIN DEJOLIE</v>
      </c>
      <c r="C28" s="25">
        <f>IF(G28&gt;0,VLOOKUP(A28,[6]HISTOJANV25!$A$6:$BQ$46,25,0),0)</f>
        <v>50000</v>
      </c>
      <c r="D28" s="13"/>
      <c r="E28" s="14">
        <f>655000-50000-50000-202000-202000-101000</f>
        <v>50000</v>
      </c>
      <c r="F28" s="43"/>
      <c r="G28" s="15">
        <f t="shared" si="0"/>
        <v>50000</v>
      </c>
      <c r="H28" s="17"/>
    </row>
    <row r="29" spans="1:8" ht="17.5" x14ac:dyDescent="0.35">
      <c r="A29" s="12" t="s">
        <v>63</v>
      </c>
      <c r="B29" s="12" t="str">
        <f>VLOOKUP(A29,[5]LISTADHERENT!$A$4:$J$44,3,0)</f>
        <v>NOUBE ETIENNE</v>
      </c>
      <c r="C29" s="25">
        <f>IF(G29&gt;0,VLOOKUP(A29,[6]HISTOJANV25!$A$6:$BQ$46,25,0),0)</f>
        <v>50000</v>
      </c>
      <c r="D29" s="13"/>
      <c r="E29" s="14">
        <v>50000</v>
      </c>
      <c r="F29" s="43"/>
      <c r="G29" s="15">
        <f t="shared" si="0"/>
        <v>50000</v>
      </c>
      <c r="H29" s="17"/>
    </row>
    <row r="30" spans="1:8" ht="17.5" x14ac:dyDescent="0.35">
      <c r="A30" s="12" t="s">
        <v>24</v>
      </c>
      <c r="B30" s="12" t="str">
        <f>VLOOKUP(A30,[5]LISTADHERENT!$A$4:$J$44,3,0)</f>
        <v>PATEGO NJOSSU GUSTAVE</v>
      </c>
      <c r="C30" s="25">
        <f>IF(G30&gt;0,VLOOKUP(A30,[6]HISTOJANV25!$A$6:$BQ$46,25,0),0)</f>
        <v>125000</v>
      </c>
      <c r="D30" s="13"/>
      <c r="E30" s="14">
        <v>125000</v>
      </c>
      <c r="F30" s="43"/>
      <c r="G30" s="15">
        <f t="shared" si="0"/>
        <v>125000</v>
      </c>
      <c r="H30" s="17"/>
    </row>
    <row r="31" spans="1:8" ht="17.5" x14ac:dyDescent="0.35">
      <c r="A31" s="12" t="s">
        <v>64</v>
      </c>
      <c r="B31" s="12" t="str">
        <f>VLOOKUP(A31,[5]LISTADHERENT!$A$4:$J$44,3,0)</f>
        <v>SEUMO POLYCARPE</v>
      </c>
      <c r="C31" s="25">
        <f>IF(G31&gt;0,VLOOKUP(A31,[6]HISTOJANV25!$A$6:$BQ$46,25,0),0)</f>
        <v>50000</v>
      </c>
      <c r="D31" s="13"/>
      <c r="E31" s="14">
        <v>50000</v>
      </c>
      <c r="F31" s="43"/>
      <c r="G31" s="15">
        <f t="shared" si="0"/>
        <v>50000</v>
      </c>
      <c r="H31" s="17"/>
    </row>
    <row r="32" spans="1:8" ht="17.5" x14ac:dyDescent="0.35">
      <c r="A32" s="12" t="s">
        <v>25</v>
      </c>
      <c r="B32" s="12" t="str">
        <f>VLOOKUP(A32,[5]LISTADHERENT!$A$4:$J$44,3,0)</f>
        <v>SIME BRICE</v>
      </c>
      <c r="C32" s="25">
        <f>IF(G32&gt;0,VLOOKUP(A32,[6]HISTOJANV25!$A$6:$BQ$46,25,0),0)</f>
        <v>250000</v>
      </c>
      <c r="D32" s="13"/>
      <c r="E32" s="14">
        <v>250000</v>
      </c>
      <c r="F32" s="43"/>
      <c r="G32" s="15">
        <f t="shared" si="0"/>
        <v>250000</v>
      </c>
      <c r="H32" s="17"/>
    </row>
    <row r="33" spans="1:8" ht="17.5" x14ac:dyDescent="0.35">
      <c r="A33" s="12" t="s">
        <v>89</v>
      </c>
      <c r="B33" s="12" t="str">
        <f>VLOOKUP(A33,[5]LISTADHERENT!$A$4:$J$44,3,0)</f>
        <v>SIMO FONGANG ERIC</v>
      </c>
      <c r="C33" s="25">
        <f>IF(G33&gt;0,VLOOKUP(A33,[6]HISTOJANV25!$A$6:$BQ$46,25,0),0)</f>
        <v>50000</v>
      </c>
      <c r="D33" s="13"/>
      <c r="E33" s="14">
        <v>50000</v>
      </c>
      <c r="F33" s="43"/>
      <c r="G33" s="15">
        <f t="shared" si="0"/>
        <v>50000</v>
      </c>
      <c r="H33" s="17"/>
    </row>
    <row r="34" spans="1:8" ht="17.5" x14ac:dyDescent="0.35">
      <c r="A34" s="12" t="s">
        <v>26</v>
      </c>
      <c r="B34" s="12" t="str">
        <f>VLOOKUP(A34,[5]LISTADHERENT!$A$4:$J$44,3,0)</f>
        <v>SIMO PIERRE</v>
      </c>
      <c r="C34" s="25">
        <f>IF(G34&gt;0,VLOOKUP(A34,[6]HISTOJANV25!$A$6:$BQ$46,25,0),0)</f>
        <v>0</v>
      </c>
      <c r="D34" s="13"/>
      <c r="E34" s="14"/>
      <c r="F34" s="43"/>
      <c r="G34" s="15">
        <f t="shared" si="0"/>
        <v>0</v>
      </c>
      <c r="H34" s="17"/>
    </row>
    <row r="35" spans="1:8" ht="17.5" x14ac:dyDescent="0.35">
      <c r="A35" s="12" t="s">
        <v>27</v>
      </c>
      <c r="B35" s="12" t="str">
        <f>VLOOKUP(A35,[5]LISTADHERENT!$A$4:$J$44,3,0)</f>
        <v>TCHOUAMOU MATHIEU</v>
      </c>
      <c r="C35" s="25">
        <f>IF(G35&gt;0,VLOOKUP(A35,[6]HISTOJANV25!$A$6:$BQ$46,25,0),0)</f>
        <v>125000</v>
      </c>
      <c r="D35" s="13"/>
      <c r="E35" s="14">
        <f>125000+202000</f>
        <v>327000</v>
      </c>
      <c r="F35" s="43"/>
      <c r="G35" s="15">
        <f t="shared" si="0"/>
        <v>327000</v>
      </c>
      <c r="H35" s="17"/>
    </row>
    <row r="36" spans="1:8" ht="17.5" x14ac:dyDescent="0.35">
      <c r="A36" s="12" t="s">
        <v>81</v>
      </c>
      <c r="B36" s="12" t="str">
        <f>VLOOKUP(A36,[5]LISTADHERENT!$A$4:$J$44,3,0)</f>
        <v>TCHOUATEU AUGUSTIN</v>
      </c>
      <c r="C36" s="25">
        <f>IF(G36&gt;0,VLOOKUP(A36,[6]HISTOJANV25!$A$6:$BQ$46,25,0),0)</f>
        <v>150000</v>
      </c>
      <c r="D36" s="13"/>
      <c r="E36" s="14">
        <v>150000</v>
      </c>
      <c r="F36" s="43"/>
      <c r="G36" s="15">
        <f t="shared" si="0"/>
        <v>150000</v>
      </c>
      <c r="H36" s="17"/>
    </row>
    <row r="37" spans="1:8" ht="17.5" x14ac:dyDescent="0.35">
      <c r="A37" s="12" t="s">
        <v>62</v>
      </c>
      <c r="B37" s="12" t="str">
        <f>VLOOKUP(A37,[5]LISTADHERENT!$A$4:$J$44,3,0)</f>
        <v>TCHOUTOU NANA CLAUDE</v>
      </c>
      <c r="C37" s="25">
        <f>IF(G37&gt;0,VLOOKUP(A37,[6]HISTOJANV25!$A$6:$BQ$46,25,0),0)</f>
        <v>50000</v>
      </c>
      <c r="D37" s="13"/>
      <c r="E37" s="14">
        <v>50000</v>
      </c>
      <c r="F37" s="43"/>
      <c r="G37" s="15">
        <f t="shared" si="0"/>
        <v>50000</v>
      </c>
      <c r="H37" s="17"/>
    </row>
    <row r="38" spans="1:8" ht="17.5" x14ac:dyDescent="0.35">
      <c r="A38" s="12" t="s">
        <v>90</v>
      </c>
      <c r="B38" s="12" t="str">
        <f>VLOOKUP(A38,[5]LISTADHERENT!$A$4:$J$44,3,0)</f>
        <v>TIEYAM ERNEST</v>
      </c>
      <c r="C38" s="25">
        <f>IF(G38&gt;0,VLOOKUP(A38,[6]HISTOJANV25!$A$6:$BQ$46,25,0),0)</f>
        <v>50000</v>
      </c>
      <c r="D38" s="13"/>
      <c r="E38" s="14">
        <v>50000</v>
      </c>
      <c r="F38" s="43"/>
      <c r="G38" s="15">
        <f t="shared" si="0"/>
        <v>50000</v>
      </c>
      <c r="H38" s="17"/>
    </row>
    <row r="39" spans="1:8" ht="17.5" x14ac:dyDescent="0.35">
      <c r="A39" s="12" t="s">
        <v>65</v>
      </c>
      <c r="B39" s="12" t="str">
        <f>VLOOKUP(A39,[5]LISTADHERENT!$A$4:$J$44,3,0)</f>
        <v>YANTCHOU GERVAIS</v>
      </c>
      <c r="C39" s="25">
        <f>IF(G39&gt;0,VLOOKUP(A39,[6]HISTOJANV25!$A$6:$BQ$46,25,0),0)</f>
        <v>125000</v>
      </c>
      <c r="D39" s="13"/>
      <c r="E39" s="14">
        <f>130000+102000</f>
        <v>232000</v>
      </c>
      <c r="F39" s="43"/>
      <c r="G39" s="15">
        <f t="shared" si="0"/>
        <v>232000</v>
      </c>
      <c r="H39" s="17"/>
    </row>
    <row r="40" spans="1:8" ht="17.5" x14ac:dyDescent="0.35">
      <c r="A40" s="12" t="s">
        <v>28</v>
      </c>
      <c r="B40" s="12" t="str">
        <f>VLOOKUP(A40,[5]LISTADHERENT!$A$4:$J$44,3,0)</f>
        <v>YEPMOU JEAN JACQUES</v>
      </c>
      <c r="C40" s="25">
        <f>IF(G40&gt;0,VLOOKUP(A40,[6]HISTOJANV25!$A$6:$BQ$46,25,0),0)</f>
        <v>50000</v>
      </c>
      <c r="D40" s="13"/>
      <c r="E40" s="14">
        <v>50000</v>
      </c>
      <c r="F40" s="43"/>
      <c r="G40" s="15">
        <f t="shared" si="0"/>
        <v>50000</v>
      </c>
      <c r="H40" s="17"/>
    </row>
    <row r="41" spans="1:8" ht="17.5" x14ac:dyDescent="0.35">
      <c r="A41" s="12" t="s">
        <v>80</v>
      </c>
      <c r="B41" s="12" t="str">
        <f>VLOOKUP(A41,[5]LISTADHERENT!$A$4:$J$44,3,0)</f>
        <v>YIALA ALAIN OSCAR</v>
      </c>
      <c r="C41" s="25">
        <f>IF(G41&gt;0,VLOOKUP(A41,[6]HISTOJANV25!$A$6:$BQ$46,25,0),0)</f>
        <v>250000</v>
      </c>
      <c r="D41" s="13"/>
      <c r="E41" s="14">
        <v>250000</v>
      </c>
      <c r="F41" s="43"/>
      <c r="G41" s="15">
        <f t="shared" si="0"/>
        <v>250000</v>
      </c>
      <c r="H41" s="17"/>
    </row>
    <row r="42" spans="1:8" ht="17.5" x14ac:dyDescent="0.35">
      <c r="A42" s="12" t="s">
        <v>29</v>
      </c>
      <c r="B42" s="12" t="str">
        <f>VLOOKUP(A42,[5]LISTADHERENT!$A$4:$J$44,3,0)</f>
        <v>YOUMBI EMMANUEL</v>
      </c>
      <c r="C42" s="25">
        <f>IF(G42&gt;0,VLOOKUP(A42,[6]HISTOJANV25!$A$6:$BQ$46,25,0),0)</f>
        <v>225000</v>
      </c>
      <c r="D42" s="13"/>
      <c r="E42" s="14">
        <v>225000</v>
      </c>
      <c r="F42" s="43"/>
      <c r="G42" s="15">
        <f t="shared" si="0"/>
        <v>225000</v>
      </c>
      <c r="H42" s="17"/>
    </row>
    <row r="43" spans="1:8" x14ac:dyDescent="0.35">
      <c r="A43" s="17"/>
      <c r="B43" s="17" t="s">
        <v>127</v>
      </c>
      <c r="C43" s="17"/>
      <c r="D43" s="17"/>
      <c r="E43" s="17">
        <v>50000</v>
      </c>
      <c r="F43" s="17"/>
      <c r="G43" s="17"/>
      <c r="H43" s="17"/>
    </row>
    <row r="44" spans="1:8" ht="17.5" x14ac:dyDescent="0.35">
      <c r="A44" s="17"/>
      <c r="B44" s="12" t="s">
        <v>30</v>
      </c>
      <c r="C44" s="42">
        <f>SUM(C6:C42)</f>
        <v>4975000</v>
      </c>
      <c r="D44" s="42">
        <f t="shared" ref="D44:H44" si="1">SUM(D6:D42)</f>
        <v>1024500</v>
      </c>
      <c r="E44" s="42">
        <f t="shared" si="1"/>
        <v>6055500</v>
      </c>
      <c r="F44" s="42">
        <f t="shared" si="1"/>
        <v>800000</v>
      </c>
      <c r="G44" s="42">
        <f t="shared" si="1"/>
        <v>7880000</v>
      </c>
      <c r="H44" s="42">
        <f t="shared" si="1"/>
        <v>1193</v>
      </c>
    </row>
  </sheetData>
  <autoFilter ref="A5:G42" xr:uid="{00000000-0009-0000-0000-000002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E66F6-EE1D-428D-A565-0754D56C97DD}">
  <dimension ref="A1:H58"/>
  <sheetViews>
    <sheetView zoomScale="106" zoomScaleNormal="106" workbookViewId="0">
      <pane xSplit="3" ySplit="5" topLeftCell="D18" activePane="bottomRight" state="frozen"/>
      <selection activeCell="E41" sqref="E41"/>
      <selection pane="topRight" activeCell="E41" sqref="E41"/>
      <selection pane="bottomLeft" activeCell="E41" sqref="E41"/>
      <selection pane="bottomRight" activeCell="A20" sqref="A20:B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6" width="17.54296875" customWidth="1"/>
    <col min="7" max="7" width="20.453125" customWidth="1"/>
  </cols>
  <sheetData>
    <row r="1" spans="1:8" ht="21" x14ac:dyDescent="0.5">
      <c r="A1" s="1" t="s">
        <v>2</v>
      </c>
      <c r="B1" s="1" t="s">
        <v>3</v>
      </c>
      <c r="C1" s="45">
        <v>45931</v>
      </c>
    </row>
    <row r="2" spans="1:8" x14ac:dyDescent="0.35">
      <c r="A2" s="1" t="s">
        <v>4</v>
      </c>
      <c r="B2" s="1">
        <v>2025</v>
      </c>
    </row>
    <row r="3" spans="1: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</row>
    <row r="4" spans="1:8" ht="28.5" x14ac:dyDescent="0.65">
      <c r="B4" s="51" t="s">
        <v>58</v>
      </c>
      <c r="C4" s="49"/>
      <c r="D4" s="49"/>
      <c r="E4" s="49"/>
      <c r="F4" s="47"/>
      <c r="G4" s="3"/>
    </row>
    <row r="5" spans="1:8" ht="68.25" customHeight="1" x14ac:dyDescent="0.35">
      <c r="A5" s="12" t="s">
        <v>0</v>
      </c>
      <c r="B5" s="12" t="s">
        <v>1</v>
      </c>
      <c r="C5" s="40" t="s">
        <v>91</v>
      </c>
      <c r="D5" s="40" t="s">
        <v>32</v>
      </c>
      <c r="E5" s="40" t="s">
        <v>92</v>
      </c>
      <c r="F5" s="40" t="s">
        <v>93</v>
      </c>
      <c r="G5" s="40" t="s">
        <v>31</v>
      </c>
      <c r="H5" s="41" t="s">
        <v>61</v>
      </c>
    </row>
    <row r="6" spans="1:8" ht="17.5" x14ac:dyDescent="0.35">
      <c r="A6" s="12" t="s">
        <v>60</v>
      </c>
      <c r="B6" s="12" t="str">
        <f>VLOOKUP(A6,[5]LISTADHERENT!$A$4:$J$44,3,0)</f>
        <v>ASELBY</v>
      </c>
      <c r="C6" s="25">
        <f>IF(G6&gt;0,VLOOKUP(A6,[6]HISTOJANV25!$A$6:$BQ$46,25,0),0)</f>
        <v>250000</v>
      </c>
      <c r="D6" s="13"/>
      <c r="E6" s="14">
        <v>250000</v>
      </c>
      <c r="F6" s="43"/>
      <c r="G6" s="15">
        <f>SUM(D6:F6)</f>
        <v>250000</v>
      </c>
      <c r="H6" s="15">
        <f>2385+1193</f>
        <v>3578</v>
      </c>
    </row>
    <row r="7" spans="1:8" ht="17.5" x14ac:dyDescent="0.35">
      <c r="A7" s="12" t="s">
        <v>66</v>
      </c>
      <c r="B7" s="12" t="str">
        <f>VLOOKUP(A7,[5]LISTADHERENT!$A$4:$J$44,3,0)</f>
        <v>BAKOP ACHILLE</v>
      </c>
      <c r="C7" s="25">
        <f>IF(G7&gt;0,VLOOKUP(A7,[6]HISTOJANV25!$A$6:$BQ$46,25,0),0)</f>
        <v>50000</v>
      </c>
      <c r="D7" s="13">
        <v>50000</v>
      </c>
      <c r="E7" s="14"/>
      <c r="F7" s="43"/>
      <c r="G7" s="15">
        <f t="shared" ref="G7:G42" si="0">SUM(D7:F7)</f>
        <v>50000</v>
      </c>
      <c r="H7" s="17"/>
    </row>
    <row r="8" spans="1:8" ht="17.5" x14ac:dyDescent="0.35">
      <c r="A8" s="12" t="s">
        <v>6</v>
      </c>
      <c r="B8" s="12" t="str">
        <f>VLOOKUP(A8,[5]LISTADHERENT!$A$4:$J$44,3,0)</f>
        <v>BOUTCHOUANG WILLIAM</v>
      </c>
      <c r="C8" s="25">
        <f>IF(G8&gt;0,VLOOKUP(A8,[6]HISTOJANV25!$A$6:$BQ$46,25,0),0)</f>
        <v>125000</v>
      </c>
      <c r="D8" s="13">
        <v>101000</v>
      </c>
      <c r="E8" s="14">
        <v>125000</v>
      </c>
      <c r="F8" s="43"/>
      <c r="G8" s="15">
        <f t="shared" si="0"/>
        <v>226000</v>
      </c>
      <c r="H8" s="17"/>
    </row>
    <row r="9" spans="1:8" ht="17.5" x14ac:dyDescent="0.35">
      <c r="A9" s="12" t="s">
        <v>7</v>
      </c>
      <c r="B9" s="12" t="str">
        <f>VLOOKUP(A9,[5]LISTADHERENT!$A$4:$J$44,3,0)</f>
        <v xml:space="preserve">DJOMO JEAN PAUL </v>
      </c>
      <c r="C9" s="25">
        <f>IF(G9&gt;0,VLOOKUP(A9,[6]HISTOJANV25!$A$6:$BQ$46,25,0),0)</f>
        <v>250000</v>
      </c>
      <c r="D9" s="13">
        <v>476500</v>
      </c>
      <c r="E9" s="14"/>
      <c r="F9" s="43"/>
      <c r="G9" s="15">
        <f t="shared" si="0"/>
        <v>476500</v>
      </c>
      <c r="H9" s="17"/>
    </row>
    <row r="10" spans="1:8" ht="17.5" x14ac:dyDescent="0.35">
      <c r="A10" s="12" t="s">
        <v>8</v>
      </c>
      <c r="B10" s="12" t="str">
        <f>VLOOKUP(A10,[5]LISTADHERENT!$A$4:$J$44,3,0)</f>
        <v>DJOMOU TCHAPDA</v>
      </c>
      <c r="C10" s="25">
        <f>IF(G10&gt;0,VLOOKUP(A10,[6]HISTOJANV25!$A$6:$BQ$46,25,0),0)</f>
        <v>50000</v>
      </c>
      <c r="D10" s="13"/>
      <c r="E10" s="14">
        <v>50000</v>
      </c>
      <c r="F10" s="43"/>
      <c r="G10" s="15">
        <f t="shared" si="0"/>
        <v>50000</v>
      </c>
      <c r="H10" s="17"/>
    </row>
    <row r="11" spans="1:8" ht="17.5" x14ac:dyDescent="0.35">
      <c r="A11" s="12" t="s">
        <v>9</v>
      </c>
      <c r="B11" s="12" t="str">
        <f>VLOOKUP(A11,[5]LISTADHERENT!$A$4:$J$44,3,0)</f>
        <v>DJOUKWE NANGUEN GUY BLAISE</v>
      </c>
      <c r="C11" s="25">
        <f>IF(G11&gt;0,VLOOKUP(A11,[6]HISTOJANV25!$A$6:$BQ$46,25,0),0)</f>
        <v>150000</v>
      </c>
      <c r="D11" s="13">
        <v>205500</v>
      </c>
      <c r="E11" s="14">
        <f>150000</f>
        <v>150000</v>
      </c>
      <c r="F11" s="43"/>
      <c r="G11" s="15">
        <f t="shared" si="0"/>
        <v>355500</v>
      </c>
      <c r="H11" s="17"/>
    </row>
    <row r="12" spans="1:8" ht="17.5" x14ac:dyDescent="0.35">
      <c r="A12" s="12" t="s">
        <v>10</v>
      </c>
      <c r="B12" s="12" t="str">
        <f>VLOOKUP(A12,[5]LISTADHERENT!$A$4:$J$44,3,0)</f>
        <v>DJUOMBESSY ANTOINE</v>
      </c>
      <c r="C12" s="25">
        <f>IF(G12&gt;0,VLOOKUP(A12,[6]HISTOJANV25!$A$6:$BQ$46,25,0),0)</f>
        <v>250000</v>
      </c>
      <c r="D12" s="13"/>
      <c r="E12" s="14">
        <f>425000+150000+350000+200000</f>
        <v>1125000</v>
      </c>
      <c r="F12" s="43"/>
      <c r="G12" s="15">
        <f t="shared" si="0"/>
        <v>1125000</v>
      </c>
      <c r="H12" s="17"/>
    </row>
    <row r="13" spans="1:8" ht="17.5" x14ac:dyDescent="0.35">
      <c r="A13" s="12" t="s">
        <v>11</v>
      </c>
      <c r="B13" s="12" t="str">
        <f>VLOOKUP(A13,[5]LISTADHERENT!$A$4:$J$44,3,0)</f>
        <v>DOMOU FABIEN</v>
      </c>
      <c r="C13" s="25">
        <f>IF(G13&gt;0,VLOOKUP(A13,[6]HISTOJANV25!$A$6:$BQ$46,25,0),0)</f>
        <v>50000</v>
      </c>
      <c r="D13" s="13"/>
      <c r="E13" s="14">
        <v>50000</v>
      </c>
      <c r="F13" s="43"/>
      <c r="G13" s="15">
        <f t="shared" si="0"/>
        <v>50000</v>
      </c>
      <c r="H13" s="17"/>
    </row>
    <row r="14" spans="1:8" ht="17.5" x14ac:dyDescent="0.35">
      <c r="A14" s="12" t="s">
        <v>12</v>
      </c>
      <c r="B14" s="12" t="str">
        <f>VLOOKUP(A14,[5]LISTADHERENT!$A$4:$J$44,3,0)</f>
        <v>DONHOU DAVID</v>
      </c>
      <c r="C14" s="25">
        <f>IF(G14&gt;0,VLOOKUP(A14,[6]HISTOJANV25!$A$6:$BQ$46,25,0),0)</f>
        <v>50000</v>
      </c>
      <c r="D14" s="13"/>
      <c r="E14" s="14">
        <v>50000</v>
      </c>
      <c r="F14" s="43"/>
      <c r="G14" s="15">
        <f t="shared" si="0"/>
        <v>50000</v>
      </c>
      <c r="H14" s="17"/>
    </row>
    <row r="15" spans="1:8" ht="17.5" x14ac:dyDescent="0.35">
      <c r="A15" s="12" t="s">
        <v>94</v>
      </c>
      <c r="B15" s="12" t="str">
        <f>VLOOKUP(A15,[5]LISTADHERENT!$A$4:$J$44,3,0)</f>
        <v>FAMPOU PAUL</v>
      </c>
      <c r="C15" s="25">
        <f>IF(G15&gt;0,VLOOKUP(A15,[6]HISTOMARS25!$A$6:$BQ$46,25,0),0)</f>
        <v>150000</v>
      </c>
      <c r="D15" s="13"/>
      <c r="E15" s="14">
        <v>150000</v>
      </c>
      <c r="F15" s="43"/>
      <c r="G15" s="15">
        <f t="shared" si="0"/>
        <v>150000</v>
      </c>
      <c r="H15" s="17"/>
    </row>
    <row r="16" spans="1:8" ht="17.5" x14ac:dyDescent="0.35">
      <c r="A16" s="12" t="s">
        <v>13</v>
      </c>
      <c r="B16" s="12" t="str">
        <f>VLOOKUP(A16,[5]LISTADHERENT!$A$4:$J$44,3,0)</f>
        <v>HENGUE PAUL OMER</v>
      </c>
      <c r="C16" s="25">
        <f>IF(G16&gt;0,VLOOKUP(A16,[6]HISTOJANV25!$A$6:$BQ$46,25,0),0)</f>
        <v>125000</v>
      </c>
      <c r="D16" s="13"/>
      <c r="E16" s="14">
        <v>125000</v>
      </c>
      <c r="F16" s="43"/>
      <c r="G16" s="15">
        <f t="shared" si="0"/>
        <v>125000</v>
      </c>
      <c r="H16" s="17"/>
    </row>
    <row r="17" spans="1:8" ht="17.5" x14ac:dyDescent="0.35">
      <c r="A17" s="12" t="s">
        <v>14</v>
      </c>
      <c r="B17" s="12" t="str">
        <f>VLOOKUP(A17,[5]LISTADHERENT!$A$4:$J$44,3,0)</f>
        <v>HOTCHO BENJAMIN</v>
      </c>
      <c r="C17" s="25">
        <f>IF(G17&gt;0,VLOOKUP(A17,[6]HISTOJANV25!$A$6:$BQ$46,25,0),0)</f>
        <v>225000</v>
      </c>
      <c r="D17" s="13"/>
      <c r="E17" s="14">
        <f>250000+101500</f>
        <v>351500</v>
      </c>
      <c r="F17" s="43"/>
      <c r="G17" s="15">
        <f t="shared" si="0"/>
        <v>351500</v>
      </c>
      <c r="H17" s="17"/>
    </row>
    <row r="18" spans="1:8" ht="17.5" x14ac:dyDescent="0.35">
      <c r="A18" s="12" t="s">
        <v>15</v>
      </c>
      <c r="B18" s="12" t="str">
        <f>VLOOKUP(A18,[5]LISTADHERENT!$A$4:$J$44,3,0)</f>
        <v>KOUAMOU MOISE</v>
      </c>
      <c r="C18" s="25">
        <f>IF(G18&gt;0,VLOOKUP(A18,[6]HISTOJANV25!$A$6:$BQ$46,25,0),0)</f>
        <v>150000</v>
      </c>
      <c r="D18" s="13">
        <v>50000</v>
      </c>
      <c r="E18" s="14">
        <v>100000</v>
      </c>
      <c r="F18" s="43"/>
      <c r="G18" s="15">
        <f t="shared" si="0"/>
        <v>150000</v>
      </c>
      <c r="H18" s="17"/>
    </row>
    <row r="19" spans="1:8" ht="17.5" x14ac:dyDescent="0.35">
      <c r="A19" s="12" t="s">
        <v>16</v>
      </c>
      <c r="B19" s="12" t="str">
        <f>VLOOKUP(A19,[5]LISTADHERENT!$A$4:$J$44,3,0)</f>
        <v>KOUATCHO MESSACK</v>
      </c>
      <c r="C19" s="25">
        <f>IF(G19&gt;0,VLOOKUP(A19,[6]HISTOJANV25!$A$6:$BQ$46,25,0),0)</f>
        <v>225000</v>
      </c>
      <c r="D19" s="13">
        <f>201000+60000+75000</f>
        <v>336000</v>
      </c>
      <c r="E19" s="14"/>
      <c r="F19" s="43"/>
      <c r="G19" s="15">
        <f t="shared" si="0"/>
        <v>336000</v>
      </c>
      <c r="H19" s="17"/>
    </row>
    <row r="20" spans="1:8" ht="17.5" x14ac:dyDescent="0.35">
      <c r="A20" s="12" t="s">
        <v>129</v>
      </c>
      <c r="B20" s="12" t="str">
        <f>VLOOKUP(A20,[5]LISTADHERENT!$A$4:$J$44,3,0)</f>
        <v>LOWE JEAN</v>
      </c>
      <c r="C20" s="25"/>
      <c r="D20" s="13"/>
      <c r="E20" s="14"/>
      <c r="F20" s="43"/>
      <c r="G20" s="15"/>
      <c r="H20" s="17"/>
    </row>
    <row r="21" spans="1:8" ht="17.5" x14ac:dyDescent="0.35">
      <c r="A21" s="12" t="s">
        <v>82</v>
      </c>
      <c r="B21" s="12" t="str">
        <f>VLOOKUP(A21,[5]LISTADHERENT!$A$4:$J$44,3,0)</f>
        <v>MASSEUNGOUE DAGOBERT</v>
      </c>
      <c r="C21" s="25">
        <f>IF(G21&gt;0,VLOOKUP(A21,[6]HISTOJANV25!$A$6:$BQ$46,25,0),0)</f>
        <v>50000</v>
      </c>
      <c r="D21" s="13"/>
      <c r="E21" s="14">
        <v>50000</v>
      </c>
      <c r="F21" s="43"/>
      <c r="G21" s="15">
        <f t="shared" si="0"/>
        <v>50000</v>
      </c>
      <c r="H21" s="17"/>
    </row>
    <row r="22" spans="1:8" ht="17.5" x14ac:dyDescent="0.35">
      <c r="A22" s="12" t="s">
        <v>17</v>
      </c>
      <c r="B22" s="12" t="str">
        <f>VLOOKUP(A22,[5]LISTADHERENT!$A$4:$J$44,3,0)</f>
        <v>MBOGNING TUGMA GUY</v>
      </c>
      <c r="C22" s="25">
        <f>IF(G22&gt;0,VLOOKUP(A22,[6]HISTOJANV25!$A$6:$BQ$46,25,0),0)</f>
        <v>325000</v>
      </c>
      <c r="D22" s="13">
        <v>205000</v>
      </c>
      <c r="E22" s="14">
        <f>530000-101500</f>
        <v>428500</v>
      </c>
      <c r="F22" s="43"/>
      <c r="G22" s="15">
        <f t="shared" si="0"/>
        <v>633500</v>
      </c>
      <c r="H22" s="17"/>
    </row>
    <row r="23" spans="1:8" ht="17.5" x14ac:dyDescent="0.35">
      <c r="A23" s="12" t="s">
        <v>18</v>
      </c>
      <c r="B23" s="12" t="str">
        <f>VLOOKUP(A23,[5]LISTADHERENT!$A$4:$J$44,3,0)</f>
        <v>NANGUEN MARTIN</v>
      </c>
      <c r="C23" s="25">
        <f>IF(G23&gt;0,VLOOKUP(A23,[6]HISTOJANV25!$A$6:$BQ$46,25,0),0)</f>
        <v>50000</v>
      </c>
      <c r="D23" s="13"/>
      <c r="E23" s="14">
        <v>50000</v>
      </c>
      <c r="F23" s="43"/>
      <c r="G23" s="15">
        <f t="shared" si="0"/>
        <v>50000</v>
      </c>
      <c r="H23" s="17"/>
    </row>
    <row r="24" spans="1:8" ht="17.5" x14ac:dyDescent="0.35">
      <c r="A24" s="12" t="s">
        <v>19</v>
      </c>
      <c r="B24" s="12" t="str">
        <f>VLOOKUP(A24,[5]LISTADHERENT!$A$4:$J$44,3,0)</f>
        <v>NANKAM APPOLINAIRE</v>
      </c>
      <c r="C24" s="25">
        <f>IF(G24&gt;0,VLOOKUP(A24,[6]HISTOJANV25!$A$6:$BQ$46,25,0),0)</f>
        <v>125000</v>
      </c>
      <c r="D24" s="13"/>
      <c r="E24" s="14">
        <v>125000</v>
      </c>
      <c r="F24" s="43"/>
      <c r="G24" s="15">
        <f t="shared" si="0"/>
        <v>125000</v>
      </c>
      <c r="H24" s="17"/>
    </row>
    <row r="25" spans="1:8" ht="17.5" x14ac:dyDescent="0.35">
      <c r="A25" s="12" t="s">
        <v>20</v>
      </c>
      <c r="B25" s="12" t="str">
        <f>VLOOKUP(A25,[5]LISTADHERENT!$A$4:$J$44,3,0)</f>
        <v>NDJOMO ETIENNE</v>
      </c>
      <c r="C25" s="25">
        <f>IF(G25&gt;0,VLOOKUP(A25,[6]HISTOJANV25!$A$6:$BQ$46,25,0),0)</f>
        <v>250000</v>
      </c>
      <c r="D25" s="13">
        <v>102500</v>
      </c>
      <c r="E25" s="14">
        <v>275000</v>
      </c>
      <c r="F25" s="43"/>
      <c r="G25" s="15">
        <f t="shared" si="0"/>
        <v>377500</v>
      </c>
      <c r="H25" s="17"/>
    </row>
    <row r="26" spans="1:8" ht="17.5" x14ac:dyDescent="0.35">
      <c r="A26" s="12" t="s">
        <v>21</v>
      </c>
      <c r="B26" s="12" t="str">
        <f>VLOOKUP(A26,[5]LISTADHERENT!$A$4:$J$44,3,0)</f>
        <v>NGONDIEP CLAUDE</v>
      </c>
      <c r="C26" s="25">
        <f>IF(G26&gt;0,VLOOKUP(A26,[6]HISTOJANV25!$A$6:$BQ$46,25,0),0)</f>
        <v>225000</v>
      </c>
      <c r="D26" s="13">
        <f>101000+136500</f>
        <v>237500</v>
      </c>
      <c r="E26" s="14">
        <v>240000</v>
      </c>
      <c r="F26" s="43"/>
      <c r="G26" s="15">
        <f t="shared" si="0"/>
        <v>477500</v>
      </c>
      <c r="H26" s="17"/>
    </row>
    <row r="27" spans="1:8" ht="17.5" x14ac:dyDescent="0.35">
      <c r="A27" s="12" t="s">
        <v>22</v>
      </c>
      <c r="B27" s="12" t="str">
        <f>VLOOKUP(A27,[5]LISTADHERENT!$A$4:$J$44,3,0)</f>
        <v>NGUIEMEGNI MATHIEU BLAISE</v>
      </c>
      <c r="C27" s="25">
        <f>IF(G27&gt;0,VLOOKUP(A27,[6]HISTOJANV25!$A$6:$BQ$46,25,0),0)</f>
        <v>250000</v>
      </c>
      <c r="D27" s="13"/>
      <c r="E27" s="14">
        <f>150000+120000+190000</f>
        <v>460000</v>
      </c>
      <c r="F27" s="43"/>
      <c r="G27" s="15">
        <f t="shared" si="0"/>
        <v>460000</v>
      </c>
      <c r="H27" s="17"/>
    </row>
    <row r="28" spans="1:8" ht="17.5" x14ac:dyDescent="0.35">
      <c r="A28" s="12" t="s">
        <v>23</v>
      </c>
      <c r="B28" s="12" t="str">
        <f>VLOOKUP(A28,[5]LISTADHERENT!$A$4:$J$44,3,0)</f>
        <v>NKAMGANG JUSTIN DEJOLIE</v>
      </c>
      <c r="C28" s="25">
        <f>IF(G28&gt;0,VLOOKUP(A28,[6]HISTOJANV25!$A$6:$BQ$46,25,0),0)</f>
        <v>50000</v>
      </c>
      <c r="D28" s="13"/>
      <c r="E28" s="14">
        <f>50000</f>
        <v>50000</v>
      </c>
      <c r="F28" s="43"/>
      <c r="G28" s="15">
        <f t="shared" si="0"/>
        <v>50000</v>
      </c>
      <c r="H28" s="17"/>
    </row>
    <row r="29" spans="1:8" ht="17.5" x14ac:dyDescent="0.35">
      <c r="A29" s="12" t="s">
        <v>63</v>
      </c>
      <c r="B29" s="12" t="str">
        <f>VLOOKUP(A29,[5]LISTADHERENT!$A$4:$J$44,3,0)</f>
        <v>NOUBE ETIENNE</v>
      </c>
      <c r="C29" s="25">
        <f>IF(G29&gt;0,VLOOKUP(A29,[6]HISTOJANV25!$A$6:$BQ$46,25,0),0)</f>
        <v>50000</v>
      </c>
      <c r="D29" s="13"/>
      <c r="E29" s="14">
        <v>50000</v>
      </c>
      <c r="F29" s="43"/>
      <c r="G29" s="15">
        <f t="shared" si="0"/>
        <v>50000</v>
      </c>
      <c r="H29" s="17"/>
    </row>
    <row r="30" spans="1:8" ht="17.5" x14ac:dyDescent="0.35">
      <c r="A30" s="12" t="s">
        <v>24</v>
      </c>
      <c r="B30" s="12" t="str">
        <f>VLOOKUP(A30,[5]LISTADHERENT!$A$4:$J$44,3,0)</f>
        <v>PATEGO NJOSSU GUSTAVE</v>
      </c>
      <c r="C30" s="25">
        <f>IF(G30&gt;0,VLOOKUP(A30,[6]HISTOJANV25!$A$6:$BQ$46,25,0),0)</f>
        <v>125000</v>
      </c>
      <c r="D30" s="13"/>
      <c r="E30" s="14">
        <v>125000</v>
      </c>
      <c r="F30" s="43"/>
      <c r="G30" s="15">
        <f t="shared" si="0"/>
        <v>125000</v>
      </c>
      <c r="H30" s="17"/>
    </row>
    <row r="31" spans="1:8" ht="17.5" x14ac:dyDescent="0.35">
      <c r="A31" s="12" t="s">
        <v>64</v>
      </c>
      <c r="B31" s="12" t="str">
        <f>VLOOKUP(A31,[5]LISTADHERENT!$A$4:$J$44,3,0)</f>
        <v>SEUMO POLYCARPE</v>
      </c>
      <c r="C31" s="25">
        <f>IF(G31&gt;0,VLOOKUP(A31,[6]HISTOJANV25!$A$6:$BQ$46,25,0),0)</f>
        <v>50000</v>
      </c>
      <c r="D31" s="13"/>
      <c r="E31" s="14">
        <v>50000</v>
      </c>
      <c r="F31" s="43"/>
      <c r="G31" s="15">
        <f t="shared" si="0"/>
        <v>50000</v>
      </c>
      <c r="H31" s="17"/>
    </row>
    <row r="32" spans="1:8" ht="17.5" x14ac:dyDescent="0.35">
      <c r="A32" s="12" t="s">
        <v>25</v>
      </c>
      <c r="B32" s="12" t="str">
        <f>VLOOKUP(A32,[5]LISTADHERENT!$A$4:$J$44,3,0)</f>
        <v>SIME BRICE</v>
      </c>
      <c r="C32" s="25">
        <f>IF(G32&gt;0,VLOOKUP(A32,[6]HISTOJANV25!$A$6:$BQ$46,25,0),0)</f>
        <v>250000</v>
      </c>
      <c r="D32" s="13">
        <v>206500</v>
      </c>
      <c r="E32" s="14">
        <v>250000</v>
      </c>
      <c r="F32" s="43"/>
      <c r="G32" s="15">
        <f t="shared" si="0"/>
        <v>456500</v>
      </c>
      <c r="H32" s="17"/>
    </row>
    <row r="33" spans="1:8" ht="17.5" x14ac:dyDescent="0.35">
      <c r="A33" s="12" t="s">
        <v>89</v>
      </c>
      <c r="B33" s="12" t="str">
        <f>VLOOKUP(A33,[5]LISTADHERENT!$A$4:$J$44,3,0)</f>
        <v>SIMO FONGANG ERIC</v>
      </c>
      <c r="C33" s="25">
        <f>IF(G33&gt;0,VLOOKUP(A33,[6]HISTOJANV25!$A$6:$BQ$46,25,0),0)</f>
        <v>50000</v>
      </c>
      <c r="D33" s="13"/>
      <c r="E33" s="14">
        <v>50000</v>
      </c>
      <c r="F33" s="43"/>
      <c r="G33" s="15">
        <f t="shared" si="0"/>
        <v>50000</v>
      </c>
      <c r="H33" s="17"/>
    </row>
    <row r="34" spans="1:8" ht="17.5" x14ac:dyDescent="0.35">
      <c r="A34" s="12" t="s">
        <v>26</v>
      </c>
      <c r="B34" s="12" t="str">
        <f>VLOOKUP(A34,[5]LISTADHERENT!$A$4:$J$44,3,0)</f>
        <v>SIMO PIERRE</v>
      </c>
      <c r="C34" s="25">
        <f>IF(G34&gt;0,VLOOKUP(A34,[6]HISTOJANV25!$A$6:$BQ$46,25,0),0)</f>
        <v>150000</v>
      </c>
      <c r="D34" s="13">
        <v>500000</v>
      </c>
      <c r="E34" s="14"/>
      <c r="F34" s="43"/>
      <c r="G34" s="15">
        <f t="shared" si="0"/>
        <v>500000</v>
      </c>
      <c r="H34" s="17"/>
    </row>
    <row r="35" spans="1:8" ht="17.5" x14ac:dyDescent="0.35">
      <c r="A35" s="12" t="s">
        <v>27</v>
      </c>
      <c r="B35" s="12" t="str">
        <f>VLOOKUP(A35,[5]LISTADHERENT!$A$4:$J$44,3,0)</f>
        <v>TCHOUAMOU MATHIEU</v>
      </c>
      <c r="C35" s="25">
        <f>IF(G35&gt;0,VLOOKUP(A35,[6]HISTOJANV25!$A$6:$BQ$46,25,0),0)</f>
        <v>125000</v>
      </c>
      <c r="D35" s="13">
        <v>202500</v>
      </c>
      <c r="E35" s="14">
        <v>125000</v>
      </c>
      <c r="F35" s="43"/>
      <c r="G35" s="15">
        <f t="shared" si="0"/>
        <v>327500</v>
      </c>
      <c r="H35" s="17"/>
    </row>
    <row r="36" spans="1:8" ht="17.5" x14ac:dyDescent="0.35">
      <c r="A36" s="12" t="s">
        <v>81</v>
      </c>
      <c r="B36" s="12" t="str">
        <f>VLOOKUP(A36,[5]LISTADHERENT!$A$4:$J$44,3,0)</f>
        <v>TCHOUATEU AUGUSTIN</v>
      </c>
      <c r="C36" s="25">
        <f>IF(G36&gt;0,VLOOKUP(A36,[6]HISTOJANV25!$A$6:$BQ$46,25,0),0)</f>
        <v>150000</v>
      </c>
      <c r="D36" s="13"/>
      <c r="E36" s="14">
        <v>150000</v>
      </c>
      <c r="F36" s="43"/>
      <c r="G36" s="15">
        <f t="shared" si="0"/>
        <v>150000</v>
      </c>
      <c r="H36" s="17"/>
    </row>
    <row r="37" spans="1:8" ht="17.5" x14ac:dyDescent="0.35">
      <c r="A37" s="12" t="s">
        <v>62</v>
      </c>
      <c r="B37" s="12" t="str">
        <f>VLOOKUP(A37,[5]LISTADHERENT!$A$4:$J$44,3,0)</f>
        <v>TCHOUTOU NANA CLAUDE</v>
      </c>
      <c r="C37" s="25">
        <f>IF(G37&gt;0,VLOOKUP(A37,[6]HISTOJANV25!$A$6:$BQ$46,25,0),0)</f>
        <v>50000</v>
      </c>
      <c r="D37" s="13"/>
      <c r="E37" s="14">
        <v>50000</v>
      </c>
      <c r="F37" s="43"/>
      <c r="G37" s="15">
        <f t="shared" si="0"/>
        <v>50000</v>
      </c>
      <c r="H37" s="17"/>
    </row>
    <row r="38" spans="1:8" ht="17.5" x14ac:dyDescent="0.35">
      <c r="A38" s="12" t="s">
        <v>90</v>
      </c>
      <c r="B38" s="12" t="str">
        <f>VLOOKUP(A38,[5]LISTADHERENT!$A$4:$J$44,3,0)</f>
        <v>TIEYAM ERNEST</v>
      </c>
      <c r="C38" s="25">
        <f>IF(G38&gt;0,VLOOKUP(A38,[6]HISTOJANV25!$A$6:$BQ$46,25,0),0)</f>
        <v>50000</v>
      </c>
      <c r="D38" s="13">
        <v>50000</v>
      </c>
      <c r="E38" s="14"/>
      <c r="F38" s="43"/>
      <c r="G38" s="15">
        <f t="shared" si="0"/>
        <v>50000</v>
      </c>
      <c r="H38" s="17"/>
    </row>
    <row r="39" spans="1:8" ht="17.5" x14ac:dyDescent="0.35">
      <c r="A39" s="12" t="s">
        <v>65</v>
      </c>
      <c r="B39" s="12" t="str">
        <f>VLOOKUP(A39,[5]LISTADHERENT!$A$4:$J$44,3,0)</f>
        <v>YANTCHOU GERVAIS</v>
      </c>
      <c r="C39" s="25">
        <f>IF(G39&gt;0,VLOOKUP(A39,[6]HISTOJANV25!$A$6:$BQ$46,25,0),0)</f>
        <v>125000</v>
      </c>
      <c r="D39" s="13"/>
      <c r="E39" s="14">
        <v>125000</v>
      </c>
      <c r="F39" s="43"/>
      <c r="G39" s="15">
        <f t="shared" si="0"/>
        <v>125000</v>
      </c>
      <c r="H39" s="17"/>
    </row>
    <row r="40" spans="1:8" ht="17.5" x14ac:dyDescent="0.35">
      <c r="A40" s="12" t="s">
        <v>28</v>
      </c>
      <c r="B40" s="12" t="str">
        <f>VLOOKUP(A40,[5]LISTADHERENT!$A$4:$J$44,3,0)</f>
        <v>YEPMOU JEAN JACQUES</v>
      </c>
      <c r="C40" s="25">
        <f>IF(G40&gt;0,VLOOKUP(A40,[6]HISTOJANV25!$A$6:$BQ$46,25,0),0)</f>
        <v>50000</v>
      </c>
      <c r="D40" s="13"/>
      <c r="E40" s="14">
        <v>50000</v>
      </c>
      <c r="F40" s="43"/>
      <c r="G40" s="15">
        <f t="shared" si="0"/>
        <v>50000</v>
      </c>
      <c r="H40" s="17"/>
    </row>
    <row r="41" spans="1:8" ht="17.5" x14ac:dyDescent="0.35">
      <c r="A41" s="12" t="s">
        <v>80</v>
      </c>
      <c r="B41" s="12" t="str">
        <f>VLOOKUP(A41,[5]LISTADHERENT!$A$4:$J$44,3,0)</f>
        <v>YIALA ALAIN OSCAR</v>
      </c>
      <c r="C41" s="25">
        <f>IF(G41&gt;0,VLOOKUP(A41,[6]HISTOJANV25!$A$6:$BQ$46,25,0),0)</f>
        <v>250000</v>
      </c>
      <c r="D41" s="13">
        <v>253000</v>
      </c>
      <c r="E41" s="14"/>
      <c r="F41" s="43"/>
      <c r="G41" s="15">
        <f t="shared" si="0"/>
        <v>253000</v>
      </c>
      <c r="H41" s="17"/>
    </row>
    <row r="42" spans="1:8" ht="17.5" x14ac:dyDescent="0.35">
      <c r="A42" s="12" t="s">
        <v>29</v>
      </c>
      <c r="B42" s="12" t="str">
        <f>VLOOKUP(A42,[5]LISTADHERENT!$A$4:$J$44,3,0)</f>
        <v>YOUMBI EMMANUEL</v>
      </c>
      <c r="C42" s="25">
        <f>IF(G42&gt;0,VLOOKUP(A42,[6]HISTOJANV25!$A$6:$BQ$46,25,0),0)</f>
        <v>225000</v>
      </c>
      <c r="D42" s="13"/>
      <c r="E42" s="14">
        <v>225000</v>
      </c>
      <c r="F42" s="43"/>
      <c r="G42" s="15">
        <f t="shared" si="0"/>
        <v>225000</v>
      </c>
      <c r="H42" s="17"/>
    </row>
    <row r="43" spans="1:8" x14ac:dyDescent="0.35">
      <c r="A43" s="17"/>
      <c r="B43" s="17"/>
      <c r="C43" s="17"/>
      <c r="D43" s="17"/>
      <c r="E43" s="17"/>
      <c r="F43" s="17"/>
      <c r="G43" s="17"/>
      <c r="H43" s="17"/>
    </row>
    <row r="44" spans="1:8" ht="17.5" x14ac:dyDescent="0.35">
      <c r="A44" s="17"/>
      <c r="B44" s="12" t="s">
        <v>30</v>
      </c>
      <c r="C44" s="42">
        <f>SUM(C6:C42)</f>
        <v>5125000</v>
      </c>
      <c r="D44" s="42">
        <f t="shared" ref="D44:H44" si="1">SUM(D6:D42)</f>
        <v>2976000</v>
      </c>
      <c r="E44" s="42">
        <f t="shared" si="1"/>
        <v>5455000</v>
      </c>
      <c r="F44" s="42">
        <f t="shared" si="1"/>
        <v>0</v>
      </c>
      <c r="G44" s="42">
        <f t="shared" si="1"/>
        <v>8431000</v>
      </c>
      <c r="H44" s="42">
        <f t="shared" si="1"/>
        <v>3578</v>
      </c>
    </row>
    <row r="58" spans="5:5" x14ac:dyDescent="0.35">
      <c r="E58" s="30"/>
    </row>
  </sheetData>
  <autoFilter ref="A5:G42" xr:uid="{00000000-0009-0000-0000-000002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F330F-CB6B-4B89-BBE5-00EDD777E275}">
  <dimension ref="A1:H60"/>
  <sheetViews>
    <sheetView zoomScale="106" zoomScaleNormal="106" workbookViewId="0">
      <pane xSplit="3" ySplit="5" topLeftCell="D19" activePane="bottomRight" state="frozen"/>
      <selection activeCell="E41" sqref="E41"/>
      <selection pane="topRight" activeCell="E41" sqref="E41"/>
      <selection pane="bottomLeft" activeCell="E41" sqref="E41"/>
      <selection pane="bottomRight" activeCell="A20" sqref="A20:B2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6" width="17.54296875" customWidth="1"/>
    <col min="7" max="7" width="20.453125" customWidth="1"/>
  </cols>
  <sheetData>
    <row r="1" spans="1:8" ht="21" x14ac:dyDescent="0.5">
      <c r="A1" s="1" t="s">
        <v>2</v>
      </c>
      <c r="B1" s="1" t="s">
        <v>3</v>
      </c>
      <c r="C1" s="45">
        <v>45962</v>
      </c>
    </row>
    <row r="2" spans="1:8" x14ac:dyDescent="0.35">
      <c r="A2" s="1" t="s">
        <v>4</v>
      </c>
      <c r="B2" s="1">
        <v>2025</v>
      </c>
    </row>
    <row r="3" spans="1:8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</row>
    <row r="4" spans="1:8" ht="28.5" x14ac:dyDescent="0.65">
      <c r="B4" s="51" t="s">
        <v>58</v>
      </c>
      <c r="C4" s="49"/>
      <c r="D4" s="49"/>
      <c r="E4" s="49"/>
      <c r="F4" s="47"/>
      <c r="G4" s="3"/>
    </row>
    <row r="5" spans="1:8" ht="68.25" customHeight="1" x14ac:dyDescent="0.35">
      <c r="A5" s="12" t="s">
        <v>0</v>
      </c>
      <c r="B5" s="12" t="s">
        <v>1</v>
      </c>
      <c r="C5" s="40" t="s">
        <v>91</v>
      </c>
      <c r="D5" s="40" t="s">
        <v>32</v>
      </c>
      <c r="E5" s="40" t="s">
        <v>92</v>
      </c>
      <c r="F5" s="40" t="s">
        <v>93</v>
      </c>
      <c r="G5" s="40" t="s">
        <v>31</v>
      </c>
      <c r="H5" s="41" t="s">
        <v>61</v>
      </c>
    </row>
    <row r="6" spans="1:8" ht="17.5" x14ac:dyDescent="0.35">
      <c r="A6" s="12" t="s">
        <v>60</v>
      </c>
      <c r="B6" s="12" t="str">
        <f>VLOOKUP(A6,[5]LISTADHERENT!$A$4:$J$44,3,0)</f>
        <v>ASELBY</v>
      </c>
      <c r="C6" s="25">
        <f>IF(G6&gt;0,VLOOKUP(A6,[6]HISTOJANV25!$A$6:$BQ$46,25,0),0)</f>
        <v>250000</v>
      </c>
      <c r="D6" s="13"/>
      <c r="E6" s="14">
        <v>250000</v>
      </c>
      <c r="F6" s="43"/>
      <c r="G6" s="15">
        <f>SUM(D6:F6)</f>
        <v>250000</v>
      </c>
      <c r="H6" s="15">
        <v>2385</v>
      </c>
    </row>
    <row r="7" spans="1:8" ht="17.5" x14ac:dyDescent="0.35">
      <c r="A7" s="12" t="s">
        <v>66</v>
      </c>
      <c r="B7" s="12" t="str">
        <f>VLOOKUP(A7,[5]LISTADHERENT!$A$4:$J$44,3,0)</f>
        <v>BAKOP ACHILLE</v>
      </c>
      <c r="C7" s="25">
        <f>IF(G7&gt;0,VLOOKUP(A7,[6]HISTOJANV25!$A$6:$BQ$46,25,0),0)</f>
        <v>50000</v>
      </c>
      <c r="D7" s="13">
        <v>50000</v>
      </c>
      <c r="E7" s="14"/>
      <c r="F7" s="43"/>
      <c r="G7" s="15">
        <f t="shared" ref="G7:G42" si="0">SUM(D7:F7)</f>
        <v>50000</v>
      </c>
      <c r="H7" s="17"/>
    </row>
    <row r="8" spans="1:8" ht="17.5" x14ac:dyDescent="0.35">
      <c r="A8" s="12" t="s">
        <v>6</v>
      </c>
      <c r="B8" s="12" t="str">
        <f>VLOOKUP(A8,[5]LISTADHERENT!$A$4:$J$44,3,0)</f>
        <v>BOUTCHOUANG WILLIAM</v>
      </c>
      <c r="C8" s="25">
        <f>IF(G8&gt;0,VLOOKUP(A8,[6]HISTOJANV25!$A$6:$BQ$46,25,0),0)</f>
        <v>125000</v>
      </c>
      <c r="D8" s="13"/>
      <c r="E8" s="14">
        <f>125000+51000+202000</f>
        <v>378000</v>
      </c>
      <c r="F8" s="43"/>
      <c r="G8" s="15">
        <f t="shared" si="0"/>
        <v>378000</v>
      </c>
      <c r="H8" s="17"/>
    </row>
    <row r="9" spans="1:8" ht="17.5" x14ac:dyDescent="0.35">
      <c r="A9" s="12" t="s">
        <v>7</v>
      </c>
      <c r="B9" s="12" t="str">
        <f>VLOOKUP(A9,[5]LISTADHERENT!$A$4:$J$44,3,0)</f>
        <v xml:space="preserve">DJOMO JEAN PAUL </v>
      </c>
      <c r="C9" s="25">
        <f>IF(G9&gt;0,VLOOKUP(A9,[6]HISTOJANV25!$A$6:$BQ$46,25,0),0)</f>
        <v>250000</v>
      </c>
      <c r="D9" s="13">
        <f>250000+154500</f>
        <v>404500</v>
      </c>
      <c r="E9" s="14">
        <v>100000</v>
      </c>
      <c r="F9" s="43"/>
      <c r="G9" s="15">
        <f t="shared" si="0"/>
        <v>504500</v>
      </c>
      <c r="H9" s="17"/>
    </row>
    <row r="10" spans="1:8" ht="17.5" x14ac:dyDescent="0.35">
      <c r="A10" s="12" t="s">
        <v>8</v>
      </c>
      <c r="B10" s="12" t="str">
        <f>VLOOKUP(A10,[5]LISTADHERENT!$A$4:$J$44,3,0)</f>
        <v>DJOMOU TCHAPDA</v>
      </c>
      <c r="C10" s="25">
        <f>IF(G10&gt;0,VLOOKUP(A10,[6]HISTOJANV25!$A$6:$BQ$46,25,0),0)</f>
        <v>50000</v>
      </c>
      <c r="D10" s="13"/>
      <c r="E10" s="14">
        <v>101000</v>
      </c>
      <c r="F10" s="43"/>
      <c r="G10" s="15">
        <f t="shared" si="0"/>
        <v>101000</v>
      </c>
      <c r="H10" s="17"/>
    </row>
    <row r="11" spans="1:8" ht="17.5" x14ac:dyDescent="0.35">
      <c r="A11" s="12" t="s">
        <v>9</v>
      </c>
      <c r="B11" s="12" t="str">
        <f>VLOOKUP(A11,[5]LISTADHERENT!$A$4:$J$44,3,0)</f>
        <v>DJOUKWE NANGUEN GUY BLAISE</v>
      </c>
      <c r="C11" s="25">
        <f>IF(G11&gt;0,VLOOKUP(A11,[6]HISTOJANV25!$A$6:$BQ$46,25,0),0)</f>
        <v>150000</v>
      </c>
      <c r="D11" s="13"/>
      <c r="E11" s="14">
        <f>150000+150000</f>
        <v>300000</v>
      </c>
      <c r="F11" s="43"/>
      <c r="G11" s="15">
        <f t="shared" si="0"/>
        <v>300000</v>
      </c>
      <c r="H11" s="17"/>
    </row>
    <row r="12" spans="1:8" ht="17.5" x14ac:dyDescent="0.35">
      <c r="A12" s="12" t="s">
        <v>10</v>
      </c>
      <c r="B12" s="12" t="str">
        <f>VLOOKUP(A12,[5]LISTADHERENT!$A$4:$J$44,3,0)</f>
        <v>DJUOMBESSY ANTOINE</v>
      </c>
      <c r="C12" s="25">
        <f>IF(G12&gt;0,VLOOKUP(A12,[6]HISTOJANV25!$A$6:$BQ$46,25,0),0)</f>
        <v>250000</v>
      </c>
      <c r="D12" s="13"/>
      <c r="E12" s="14">
        <f>100000+500000</f>
        <v>600000</v>
      </c>
      <c r="F12" s="43"/>
      <c r="G12" s="15">
        <f t="shared" si="0"/>
        <v>600000</v>
      </c>
      <c r="H12" s="17"/>
    </row>
    <row r="13" spans="1:8" ht="17.5" x14ac:dyDescent="0.35">
      <c r="A13" s="12" t="s">
        <v>11</v>
      </c>
      <c r="B13" s="12" t="str">
        <f>VLOOKUP(A13,[5]LISTADHERENT!$A$4:$J$44,3,0)</f>
        <v>DOMOU FABIEN</v>
      </c>
      <c r="C13" s="25">
        <f>IF(G13&gt;0,VLOOKUP(A13,[6]HISTOJANV25!$A$6:$BQ$46,25,0),0)</f>
        <v>50000</v>
      </c>
      <c r="D13" s="13"/>
      <c r="E13" s="14">
        <v>50000</v>
      </c>
      <c r="F13" s="43"/>
      <c r="G13" s="15">
        <f t="shared" si="0"/>
        <v>50000</v>
      </c>
      <c r="H13" s="17"/>
    </row>
    <row r="14" spans="1:8" ht="17.5" x14ac:dyDescent="0.35">
      <c r="A14" s="12" t="s">
        <v>12</v>
      </c>
      <c r="B14" s="12" t="str">
        <f>VLOOKUP(A14,[5]LISTADHERENT!$A$4:$J$44,3,0)</f>
        <v>DONHOU DAVID</v>
      </c>
      <c r="C14" s="25">
        <f>IF(G14&gt;0,VLOOKUP(A14,[6]HISTOJANV25!$A$6:$BQ$46,25,0),0)</f>
        <v>50000</v>
      </c>
      <c r="D14" s="13"/>
      <c r="E14" s="14">
        <v>50000</v>
      </c>
      <c r="F14" s="43"/>
      <c r="G14" s="15">
        <f t="shared" si="0"/>
        <v>50000</v>
      </c>
      <c r="H14" s="17"/>
    </row>
    <row r="15" spans="1:8" ht="17.5" x14ac:dyDescent="0.35">
      <c r="A15" s="12" t="s">
        <v>94</v>
      </c>
      <c r="B15" s="12" t="str">
        <f>VLOOKUP(A15,[5]LISTADHERENT!$A$4:$J$44,3,0)</f>
        <v>FAMPOU PAUL</v>
      </c>
      <c r="C15" s="25">
        <f>IF(G15&gt;0,VLOOKUP(A15,[6]HISTOMARS25!$A$6:$BQ$46,25,0),0)</f>
        <v>150000</v>
      </c>
      <c r="D15" s="13"/>
      <c r="E15" s="14">
        <v>150000</v>
      </c>
      <c r="F15" s="43"/>
      <c r="G15" s="15">
        <f t="shared" si="0"/>
        <v>150000</v>
      </c>
      <c r="H15" s="17"/>
    </row>
    <row r="16" spans="1:8" ht="17.5" x14ac:dyDescent="0.35">
      <c r="A16" s="12" t="s">
        <v>13</v>
      </c>
      <c r="B16" s="12" t="str">
        <f>VLOOKUP(A16,[5]LISTADHERENT!$A$4:$J$44,3,0)</f>
        <v>HENGUE PAUL OMER</v>
      </c>
      <c r="C16" s="25">
        <f>IF(G16&gt;0,VLOOKUP(A16,[6]HISTOJANV25!$A$6:$BQ$46,25,0),0)</f>
        <v>125000</v>
      </c>
      <c r="D16" s="13"/>
      <c r="E16" s="14">
        <v>125000</v>
      </c>
      <c r="F16" s="43"/>
      <c r="G16" s="15">
        <f t="shared" si="0"/>
        <v>125000</v>
      </c>
      <c r="H16" s="17"/>
    </row>
    <row r="17" spans="1:8" ht="17.5" x14ac:dyDescent="0.35">
      <c r="A17" s="12" t="s">
        <v>14</v>
      </c>
      <c r="B17" s="12" t="str">
        <f>VLOOKUP(A17,[5]LISTADHERENT!$A$4:$J$44,3,0)</f>
        <v>HOTCHO BENJAMIN</v>
      </c>
      <c r="C17" s="25">
        <f>IF(G17&gt;0,VLOOKUP(A17,[6]HISTOJANV25!$A$6:$BQ$46,25,0),0)</f>
        <v>225000</v>
      </c>
      <c r="D17" s="13">
        <v>50500</v>
      </c>
      <c r="E17" s="14">
        <f>240000+105000+50500</f>
        <v>395500</v>
      </c>
      <c r="F17" s="43"/>
      <c r="G17" s="15">
        <f t="shared" si="0"/>
        <v>446000</v>
      </c>
      <c r="H17" s="17"/>
    </row>
    <row r="18" spans="1:8" ht="17.5" x14ac:dyDescent="0.35">
      <c r="A18" s="12" t="s">
        <v>15</v>
      </c>
      <c r="B18" s="12" t="str">
        <f>VLOOKUP(A18,[5]LISTADHERENT!$A$4:$J$44,3,0)</f>
        <v>KOUAMOU MOISE</v>
      </c>
      <c r="C18" s="25">
        <f>IF(G18&gt;0,VLOOKUP(A18,[6]HISTOJANV25!$A$6:$BQ$46,25,0),0)</f>
        <v>150000</v>
      </c>
      <c r="D18" s="13">
        <v>150000</v>
      </c>
      <c r="E18" s="14"/>
      <c r="F18" s="43"/>
      <c r="G18" s="15">
        <f t="shared" si="0"/>
        <v>150000</v>
      </c>
      <c r="H18" s="17"/>
    </row>
    <row r="19" spans="1:8" ht="17.5" x14ac:dyDescent="0.35">
      <c r="A19" s="12" t="s">
        <v>16</v>
      </c>
      <c r="B19" s="12" t="str">
        <f>VLOOKUP(A19,[5]LISTADHERENT!$A$4:$J$44,3,0)</f>
        <v>KOUATCHO MESSACK</v>
      </c>
      <c r="C19" s="25">
        <f>IF(G19&gt;0,VLOOKUP(A19,[6]HISTOJANV25!$A$6:$BQ$46,25,0),0)</f>
        <v>225000</v>
      </c>
      <c r="D19" s="13"/>
      <c r="E19" s="14">
        <v>335000</v>
      </c>
      <c r="F19" s="43"/>
      <c r="G19" s="15">
        <f t="shared" si="0"/>
        <v>335000</v>
      </c>
      <c r="H19" s="17"/>
    </row>
    <row r="20" spans="1:8" ht="17.5" x14ac:dyDescent="0.35">
      <c r="A20" s="12" t="s">
        <v>129</v>
      </c>
      <c r="B20" s="12" t="str">
        <f>VLOOKUP(A20,[5]LISTADHERENT!$A$4:$J$44,3,0)</f>
        <v>LOWE JEAN</v>
      </c>
      <c r="C20" s="25"/>
      <c r="D20" s="13"/>
      <c r="E20" s="14"/>
      <c r="F20" s="43"/>
      <c r="G20" s="15"/>
      <c r="H20" s="17"/>
    </row>
    <row r="21" spans="1:8" ht="17.5" x14ac:dyDescent="0.35">
      <c r="A21" s="12" t="s">
        <v>82</v>
      </c>
      <c r="B21" s="12" t="str">
        <f>VLOOKUP(A21,[5]LISTADHERENT!$A$4:$J$44,3,0)</f>
        <v>MASSEUNGOUE DAGOBERT</v>
      </c>
      <c r="C21" s="25">
        <f>IF(G21&gt;0,VLOOKUP(A21,[6]HISTOJANV25!$A$6:$BQ$46,25,0),0)</f>
        <v>50000</v>
      </c>
      <c r="D21" s="13"/>
      <c r="E21" s="14">
        <v>50000</v>
      </c>
      <c r="F21" s="43"/>
      <c r="G21" s="15">
        <f t="shared" si="0"/>
        <v>50000</v>
      </c>
      <c r="H21" s="17"/>
    </row>
    <row r="22" spans="1:8" ht="17.5" x14ac:dyDescent="0.35">
      <c r="A22" s="12" t="s">
        <v>17</v>
      </c>
      <c r="B22" s="12" t="str">
        <f>VLOOKUP(A22,[5]LISTADHERENT!$A$4:$J$44,3,0)</f>
        <v>MBOGNING TUGMA GUY</v>
      </c>
      <c r="C22" s="25">
        <f>IF(G22&gt;0,VLOOKUP(A22,[6]HISTOJANV25!$A$6:$BQ$46,25,0),0)</f>
        <v>325000</v>
      </c>
      <c r="D22" s="13"/>
      <c r="E22" s="14">
        <f>700000+35000+350000-302000+1400</f>
        <v>784400</v>
      </c>
      <c r="F22" s="43"/>
      <c r="G22" s="15">
        <f t="shared" si="0"/>
        <v>784400</v>
      </c>
      <c r="H22" s="17"/>
    </row>
    <row r="23" spans="1:8" ht="17.5" x14ac:dyDescent="0.35">
      <c r="A23" s="12" t="s">
        <v>18</v>
      </c>
      <c r="B23" s="12" t="str">
        <f>VLOOKUP(A23,[5]LISTADHERENT!$A$4:$J$44,3,0)</f>
        <v>NANGUEN MARTIN</v>
      </c>
      <c r="C23" s="25">
        <f>IF(G23&gt;0,VLOOKUP(A23,[6]HISTOJANV25!$A$6:$BQ$46,25,0),0)</f>
        <v>50000</v>
      </c>
      <c r="D23" s="13"/>
      <c r="E23" s="14">
        <f>40000+10000</f>
        <v>50000</v>
      </c>
      <c r="F23" s="43"/>
      <c r="G23" s="15">
        <f t="shared" si="0"/>
        <v>50000</v>
      </c>
      <c r="H23" s="17"/>
    </row>
    <row r="24" spans="1:8" ht="17.5" x14ac:dyDescent="0.35">
      <c r="A24" s="12" t="s">
        <v>19</v>
      </c>
      <c r="B24" s="12" t="str">
        <f>VLOOKUP(A24,[5]LISTADHERENT!$A$4:$J$44,3,0)</f>
        <v>NANKAM APPOLINAIRE</v>
      </c>
      <c r="C24" s="25">
        <f>IF(G24&gt;0,VLOOKUP(A24,[6]HISTOJANV25!$A$6:$BQ$46,25,0),0)</f>
        <v>125000</v>
      </c>
      <c r="D24" s="13"/>
      <c r="E24" s="14">
        <v>125000</v>
      </c>
      <c r="F24" s="43"/>
      <c r="G24" s="15">
        <f t="shared" si="0"/>
        <v>125000</v>
      </c>
      <c r="H24" s="17"/>
    </row>
    <row r="25" spans="1:8" ht="17.5" x14ac:dyDescent="0.35">
      <c r="A25" s="12" t="s">
        <v>20</v>
      </c>
      <c r="B25" s="12" t="str">
        <f>VLOOKUP(A25,[5]LISTADHERENT!$A$4:$J$44,3,0)</f>
        <v>NDJOMO ETIENNE</v>
      </c>
      <c r="C25" s="25">
        <f>IF(G25&gt;0,VLOOKUP(A25,[6]HISTOJANV25!$A$6:$BQ$46,25,0),0)</f>
        <v>250000</v>
      </c>
      <c r="D25" s="13"/>
      <c r="E25" s="14">
        <f>260000+102500</f>
        <v>362500</v>
      </c>
      <c r="F25" s="43"/>
      <c r="G25" s="15">
        <f t="shared" si="0"/>
        <v>362500</v>
      </c>
      <c r="H25" s="17"/>
    </row>
    <row r="26" spans="1:8" ht="17.5" x14ac:dyDescent="0.35">
      <c r="A26" s="12" t="s">
        <v>21</v>
      </c>
      <c r="B26" s="12" t="str">
        <f>VLOOKUP(A26,[5]LISTADHERENT!$A$4:$J$44,3,0)</f>
        <v>NGONDIEP CLAUDE</v>
      </c>
      <c r="C26" s="25">
        <f>IF(G26&gt;0,VLOOKUP(A26,[6]HISTOJANV25!$A$6:$BQ$46,25,0),0)</f>
        <v>225000</v>
      </c>
      <c r="D26" s="13"/>
      <c r="E26" s="14">
        <v>240000</v>
      </c>
      <c r="F26" s="43"/>
      <c r="G26" s="15">
        <f t="shared" si="0"/>
        <v>240000</v>
      </c>
      <c r="H26" s="17"/>
    </row>
    <row r="27" spans="1:8" ht="17.5" x14ac:dyDescent="0.35">
      <c r="A27" s="12" t="s">
        <v>22</v>
      </c>
      <c r="B27" s="12" t="str">
        <f>VLOOKUP(A27,[5]LISTADHERENT!$A$4:$J$44,3,0)</f>
        <v>NGUIEMEGNI MATHIEU BLAISE</v>
      </c>
      <c r="C27" s="25">
        <f>IF(G27&gt;0,VLOOKUP(A27,[6]HISTOJANV25!$A$6:$BQ$46,25,0),0)</f>
        <v>250000</v>
      </c>
      <c r="D27" s="13"/>
      <c r="E27" s="14">
        <f>160000+50000+150000</f>
        <v>360000</v>
      </c>
      <c r="F27" s="43"/>
      <c r="G27" s="15">
        <f t="shared" si="0"/>
        <v>360000</v>
      </c>
      <c r="H27" s="17"/>
    </row>
    <row r="28" spans="1:8" ht="17.5" x14ac:dyDescent="0.35">
      <c r="A28" s="12" t="s">
        <v>23</v>
      </c>
      <c r="B28" s="12" t="str">
        <f>VLOOKUP(A28,[5]LISTADHERENT!$A$4:$J$44,3,0)</f>
        <v>NKAMGANG JUSTIN DEJOLIE</v>
      </c>
      <c r="C28" s="25">
        <f>IF(G28&gt;0,VLOOKUP(A28,[6]HISTOJANV25!$A$6:$BQ$46,25,0),0)</f>
        <v>50000</v>
      </c>
      <c r="D28" s="13"/>
      <c r="E28" s="14">
        <v>100500</v>
      </c>
      <c r="F28" s="43"/>
      <c r="G28" s="15">
        <f t="shared" si="0"/>
        <v>100500</v>
      </c>
      <c r="H28" s="17"/>
    </row>
    <row r="29" spans="1:8" ht="17.5" x14ac:dyDescent="0.35">
      <c r="A29" s="12" t="s">
        <v>63</v>
      </c>
      <c r="B29" s="12" t="str">
        <f>VLOOKUP(A29,[5]LISTADHERENT!$A$4:$J$44,3,0)</f>
        <v>NOUBE ETIENNE</v>
      </c>
      <c r="C29" s="25">
        <f>IF(G29&gt;0,VLOOKUP(A29,[6]HISTOJANV25!$A$6:$BQ$46,25,0),0)</f>
        <v>50000</v>
      </c>
      <c r="D29" s="13">
        <v>150000</v>
      </c>
      <c r="E29" s="14">
        <v>50000</v>
      </c>
      <c r="F29" s="43"/>
      <c r="G29" s="15">
        <f t="shared" si="0"/>
        <v>200000</v>
      </c>
      <c r="H29" s="17"/>
    </row>
    <row r="30" spans="1:8" ht="17.5" x14ac:dyDescent="0.35">
      <c r="A30" s="12" t="s">
        <v>24</v>
      </c>
      <c r="B30" s="12" t="str">
        <f>VLOOKUP(A30,[5]LISTADHERENT!$A$4:$J$44,3,0)</f>
        <v>PATEGO NJOSSU GUSTAVE</v>
      </c>
      <c r="C30" s="25">
        <f>IF(G30&gt;0,VLOOKUP(A30,[6]HISTOJANV25!$A$6:$BQ$46,25,0),0)</f>
        <v>125000</v>
      </c>
      <c r="D30" s="13"/>
      <c r="E30" s="14">
        <v>125000</v>
      </c>
      <c r="F30" s="43"/>
      <c r="G30" s="15">
        <f t="shared" si="0"/>
        <v>125000</v>
      </c>
      <c r="H30" s="17"/>
    </row>
    <row r="31" spans="1:8" ht="17.5" x14ac:dyDescent="0.35">
      <c r="A31" s="12" t="s">
        <v>64</v>
      </c>
      <c r="B31" s="12" t="str">
        <f>VLOOKUP(A31,[5]LISTADHERENT!$A$4:$J$44,3,0)</f>
        <v>SEUMO POLYCARPE</v>
      </c>
      <c r="C31" s="25">
        <f>IF(G31&gt;0,VLOOKUP(A31,[6]HISTOJANV25!$A$6:$BQ$46,25,0),0)</f>
        <v>50000</v>
      </c>
      <c r="D31" s="13"/>
      <c r="E31" s="14">
        <v>50000</v>
      </c>
      <c r="F31" s="43"/>
      <c r="G31" s="15">
        <f t="shared" si="0"/>
        <v>50000</v>
      </c>
      <c r="H31" s="17"/>
    </row>
    <row r="32" spans="1:8" ht="17.5" x14ac:dyDescent="0.35">
      <c r="A32" s="12" t="s">
        <v>25</v>
      </c>
      <c r="B32" s="12" t="str">
        <f>VLOOKUP(A32,[5]LISTADHERENT!$A$4:$J$44,3,0)</f>
        <v>SIME BRICE</v>
      </c>
      <c r="C32" s="25">
        <f>IF(G32&gt;0,VLOOKUP(A32,[6]HISTOJANV25!$A$6:$BQ$46,25,0),0)</f>
        <v>250000</v>
      </c>
      <c r="D32" s="13"/>
      <c r="E32" s="14">
        <f>51000+250000+207000</f>
        <v>508000</v>
      </c>
      <c r="F32" s="43"/>
      <c r="G32" s="15">
        <f t="shared" si="0"/>
        <v>508000</v>
      </c>
      <c r="H32" s="17"/>
    </row>
    <row r="33" spans="1:8" ht="17.5" x14ac:dyDescent="0.35">
      <c r="A33" s="12" t="s">
        <v>89</v>
      </c>
      <c r="B33" s="12" t="str">
        <f>VLOOKUP(A33,[5]LISTADHERENT!$A$4:$J$44,3,0)</f>
        <v>SIMO FONGANG ERIC</v>
      </c>
      <c r="C33" s="25">
        <f>IF(G33&gt;0,VLOOKUP(A33,[6]HISTOJANV25!$A$6:$BQ$46,25,0),0)</f>
        <v>50000</v>
      </c>
      <c r="D33" s="13">
        <v>50000</v>
      </c>
      <c r="E33" s="14"/>
      <c r="F33" s="43"/>
      <c r="G33" s="15">
        <f t="shared" si="0"/>
        <v>50000</v>
      </c>
      <c r="H33" s="17"/>
    </row>
    <row r="34" spans="1:8" ht="17.5" x14ac:dyDescent="0.35">
      <c r="A34" s="12" t="s">
        <v>26</v>
      </c>
      <c r="B34" s="12" t="str">
        <f>VLOOKUP(A34,[5]LISTADHERENT!$A$4:$J$44,3,0)</f>
        <v>SIMO PIERRE</v>
      </c>
      <c r="C34" s="25">
        <f>IF(G34&gt;0,VLOOKUP(A34,[6]HISTOJANV25!$A$6:$BQ$46,25,0),0)</f>
        <v>0</v>
      </c>
      <c r="D34" s="13"/>
      <c r="E34" s="14"/>
      <c r="F34" s="43"/>
      <c r="G34" s="15">
        <f t="shared" si="0"/>
        <v>0</v>
      </c>
      <c r="H34" s="17"/>
    </row>
    <row r="35" spans="1:8" ht="17.5" x14ac:dyDescent="0.35">
      <c r="A35" s="12" t="s">
        <v>27</v>
      </c>
      <c r="B35" s="12" t="str">
        <f>VLOOKUP(A35,[5]LISTADHERENT!$A$4:$J$44,3,0)</f>
        <v>TCHOUAMOU MATHIEU</v>
      </c>
      <c r="C35" s="25">
        <f>IF(G35&gt;0,VLOOKUP(A35,[6]HISTOJANV25!$A$6:$BQ$46,25,0),0)</f>
        <v>125000</v>
      </c>
      <c r="D35" s="13"/>
      <c r="E35" s="14">
        <f>125000+51000+101000</f>
        <v>277000</v>
      </c>
      <c r="F35" s="43"/>
      <c r="G35" s="15">
        <f t="shared" si="0"/>
        <v>277000</v>
      </c>
      <c r="H35" s="17"/>
    </row>
    <row r="36" spans="1:8" ht="17.5" x14ac:dyDescent="0.35">
      <c r="A36" s="12" t="s">
        <v>81</v>
      </c>
      <c r="B36" s="12" t="str">
        <f>VLOOKUP(A36,[5]LISTADHERENT!$A$4:$J$44,3,0)</f>
        <v>TCHOUATEU AUGUSTIN</v>
      </c>
      <c r="C36" s="25">
        <f>IF(G36&gt;0,VLOOKUP(A36,[6]HISTOJANV25!$A$6:$BQ$46,25,0),0)</f>
        <v>150000</v>
      </c>
      <c r="D36" s="13">
        <v>102500</v>
      </c>
      <c r="E36" s="14">
        <v>150000</v>
      </c>
      <c r="F36" s="43"/>
      <c r="G36" s="15">
        <f t="shared" si="0"/>
        <v>252500</v>
      </c>
      <c r="H36" s="17"/>
    </row>
    <row r="37" spans="1:8" ht="17.5" x14ac:dyDescent="0.35">
      <c r="A37" s="12" t="s">
        <v>62</v>
      </c>
      <c r="B37" s="12" t="str">
        <f>VLOOKUP(A37,[5]LISTADHERENT!$A$4:$J$44,3,0)</f>
        <v>TCHOUTOU NANA CLAUDE</v>
      </c>
      <c r="C37" s="25">
        <f>IF(G37&gt;0,VLOOKUP(A37,[6]HISTOJANV25!$A$6:$BQ$46,25,0),0)</f>
        <v>50000</v>
      </c>
      <c r="D37" s="13"/>
      <c r="E37" s="14">
        <v>50000</v>
      </c>
      <c r="F37" s="43"/>
      <c r="G37" s="15">
        <f t="shared" si="0"/>
        <v>50000</v>
      </c>
      <c r="H37" s="17"/>
    </row>
    <row r="38" spans="1:8" ht="17.5" x14ac:dyDescent="0.35">
      <c r="A38" s="12" t="s">
        <v>90</v>
      </c>
      <c r="B38" s="12" t="str">
        <f>VLOOKUP(A38,[5]LISTADHERENT!$A$4:$J$44,3,0)</f>
        <v>TIEYAM ERNEST</v>
      </c>
      <c r="C38" s="25">
        <f>IF(G38&gt;0,VLOOKUP(A38,[6]HISTOJANV25!$A$6:$BQ$46,25,0),0)</f>
        <v>50000</v>
      </c>
      <c r="D38" s="13">
        <v>50000</v>
      </c>
      <c r="E38" s="14"/>
      <c r="F38" s="43"/>
      <c r="G38" s="15">
        <f t="shared" si="0"/>
        <v>50000</v>
      </c>
      <c r="H38" s="17"/>
    </row>
    <row r="39" spans="1:8" ht="17.5" x14ac:dyDescent="0.35">
      <c r="A39" s="12" t="s">
        <v>65</v>
      </c>
      <c r="B39" s="12" t="str">
        <f>VLOOKUP(A39,[5]LISTADHERENT!$A$4:$J$44,3,0)</f>
        <v>YANTCHOU GERVAIS</v>
      </c>
      <c r="C39" s="25">
        <f>IF(G39&gt;0,VLOOKUP(A39,[6]HISTOJANV25!$A$6:$BQ$46,25,0),0)</f>
        <v>125000</v>
      </c>
      <c r="D39" s="13">
        <v>152500</v>
      </c>
      <c r="E39" s="14">
        <v>125000</v>
      </c>
      <c r="F39" s="43"/>
      <c r="G39" s="15">
        <f t="shared" si="0"/>
        <v>277500</v>
      </c>
      <c r="H39" s="17"/>
    </row>
    <row r="40" spans="1:8" ht="17.5" x14ac:dyDescent="0.35">
      <c r="A40" s="12" t="s">
        <v>28</v>
      </c>
      <c r="B40" s="12" t="str">
        <f>VLOOKUP(A40,[5]LISTADHERENT!$A$4:$J$44,3,0)</f>
        <v>YEPMOU JEAN JACQUES</v>
      </c>
      <c r="C40" s="25">
        <f>IF(G40&gt;0,VLOOKUP(A40,[6]HISTOJANV25!$A$6:$BQ$46,25,0),0)</f>
        <v>50000</v>
      </c>
      <c r="D40" s="13"/>
      <c r="E40" s="14">
        <v>50000</v>
      </c>
      <c r="F40" s="43"/>
      <c r="G40" s="15">
        <f t="shared" si="0"/>
        <v>50000</v>
      </c>
      <c r="H40" s="17"/>
    </row>
    <row r="41" spans="1:8" ht="17.5" x14ac:dyDescent="0.35">
      <c r="A41" s="12" t="s">
        <v>80</v>
      </c>
      <c r="B41" s="12" t="str">
        <f>VLOOKUP(A41,[5]LISTADHERENT!$A$4:$J$44,3,0)</f>
        <v>YIALA ALAIN OSCAR</v>
      </c>
      <c r="C41" s="25">
        <f>IF(G41&gt;0,VLOOKUP(A41,[6]HISTOJANV25!$A$6:$BQ$46,25,0),0)</f>
        <v>250000</v>
      </c>
      <c r="D41" s="13">
        <v>253000</v>
      </c>
      <c r="E41" s="14"/>
      <c r="F41" s="43"/>
      <c r="G41" s="15">
        <f t="shared" si="0"/>
        <v>253000</v>
      </c>
      <c r="H41" s="17"/>
    </row>
    <row r="42" spans="1:8" ht="17.5" x14ac:dyDescent="0.35">
      <c r="A42" s="12" t="s">
        <v>29</v>
      </c>
      <c r="B42" s="12" t="str">
        <f>VLOOKUP(A42,[5]LISTADHERENT!$A$4:$J$44,3,0)</f>
        <v>YOUMBI EMMANUEL</v>
      </c>
      <c r="C42" s="25">
        <f>IF(G42&gt;0,VLOOKUP(A42,[6]HISTOJANV25!$A$6:$BQ$46,25,0),0)</f>
        <v>225000</v>
      </c>
      <c r="D42" s="13"/>
      <c r="E42" s="14">
        <v>225000</v>
      </c>
      <c r="F42" s="43"/>
      <c r="G42" s="15">
        <f t="shared" si="0"/>
        <v>225000</v>
      </c>
      <c r="H42" s="17"/>
    </row>
    <row r="43" spans="1:8" x14ac:dyDescent="0.35">
      <c r="A43" s="17"/>
      <c r="B43" s="17"/>
      <c r="C43" s="17"/>
      <c r="D43" s="17"/>
      <c r="E43" s="17"/>
      <c r="F43" s="17"/>
      <c r="G43" s="17"/>
      <c r="H43" s="17"/>
    </row>
    <row r="44" spans="1:8" ht="17.5" x14ac:dyDescent="0.35">
      <c r="A44" s="17"/>
      <c r="B44" s="12" t="s">
        <v>30</v>
      </c>
      <c r="C44" s="42">
        <f>SUM(C6:C42)</f>
        <v>4975000</v>
      </c>
      <c r="D44" s="42">
        <f t="shared" ref="D44:H44" si="1">SUM(D6:D42)</f>
        <v>1413000</v>
      </c>
      <c r="E44" s="42">
        <f t="shared" si="1"/>
        <v>6516900</v>
      </c>
      <c r="F44" s="42">
        <f t="shared" si="1"/>
        <v>0</v>
      </c>
      <c r="G44" s="42">
        <f t="shared" si="1"/>
        <v>7929900</v>
      </c>
      <c r="H44" s="42">
        <f t="shared" si="1"/>
        <v>2385</v>
      </c>
    </row>
    <row r="46" spans="1:8" x14ac:dyDescent="0.35">
      <c r="E46">
        <v>240000</v>
      </c>
    </row>
    <row r="47" spans="1:8" x14ac:dyDescent="0.35">
      <c r="E47">
        <v>125000</v>
      </c>
    </row>
    <row r="48" spans="1:8" x14ac:dyDescent="0.35">
      <c r="E48">
        <v>125000</v>
      </c>
    </row>
    <row r="49" spans="5:6" x14ac:dyDescent="0.35">
      <c r="E49">
        <v>140000</v>
      </c>
    </row>
    <row r="50" spans="5:6" x14ac:dyDescent="0.35">
      <c r="E50">
        <v>160000</v>
      </c>
    </row>
    <row r="51" spans="5:6" x14ac:dyDescent="0.35">
      <c r="E51">
        <v>625000</v>
      </c>
    </row>
    <row r="52" spans="5:6" x14ac:dyDescent="0.35">
      <c r="E52">
        <v>175000</v>
      </c>
    </row>
    <row r="53" spans="5:6" x14ac:dyDescent="0.35">
      <c r="E53">
        <v>260000</v>
      </c>
    </row>
    <row r="54" spans="5:6" x14ac:dyDescent="0.35">
      <c r="E54">
        <f>250000+150000</f>
        <v>400000</v>
      </c>
    </row>
    <row r="55" spans="5:6" x14ac:dyDescent="0.35">
      <c r="E55">
        <v>101000</v>
      </c>
    </row>
    <row r="56" spans="5:6" x14ac:dyDescent="0.35">
      <c r="E56">
        <v>275000</v>
      </c>
    </row>
    <row r="57" spans="5:6" x14ac:dyDescent="0.35">
      <c r="E57">
        <v>400000</v>
      </c>
    </row>
    <row r="58" spans="5:6" x14ac:dyDescent="0.35">
      <c r="E58">
        <v>490000</v>
      </c>
    </row>
    <row r="59" spans="5:6" x14ac:dyDescent="0.35">
      <c r="E59">
        <v>403000</v>
      </c>
    </row>
    <row r="60" spans="5:6" x14ac:dyDescent="0.35">
      <c r="E60">
        <f>SUM(E46:E59)</f>
        <v>3919000</v>
      </c>
      <c r="F60">
        <v>3919000</v>
      </c>
    </row>
  </sheetData>
  <autoFilter ref="A5:G42" xr:uid="{00000000-0009-0000-0000-000002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2329-B22E-4F0E-B702-D7B6E67D21A6}">
  <dimension ref="A1:I48"/>
  <sheetViews>
    <sheetView tabSelected="1" zoomScale="106" zoomScaleNormal="106" workbookViewId="0">
      <pane xSplit="3" ySplit="5" topLeftCell="D38" activePane="bottomRight" state="frozen"/>
      <selection activeCell="E41" sqref="E41"/>
      <selection pane="topRight" activeCell="E41" sqref="E41"/>
      <selection pane="bottomLeft" activeCell="E41" sqref="E41"/>
      <selection pane="bottomRight" activeCell="E49" sqref="E49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6" width="17.54296875" customWidth="1"/>
    <col min="7" max="7" width="20.453125" customWidth="1"/>
  </cols>
  <sheetData>
    <row r="1" spans="1:9" ht="21" x14ac:dyDescent="0.5">
      <c r="A1" s="1" t="s">
        <v>2</v>
      </c>
      <c r="B1" s="1" t="s">
        <v>3</v>
      </c>
      <c r="C1" s="45">
        <v>45992</v>
      </c>
    </row>
    <row r="2" spans="1:9" x14ac:dyDescent="0.35">
      <c r="A2" s="1" t="s">
        <v>4</v>
      </c>
      <c r="B2" s="1">
        <v>2025</v>
      </c>
    </row>
    <row r="3" spans="1:9" x14ac:dyDescent="0.3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</row>
    <row r="4" spans="1:9" ht="28.5" x14ac:dyDescent="0.65">
      <c r="B4" s="51" t="s">
        <v>58</v>
      </c>
      <c r="C4" s="49"/>
      <c r="D4" s="49"/>
      <c r="E4" s="49"/>
      <c r="F4" s="47"/>
      <c r="G4" s="3"/>
    </row>
    <row r="5" spans="1:9" ht="68.25" customHeight="1" x14ac:dyDescent="0.35">
      <c r="A5" s="12" t="s">
        <v>0</v>
      </c>
      <c r="B5" s="12" t="s">
        <v>1</v>
      </c>
      <c r="C5" s="40" t="s">
        <v>91</v>
      </c>
      <c r="D5" s="40" t="s">
        <v>32</v>
      </c>
      <c r="E5" s="40" t="s">
        <v>92</v>
      </c>
      <c r="F5" s="40" t="s">
        <v>93</v>
      </c>
      <c r="G5" s="40" t="s">
        <v>31</v>
      </c>
      <c r="H5" s="41" t="s">
        <v>61</v>
      </c>
    </row>
    <row r="6" spans="1:9" ht="17.5" x14ac:dyDescent="0.35">
      <c r="A6" s="12" t="s">
        <v>60</v>
      </c>
      <c r="B6" s="12" t="str">
        <f>VLOOKUP(A6,[5]LISTADHERENT!$A$4:$J$44,3,0)</f>
        <v>ASELBY</v>
      </c>
      <c r="C6" s="25">
        <f>IF(G6&gt;0,VLOOKUP(A6,[6]HISTOJANV25!$A$6:$BQ$46,25,0),0)</f>
        <v>250000</v>
      </c>
      <c r="D6" s="13"/>
      <c r="E6" s="14">
        <v>250000</v>
      </c>
      <c r="F6" s="43"/>
      <c r="G6" s="15">
        <f>SUM(D6:F6)</f>
        <v>250000</v>
      </c>
      <c r="H6" s="15">
        <v>2385</v>
      </c>
      <c r="I6">
        <v>80000</v>
      </c>
    </row>
    <row r="7" spans="1:9" ht="17.5" x14ac:dyDescent="0.35">
      <c r="A7" s="12" t="s">
        <v>66</v>
      </c>
      <c r="B7" s="12" t="str">
        <f>VLOOKUP(A7,[5]LISTADHERENT!$A$4:$J$44,3,0)</f>
        <v>BAKOP ACHILLE</v>
      </c>
      <c r="C7" s="25">
        <f>IF(G7&gt;0,VLOOKUP(A7,[6]HISTOJANV25!$A$6:$BQ$46,25,0),0)</f>
        <v>50000</v>
      </c>
      <c r="D7" s="13">
        <v>1050000</v>
      </c>
      <c r="E7" s="14"/>
      <c r="F7" s="43"/>
      <c r="G7" s="15">
        <f t="shared" ref="G7:G42" si="0">SUM(D7:F7)</f>
        <v>1050000</v>
      </c>
      <c r="H7" s="17"/>
    </row>
    <row r="8" spans="1:9" ht="17.5" x14ac:dyDescent="0.35">
      <c r="A8" s="12" t="s">
        <v>6</v>
      </c>
      <c r="B8" s="12" t="str">
        <f>VLOOKUP(A8,[5]LISTADHERENT!$A$4:$J$44,3,0)</f>
        <v>BOUTCHOUANG WILLIAM</v>
      </c>
      <c r="C8" s="25">
        <f>IF(G8&gt;0,VLOOKUP(A8,[6]HISTOJANV25!$A$6:$BQ$46,25,0),0)</f>
        <v>125000</v>
      </c>
      <c r="D8" s="13">
        <v>500000</v>
      </c>
      <c r="E8" s="14">
        <v>125000</v>
      </c>
      <c r="F8" s="43"/>
      <c r="G8" s="15">
        <f t="shared" si="0"/>
        <v>625000</v>
      </c>
      <c r="H8" s="17"/>
    </row>
    <row r="9" spans="1:9" ht="17.5" x14ac:dyDescent="0.35">
      <c r="A9" s="12" t="s">
        <v>7</v>
      </c>
      <c r="B9" s="12" t="str">
        <f>VLOOKUP(A9,[5]LISTADHERENT!$A$4:$J$44,3,0)</f>
        <v xml:space="preserve">DJOMO JEAN PAUL </v>
      </c>
      <c r="C9" s="25">
        <f>IF(G9&gt;0,VLOOKUP(A9,[6]HISTOJANV25!$A$6:$BQ$46,25,0),0)</f>
        <v>250000</v>
      </c>
      <c r="D9" s="13">
        <v>1457000</v>
      </c>
      <c r="E9" s="14"/>
      <c r="F9" s="43"/>
      <c r="G9" s="15">
        <f t="shared" si="0"/>
        <v>1457000</v>
      </c>
      <c r="H9" s="17"/>
    </row>
    <row r="10" spans="1:9" ht="17.5" x14ac:dyDescent="0.35">
      <c r="A10" s="12" t="s">
        <v>8</v>
      </c>
      <c r="B10" s="12" t="str">
        <f>VLOOKUP(A10,[5]LISTADHERENT!$A$4:$J$44,3,0)</f>
        <v>DJOMOU TCHAPDA</v>
      </c>
      <c r="C10" s="25">
        <f>IF(G10&gt;0,VLOOKUP(A10,[6]HISTOJANV25!$A$6:$BQ$46,25,0),0)</f>
        <v>50000</v>
      </c>
      <c r="D10" s="13">
        <f>500+1000000</f>
        <v>1000500</v>
      </c>
      <c r="E10" s="14">
        <v>70000</v>
      </c>
      <c r="F10" s="43"/>
      <c r="G10" s="15">
        <f t="shared" si="0"/>
        <v>1070500</v>
      </c>
      <c r="H10" s="17"/>
    </row>
    <row r="11" spans="1:9" ht="17.5" x14ac:dyDescent="0.35">
      <c r="A11" s="12" t="s">
        <v>9</v>
      </c>
      <c r="B11" s="12" t="str">
        <f>VLOOKUP(A11,[5]LISTADHERENT!$A$4:$J$44,3,0)</f>
        <v>DJOUKWE NANGUEN GUY BLAISE</v>
      </c>
      <c r="C11" s="25">
        <f>IF(G11&gt;0,VLOOKUP(A11,[6]HISTOJANV25!$A$6:$BQ$46,25,0),0)</f>
        <v>150000</v>
      </c>
      <c r="D11" s="13">
        <v>1101500</v>
      </c>
      <c r="E11" s="14"/>
      <c r="F11" s="43">
        <v>268500</v>
      </c>
      <c r="G11" s="15">
        <f t="shared" si="0"/>
        <v>1370000</v>
      </c>
      <c r="H11" s="17"/>
    </row>
    <row r="12" spans="1:9" ht="17.5" x14ac:dyDescent="0.35">
      <c r="A12" s="12" t="s">
        <v>10</v>
      </c>
      <c r="B12" s="12" t="str">
        <f>VLOOKUP(A12,[5]LISTADHERENT!$A$4:$J$44,3,0)</f>
        <v>DJUOMBESSY ANTOINE</v>
      </c>
      <c r="C12" s="25">
        <f>IF(G12&gt;0,VLOOKUP(A12,[6]HISTOJANV25!$A$6:$BQ$46,25,0),0)</f>
        <v>250000</v>
      </c>
      <c r="D12" s="13">
        <v>101500</v>
      </c>
      <c r="E12" s="14">
        <f>200000+10000+50000</f>
        <v>260000</v>
      </c>
      <c r="F12" s="43"/>
      <c r="G12" s="15">
        <f t="shared" si="0"/>
        <v>361500</v>
      </c>
      <c r="H12" s="17"/>
    </row>
    <row r="13" spans="1:9" ht="17.5" x14ac:dyDescent="0.35">
      <c r="A13" s="12" t="s">
        <v>11</v>
      </c>
      <c r="B13" s="12" t="str">
        <f>VLOOKUP(A13,[5]LISTADHERENT!$A$4:$J$44,3,0)</f>
        <v>DOMOU FABIEN</v>
      </c>
      <c r="C13" s="25">
        <f>IF(G13&gt;0,VLOOKUP(A13,[6]HISTOJANV25!$A$6:$BQ$46,25,0),0)</f>
        <v>50000</v>
      </c>
      <c r="D13" s="13"/>
      <c r="E13" s="14">
        <v>50000</v>
      </c>
      <c r="F13" s="43"/>
      <c r="G13" s="15">
        <f t="shared" si="0"/>
        <v>50000</v>
      </c>
      <c r="H13" s="17"/>
    </row>
    <row r="14" spans="1:9" ht="17.5" x14ac:dyDescent="0.35">
      <c r="A14" s="12" t="s">
        <v>12</v>
      </c>
      <c r="B14" s="12" t="str">
        <f>VLOOKUP(A14,[5]LISTADHERENT!$A$4:$J$44,3,0)</f>
        <v>DONHOU DAVID</v>
      </c>
      <c r="C14" s="25">
        <f>IF(G14&gt;0,VLOOKUP(A14,[6]HISTOJANV25!$A$6:$BQ$46,25,0),0)</f>
        <v>50000</v>
      </c>
      <c r="D14" s="13">
        <v>50000</v>
      </c>
      <c r="E14" s="14"/>
      <c r="F14" s="43"/>
      <c r="G14" s="15">
        <f t="shared" si="0"/>
        <v>50000</v>
      </c>
      <c r="H14" s="17"/>
    </row>
    <row r="15" spans="1:9" ht="17.5" x14ac:dyDescent="0.35">
      <c r="A15" s="12" t="s">
        <v>94</v>
      </c>
      <c r="B15" s="12" t="str">
        <f>VLOOKUP(A15,[5]LISTADHERENT!$A$4:$J$44,3,0)</f>
        <v>FAMPOU PAUL</v>
      </c>
      <c r="C15" s="25">
        <f>IF(G15&gt;0,VLOOKUP(A15,[6]HISTOMARS25!$A$6:$BQ$46,25,0),0)</f>
        <v>150000</v>
      </c>
      <c r="D15" s="13">
        <v>203000</v>
      </c>
      <c r="E15" s="14">
        <v>150000</v>
      </c>
      <c r="F15" s="43"/>
      <c r="G15" s="15">
        <f t="shared" si="0"/>
        <v>353000</v>
      </c>
      <c r="H15" s="17"/>
    </row>
    <row r="16" spans="1:9" ht="17.5" x14ac:dyDescent="0.35">
      <c r="A16" s="12" t="s">
        <v>13</v>
      </c>
      <c r="B16" s="12" t="str">
        <f>VLOOKUP(A16,[5]LISTADHERENT!$A$4:$J$44,3,0)</f>
        <v>HENGUE PAUL OMER</v>
      </c>
      <c r="C16" s="25">
        <f>IF(G16&gt;0,VLOOKUP(A16,[6]HISTOJANV25!$A$6:$BQ$46,25,0),0)</f>
        <v>125000</v>
      </c>
      <c r="D16" s="13"/>
      <c r="E16" s="14">
        <v>125000</v>
      </c>
      <c r="F16" s="43"/>
      <c r="G16" s="15">
        <f t="shared" si="0"/>
        <v>125000</v>
      </c>
      <c r="H16" s="17"/>
      <c r="I16">
        <v>26000</v>
      </c>
    </row>
    <row r="17" spans="1:9" ht="17.5" x14ac:dyDescent="0.35">
      <c r="A17" s="12" t="s">
        <v>14</v>
      </c>
      <c r="B17" s="12" t="str">
        <f>VLOOKUP(A17,[5]LISTADHERENT!$A$4:$J$44,3,0)</f>
        <v>HOTCHO BENJAMIN</v>
      </c>
      <c r="C17" s="25">
        <f>IF(G17&gt;0,VLOOKUP(A17,[6]HISTOJANV25!$A$6:$BQ$46,25,0),0)</f>
        <v>225000</v>
      </c>
      <c r="D17" s="13">
        <f>400000+203000</f>
        <v>603000</v>
      </c>
      <c r="E17" s="14">
        <v>250000</v>
      </c>
      <c r="F17" s="43"/>
      <c r="G17" s="15">
        <f t="shared" si="0"/>
        <v>853000</v>
      </c>
      <c r="H17" s="17"/>
    </row>
    <row r="18" spans="1:9" ht="17.5" x14ac:dyDescent="0.35">
      <c r="A18" s="12" t="s">
        <v>15</v>
      </c>
      <c r="B18" s="12" t="str">
        <f>VLOOKUP(A18,[5]LISTADHERENT!$A$4:$J$44,3,0)</f>
        <v>KOUAMOU MOISE</v>
      </c>
      <c r="C18" s="25">
        <f>IF(G18&gt;0,VLOOKUP(A18,[6]HISTOJANV25!$A$6:$BQ$46,25,0),0)</f>
        <v>150000</v>
      </c>
      <c r="D18" s="13">
        <v>20000</v>
      </c>
      <c r="E18" s="14">
        <f>200000+100000-50000</f>
        <v>250000</v>
      </c>
      <c r="F18" s="43">
        <f>93500+43500+6500</f>
        <v>143500</v>
      </c>
      <c r="G18" s="15">
        <f t="shared" si="0"/>
        <v>413500</v>
      </c>
      <c r="H18" s="17"/>
    </row>
    <row r="19" spans="1:9" ht="17.5" x14ac:dyDescent="0.35">
      <c r="A19" s="12" t="s">
        <v>16</v>
      </c>
      <c r="B19" s="12" t="str">
        <f>VLOOKUP(A19,[5]LISTADHERENT!$A$4:$J$44,3,0)</f>
        <v>KOUATCHO MESSACK</v>
      </c>
      <c r="C19" s="25">
        <f>IF(G19&gt;0,VLOOKUP(A19,[6]HISTOJANV25!$A$6:$BQ$46,25,0),0)</f>
        <v>225000</v>
      </c>
      <c r="D19" s="13">
        <f>1225000+10000</f>
        <v>1235000</v>
      </c>
      <c r="E19" s="14">
        <v>208000</v>
      </c>
      <c r="F19" s="43"/>
      <c r="G19" s="15">
        <f t="shared" si="0"/>
        <v>1443000</v>
      </c>
      <c r="H19" s="17"/>
    </row>
    <row r="20" spans="1:9" ht="17.5" x14ac:dyDescent="0.35">
      <c r="A20" s="12" t="s">
        <v>129</v>
      </c>
      <c r="B20" s="12" t="str">
        <f>VLOOKUP(A20,[5]LISTADHERENT!$A$4:$J$44,3,0)</f>
        <v>LOWE JEAN</v>
      </c>
      <c r="C20" s="25"/>
      <c r="D20" s="13">
        <v>50000</v>
      </c>
      <c r="E20" s="14"/>
      <c r="F20" s="43"/>
      <c r="G20" s="15">
        <f t="shared" si="0"/>
        <v>50000</v>
      </c>
      <c r="H20" s="17"/>
    </row>
    <row r="21" spans="1:9" ht="17.5" x14ac:dyDescent="0.35">
      <c r="A21" s="12" t="s">
        <v>82</v>
      </c>
      <c r="B21" s="12" t="str">
        <f>VLOOKUP(A21,[5]LISTADHERENT!$A$4:$J$44,3,0)</f>
        <v>MASSEUNGOUE DAGOBERT</v>
      </c>
      <c r="C21" s="25">
        <f>IF(G21&gt;0,VLOOKUP(A21,[6]HISTOJANV25!$A$6:$BQ$46,25,0),0)</f>
        <v>50000</v>
      </c>
      <c r="D21" s="13">
        <v>53000</v>
      </c>
      <c r="E21" s="14">
        <v>50000</v>
      </c>
      <c r="F21" s="43"/>
      <c r="G21" s="15">
        <f t="shared" si="0"/>
        <v>103000</v>
      </c>
      <c r="H21" s="17"/>
    </row>
    <row r="22" spans="1:9" ht="17.5" x14ac:dyDescent="0.35">
      <c r="A22" s="12" t="s">
        <v>17</v>
      </c>
      <c r="B22" s="12" t="str">
        <f>VLOOKUP(A22,[5]LISTADHERENT!$A$4:$J$44,3,0)</f>
        <v>MBOGNING TUGMA GUY</v>
      </c>
      <c r="C22" s="25">
        <f>IF(G22&gt;0,VLOOKUP(A22,[6]HISTOJANV25!$A$6:$BQ$46,25,0),0)</f>
        <v>325000</v>
      </c>
      <c r="D22" s="13">
        <v>1471000</v>
      </c>
      <c r="E22" s="14"/>
      <c r="F22" s="43"/>
      <c r="G22" s="15">
        <f t="shared" si="0"/>
        <v>1471000</v>
      </c>
      <c r="H22" s="17"/>
    </row>
    <row r="23" spans="1:9" ht="17.5" x14ac:dyDescent="0.35">
      <c r="A23" s="12" t="s">
        <v>18</v>
      </c>
      <c r="B23" s="12" t="str">
        <f>VLOOKUP(A23,[5]LISTADHERENT!$A$4:$J$44,3,0)</f>
        <v>NANGUEN MARTIN</v>
      </c>
      <c r="C23" s="25">
        <f>IF(G23&gt;0,VLOOKUP(A23,[6]HISTOJANV25!$A$6:$BQ$46,25,0),0)</f>
        <v>50000</v>
      </c>
      <c r="D23" s="13">
        <v>50000</v>
      </c>
      <c r="E23" s="14"/>
      <c r="F23" s="43"/>
      <c r="G23" s="15">
        <f t="shared" si="0"/>
        <v>50000</v>
      </c>
      <c r="H23" s="17"/>
    </row>
    <row r="24" spans="1:9" ht="17.5" x14ac:dyDescent="0.35">
      <c r="A24" s="12" t="s">
        <v>19</v>
      </c>
      <c r="B24" s="12" t="str">
        <f>VLOOKUP(A24,[5]LISTADHERENT!$A$4:$J$44,3,0)</f>
        <v>NANKAM APPOLINAIRE</v>
      </c>
      <c r="C24" s="25">
        <f>IF(G24&gt;0,VLOOKUP(A24,[6]HISTOJANV25!$A$6:$BQ$46,25,0),0)</f>
        <v>125000</v>
      </c>
      <c r="D24" s="13"/>
      <c r="E24" s="14">
        <v>125000</v>
      </c>
      <c r="F24" s="43">
        <v>900000</v>
      </c>
      <c r="G24" s="15">
        <f t="shared" si="0"/>
        <v>1025000</v>
      </c>
      <c r="H24" s="17"/>
      <c r="I24">
        <v>26000</v>
      </c>
    </row>
    <row r="25" spans="1:9" ht="17.5" x14ac:dyDescent="0.35">
      <c r="A25" s="12" t="s">
        <v>20</v>
      </c>
      <c r="B25" s="12" t="str">
        <f>VLOOKUP(A25,[5]LISTADHERENT!$A$4:$J$44,3,0)</f>
        <v>NDJOMO ETIENNE</v>
      </c>
      <c r="C25" s="25">
        <f>IF(G25&gt;0,VLOOKUP(A25,[6]HISTOJANV25!$A$6:$BQ$46,25,0),0)</f>
        <v>250000</v>
      </c>
      <c r="D25" s="13">
        <v>203000</v>
      </c>
      <c r="E25" s="14">
        <v>760000</v>
      </c>
      <c r="F25" s="43"/>
      <c r="G25" s="15">
        <f t="shared" si="0"/>
        <v>963000</v>
      </c>
      <c r="H25" s="17"/>
    </row>
    <row r="26" spans="1:9" ht="17.5" x14ac:dyDescent="0.35">
      <c r="A26" s="12" t="s">
        <v>21</v>
      </c>
      <c r="B26" s="12" t="str">
        <f>VLOOKUP(A26,[5]LISTADHERENT!$A$4:$J$44,3,0)</f>
        <v>NGONDIEP CLAUDE</v>
      </c>
      <c r="C26" s="25">
        <f>IF(G26&gt;0,VLOOKUP(A26,[6]HISTOJANV25!$A$6:$BQ$46,25,0),0)</f>
        <v>225000</v>
      </c>
      <c r="D26" s="13"/>
      <c r="E26" s="14">
        <f>240000+310000+1000000</f>
        <v>1550000</v>
      </c>
      <c r="F26" s="43"/>
      <c r="G26" s="15">
        <f t="shared" si="0"/>
        <v>1550000</v>
      </c>
      <c r="H26" s="17"/>
    </row>
    <row r="27" spans="1:9" ht="17.5" x14ac:dyDescent="0.35">
      <c r="A27" s="12" t="s">
        <v>22</v>
      </c>
      <c r="B27" s="12" t="str">
        <f>VLOOKUP(A27,[5]LISTADHERENT!$A$4:$J$44,3,0)</f>
        <v>NGUIEMEGNI MATHIEU BLAISE</v>
      </c>
      <c r="C27" s="25">
        <f>IF(G27&gt;0,VLOOKUP(A27,[6]HISTOJANV25!$A$6:$BQ$46,25,0),0)</f>
        <v>250000</v>
      </c>
      <c r="D27" s="13"/>
      <c r="E27" s="14">
        <f>60000+120000+200000+70000</f>
        <v>450000</v>
      </c>
      <c r="F27" s="43"/>
      <c r="G27" s="15">
        <f t="shared" si="0"/>
        <v>450000</v>
      </c>
      <c r="H27" s="17"/>
    </row>
    <row r="28" spans="1:9" ht="17.5" x14ac:dyDescent="0.35">
      <c r="A28" s="12" t="s">
        <v>23</v>
      </c>
      <c r="B28" s="12" t="str">
        <f>VLOOKUP(A28,[5]LISTADHERENT!$A$4:$J$44,3,0)</f>
        <v>NKAMGANG JUSTIN DEJOLIE</v>
      </c>
      <c r="C28" s="25">
        <f>IF(G28&gt;0,VLOOKUP(A28,[6]HISTOJANV25!$A$6:$BQ$46,25,0),0)</f>
        <v>50000</v>
      </c>
      <c r="D28" s="13">
        <f>1000000+50000</f>
        <v>1050000</v>
      </c>
      <c r="E28" s="14">
        <v>51500</v>
      </c>
      <c r="F28" s="43"/>
      <c r="G28" s="15">
        <f t="shared" si="0"/>
        <v>1101500</v>
      </c>
      <c r="H28" s="17"/>
    </row>
    <row r="29" spans="1:9" ht="17.5" x14ac:dyDescent="0.35">
      <c r="A29" s="12" t="s">
        <v>63</v>
      </c>
      <c r="B29" s="12" t="str">
        <f>VLOOKUP(A29,[5]LISTADHERENT!$A$4:$J$44,3,0)</f>
        <v>NOUBE ETIENNE</v>
      </c>
      <c r="C29" s="25">
        <f>IF(G29&gt;0,VLOOKUP(A29,[6]HISTOJANV25!$A$6:$BQ$46,25,0),0)</f>
        <v>50000</v>
      </c>
      <c r="D29" s="13"/>
      <c r="E29" s="14">
        <v>300000</v>
      </c>
      <c r="F29" s="43"/>
      <c r="G29" s="15">
        <f t="shared" si="0"/>
        <v>300000</v>
      </c>
      <c r="H29" s="17"/>
    </row>
    <row r="30" spans="1:9" ht="17.5" x14ac:dyDescent="0.35">
      <c r="A30" s="12" t="s">
        <v>24</v>
      </c>
      <c r="B30" s="12" t="str">
        <f>VLOOKUP(A30,[5]LISTADHERENT!$A$4:$J$44,3,0)</f>
        <v>PATEGO NJOSSU GUSTAVE</v>
      </c>
      <c r="C30" s="25">
        <f>IF(G30&gt;0,VLOOKUP(A30,[6]HISTOJANV25!$A$6:$BQ$46,25,0),0)</f>
        <v>125000</v>
      </c>
      <c r="D30" s="13"/>
      <c r="E30" s="14">
        <v>125000</v>
      </c>
      <c r="F30" s="43"/>
      <c r="G30" s="15">
        <f t="shared" si="0"/>
        <v>125000</v>
      </c>
      <c r="H30" s="17"/>
    </row>
    <row r="31" spans="1:9" ht="17.5" x14ac:dyDescent="0.35">
      <c r="A31" s="12" t="s">
        <v>64</v>
      </c>
      <c r="B31" s="12" t="str">
        <f>VLOOKUP(A31,[5]LISTADHERENT!$A$4:$J$44,3,0)</f>
        <v>SEUMO POLYCARPE</v>
      </c>
      <c r="C31" s="25">
        <f>IF(G31&gt;0,VLOOKUP(A31,[6]HISTOJANV25!$A$6:$BQ$46,25,0),0)</f>
        <v>50000</v>
      </c>
      <c r="D31" s="13"/>
      <c r="E31" s="14">
        <v>110000</v>
      </c>
      <c r="F31" s="43"/>
      <c r="G31" s="15">
        <f t="shared" si="0"/>
        <v>110000</v>
      </c>
      <c r="H31" s="17"/>
    </row>
    <row r="32" spans="1:9" ht="17.5" x14ac:dyDescent="0.35">
      <c r="A32" s="12" t="s">
        <v>25</v>
      </c>
      <c r="B32" s="12" t="str">
        <f>VLOOKUP(A32,[5]LISTADHERENT!$A$4:$J$44,3,0)</f>
        <v>SIME BRICE</v>
      </c>
      <c r="C32" s="25">
        <f>IF(G32&gt;0,VLOOKUP(A32,[6]HISTOJANV25!$A$6:$BQ$46,25,0),0)</f>
        <v>250000</v>
      </c>
      <c r="D32" s="13">
        <v>1203000</v>
      </c>
      <c r="E32" s="14">
        <v>250000</v>
      </c>
      <c r="F32" s="43"/>
      <c r="G32" s="15">
        <f t="shared" si="0"/>
        <v>1453000</v>
      </c>
      <c r="H32" s="17"/>
    </row>
    <row r="33" spans="1:9" ht="17.5" x14ac:dyDescent="0.35">
      <c r="A33" s="12" t="s">
        <v>89</v>
      </c>
      <c r="B33" s="12" t="str">
        <f>VLOOKUP(A33,[5]LISTADHERENT!$A$4:$J$44,3,0)</f>
        <v>SIMO FONGANG ERIC</v>
      </c>
      <c r="C33" s="25">
        <f>IF(G33&gt;0,VLOOKUP(A33,[6]HISTOJANV25!$A$6:$BQ$46,25,0),0)</f>
        <v>50000</v>
      </c>
      <c r="D33" s="13">
        <v>10000</v>
      </c>
      <c r="E33" s="14">
        <v>50000</v>
      </c>
      <c r="F33" s="43"/>
      <c r="G33" s="15">
        <f t="shared" si="0"/>
        <v>60000</v>
      </c>
      <c r="H33" s="17"/>
    </row>
    <row r="34" spans="1:9" ht="17.5" x14ac:dyDescent="0.35">
      <c r="A34" s="12" t="s">
        <v>26</v>
      </c>
      <c r="B34" s="12" t="str">
        <f>VLOOKUP(A34,[5]LISTADHERENT!$A$4:$J$44,3,0)</f>
        <v>SIMO PIERRE</v>
      </c>
      <c r="C34" s="25">
        <f>IF(G34&gt;0,VLOOKUP(A34,[6]HISTOJANV25!$A$6:$BQ$46,25,0),0)</f>
        <v>150000</v>
      </c>
      <c r="D34" s="13"/>
      <c r="E34" s="14"/>
      <c r="F34" s="43">
        <v>530500</v>
      </c>
      <c r="G34" s="15">
        <f t="shared" si="0"/>
        <v>530500</v>
      </c>
      <c r="H34" s="17"/>
      <c r="I34">
        <v>58000</v>
      </c>
    </row>
    <row r="35" spans="1:9" ht="17.5" x14ac:dyDescent="0.35">
      <c r="A35" s="12" t="s">
        <v>27</v>
      </c>
      <c r="B35" s="12" t="str">
        <f>VLOOKUP(A35,[5]LISTADHERENT!$A$4:$J$44,3,0)</f>
        <v>TCHOUAMOU MATHIEU</v>
      </c>
      <c r="C35" s="25">
        <f>IF(G35&gt;0,VLOOKUP(A35,[6]HISTOJANV25!$A$6:$BQ$46,25,0),0)</f>
        <v>125000</v>
      </c>
      <c r="D35" s="13">
        <v>1000000</v>
      </c>
      <c r="E35" s="14">
        <v>125000</v>
      </c>
      <c r="F35" s="43"/>
      <c r="G35" s="15">
        <f t="shared" si="0"/>
        <v>1125000</v>
      </c>
      <c r="H35" s="17"/>
    </row>
    <row r="36" spans="1:9" ht="17.5" x14ac:dyDescent="0.35">
      <c r="A36" s="12" t="s">
        <v>81</v>
      </c>
      <c r="B36" s="12" t="str">
        <f>VLOOKUP(A36,[5]LISTADHERENT!$A$4:$J$44,3,0)</f>
        <v>TCHOUATEU AUGUSTIN</v>
      </c>
      <c r="C36" s="25">
        <f>IF(G36&gt;0,VLOOKUP(A36,[6]HISTOJANV25!$A$6:$BQ$46,25,0),0)</f>
        <v>150000</v>
      </c>
      <c r="D36" s="13">
        <v>3500</v>
      </c>
      <c r="E36" s="14">
        <v>1150000</v>
      </c>
      <c r="F36" s="43"/>
      <c r="G36" s="15">
        <f t="shared" si="0"/>
        <v>1153500</v>
      </c>
      <c r="H36" s="17"/>
    </row>
    <row r="37" spans="1:9" ht="17.5" x14ac:dyDescent="0.35">
      <c r="A37" s="12" t="s">
        <v>62</v>
      </c>
      <c r="B37" s="12" t="str">
        <f>VLOOKUP(A37,[5]LISTADHERENT!$A$4:$J$44,3,0)</f>
        <v>TCHOUTOU NANA CLAUDE</v>
      </c>
      <c r="C37" s="25">
        <f>IF(G37&gt;0,VLOOKUP(A37,[6]HISTOJANV25!$A$6:$BQ$46,25,0),0)</f>
        <v>50000</v>
      </c>
      <c r="D37" s="13"/>
      <c r="E37" s="14">
        <v>50000</v>
      </c>
      <c r="F37" s="43"/>
      <c r="G37" s="15">
        <f t="shared" si="0"/>
        <v>50000</v>
      </c>
      <c r="H37" s="17"/>
    </row>
    <row r="38" spans="1:9" ht="17.5" x14ac:dyDescent="0.35">
      <c r="A38" s="12" t="s">
        <v>90</v>
      </c>
      <c r="B38" s="12" t="str">
        <f>VLOOKUP(A38,[5]LISTADHERENT!$A$4:$J$44,3,0)</f>
        <v>TIEYAM ERNEST</v>
      </c>
      <c r="C38" s="25">
        <f>IF(G38&gt;0,VLOOKUP(A38,[6]HISTOJANV25!$A$6:$BQ$46,25,0),0)</f>
        <v>50000</v>
      </c>
      <c r="D38" s="13">
        <v>13300</v>
      </c>
      <c r="E38" s="14">
        <v>50000</v>
      </c>
      <c r="F38" s="43"/>
      <c r="G38" s="15">
        <f t="shared" si="0"/>
        <v>63300</v>
      </c>
      <c r="H38" s="17"/>
    </row>
    <row r="39" spans="1:9" ht="17.5" x14ac:dyDescent="0.35">
      <c r="A39" s="12" t="s">
        <v>65</v>
      </c>
      <c r="B39" s="12" t="str">
        <f>VLOOKUP(A39,[5]LISTADHERENT!$A$4:$J$44,3,0)</f>
        <v>YANTCHOU GERVAIS</v>
      </c>
      <c r="C39" s="25">
        <f>IF(G39&gt;0,VLOOKUP(A39,[6]HISTOJANV25!$A$6:$BQ$46,25,0),0)</f>
        <v>125000</v>
      </c>
      <c r="D39" s="13"/>
      <c r="E39" s="14">
        <f>107500+125000</f>
        <v>232500</v>
      </c>
      <c r="F39" s="43"/>
      <c r="G39" s="15">
        <f t="shared" si="0"/>
        <v>232500</v>
      </c>
      <c r="H39" s="17"/>
    </row>
    <row r="40" spans="1:9" ht="17.5" x14ac:dyDescent="0.35">
      <c r="A40" s="12" t="s">
        <v>28</v>
      </c>
      <c r="B40" s="12" t="str">
        <f>VLOOKUP(A40,[5]LISTADHERENT!$A$4:$J$44,3,0)</f>
        <v>YEPMOU JEAN JACQUES</v>
      </c>
      <c r="C40" s="25">
        <f>IF(G40&gt;0,VLOOKUP(A40,[6]HISTOJANV25!$A$6:$BQ$46,25,0),0)</f>
        <v>50000</v>
      </c>
      <c r="D40" s="13">
        <v>50000</v>
      </c>
      <c r="E40" s="14"/>
      <c r="F40" s="43"/>
      <c r="G40" s="15">
        <f t="shared" si="0"/>
        <v>50000</v>
      </c>
      <c r="H40" s="17"/>
    </row>
    <row r="41" spans="1:9" ht="17.5" x14ac:dyDescent="0.35">
      <c r="A41" s="12" t="s">
        <v>80</v>
      </c>
      <c r="B41" s="12" t="str">
        <f>VLOOKUP(A41,[5]LISTADHERENT!$A$4:$J$44,3,0)</f>
        <v>YIALA ALAIN OSCAR</v>
      </c>
      <c r="C41" s="25">
        <f>IF(G41&gt;0,VLOOKUP(A41,[6]HISTOJANV25!$A$6:$BQ$46,25,0),0)</f>
        <v>250000</v>
      </c>
      <c r="D41" s="13">
        <f>250000+203000</f>
        <v>453000</v>
      </c>
      <c r="E41" s="14"/>
      <c r="F41" s="43"/>
      <c r="G41" s="15">
        <f t="shared" si="0"/>
        <v>453000</v>
      </c>
      <c r="H41" s="17"/>
    </row>
    <row r="42" spans="1:9" ht="17.5" x14ac:dyDescent="0.35">
      <c r="A42" s="12" t="s">
        <v>29</v>
      </c>
      <c r="B42" s="12" t="str">
        <f>VLOOKUP(A42,[5]LISTADHERENT!$A$4:$J$44,3,0)</f>
        <v>YOUMBI EMMANUEL</v>
      </c>
      <c r="C42" s="25">
        <f>IF(G42&gt;0,VLOOKUP(A42,[6]HISTOJANV25!$A$6:$BQ$46,25,0),0)</f>
        <v>225000</v>
      </c>
      <c r="D42" s="13"/>
      <c r="E42" s="14">
        <v>225000</v>
      </c>
      <c r="F42" s="43"/>
      <c r="G42" s="15">
        <f t="shared" si="0"/>
        <v>225000</v>
      </c>
      <c r="H42" s="17"/>
    </row>
    <row r="43" spans="1:9" x14ac:dyDescent="0.35">
      <c r="A43" s="17"/>
      <c r="B43" s="17"/>
      <c r="C43" s="17"/>
      <c r="D43" s="17"/>
      <c r="E43" s="17"/>
      <c r="F43" s="17"/>
      <c r="G43" s="17"/>
      <c r="H43" s="17"/>
    </row>
    <row r="44" spans="1:9" ht="17.5" x14ac:dyDescent="0.35">
      <c r="A44" s="17"/>
      <c r="B44" s="12" t="s">
        <v>30</v>
      </c>
      <c r="C44" s="42">
        <f>SUM(C6:C42)</f>
        <v>5125000</v>
      </c>
      <c r="D44" s="42">
        <f t="shared" ref="D44:I44" si="1">SUM(D6:D42)</f>
        <v>12931300</v>
      </c>
      <c r="E44" s="42">
        <f t="shared" si="1"/>
        <v>7392000</v>
      </c>
      <c r="F44" s="42">
        <f t="shared" si="1"/>
        <v>1842500</v>
      </c>
      <c r="G44" s="42">
        <f t="shared" si="1"/>
        <v>22165800</v>
      </c>
      <c r="H44" s="42">
        <f t="shared" si="1"/>
        <v>2385</v>
      </c>
      <c r="I44" s="42">
        <f t="shared" si="1"/>
        <v>190000</v>
      </c>
    </row>
    <row r="46" spans="1:9" x14ac:dyDescent="0.35">
      <c r="D46" s="30">
        <f>I44</f>
        <v>190000</v>
      </c>
    </row>
    <row r="48" spans="1:9" x14ac:dyDescent="0.35">
      <c r="D48" s="30">
        <f>D44+D46</f>
        <v>13121300</v>
      </c>
      <c r="E48">
        <v>12501150</v>
      </c>
    </row>
  </sheetData>
  <autoFilter ref="A5:G42" xr:uid="{00000000-0009-0000-0000-000002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94A7B-7D46-45A5-9118-3B641D344AE3}">
  <dimension ref="A1:H45"/>
  <sheetViews>
    <sheetView zoomScale="106" zoomScaleNormal="106" workbookViewId="0">
      <pane xSplit="3" ySplit="5" topLeftCell="D30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C10" sqref="C10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</cols>
  <sheetData>
    <row r="1" spans="1:8" ht="21" x14ac:dyDescent="0.5">
      <c r="A1" s="1" t="s">
        <v>2</v>
      </c>
      <c r="B1" s="1" t="s">
        <v>3</v>
      </c>
      <c r="C1" s="24" t="s">
        <v>84</v>
      </c>
    </row>
    <row r="2" spans="1:8" x14ac:dyDescent="0.35">
      <c r="A2" s="1" t="s">
        <v>4</v>
      </c>
      <c r="B2" s="1">
        <v>2025</v>
      </c>
    </row>
    <row r="3" spans="1:8" x14ac:dyDescent="0.3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" thickBot="1" x14ac:dyDescent="0.7">
      <c r="B4" s="51" t="s">
        <v>58</v>
      </c>
      <c r="C4" s="49"/>
      <c r="D4" s="49"/>
      <c r="E4" s="49"/>
      <c r="F4" s="3"/>
    </row>
    <row r="5" spans="1:8" ht="68.25" customHeight="1" thickTop="1" x14ac:dyDescent="0.35">
      <c r="A5" s="8" t="s">
        <v>0</v>
      </c>
      <c r="B5" s="9" t="s">
        <v>1</v>
      </c>
      <c r="C5" s="10" t="s">
        <v>33</v>
      </c>
      <c r="D5" s="10" t="s">
        <v>32</v>
      </c>
      <c r="E5" s="10" t="s">
        <v>34</v>
      </c>
      <c r="F5" s="10" t="s">
        <v>31</v>
      </c>
      <c r="G5" s="10" t="s">
        <v>59</v>
      </c>
      <c r="H5" s="23" t="s">
        <v>61</v>
      </c>
    </row>
    <row r="6" spans="1:8" ht="17.5" x14ac:dyDescent="0.35">
      <c r="A6" s="11" t="s">
        <v>60</v>
      </c>
      <c r="B6" s="12" t="s">
        <v>3</v>
      </c>
      <c r="C6" s="25">
        <f>HISTOBQUEJANV25!C6+HISTOBQUEFEV25!C6+HISTOBQUEMARS25!C6+HISTOBQUEAVRIL25!C6+HISTOBQUEMAI25!C6+HISTOBQUEJUIN25!C6+HISTOBQUEJUIL25!C6+HISTOBQUEAOUT25!C6+HISTOBQUESEPT25!C6+HISTOBQUEOCT25!C6+HISTOBQUENOV25!C6+HISTOBQUEDEC25!C6</f>
        <v>3000000</v>
      </c>
      <c r="D6" s="25">
        <f>HISTOBQUEJANV25!D6+HISTOBQUEFEV25!D6+HISTOBQUEMARS25!D6+HISTOBQUEAVRIL25!D6+HISTOBQUEMAI25!D6+HISTOBQUEJUIN25!D6+HISTOBQUEJUIL25!D6+HISTOBQUEAOUT25!D6+HISTOBQUESEPT25!D6+HISTOBQUEOCT25!D6+HISTOBQUENOV25!D6+HISTOBQUEDEC25!D6</f>
        <v>0</v>
      </c>
      <c r="E6" s="25">
        <f>HISTOBQUEJANV25!E6+HISTOBQUEFEV25!E6+HISTOBQUEMARS25!E6+HISTOBQUEAVRIL25!E6+HISTOBQUEMAI25!E6+HISTOBQUEJUIN25!E6+HISTOBQUEJUIL25!E6+HISTOBQUEAOUT25!E6+HISTOBQUESEPT25!E6+HISTOBQUEOCT25!E6+HISTOBQUENOV25!E6+HISTOBQUEDEC25!E6</f>
        <v>3000000</v>
      </c>
      <c r="F6" s="15">
        <f>SUM(C6:E6)</f>
        <v>6000000</v>
      </c>
      <c r="G6" s="15"/>
      <c r="H6" s="18"/>
    </row>
    <row r="7" spans="1:8" ht="17.5" x14ac:dyDescent="0.35">
      <c r="A7" s="11" t="s">
        <v>66</v>
      </c>
      <c r="B7" s="12" t="s">
        <v>95</v>
      </c>
      <c r="C7" s="25">
        <f>HISTOBQUEJANV25!C7+HISTOBQUEFEV25!C7+HISTOBQUEMARS25!C7+HISTOBQUEAVRIL25!C7+HISTOBQUEMAI25!C7+HISTOBQUEJUIN25!C7+HISTOBQUEJUIL25!C7+HISTOBQUEAOUT25!C7+HISTOBQUESEPT25!C7+HISTOBQUEOCT25!C7+HISTOBQUENOV25!C7+HISTOBQUEDEC25!C7</f>
        <v>550000</v>
      </c>
      <c r="D7" s="25">
        <f>HISTOBQUEJANV25!D7+HISTOBQUEFEV25!D7+HISTOBQUEMARS25!D7+HISTOBQUEAVRIL25!D7+HISTOBQUEMAI25!D7+HISTOBQUEJUIN25!D7+HISTOBQUEJUIL25!D7+HISTOBQUEAOUT25!D7+HISTOBQUESEPT25!D7+HISTOBQUEOCT25!D7+HISTOBQUENOV25!D7+HISTOBQUEDEC25!D7</f>
        <v>1500000</v>
      </c>
      <c r="E7" s="25">
        <f>HISTOBQUEJANV25!E7+HISTOBQUEFEV25!E7+HISTOBQUEMARS25!E7+HISTOBQUEAVRIL25!E7+HISTOBQUEMAI25!E7+HISTOBQUEJUIN25!E7+HISTOBQUEJUIL25!E7+HISTOBQUEAOUT25!E7+HISTOBQUESEPT25!E7+HISTOBQUEOCT25!E7+HISTOBQUENOV25!E7+HISTOBQUEDEC25!E7</f>
        <v>100000</v>
      </c>
      <c r="F7" s="15">
        <f t="shared" ref="F7:F42" si="0">SUM(C7:E7)</f>
        <v>2150000</v>
      </c>
      <c r="G7" s="15"/>
      <c r="H7" s="18"/>
    </row>
    <row r="8" spans="1:8" ht="17.5" x14ac:dyDescent="0.35">
      <c r="A8" s="11" t="s">
        <v>6</v>
      </c>
      <c r="B8" s="12" t="s">
        <v>96</v>
      </c>
      <c r="C8" s="25">
        <f>HISTOBQUEJANV25!C8+HISTOBQUEFEV25!C8+HISTOBQUEMARS25!C8+HISTOBQUEAVRIL25!C8+HISTOBQUEMAI25!C8+HISTOBQUEJUIN25!C8+HISTOBQUEJUIL25!C8+HISTOBQUEAOUT25!C8+HISTOBQUESEPT25!C8+HISTOBQUEOCT25!C8+HISTOBQUENOV25!C8+HISTOBQUEDEC25!C8</f>
        <v>1500000</v>
      </c>
      <c r="D8" s="25">
        <f>HISTOBQUEJANV25!D8+HISTOBQUEFEV25!D8+HISTOBQUEMARS25!D8+HISTOBQUEAVRIL25!D8+HISTOBQUEMAI25!D8+HISTOBQUEJUIN25!D8+HISTOBQUEJUIL25!D8+HISTOBQUEAOUT25!D8+HISTOBQUESEPT25!D8+HISTOBQUEOCT25!D8+HISTOBQUENOV25!D8+HISTOBQUEDEC25!D8</f>
        <v>601000</v>
      </c>
      <c r="E8" s="25">
        <f>HISTOBQUEJANV25!E8+HISTOBQUEFEV25!E8+HISTOBQUEMARS25!E8+HISTOBQUEAVRIL25!E8+HISTOBQUEMAI25!E8+HISTOBQUEJUIN25!E8+HISTOBQUEJUIL25!E8+HISTOBQUEAOUT25!E8+HISTOBQUESEPT25!E8+HISTOBQUEOCT25!E8+HISTOBQUENOV25!E8+HISTOBQUEDEC25!E8</f>
        <v>1856000</v>
      </c>
      <c r="F8" s="15">
        <f t="shared" si="0"/>
        <v>3957000</v>
      </c>
      <c r="G8" s="15"/>
      <c r="H8" s="18"/>
    </row>
    <row r="9" spans="1:8" ht="17.5" x14ac:dyDescent="0.35">
      <c r="A9" s="11" t="s">
        <v>7</v>
      </c>
      <c r="B9" s="12" t="s">
        <v>97</v>
      </c>
      <c r="C9" s="25">
        <f>HISTOBQUEJANV25!C9+HISTOBQUEFEV25!C9+HISTOBQUEMARS25!C9+HISTOBQUEAVRIL25!C9+HISTOBQUEMAI25!C9+HISTOBQUEJUIN25!C9+HISTOBQUEJUIL25!C9+HISTOBQUEAOUT25!C9+HISTOBQUESEPT25!C9+HISTOBQUEOCT25!C9+HISTOBQUENOV25!C9+HISTOBQUEDEC25!C9</f>
        <v>3000000</v>
      </c>
      <c r="D9" s="25">
        <f>HISTOBQUEJANV25!D9+HISTOBQUEFEV25!D9+HISTOBQUEMARS25!D9+HISTOBQUEAVRIL25!D9+HISTOBQUEMAI25!D9+HISTOBQUEJUIN25!D9+HISTOBQUEJUIL25!D9+HISTOBQUEAOUT25!D9+HISTOBQUESEPT25!D9+HISTOBQUEOCT25!D9+HISTOBQUENOV25!D9+HISTOBQUEDEC25!D9</f>
        <v>4321500</v>
      </c>
      <c r="E9" s="25">
        <f>HISTOBQUEJANV25!E9+HISTOBQUEFEV25!E9+HISTOBQUEMARS25!E9+HISTOBQUEAVRIL25!E9+HISTOBQUEMAI25!E9+HISTOBQUEJUIN25!E9+HISTOBQUEJUIL25!E9+HISTOBQUEAOUT25!E9+HISTOBQUESEPT25!E9+HISTOBQUEOCT25!E9+HISTOBQUENOV25!E9+HISTOBQUEDEC25!E9</f>
        <v>1307500</v>
      </c>
      <c r="F9" s="15">
        <f t="shared" si="0"/>
        <v>8629000</v>
      </c>
      <c r="G9" s="15"/>
      <c r="H9" s="18"/>
    </row>
    <row r="10" spans="1:8" ht="17.5" x14ac:dyDescent="0.35">
      <c r="A10" s="11" t="s">
        <v>8</v>
      </c>
      <c r="B10" s="12" t="s">
        <v>98</v>
      </c>
      <c r="C10" s="25">
        <f>HISTOBQUEJANV25!C10+HISTOBQUEFEV25!C10+HISTOBQUEMARS25!C10+HISTOBQUEAVRIL25!C10+HISTOBQUEMAI25!C10+HISTOBQUEJUIN25!C10+HISTOBQUEJUIL25!C10+HISTOBQUEAOUT25!C10+HISTOBQUESEPT25!C10+HISTOBQUEOCT25!C10+HISTOBQUENOV25!C10+HISTOBQUEDEC25!C10</f>
        <v>600000</v>
      </c>
      <c r="D10" s="25">
        <f>HISTOBQUEJANV25!D10+HISTOBQUEFEV25!D10+HISTOBQUEMARS25!D10+HISTOBQUEAVRIL25!D10+HISTOBQUEMAI25!D10+HISTOBQUEJUIN25!D10+HISTOBQUEJUIL25!D10+HISTOBQUEAOUT25!D10+HISTOBQUESEPT25!D10+HISTOBQUEOCT25!D10+HISTOBQUENOV25!D10+HISTOBQUEDEC25!D10</f>
        <v>1113000</v>
      </c>
      <c r="E10" s="25">
        <f>HISTOBQUEJANV25!E10+HISTOBQUEFEV25!E10+HISTOBQUEMARS25!E10+HISTOBQUEAVRIL25!E10+HISTOBQUEMAI25!E10+HISTOBQUEJUIN25!E10+HISTOBQUEJUIL25!E10+HISTOBQUEAOUT25!E10+HISTOBQUESEPT25!E10+HISTOBQUEOCT25!E10+HISTOBQUENOV25!E10+HISTOBQUEDEC25!E10</f>
        <v>760500</v>
      </c>
      <c r="F10" s="15">
        <f t="shared" si="0"/>
        <v>2473500</v>
      </c>
      <c r="G10" s="15"/>
      <c r="H10" s="18"/>
    </row>
    <row r="11" spans="1:8" ht="17.5" x14ac:dyDescent="0.35">
      <c r="A11" s="11" t="s">
        <v>9</v>
      </c>
      <c r="B11" s="12" t="s">
        <v>99</v>
      </c>
      <c r="C11" s="25">
        <f>HISTOBQUEJANV25!C11+HISTOBQUEFEV25!C11+HISTOBQUEMARS25!C11+HISTOBQUEAVRIL25!C11+HISTOBQUEMAI25!C11+HISTOBQUEJUIN25!C11+HISTOBQUEJUIL25!C11+HISTOBQUEAOUT25!C11+HISTOBQUESEPT25!C11+HISTOBQUEOCT25!C11+HISTOBQUENOV25!C11+HISTOBQUEDEC25!C11</f>
        <v>1800000</v>
      </c>
      <c r="D11" s="25">
        <f>HISTOBQUEJANV25!D11+HISTOBQUEFEV25!D11+HISTOBQUEMARS25!D11+HISTOBQUEAVRIL25!D11+HISTOBQUEMAI25!D11+HISTOBQUEJUIN25!D11+HISTOBQUEJUIL25!D11+HISTOBQUEAOUT25!D11+HISTOBQUESEPT25!D11+HISTOBQUEOCT25!D11+HISTOBQUENOV25!D11+HISTOBQUEDEC25!D11</f>
        <v>1407000</v>
      </c>
      <c r="E11" s="25">
        <f>HISTOBQUEJANV25!E11+HISTOBQUEFEV25!E11+HISTOBQUEMARS25!E11+HISTOBQUEAVRIL25!E11+HISTOBQUEMAI25!E11+HISTOBQUEJUIN25!E11+HISTOBQUEJUIL25!E11+HISTOBQUEAOUT25!E11+HISTOBQUESEPT25!E11+HISTOBQUEOCT25!E11+HISTOBQUENOV25!E11+HISTOBQUEDEC25!E11</f>
        <v>2191375</v>
      </c>
      <c r="F11" s="15">
        <f t="shared" si="0"/>
        <v>5398375</v>
      </c>
      <c r="G11" s="15"/>
      <c r="H11" s="18"/>
    </row>
    <row r="12" spans="1:8" ht="17.5" x14ac:dyDescent="0.35">
      <c r="A12" s="11" t="s">
        <v>10</v>
      </c>
      <c r="B12" s="12" t="s">
        <v>100</v>
      </c>
      <c r="C12" s="25">
        <f>HISTOBQUEJANV25!C12+HISTOBQUEFEV25!C12+HISTOBQUEMARS25!C12+HISTOBQUEAVRIL25!C12+HISTOBQUEMAI25!C12+HISTOBQUEJUIN25!C12+HISTOBQUEJUIL25!C12+HISTOBQUEAOUT25!C12+HISTOBQUESEPT25!C12+HISTOBQUEOCT25!C12+HISTOBQUENOV25!C12+HISTOBQUEDEC25!C12</f>
        <v>3000000</v>
      </c>
      <c r="D12" s="25">
        <f>HISTOBQUEJANV25!D12+HISTOBQUEFEV25!D12+HISTOBQUEMARS25!D12+HISTOBQUEAVRIL25!D12+HISTOBQUEMAI25!D12+HISTOBQUEJUIN25!D12+HISTOBQUEJUIL25!D12+HISTOBQUEAOUT25!D12+HISTOBQUESEPT25!D12+HISTOBQUEOCT25!D12+HISTOBQUENOV25!D12+HISTOBQUEDEC25!D12</f>
        <v>132500</v>
      </c>
      <c r="E12" s="25">
        <f>HISTOBQUEJANV25!E12+HISTOBQUEFEV25!E12+HISTOBQUEMARS25!E12+HISTOBQUEAVRIL25!E12+HISTOBQUEMAI25!E12+HISTOBQUEJUIN25!E12+HISTOBQUEJUIL25!E12+HISTOBQUEAOUT25!E12+HISTOBQUESEPT25!E12+HISTOBQUEOCT25!E12+HISTOBQUENOV25!E12+HISTOBQUEDEC25!E12</f>
        <v>5607000</v>
      </c>
      <c r="F12" s="15">
        <f t="shared" si="0"/>
        <v>8739500</v>
      </c>
      <c r="G12" s="15"/>
      <c r="H12" s="18"/>
    </row>
    <row r="13" spans="1:8" ht="17.5" x14ac:dyDescent="0.35">
      <c r="A13" s="11" t="s">
        <v>11</v>
      </c>
      <c r="B13" s="12" t="s">
        <v>101</v>
      </c>
      <c r="C13" s="25">
        <f>HISTOBQUEJANV25!C13+HISTOBQUEFEV25!C13+HISTOBQUEMARS25!C13+HISTOBQUEAVRIL25!C13+HISTOBQUEMAI25!C13+HISTOBQUEJUIN25!C13+HISTOBQUEJUIL25!C13+HISTOBQUEAOUT25!C13+HISTOBQUESEPT25!C13+HISTOBQUEOCT25!C13+HISTOBQUENOV25!C13+HISTOBQUEDEC25!C13</f>
        <v>600000</v>
      </c>
      <c r="D13" s="25">
        <f>HISTOBQUEJANV25!D13+HISTOBQUEFEV25!D13+HISTOBQUEMARS25!D13+HISTOBQUEAVRIL25!D13+HISTOBQUEMAI25!D13+HISTOBQUEJUIN25!D13+HISTOBQUEJUIL25!D13+HISTOBQUEAOUT25!D13+HISTOBQUESEPT25!D13+HISTOBQUEOCT25!D13+HISTOBQUENOV25!D13+HISTOBQUEDEC25!D13</f>
        <v>0</v>
      </c>
      <c r="E13" s="25">
        <f>HISTOBQUEJANV25!E13+HISTOBQUEFEV25!E13+HISTOBQUEMARS25!E13+HISTOBQUEAVRIL25!E13+HISTOBQUEMAI25!E13+HISTOBQUEJUIN25!E13+HISTOBQUEJUIL25!E13+HISTOBQUEAOUT25!E13+HISTOBQUESEPT25!E13+HISTOBQUEOCT25!E13+HISTOBQUENOV25!E13+HISTOBQUEDEC25!E13</f>
        <v>600000</v>
      </c>
      <c r="F13" s="15">
        <f t="shared" si="0"/>
        <v>1200000</v>
      </c>
      <c r="G13" s="15"/>
      <c r="H13" s="18"/>
    </row>
    <row r="14" spans="1:8" ht="17.5" x14ac:dyDescent="0.35">
      <c r="A14" s="11" t="s">
        <v>12</v>
      </c>
      <c r="B14" s="12" t="s">
        <v>102</v>
      </c>
      <c r="C14" s="25">
        <f>HISTOBQUEJANV25!C14+HISTOBQUEFEV25!C14+HISTOBQUEMARS25!C14+HISTOBQUEAVRIL25!C14+HISTOBQUEMAI25!C14+HISTOBQUEJUIN25!C14+HISTOBQUEJUIL25!C14+HISTOBQUEAOUT25!C14+HISTOBQUESEPT25!C14+HISTOBQUEOCT25!C14+HISTOBQUENOV25!C14+HISTOBQUEDEC25!C14</f>
        <v>600000</v>
      </c>
      <c r="D14" s="25">
        <f>HISTOBQUEJANV25!D14+HISTOBQUEFEV25!D14+HISTOBQUEMARS25!D14+HISTOBQUEAVRIL25!D14+HISTOBQUEMAI25!D14+HISTOBQUEJUIN25!D14+HISTOBQUEJUIL25!D14+HISTOBQUEAOUT25!D14+HISTOBQUESEPT25!D14+HISTOBQUEOCT25!D14+HISTOBQUENOV25!D14+HISTOBQUEDEC25!D14</f>
        <v>50000</v>
      </c>
      <c r="E14" s="25">
        <f>HISTOBQUEJANV25!E14+HISTOBQUEFEV25!E14+HISTOBQUEMARS25!E14+HISTOBQUEAVRIL25!E14+HISTOBQUEMAI25!E14+HISTOBQUEJUIN25!E14+HISTOBQUEJUIL25!E14+HISTOBQUEAOUT25!E14+HISTOBQUESEPT25!E14+HISTOBQUEOCT25!E14+HISTOBQUENOV25!E14+HISTOBQUEDEC25!E14</f>
        <v>550000</v>
      </c>
      <c r="F14" s="15">
        <f t="shared" si="0"/>
        <v>1200000</v>
      </c>
      <c r="G14" s="15"/>
      <c r="H14" s="18"/>
    </row>
    <row r="15" spans="1:8" ht="17.5" x14ac:dyDescent="0.35">
      <c r="A15" s="12" t="s">
        <v>94</v>
      </c>
      <c r="B15" s="12" t="str">
        <f>VLOOKUP(A15,[5]LISTADHERENT!$A$4:$J$44,3,0)</f>
        <v>FAMPOU PAUL</v>
      </c>
      <c r="C15" s="25">
        <f>HISTOBQUEJANV25!C15+HISTOBQUEFEV25!C15+HISTOBQUEMARS25!C15+HISTOBQUEAVRIL25!C15+HISTOBQUEMAI25!C15+HISTOBQUEJUIN25!C15+HISTOBQUEJUIL25!C15+HISTOBQUEAOUT25!C15+HISTOBQUESEPT25!C15+HISTOBQUEOCT25!C15+HISTOBQUENOV25!C15+HISTOBQUEDEC25!C15</f>
        <v>1500000</v>
      </c>
      <c r="D15" s="25">
        <f>HISTOBQUEJANV25!D15+HISTOBQUEFEV25!D15+HISTOBQUEMARS25!D15+HISTOBQUEAVRIL25!D15+HISTOBQUEMAI25!D15+HISTOBQUEJUIN25!D15+HISTOBQUEJUIL25!D15+HISTOBQUEAOUT25!D15+HISTOBQUESEPT25!D15+HISTOBQUEOCT25!D15+HISTOBQUENOV25!D15+HISTOBQUEDEC25!D15</f>
        <v>328000</v>
      </c>
      <c r="E15" s="25">
        <f>HISTOBQUEJANV25!E15+HISTOBQUEFEV25!E15+HISTOBQUEMARS25!E15+HISTOBQUEAVRIL25!E15+HISTOBQUEMAI25!E15+HISTOBQUEJUIN25!E15+HISTOBQUEJUIL25!E15+HISTOBQUEAOUT25!E15+HISTOBQUESEPT25!E15+HISTOBQUEOCT25!E15+HISTOBQUENOV25!E15+HISTOBQUEDEC25!E15</f>
        <v>1827000</v>
      </c>
      <c r="F15" s="15">
        <f t="shared" si="0"/>
        <v>3655000</v>
      </c>
      <c r="G15" s="15"/>
      <c r="H15" s="18"/>
    </row>
    <row r="16" spans="1:8" ht="17.5" x14ac:dyDescent="0.35">
      <c r="A16" s="11" t="s">
        <v>13</v>
      </c>
      <c r="B16" s="12" t="s">
        <v>103</v>
      </c>
      <c r="C16" s="25">
        <f>HISTOBQUEJANV25!C16+HISTOBQUEFEV25!C16+HISTOBQUEMARS25!C16+HISTOBQUEAVRIL25!C16+HISTOBQUEMAI25!C16+HISTOBQUEJUIN25!C16+HISTOBQUEJUIL25!C16+HISTOBQUEAOUT25!C16+HISTOBQUESEPT25!C16+HISTOBQUEOCT25!C16+HISTOBQUENOV25!C16+HISTOBQUEDEC25!C16</f>
        <v>1500000</v>
      </c>
      <c r="D16" s="25">
        <f>HISTOBQUEJANV25!D16+HISTOBQUEFEV25!D16+HISTOBQUEMARS25!D16+HISTOBQUEAVRIL25!D16+HISTOBQUEMAI25!D16+HISTOBQUEJUIN25!D16+HISTOBQUEJUIL25!D16+HISTOBQUEAOUT25!D16+HISTOBQUESEPT25!D16+HISTOBQUEOCT25!D16+HISTOBQUENOV25!D16+HISTOBQUEDEC25!D16</f>
        <v>0</v>
      </c>
      <c r="E16" s="25">
        <f>HISTOBQUEJANV25!E16+HISTOBQUEFEV25!E16+HISTOBQUEMARS25!E16+HISTOBQUEAVRIL25!E16+HISTOBQUEMAI25!E16+HISTOBQUEJUIN25!E16+HISTOBQUEJUIL25!E16+HISTOBQUEAOUT25!E16+HISTOBQUESEPT25!E16+HISTOBQUEOCT25!E16+HISTOBQUENOV25!E16+HISTOBQUEDEC25!E16</f>
        <v>2650000</v>
      </c>
      <c r="F16" s="15">
        <f t="shared" si="0"/>
        <v>4150000</v>
      </c>
      <c r="G16" s="15"/>
      <c r="H16" s="18"/>
    </row>
    <row r="17" spans="1:8" ht="17.5" x14ac:dyDescent="0.35">
      <c r="A17" s="11" t="s">
        <v>14</v>
      </c>
      <c r="B17" s="12" t="s">
        <v>104</v>
      </c>
      <c r="C17" s="25">
        <f>HISTOBQUEJANV25!C17+HISTOBQUEFEV25!C17+HISTOBQUEMARS25!C17+HISTOBQUEAVRIL25!C17+HISTOBQUEMAI25!C17+HISTOBQUEJUIN25!C17+HISTOBQUEJUIL25!C17+HISTOBQUEAOUT25!C17+HISTOBQUESEPT25!C17+HISTOBQUEOCT25!C17+HISTOBQUENOV25!C17+HISTOBQUEDEC25!C17</f>
        <v>2700000</v>
      </c>
      <c r="D17" s="25">
        <f>HISTOBQUEJANV25!D17+HISTOBQUEFEV25!D17+HISTOBQUEMARS25!D17+HISTOBQUEAVRIL25!D17+HISTOBQUEMAI25!D17+HISTOBQUEJUIN25!D17+HISTOBQUEJUIL25!D17+HISTOBQUEAOUT25!D17+HISTOBQUESEPT25!D17+HISTOBQUEOCT25!D17+HISTOBQUENOV25!D17+HISTOBQUEDEC25!D17</f>
        <v>678500</v>
      </c>
      <c r="E17" s="25">
        <f>HISTOBQUEJANV25!E17+HISTOBQUEFEV25!E17+HISTOBQUEMARS25!E17+HISTOBQUEAVRIL25!E17+HISTOBQUEMAI25!E17+HISTOBQUEJUIN25!E17+HISTOBQUEJUIL25!E17+HISTOBQUEAOUT25!E17+HISTOBQUESEPT25!E17+HISTOBQUEOCT25!E17+HISTOBQUENOV25!E17+HISTOBQUEDEC25!E17</f>
        <v>3604000</v>
      </c>
      <c r="F17" s="15">
        <f t="shared" si="0"/>
        <v>6982500</v>
      </c>
      <c r="G17" s="15"/>
      <c r="H17" s="18"/>
    </row>
    <row r="18" spans="1:8" ht="17.5" x14ac:dyDescent="0.35">
      <c r="A18" s="11" t="s">
        <v>15</v>
      </c>
      <c r="B18" s="12" t="s">
        <v>105</v>
      </c>
      <c r="C18" s="25">
        <f>HISTOBQUEJANV25!C18+HISTOBQUEFEV25!C18+HISTOBQUEMARS25!C18+HISTOBQUEAVRIL25!C18+HISTOBQUEMAI25!C18+HISTOBQUEJUIN25!C18+HISTOBQUEJUIL25!C18+HISTOBQUEAOUT25!C18+HISTOBQUESEPT25!C18+HISTOBQUEOCT25!C18+HISTOBQUENOV25!C18+HISTOBQUEDEC25!C18</f>
        <v>1800000</v>
      </c>
      <c r="D18" s="25">
        <f>HISTOBQUEJANV25!D18+HISTOBQUEFEV25!D18+HISTOBQUEMARS25!D18+HISTOBQUEAVRIL25!D18+HISTOBQUEMAI25!D18+HISTOBQUEJUIN25!D18+HISTOBQUEJUIL25!D18+HISTOBQUEAOUT25!D18+HISTOBQUESEPT25!D18+HISTOBQUEOCT25!D18+HISTOBQUENOV25!D18+HISTOBQUEDEC25!D18</f>
        <v>322000</v>
      </c>
      <c r="E18" s="25">
        <f>HISTOBQUEJANV25!E18+HISTOBQUEFEV25!E18+HISTOBQUEMARS25!E18+HISTOBQUEAVRIL25!E18+HISTOBQUEMAI25!E18+HISTOBQUEJUIN25!E18+HISTOBQUEJUIL25!E18+HISTOBQUEAOUT25!E18+HISTOBQUESEPT25!E18+HISTOBQUEOCT25!E18+HISTOBQUENOV25!E18+HISTOBQUEDEC25!E18</f>
        <v>1730000</v>
      </c>
      <c r="F18" s="15">
        <f t="shared" si="0"/>
        <v>3852000</v>
      </c>
      <c r="G18" s="15"/>
      <c r="H18" s="18"/>
    </row>
    <row r="19" spans="1:8" ht="17.5" x14ac:dyDescent="0.35">
      <c r="A19" s="11" t="s">
        <v>16</v>
      </c>
      <c r="B19" s="12" t="s">
        <v>106</v>
      </c>
      <c r="C19" s="25">
        <f>HISTOBQUEJANV25!C19+HISTOBQUEFEV25!C19+HISTOBQUEMARS25!C19+HISTOBQUEAVRIL25!C19+HISTOBQUEMAI25!C19+HISTOBQUEJUIN25!C19+HISTOBQUEJUIL25!C19+HISTOBQUEAOUT25!C19+HISTOBQUESEPT25!C19+HISTOBQUEOCT25!C19+HISTOBQUENOV25!C19+HISTOBQUEDEC25!C19</f>
        <v>2625000</v>
      </c>
      <c r="D19" s="25">
        <f>HISTOBQUEJANV25!D19+HISTOBQUEFEV25!D19+HISTOBQUEMARS25!D19+HISTOBQUEAVRIL25!D19+HISTOBQUEMAI25!D19+HISTOBQUEJUIN25!D19+HISTOBQUEJUIL25!D19+HISTOBQUEAOUT25!D19+HISTOBQUESEPT25!D19+HISTOBQUEOCT25!D19+HISTOBQUENOV25!D19+HISTOBQUEDEC25!D19</f>
        <v>1628500</v>
      </c>
      <c r="E19" s="25">
        <f>HISTOBQUEJANV25!E19+HISTOBQUEFEV25!E19+HISTOBQUEMARS25!E19+HISTOBQUEAVRIL25!E19+HISTOBQUEMAI25!E19+HISTOBQUEJUIN25!E19+HISTOBQUEJUIL25!E19+HISTOBQUEAOUT25!E19+HISTOBQUESEPT25!E19+HISTOBQUEOCT25!E19+HISTOBQUENOV25!E19+HISTOBQUEDEC25!E19</f>
        <v>3374500</v>
      </c>
      <c r="F19" s="15">
        <f t="shared" si="0"/>
        <v>7628000</v>
      </c>
      <c r="G19" s="15"/>
      <c r="H19" s="18"/>
    </row>
    <row r="20" spans="1:8" ht="17.5" x14ac:dyDescent="0.35">
      <c r="A20" s="12" t="s">
        <v>129</v>
      </c>
      <c r="B20" s="12" t="str">
        <f>VLOOKUP(A20,[5]LISTADHERENT!$A$4:$J$44,3,0)</f>
        <v>LOWE JEAN</v>
      </c>
      <c r="C20" s="25">
        <f>HISTOBQUEJANV25!C20+HISTOBQUEFEV25!C20+HISTOBQUEMARS25!C20+HISTOBQUEAVRIL25!C20+HISTOBQUEMAI25!C20+HISTOBQUEJUIN25!C20+HISTOBQUEJUIL25!C20+HISTOBQUEAOUT25!C20+HISTOBQUESEPT25!C20+HISTOBQUEOCT25!C20+HISTOBQUENOV25!C20+HISTOBQUEDEC25!C20</f>
        <v>0</v>
      </c>
      <c r="D20" s="25">
        <f>HISTOBQUEJANV25!D20+HISTOBQUEFEV25!D20+HISTOBQUEMARS25!D20+HISTOBQUEAVRIL25!D20+HISTOBQUEMAI25!D20+HISTOBQUEJUIN25!D20+HISTOBQUEJUIL25!D20+HISTOBQUEAOUT25!D20+HISTOBQUESEPT25!D20+HISTOBQUEOCT25!D20+HISTOBQUENOV25!D20+HISTOBQUEDEC25!D20</f>
        <v>50000</v>
      </c>
      <c r="E20" s="25">
        <f>HISTOBQUEJANV25!E20+HISTOBQUEFEV25!E20+HISTOBQUEMARS25!E20+HISTOBQUEAVRIL25!E20+HISTOBQUEMAI25!E20+HISTOBQUEJUIN25!E20+HISTOBQUEJUIL25!E20+HISTOBQUEAOUT25!E20+HISTOBQUESEPT25!E20+HISTOBQUEOCT25!E20+HISTOBQUENOV25!E20+HISTOBQUEDEC25!E20</f>
        <v>0</v>
      </c>
      <c r="F20" s="15">
        <f t="shared" si="0"/>
        <v>50000</v>
      </c>
      <c r="G20" s="15"/>
      <c r="H20" s="18"/>
    </row>
    <row r="21" spans="1:8" ht="17.5" x14ac:dyDescent="0.35">
      <c r="A21" s="11" t="s">
        <v>82</v>
      </c>
      <c r="B21" s="12" t="s">
        <v>107</v>
      </c>
      <c r="C21" s="25">
        <f>HISTOBQUEJANV25!C21+HISTOBQUEFEV25!C21+HISTOBQUEMARS25!C21+HISTOBQUEAVRIL25!C21+HISTOBQUEMAI25!C21+HISTOBQUEJUIN25!C21+HISTOBQUEJUIL25!C21+HISTOBQUEAOUT25!C21+HISTOBQUESEPT25!C21+HISTOBQUEOCT25!C21+HISTOBQUENOV25!C21+HISTOBQUEDEC25!C21</f>
        <v>600000</v>
      </c>
      <c r="D21" s="25">
        <f>HISTOBQUEJANV25!D21+HISTOBQUEFEV25!D21+HISTOBQUEMARS25!D21+HISTOBQUEAVRIL25!D21+HISTOBQUEMAI25!D21+HISTOBQUEJUIN25!D21+HISTOBQUEJUIL25!D21+HISTOBQUEAOUT25!D21+HISTOBQUESEPT25!D21+HISTOBQUEOCT25!D21+HISTOBQUENOV25!D21+HISTOBQUEDEC25!D21</f>
        <v>53000</v>
      </c>
      <c r="E21" s="25">
        <f>HISTOBQUEJANV25!E21+HISTOBQUEFEV25!E21+HISTOBQUEMARS25!E21+HISTOBQUEAVRIL25!E21+HISTOBQUEMAI25!E21+HISTOBQUEJUIN25!E21+HISTOBQUEJUIL25!E21+HISTOBQUEAOUT25!E21+HISTOBQUESEPT25!E21+HISTOBQUEOCT25!E21+HISTOBQUENOV25!E21+HISTOBQUEDEC25!E21</f>
        <v>1225000</v>
      </c>
      <c r="F21" s="15">
        <f t="shared" si="0"/>
        <v>1878000</v>
      </c>
      <c r="G21" s="15"/>
      <c r="H21" s="18"/>
    </row>
    <row r="22" spans="1:8" ht="17.5" x14ac:dyDescent="0.35">
      <c r="A22" s="11" t="s">
        <v>17</v>
      </c>
      <c r="B22" s="12" t="s">
        <v>108</v>
      </c>
      <c r="C22" s="25">
        <f>HISTOBQUEJANV25!C22+HISTOBQUEFEV25!C22+HISTOBQUEMARS25!C22+HISTOBQUEAVRIL25!C22+HISTOBQUEMAI25!C22+HISTOBQUEJUIN25!C22+HISTOBQUEJUIL25!C22+HISTOBQUEAOUT25!C22+HISTOBQUESEPT25!C22+HISTOBQUEOCT25!C22+HISTOBQUENOV25!C22+HISTOBQUEDEC25!C22</f>
        <v>3900000</v>
      </c>
      <c r="D22" s="25">
        <f>HISTOBQUEJANV25!D22+HISTOBQUEFEV25!D22+HISTOBQUEMARS25!D22+HISTOBQUEAVRIL25!D22+HISTOBQUEMAI25!D22+HISTOBQUEJUIN25!D22+HISTOBQUEJUIL25!D22+HISTOBQUEAOUT25!D22+HISTOBQUESEPT25!D22+HISTOBQUEOCT25!D22+HISTOBQUENOV25!D22+HISTOBQUEDEC25!D22</f>
        <v>2341000</v>
      </c>
      <c r="E22" s="25">
        <f>HISTOBQUEJANV25!E22+HISTOBQUEFEV25!E22+HISTOBQUEMARS25!E22+HISTOBQUEAVRIL25!E22+HISTOBQUEMAI25!E22+HISTOBQUEJUIN25!E22+HISTOBQUEJUIL25!E22+HISTOBQUEAOUT25!E22+HISTOBQUESEPT25!E22+HISTOBQUEOCT25!E22+HISTOBQUENOV25!E22+HISTOBQUEDEC25!E22</f>
        <v>5152400</v>
      </c>
      <c r="F22" s="15">
        <f t="shared" si="0"/>
        <v>11393400</v>
      </c>
      <c r="G22" s="15"/>
      <c r="H22" s="18"/>
    </row>
    <row r="23" spans="1:8" ht="17.5" x14ac:dyDescent="0.35">
      <c r="A23" s="11" t="s">
        <v>18</v>
      </c>
      <c r="B23" s="12" t="s">
        <v>109</v>
      </c>
      <c r="C23" s="25">
        <f>HISTOBQUEJANV25!C23+HISTOBQUEFEV25!C23+HISTOBQUEMARS25!C23+HISTOBQUEAVRIL25!C23+HISTOBQUEMAI25!C23+HISTOBQUEJUIN25!C23+HISTOBQUEJUIL25!C23+HISTOBQUEAOUT25!C23+HISTOBQUESEPT25!C23+HISTOBQUEOCT25!C23+HISTOBQUENOV25!C23+HISTOBQUEDEC25!C23</f>
        <v>600000</v>
      </c>
      <c r="D23" s="25">
        <f>HISTOBQUEJANV25!D23+HISTOBQUEFEV25!D23+HISTOBQUEMARS25!D23+HISTOBQUEAVRIL25!D23+HISTOBQUEMAI25!D23+HISTOBQUEJUIN25!D23+HISTOBQUEJUIL25!D23+HISTOBQUEAOUT25!D23+HISTOBQUESEPT25!D23+HISTOBQUEOCT25!D23+HISTOBQUENOV25!D23+HISTOBQUEDEC25!D23</f>
        <v>253000</v>
      </c>
      <c r="E23" s="25">
        <f>HISTOBQUEJANV25!E23+HISTOBQUEFEV25!E23+HISTOBQUEMARS25!E23+HISTOBQUEAVRIL25!E23+HISTOBQUEMAI25!E23+HISTOBQUEJUIN25!E23+HISTOBQUEJUIL25!E23+HISTOBQUEAOUT25!E23+HISTOBQUESEPT25!E23+HISTOBQUEOCT25!E23+HISTOBQUENOV25!E23+HISTOBQUEDEC25!E23</f>
        <v>500000</v>
      </c>
      <c r="F23" s="15">
        <f t="shared" si="0"/>
        <v>1353000</v>
      </c>
      <c r="G23" s="15"/>
      <c r="H23" s="18"/>
    </row>
    <row r="24" spans="1:8" ht="17.5" x14ac:dyDescent="0.35">
      <c r="A24" s="11" t="s">
        <v>19</v>
      </c>
      <c r="B24" s="12" t="s">
        <v>110</v>
      </c>
      <c r="C24" s="25">
        <f>HISTOBQUEJANV25!C24+HISTOBQUEFEV25!C24+HISTOBQUEMARS25!C24+HISTOBQUEAVRIL25!C24+HISTOBQUEMAI25!C24+HISTOBQUEJUIN25!C24+HISTOBQUEJUIL25!C24+HISTOBQUEAOUT25!C24+HISTOBQUESEPT25!C24+HISTOBQUEOCT25!C24+HISTOBQUENOV25!C24+HISTOBQUEDEC25!C24</f>
        <v>1500000</v>
      </c>
      <c r="D24" s="25">
        <f>HISTOBQUEJANV25!D24+HISTOBQUEFEV25!D24+HISTOBQUEMARS25!D24+HISTOBQUEAVRIL25!D24+HISTOBQUEMAI25!D24+HISTOBQUEJUIN25!D24+HISTOBQUEJUIL25!D24+HISTOBQUEAOUT25!D24+HISTOBQUESEPT25!D24+HISTOBQUEOCT25!D24+HISTOBQUENOV25!D24+HISTOBQUEDEC25!D24</f>
        <v>0</v>
      </c>
      <c r="E24" s="25">
        <f>HISTOBQUEJANV25!E24+HISTOBQUEFEV25!E24+HISTOBQUEMARS25!E24+HISTOBQUEAVRIL25!E24+HISTOBQUEMAI25!E24+HISTOBQUEJUIN25!E24+HISTOBQUEJUIL25!E24+HISTOBQUEAOUT25!E24+HISTOBQUESEPT25!E24+HISTOBQUEOCT25!E24+HISTOBQUENOV25!E24+HISTOBQUEDEC25!E24</f>
        <v>1500000</v>
      </c>
      <c r="F24" s="15">
        <f t="shared" si="0"/>
        <v>3000000</v>
      </c>
      <c r="G24" s="15"/>
      <c r="H24" s="18"/>
    </row>
    <row r="25" spans="1:8" ht="17.5" x14ac:dyDescent="0.35">
      <c r="A25" s="11" t="s">
        <v>20</v>
      </c>
      <c r="B25" s="12" t="s">
        <v>111</v>
      </c>
      <c r="C25" s="25">
        <f>HISTOBQUEJANV25!C25+HISTOBQUEFEV25!C25+HISTOBQUEMARS25!C25+HISTOBQUEAVRIL25!C25+HISTOBQUEMAI25!C25+HISTOBQUEJUIN25!C25+HISTOBQUEJUIL25!C25+HISTOBQUEAOUT25!C25+HISTOBQUESEPT25!C25+HISTOBQUEOCT25!C25+HISTOBQUENOV25!C25+HISTOBQUEDEC25!C25</f>
        <v>3000000</v>
      </c>
      <c r="D25" s="25">
        <f>HISTOBQUEJANV25!D25+HISTOBQUEFEV25!D25+HISTOBQUEMARS25!D25+HISTOBQUEAVRIL25!D25+HISTOBQUEMAI25!D25+HISTOBQUEJUIN25!D25+HISTOBQUEJUIL25!D25+HISTOBQUEAOUT25!D25+HISTOBQUESEPT25!D25+HISTOBQUEOCT25!D25+HISTOBQUENOV25!D25+HISTOBQUEDEC25!D25</f>
        <v>508000</v>
      </c>
      <c r="E25" s="25">
        <f>HISTOBQUEJANV25!E25+HISTOBQUEFEV25!E25+HISTOBQUEMARS25!E25+HISTOBQUEAVRIL25!E25+HISTOBQUEMAI25!E25+HISTOBQUEJUIN25!E25+HISTOBQUEJUIL25!E25+HISTOBQUEAOUT25!E25+HISTOBQUESEPT25!E25+HISTOBQUEOCT25!E25+HISTOBQUENOV25!E25+HISTOBQUEDEC25!E25</f>
        <v>4468000</v>
      </c>
      <c r="F25" s="15">
        <f t="shared" si="0"/>
        <v>7976000</v>
      </c>
      <c r="G25" s="15"/>
      <c r="H25" s="18"/>
    </row>
    <row r="26" spans="1:8" ht="17.5" x14ac:dyDescent="0.35">
      <c r="A26" s="11" t="s">
        <v>21</v>
      </c>
      <c r="B26" s="12" t="s">
        <v>112</v>
      </c>
      <c r="C26" s="25">
        <f>HISTOBQUEJANV25!C26+HISTOBQUEFEV25!C26+HISTOBQUEMARS25!C26+HISTOBQUEAVRIL25!C26+HISTOBQUEMAI25!C26+HISTOBQUEJUIN25!C26+HISTOBQUEJUIL25!C26+HISTOBQUEAOUT25!C26+HISTOBQUESEPT25!C26+HISTOBQUEOCT25!C26+HISTOBQUENOV25!C26+HISTOBQUEDEC25!C26</f>
        <v>2700000</v>
      </c>
      <c r="D26" s="25">
        <f>HISTOBQUEJANV25!D26+HISTOBQUEFEV25!D26+HISTOBQUEMARS25!D26+HISTOBQUEAVRIL25!D26+HISTOBQUEMAI25!D26+HISTOBQUEJUIN25!D26+HISTOBQUEJUIL25!D26+HISTOBQUEAOUT25!D26+HISTOBQUESEPT25!D26+HISTOBQUEOCT25!D26+HISTOBQUENOV25!D26+HISTOBQUEDEC25!D26</f>
        <v>761125</v>
      </c>
      <c r="E26" s="25">
        <f>HISTOBQUEJANV25!E26+HISTOBQUEFEV25!E26+HISTOBQUEMARS25!E26+HISTOBQUEAVRIL25!E26+HISTOBQUEMAI25!E26+HISTOBQUEJUIN25!E26+HISTOBQUEJUIL25!E26+HISTOBQUEAOUT25!E26+HISTOBQUESEPT25!E26+HISTOBQUEOCT25!E26+HISTOBQUENOV25!E26+HISTOBQUEDEC25!E26</f>
        <v>4127500</v>
      </c>
      <c r="F26" s="15">
        <f t="shared" si="0"/>
        <v>7588625</v>
      </c>
      <c r="G26" s="15"/>
      <c r="H26" s="18"/>
    </row>
    <row r="27" spans="1:8" ht="17.5" x14ac:dyDescent="0.35">
      <c r="A27" s="11" t="s">
        <v>22</v>
      </c>
      <c r="B27" s="12" t="s">
        <v>113</v>
      </c>
      <c r="C27" s="25">
        <f>HISTOBQUEJANV25!C27+HISTOBQUEFEV25!C27+HISTOBQUEMARS25!C27+HISTOBQUEAVRIL25!C27+HISTOBQUEMAI25!C27+HISTOBQUEJUIN25!C27+HISTOBQUEJUIL25!C27+HISTOBQUEAOUT25!C27+HISTOBQUESEPT25!C27+HISTOBQUEOCT25!C27+HISTOBQUENOV25!C27+HISTOBQUEDEC25!C27</f>
        <v>3000000</v>
      </c>
      <c r="D27" s="25">
        <f>HISTOBQUEJANV25!D27+HISTOBQUEFEV25!D27+HISTOBQUEMARS25!D27+HISTOBQUEAVRIL25!D27+HISTOBQUEMAI25!D27+HISTOBQUEJUIN25!D27+HISTOBQUEJUIL25!D27+HISTOBQUEAOUT25!D27+HISTOBQUESEPT25!D27+HISTOBQUEOCT25!D27+HISTOBQUENOV25!D27+HISTOBQUEDEC25!D27</f>
        <v>85000</v>
      </c>
      <c r="E27" s="25">
        <f>HISTOBQUEJANV25!E27+HISTOBQUEFEV25!E27+HISTOBQUEMARS25!E27+HISTOBQUEAVRIL25!E27+HISTOBQUEMAI25!E27+HISTOBQUEJUIN25!E27+HISTOBQUEJUIL25!E27+HISTOBQUEAOUT25!E27+HISTOBQUESEPT25!E27+HISTOBQUEOCT25!E27+HISTOBQUENOV25!E27+HISTOBQUEDEC25!E27</f>
        <v>4183000</v>
      </c>
      <c r="F27" s="15">
        <f t="shared" si="0"/>
        <v>7268000</v>
      </c>
      <c r="G27" s="15"/>
      <c r="H27" s="18"/>
    </row>
    <row r="28" spans="1:8" ht="17.5" x14ac:dyDescent="0.35">
      <c r="A28" s="11" t="s">
        <v>23</v>
      </c>
      <c r="B28" s="12" t="s">
        <v>114</v>
      </c>
      <c r="C28" s="25">
        <f>HISTOBQUEJANV25!C28+HISTOBQUEFEV25!C28+HISTOBQUEMARS25!C28+HISTOBQUEAVRIL25!C28+HISTOBQUEMAI25!C28+HISTOBQUEJUIN25!C28+HISTOBQUEJUIL25!C28+HISTOBQUEAOUT25!C28+HISTOBQUESEPT25!C28+HISTOBQUEOCT25!C28+HISTOBQUENOV25!C28+HISTOBQUEDEC25!C28</f>
        <v>600000</v>
      </c>
      <c r="D28" s="25">
        <f>HISTOBQUEJANV25!D28+HISTOBQUEFEV25!D28+HISTOBQUEMARS25!D28+HISTOBQUEAVRIL25!D28+HISTOBQUEMAI25!D28+HISTOBQUEJUIN25!D28+HISTOBQUEJUIL25!D28+HISTOBQUEAOUT25!D28+HISTOBQUESEPT25!D28+HISTOBQUEOCT25!D28+HISTOBQUENOV25!D28+HISTOBQUEDEC25!D28</f>
        <v>1103000</v>
      </c>
      <c r="E28" s="25">
        <f>HISTOBQUEJANV25!E28+HISTOBQUEFEV25!E28+HISTOBQUEMARS25!E28+HISTOBQUEAVRIL25!E28+HISTOBQUEMAI25!E28+HISTOBQUEJUIN25!E28+HISTOBQUEJUIL25!E28+HISTOBQUEAOUT25!E28+HISTOBQUESEPT25!E28+HISTOBQUEOCT25!E28+HISTOBQUENOV25!E28+HISTOBQUEDEC25!E28</f>
        <v>1019000</v>
      </c>
      <c r="F28" s="15">
        <f t="shared" si="0"/>
        <v>2722000</v>
      </c>
      <c r="G28" s="15"/>
      <c r="H28" s="18"/>
    </row>
    <row r="29" spans="1:8" ht="17.5" x14ac:dyDescent="0.35">
      <c r="A29" s="11" t="s">
        <v>63</v>
      </c>
      <c r="B29" s="12" t="s">
        <v>115</v>
      </c>
      <c r="C29" s="25">
        <f>HISTOBQUEJANV25!C29+HISTOBQUEFEV25!C29+HISTOBQUEMARS25!C29+HISTOBQUEAVRIL25!C29+HISTOBQUEMAI25!C29+HISTOBQUEJUIN25!C29+HISTOBQUEJUIL25!C29+HISTOBQUEAOUT25!C29+HISTOBQUESEPT25!C29+HISTOBQUEOCT25!C29+HISTOBQUENOV25!C29+HISTOBQUEDEC25!C29</f>
        <v>600000</v>
      </c>
      <c r="D29" s="25">
        <f>HISTOBQUEJANV25!D29+HISTOBQUEFEV25!D29+HISTOBQUEMARS25!D29+HISTOBQUEAVRIL25!D29+HISTOBQUEMAI25!D29+HISTOBQUEJUIN25!D29+HISTOBQUEJUIL25!D29+HISTOBQUEAOUT25!D29+HISTOBQUESEPT25!D29+HISTOBQUEOCT25!D29+HISTOBQUENOV25!D29+HISTOBQUEDEC25!D29</f>
        <v>150000</v>
      </c>
      <c r="E29" s="25">
        <f>HISTOBQUEJANV25!E29+HISTOBQUEFEV25!E29+HISTOBQUEMARS25!E29+HISTOBQUEAVRIL25!E29+HISTOBQUEMAI25!E29+HISTOBQUEJUIN25!E29+HISTOBQUEJUIL25!E29+HISTOBQUEAOUT25!E29+HISTOBQUESEPT25!E29+HISTOBQUEOCT25!E29+HISTOBQUENOV25!E29+HISTOBQUEDEC25!E29</f>
        <v>850000</v>
      </c>
      <c r="F29" s="15">
        <f t="shared" si="0"/>
        <v>1600000</v>
      </c>
      <c r="G29" s="15"/>
      <c r="H29" s="18"/>
    </row>
    <row r="30" spans="1:8" ht="17.5" x14ac:dyDescent="0.35">
      <c r="A30" s="11" t="s">
        <v>24</v>
      </c>
      <c r="B30" s="12" t="s">
        <v>116</v>
      </c>
      <c r="C30" s="25">
        <f>HISTOBQUEJANV25!C30+HISTOBQUEFEV25!C30+HISTOBQUEMARS25!C30+HISTOBQUEAVRIL25!C30+HISTOBQUEMAI25!C30+HISTOBQUEJUIN25!C30+HISTOBQUEJUIL25!C30+HISTOBQUEAOUT25!C30+HISTOBQUESEPT25!C30+HISTOBQUEOCT25!C30+HISTOBQUENOV25!C30+HISTOBQUEDEC25!C30</f>
        <v>1500000</v>
      </c>
      <c r="D30" s="25">
        <f>HISTOBQUEJANV25!D30+HISTOBQUEFEV25!D30+HISTOBQUEMARS25!D30+HISTOBQUEAVRIL25!D30+HISTOBQUEMAI25!D30+HISTOBQUEJUIN25!D30+HISTOBQUEJUIL25!D30+HISTOBQUEAOUT25!D30+HISTOBQUESEPT25!D30+HISTOBQUEOCT25!D30+HISTOBQUENOV25!D30+HISTOBQUEDEC25!D30</f>
        <v>0</v>
      </c>
      <c r="E30" s="25">
        <f>HISTOBQUEJANV25!E30+HISTOBQUEFEV25!E30+HISTOBQUEMARS25!E30+HISTOBQUEAVRIL25!E30+HISTOBQUEMAI25!E30+HISTOBQUEJUIN25!E30+HISTOBQUEJUIL25!E30+HISTOBQUEAOUT25!E30+HISTOBQUESEPT25!E30+HISTOBQUEOCT25!E30+HISTOBQUENOV25!E30+HISTOBQUEDEC25!E30</f>
        <v>1500000</v>
      </c>
      <c r="F30" s="15">
        <f t="shared" si="0"/>
        <v>3000000</v>
      </c>
      <c r="G30" s="15"/>
      <c r="H30" s="18"/>
    </row>
    <row r="31" spans="1:8" ht="17.5" x14ac:dyDescent="0.35">
      <c r="A31" s="11" t="s">
        <v>64</v>
      </c>
      <c r="B31" s="12" t="s">
        <v>117</v>
      </c>
      <c r="C31" s="25">
        <f>HISTOBQUEJANV25!C31+HISTOBQUEFEV25!C31+HISTOBQUEMARS25!C31+HISTOBQUEAVRIL25!C31+HISTOBQUEMAI25!C31+HISTOBQUEJUIN25!C31+HISTOBQUEJUIL25!C31+HISTOBQUEAOUT25!C31+HISTOBQUESEPT25!C31+HISTOBQUEOCT25!C31+HISTOBQUENOV25!C31+HISTOBQUEDEC25!C31</f>
        <v>600000</v>
      </c>
      <c r="D31" s="25">
        <f>HISTOBQUEJANV25!D31+HISTOBQUEFEV25!D31+HISTOBQUEMARS25!D31+HISTOBQUEAVRIL25!D31+HISTOBQUEMAI25!D31+HISTOBQUEJUIN25!D31+HISTOBQUEJUIL25!D31+HISTOBQUEAOUT25!D31+HISTOBQUESEPT25!D31+HISTOBQUEOCT25!D31+HISTOBQUENOV25!D31+HISTOBQUEDEC25!D31</f>
        <v>30000</v>
      </c>
      <c r="E31" s="25">
        <f>HISTOBQUEJANV25!E31+HISTOBQUEFEV25!E31+HISTOBQUEMARS25!E31+HISTOBQUEAVRIL25!E31+HISTOBQUEMAI25!E31+HISTOBQUEJUIN25!E31+HISTOBQUEJUIL25!E31+HISTOBQUEAOUT25!E31+HISTOBQUESEPT25!E31+HISTOBQUEOCT25!E31+HISTOBQUENOV25!E31+HISTOBQUEDEC25!E31</f>
        <v>701000</v>
      </c>
      <c r="F31" s="15">
        <f t="shared" si="0"/>
        <v>1331000</v>
      </c>
      <c r="G31" s="15"/>
      <c r="H31" s="18"/>
    </row>
    <row r="32" spans="1:8" ht="17.5" x14ac:dyDescent="0.35">
      <c r="A32" s="11" t="s">
        <v>25</v>
      </c>
      <c r="B32" s="12" t="s">
        <v>118</v>
      </c>
      <c r="C32" s="25">
        <f>HISTOBQUEJANV25!C32+HISTOBQUEFEV25!C32+HISTOBQUEMARS25!C32+HISTOBQUEAVRIL25!C32+HISTOBQUEMAI25!C32+HISTOBQUEJUIN25!C32+HISTOBQUEJUIL25!C32+HISTOBQUEAOUT25!C32+HISTOBQUESEPT25!C32+HISTOBQUEOCT25!C32+HISTOBQUENOV25!C32+HISTOBQUEDEC25!C32</f>
        <v>3000000</v>
      </c>
      <c r="D32" s="25">
        <f>HISTOBQUEJANV25!D32+HISTOBQUEFEV25!D32+HISTOBQUEMARS25!D32+HISTOBQUEAVRIL25!D32+HISTOBQUEMAI25!D32+HISTOBQUEJUIN25!D32+HISTOBQUEJUIL25!D32+HISTOBQUEAOUT25!D32+HISTOBQUESEPT25!D32+HISTOBQUEOCT25!D32+HISTOBQUENOV25!D32+HISTOBQUEDEC25!D32</f>
        <v>1712500</v>
      </c>
      <c r="E32" s="25">
        <f>HISTOBQUEJANV25!E32+HISTOBQUEFEV25!E32+HISTOBQUEMARS25!E32+HISTOBQUEAVRIL25!E32+HISTOBQUEMAI25!E32+HISTOBQUEJUIN25!E32+HISTOBQUEJUIL25!E32+HISTOBQUEAOUT25!E32+HISTOBQUESEPT25!E32+HISTOBQUEOCT25!E32+HISTOBQUENOV25!E32+HISTOBQUEDEC25!E32</f>
        <v>3008000</v>
      </c>
      <c r="F32" s="15">
        <f t="shared" si="0"/>
        <v>7720500</v>
      </c>
      <c r="G32" s="15"/>
      <c r="H32" s="18"/>
    </row>
    <row r="33" spans="1:8" ht="17.5" x14ac:dyDescent="0.35">
      <c r="A33" s="12" t="s">
        <v>89</v>
      </c>
      <c r="B33" s="12" t="str">
        <f>VLOOKUP(A33,[5]LISTADHERENT!$A$4:$J$44,3,0)</f>
        <v>SIMO FONGANG ERIC</v>
      </c>
      <c r="C33" s="25">
        <f>HISTOBQUEJANV25!C33+HISTOBQUEFEV25!C33+HISTOBQUEMARS25!C33+HISTOBQUEAVRIL25!C33+HISTOBQUEMAI25!C33+HISTOBQUEJUIN25!C33+HISTOBQUEJUIL25!C33+HISTOBQUEAOUT25!C33+HISTOBQUESEPT25!C33+HISTOBQUEOCT25!C33+HISTOBQUENOV25!C33+HISTOBQUEDEC25!C33</f>
        <v>600000</v>
      </c>
      <c r="D33" s="25">
        <f>HISTOBQUEJANV25!D33+HISTOBQUEFEV25!D33+HISTOBQUEMARS25!D33+HISTOBQUEAVRIL25!D33+HISTOBQUEMAI25!D33+HISTOBQUEJUIN25!D33+HISTOBQUEJUIL25!D33+HISTOBQUEAOUT25!D33+HISTOBQUESEPT25!D33+HISTOBQUEOCT25!D33+HISTOBQUENOV25!D33+HISTOBQUEDEC25!D33</f>
        <v>313000</v>
      </c>
      <c r="E33" s="25">
        <f>HISTOBQUEJANV25!E33+HISTOBQUEFEV25!E33+HISTOBQUEMARS25!E33+HISTOBQUEAVRIL25!E33+HISTOBQUEMAI25!E33+HISTOBQUEJUIN25!E33+HISTOBQUEJUIL25!E33+HISTOBQUEAOUT25!E33+HISTOBQUESEPT25!E33+HISTOBQUEOCT25!E33+HISTOBQUENOV25!E33+HISTOBQUEDEC25!E33</f>
        <v>300000</v>
      </c>
      <c r="F33" s="15">
        <f t="shared" si="0"/>
        <v>1213000</v>
      </c>
      <c r="G33" s="15"/>
      <c r="H33" s="18"/>
    </row>
    <row r="34" spans="1:8" ht="17.5" x14ac:dyDescent="0.35">
      <c r="A34" s="11" t="s">
        <v>26</v>
      </c>
      <c r="B34" s="12" t="s">
        <v>119</v>
      </c>
      <c r="C34" s="25">
        <f>HISTOBQUEJANV25!C34+HISTOBQUEFEV25!C34+HISTOBQUEMARS25!C34+HISTOBQUEAVRIL25!C34+HISTOBQUEMAI25!C34+HISTOBQUEJUIN25!C34+HISTOBQUEJUIL25!C34+HISTOBQUEAOUT25!C34+HISTOBQUESEPT25!C34+HISTOBQUEOCT25!C34+HISTOBQUENOV25!C34+HISTOBQUEDEC25!C34</f>
        <v>1500000</v>
      </c>
      <c r="D34" s="25">
        <f>HISTOBQUEJANV25!D34+HISTOBQUEFEV25!D34+HISTOBQUEMARS25!D34+HISTOBQUEAVRIL25!D34+HISTOBQUEMAI25!D34+HISTOBQUEJUIN25!D34+HISTOBQUEJUIL25!D34+HISTOBQUEAOUT25!D34+HISTOBQUESEPT25!D34+HISTOBQUEOCT25!D34+HISTOBQUENOV25!D34+HISTOBQUEDEC25!D34</f>
        <v>500000</v>
      </c>
      <c r="E34" s="25">
        <f>HISTOBQUEJANV25!E34+HISTOBQUEFEV25!E34+HISTOBQUEMARS25!E34+HISTOBQUEAVRIL25!E34+HISTOBQUEMAI25!E34+HISTOBQUEJUIN25!E34+HISTOBQUEJUIL25!E34+HISTOBQUEAOUT25!E34+HISTOBQUESEPT25!E34+HISTOBQUEOCT25!E34+HISTOBQUENOV25!E34+HISTOBQUEDEC25!E34</f>
        <v>1241000</v>
      </c>
      <c r="F34" s="15">
        <f t="shared" si="0"/>
        <v>3241000</v>
      </c>
      <c r="G34" s="15"/>
      <c r="H34" s="18"/>
    </row>
    <row r="35" spans="1:8" ht="17.5" x14ac:dyDescent="0.35">
      <c r="A35" s="11" t="s">
        <v>27</v>
      </c>
      <c r="B35" s="12" t="s">
        <v>120</v>
      </c>
      <c r="C35" s="25">
        <f>HISTOBQUEJANV25!C35+HISTOBQUEFEV25!C35+HISTOBQUEMARS25!C35+HISTOBQUEAVRIL25!C35+HISTOBQUEMAI25!C35+HISTOBQUEJUIN25!C35+HISTOBQUEJUIL25!C35+HISTOBQUEAOUT25!C35+HISTOBQUESEPT25!C35+HISTOBQUEOCT25!C35+HISTOBQUENOV25!C35+HISTOBQUEDEC25!C35</f>
        <v>1500000</v>
      </c>
      <c r="D35" s="25">
        <f>HISTOBQUEJANV25!D35+HISTOBQUEFEV25!D35+HISTOBQUEMARS25!D35+HISTOBQUEAVRIL25!D35+HISTOBQUEMAI25!D35+HISTOBQUEJUIN25!D35+HISTOBQUEJUIL25!D35+HISTOBQUEAOUT25!D35+HISTOBQUESEPT25!D35+HISTOBQUEOCT25!D35+HISTOBQUENOV25!D35+HISTOBQUEDEC25!D35</f>
        <v>1304500</v>
      </c>
      <c r="E35" s="25">
        <f>HISTOBQUEJANV25!E35+HISTOBQUEFEV25!E35+HISTOBQUEMARS25!E35+HISTOBQUEAVRIL25!E35+HISTOBQUEMAI25!E35+HISTOBQUEJUIN25!E35+HISTOBQUEJUIL25!E35+HISTOBQUEAOUT25!E35+HISTOBQUESEPT25!E35+HISTOBQUEOCT25!E35+HISTOBQUENOV25!E35+HISTOBQUEDEC25!E35</f>
        <v>2058000</v>
      </c>
      <c r="F35" s="15">
        <f t="shared" si="0"/>
        <v>4862500</v>
      </c>
      <c r="G35" s="15"/>
      <c r="H35" s="18"/>
    </row>
    <row r="36" spans="1:8" ht="17.5" x14ac:dyDescent="0.35">
      <c r="A36" s="11" t="s">
        <v>81</v>
      </c>
      <c r="B36" s="12" t="s">
        <v>121</v>
      </c>
      <c r="C36" s="25">
        <f>HISTOBQUEJANV25!C36+HISTOBQUEFEV25!C36+HISTOBQUEMARS25!C36+HISTOBQUEAVRIL25!C36+HISTOBQUEMAI25!C36+HISTOBQUEJUIN25!C36+HISTOBQUEJUIL25!C36+HISTOBQUEAOUT25!C36+HISTOBQUESEPT25!C36+HISTOBQUEOCT25!C36+HISTOBQUENOV25!C36+HISTOBQUEDEC25!C36</f>
        <v>1800000</v>
      </c>
      <c r="D36" s="25">
        <f>HISTOBQUEJANV25!D36+HISTOBQUEFEV25!D36+HISTOBQUEMARS25!D36+HISTOBQUEAVRIL25!D36+HISTOBQUEMAI25!D36+HISTOBQUEJUIN25!D36+HISTOBQUEJUIL25!D36+HISTOBQUEAOUT25!D36+HISTOBQUESEPT25!D36+HISTOBQUEOCT25!D36+HISTOBQUENOV25!D36+HISTOBQUEDEC25!D36</f>
        <v>208000</v>
      </c>
      <c r="E36" s="25">
        <f>HISTOBQUEJANV25!E36+HISTOBQUEFEV25!E36+HISTOBQUEMARS25!E36+HISTOBQUEAVRIL25!E36+HISTOBQUEMAI25!E36+HISTOBQUEJUIN25!E36+HISTOBQUEJUIL25!E36+HISTOBQUEAOUT25!E36+HISTOBQUESEPT25!E36+HISTOBQUEOCT25!E36+HISTOBQUENOV25!E36+HISTOBQUEDEC25!E36</f>
        <v>2800000</v>
      </c>
      <c r="F36" s="15">
        <f t="shared" si="0"/>
        <v>4808000</v>
      </c>
      <c r="G36" s="15"/>
      <c r="H36" s="18"/>
    </row>
    <row r="37" spans="1:8" ht="17.5" x14ac:dyDescent="0.35">
      <c r="A37" s="11" t="s">
        <v>62</v>
      </c>
      <c r="B37" s="12" t="s">
        <v>122</v>
      </c>
      <c r="C37" s="25">
        <f>HISTOBQUEJANV25!C37+HISTOBQUEFEV25!C37+HISTOBQUEMARS25!C37+HISTOBQUEAVRIL25!C37+HISTOBQUEMAI25!C37+HISTOBQUEJUIN25!C37+HISTOBQUEJUIL25!C37+HISTOBQUEAOUT25!C37+HISTOBQUESEPT25!C37+HISTOBQUEOCT25!C37+HISTOBQUENOV25!C37+HISTOBQUEDEC25!C37</f>
        <v>600000</v>
      </c>
      <c r="D37" s="25">
        <f>HISTOBQUEJANV25!D37+HISTOBQUEFEV25!D37+HISTOBQUEMARS25!D37+HISTOBQUEAVRIL25!D37+HISTOBQUEMAI25!D37+HISTOBQUEJUIN25!D37+HISTOBQUEJUIL25!D37+HISTOBQUEAOUT25!D37+HISTOBQUESEPT25!D37+HISTOBQUEOCT25!D37+HISTOBQUENOV25!D37+HISTOBQUEDEC25!D37</f>
        <v>0</v>
      </c>
      <c r="E37" s="25">
        <f>HISTOBQUEJANV25!E37+HISTOBQUEFEV25!E37+HISTOBQUEMARS25!E37+HISTOBQUEAVRIL25!E37+HISTOBQUEMAI25!E37+HISTOBQUEJUIN25!E37+HISTOBQUEJUIL25!E37+HISTOBQUEAOUT25!E37+HISTOBQUESEPT25!E37+HISTOBQUEOCT25!E37+HISTOBQUENOV25!E37+HISTOBQUEDEC25!E37</f>
        <v>600000</v>
      </c>
      <c r="F37" s="15">
        <f t="shared" si="0"/>
        <v>1200000</v>
      </c>
      <c r="G37" s="15"/>
      <c r="H37" s="18"/>
    </row>
    <row r="38" spans="1:8" ht="17.5" x14ac:dyDescent="0.35">
      <c r="A38" s="12" t="s">
        <v>90</v>
      </c>
      <c r="B38" s="12" t="str">
        <f>VLOOKUP(A38,[5]LISTADHERENT!$A$4:$J$44,3,0)</f>
        <v>TIEYAM ERNEST</v>
      </c>
      <c r="C38" s="25">
        <f>HISTOBQUEJANV25!C38+HISTOBQUEFEV25!C38+HISTOBQUEMARS25!C38+HISTOBQUEAVRIL25!C38+HISTOBQUEMAI25!C38+HISTOBQUEJUIN25!C38+HISTOBQUEJUIL25!C38+HISTOBQUEAOUT25!C38+HISTOBQUESEPT25!C38+HISTOBQUEOCT25!C38+HISTOBQUENOV25!C38+HISTOBQUEDEC25!C38</f>
        <v>600000</v>
      </c>
      <c r="D38" s="25">
        <f>HISTOBQUEJANV25!D38+HISTOBQUEFEV25!D38+HISTOBQUEMARS25!D38+HISTOBQUEAVRIL25!D38+HISTOBQUEMAI25!D38+HISTOBQUEJUIN25!D38+HISTOBQUEJUIL25!D38+HISTOBQUEAOUT25!D38+HISTOBQUESEPT25!D38+HISTOBQUEOCT25!D38+HISTOBQUENOV25!D38+HISTOBQUEDEC25!D38</f>
        <v>466300</v>
      </c>
      <c r="E38" s="25">
        <f>HISTOBQUEJANV25!E38+HISTOBQUEFEV25!E38+HISTOBQUEMARS25!E38+HISTOBQUEAVRIL25!E38+HISTOBQUEMAI25!E38+HISTOBQUEJUIN25!E38+HISTOBQUEJUIL25!E38+HISTOBQUEAOUT25!E38+HISTOBQUESEPT25!E38+HISTOBQUEOCT25!E38+HISTOBQUENOV25!E38+HISTOBQUEDEC25!E38</f>
        <v>150000</v>
      </c>
      <c r="F38" s="15">
        <f t="shared" si="0"/>
        <v>1216300</v>
      </c>
      <c r="G38" s="15"/>
      <c r="H38" s="18"/>
    </row>
    <row r="39" spans="1:8" ht="17.5" x14ac:dyDescent="0.35">
      <c r="A39" s="11" t="s">
        <v>65</v>
      </c>
      <c r="B39" s="12" t="s">
        <v>123</v>
      </c>
      <c r="C39" s="25">
        <f>HISTOBQUEJANV25!C39+HISTOBQUEFEV25!C39+HISTOBQUEMARS25!C39+HISTOBQUEAVRIL25!C39+HISTOBQUEMAI25!C39+HISTOBQUEJUIN25!C39+HISTOBQUEJUIL25!C39+HISTOBQUEAOUT25!C39+HISTOBQUESEPT25!C39+HISTOBQUEOCT25!C39+HISTOBQUENOV25!C39+HISTOBQUEDEC25!C39</f>
        <v>1500000</v>
      </c>
      <c r="D39" s="25">
        <f>HISTOBQUEJANV25!D39+HISTOBQUEFEV25!D39+HISTOBQUEMARS25!D39+HISTOBQUEAVRIL25!D39+HISTOBQUEMAI25!D39+HISTOBQUEJUIN25!D39+HISTOBQUEJUIL25!D39+HISTOBQUEAOUT25!D39+HISTOBQUESEPT25!D39+HISTOBQUEOCT25!D39+HISTOBQUENOV25!D39+HISTOBQUEDEC25!D39</f>
        <v>177500</v>
      </c>
      <c r="E39" s="25">
        <f>HISTOBQUEJANV25!E39+HISTOBQUEFEV25!E39+HISTOBQUEMARS25!E39+HISTOBQUEAVRIL25!E39+HISTOBQUEMAI25!E39+HISTOBQUEJUIN25!E39+HISTOBQUEJUIL25!E39+HISTOBQUEAOUT25!E39+HISTOBQUESEPT25!E39+HISTOBQUEOCT25!E39+HISTOBQUENOV25!E39+HISTOBQUEDEC25!E39</f>
        <v>1796500</v>
      </c>
      <c r="F39" s="15">
        <f t="shared" si="0"/>
        <v>3474000</v>
      </c>
      <c r="G39" s="15"/>
      <c r="H39" s="18"/>
    </row>
    <row r="40" spans="1:8" ht="17.5" x14ac:dyDescent="0.35">
      <c r="A40" s="11" t="s">
        <v>28</v>
      </c>
      <c r="B40" s="12" t="s">
        <v>124</v>
      </c>
      <c r="C40" s="25">
        <f>HISTOBQUEJANV25!C40+HISTOBQUEFEV25!C40+HISTOBQUEMARS25!C40+HISTOBQUEAVRIL25!C40+HISTOBQUEMAI25!C40+HISTOBQUEJUIN25!C40+HISTOBQUEJUIL25!C40+HISTOBQUEAOUT25!C40+HISTOBQUESEPT25!C40+HISTOBQUEOCT25!C40+HISTOBQUENOV25!C40+HISTOBQUEDEC25!C40</f>
        <v>600000</v>
      </c>
      <c r="D40" s="25">
        <f>HISTOBQUEJANV25!D40+HISTOBQUEFEV25!D40+HISTOBQUEMARS25!D40+HISTOBQUEAVRIL25!D40+HISTOBQUEMAI25!D40+HISTOBQUEJUIN25!D40+HISTOBQUEJUIL25!D40+HISTOBQUEAOUT25!D40+HISTOBQUESEPT25!D40+HISTOBQUEOCT25!D40+HISTOBQUENOV25!D40+HISTOBQUEDEC25!D40</f>
        <v>250000</v>
      </c>
      <c r="E40" s="25">
        <f>HISTOBQUEJANV25!E40+HISTOBQUEFEV25!E40+HISTOBQUEMARS25!E40+HISTOBQUEAVRIL25!E40+HISTOBQUEMAI25!E40+HISTOBQUEJUIN25!E40+HISTOBQUEJUIL25!E40+HISTOBQUEAOUT25!E40+HISTOBQUESEPT25!E40+HISTOBQUEOCT25!E40+HISTOBQUENOV25!E40+HISTOBQUEDEC25!E40</f>
        <v>350000</v>
      </c>
      <c r="F40" s="15">
        <f t="shared" si="0"/>
        <v>1200000</v>
      </c>
      <c r="G40" s="15"/>
      <c r="H40" s="18"/>
    </row>
    <row r="41" spans="1:8" ht="17.5" x14ac:dyDescent="0.35">
      <c r="A41" s="11" t="s">
        <v>80</v>
      </c>
      <c r="B41" s="12" t="s">
        <v>125</v>
      </c>
      <c r="C41" s="25">
        <f>HISTOBQUEJANV25!C41+HISTOBQUEFEV25!C41+HISTOBQUEMARS25!C41+HISTOBQUEAVRIL25!C41+HISTOBQUEMAI25!C41+HISTOBQUEJUIN25!C41+HISTOBQUEJUIL25!C41+HISTOBQUEAOUT25!C41+HISTOBQUESEPT25!C41+HISTOBQUEOCT25!C41+HISTOBQUENOV25!C41+HISTOBQUEDEC25!C41</f>
        <v>3000000</v>
      </c>
      <c r="D41" s="25">
        <f>HISTOBQUEJANV25!D41+HISTOBQUEFEV25!D41+HISTOBQUEMARS25!D41+HISTOBQUEAVRIL25!D41+HISTOBQUEMAI25!D41+HISTOBQUEJUIN25!D41+HISTOBQUEJUIL25!D41+HISTOBQUEAOUT25!D41+HISTOBQUESEPT25!D41+HISTOBQUEOCT25!D41+HISTOBQUENOV25!D41+HISTOBQUEDEC25!D41</f>
        <v>1968000</v>
      </c>
      <c r="E41" s="25">
        <f>HISTOBQUEJANV25!E41+HISTOBQUEFEV25!E41+HISTOBQUEMARS25!E41+HISTOBQUEAVRIL25!E41+HISTOBQUEMAI25!E41+HISTOBQUEJUIN25!E41+HISTOBQUEJUIL25!E41+HISTOBQUEAOUT25!E41+HISTOBQUESEPT25!E41+HISTOBQUEOCT25!E41+HISTOBQUENOV25!E41+HISTOBQUEDEC25!E41</f>
        <v>1250000</v>
      </c>
      <c r="F41" s="15">
        <f t="shared" si="0"/>
        <v>6218000</v>
      </c>
      <c r="G41" s="15"/>
      <c r="H41" s="18"/>
    </row>
    <row r="42" spans="1:8" ht="17.5" x14ac:dyDescent="0.35">
      <c r="A42" s="11" t="s">
        <v>29</v>
      </c>
      <c r="B42" s="12" t="s">
        <v>126</v>
      </c>
      <c r="C42" s="25">
        <f>HISTOBQUEJANV25!C42+HISTOBQUEFEV25!C42+HISTOBQUEMARS25!C42+HISTOBQUEAVRIL25!C42+HISTOBQUEMAI25!C42+HISTOBQUEJUIN25!C42+HISTOBQUEJUIL25!C42+HISTOBQUEAOUT25!C42+HISTOBQUESEPT25!C42+HISTOBQUEOCT25!C42+HISTOBQUENOV25!C42+HISTOBQUEDEC25!C42</f>
        <v>2700000</v>
      </c>
      <c r="D42" s="25">
        <f>HISTOBQUEJANV25!D42+HISTOBQUEFEV25!D42+HISTOBQUEMARS25!D42+HISTOBQUEAVRIL25!D42+HISTOBQUEMAI25!D42+HISTOBQUEJUIN25!D42+HISTOBQUEJUIL25!D42+HISTOBQUEAOUT25!D42+HISTOBQUESEPT25!D42+HISTOBQUEOCT25!D42+HISTOBQUENOV25!D42+HISTOBQUEDEC25!D42</f>
        <v>0</v>
      </c>
      <c r="E42" s="25">
        <f>HISTOBQUEJANV25!E42+HISTOBQUEFEV25!E42+HISTOBQUEMARS25!E42+HISTOBQUEAVRIL25!E42+HISTOBQUEMAI25!E42+HISTOBQUEJUIN25!E42+HISTOBQUEJUIL25!E42+HISTOBQUEAOUT25!E42+HISTOBQUESEPT25!E42+HISTOBQUEOCT25!E42+HISTOBQUENOV25!E42+HISTOBQUEDEC25!E42</f>
        <v>3127000</v>
      </c>
      <c r="F42" s="15">
        <f t="shared" si="0"/>
        <v>5827000</v>
      </c>
      <c r="G42" s="15"/>
      <c r="H42" s="18"/>
    </row>
    <row r="43" spans="1:8" x14ac:dyDescent="0.35">
      <c r="A43" s="16"/>
      <c r="B43" s="17"/>
      <c r="C43" s="17"/>
      <c r="D43" s="17"/>
      <c r="E43" s="17"/>
      <c r="F43" s="17"/>
      <c r="G43" s="17"/>
      <c r="H43" s="18"/>
    </row>
    <row r="44" spans="1:8" ht="18" thickBot="1" x14ac:dyDescent="0.4">
      <c r="A44" s="19"/>
      <c r="B44" s="20" t="s">
        <v>30</v>
      </c>
      <c r="C44" s="21">
        <f>SUM(C7:C43)</f>
        <v>57775000</v>
      </c>
      <c r="D44" s="21">
        <f>SUM(D7:D43)</f>
        <v>24315925</v>
      </c>
      <c r="E44" s="21">
        <f>SUM(E7:E43)</f>
        <v>68064275</v>
      </c>
      <c r="F44" s="21">
        <f>SUM(F7:F43)</f>
        <v>150155200</v>
      </c>
      <c r="G44" s="21">
        <f>SUM(G7:G43)</f>
        <v>0</v>
      </c>
      <c r="H44" s="22">
        <f t="shared" ref="H44" si="1">SUM(H8:H43)</f>
        <v>0</v>
      </c>
    </row>
    <row r="45" spans="1:8" ht="15" thickTop="1" x14ac:dyDescent="0.35"/>
  </sheetData>
  <autoFilter ref="A5:F42" xr:uid="{00000000-0009-0000-0000-00000E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1"/>
  <sheetViews>
    <sheetView zoomScale="106" zoomScaleNormal="106" workbookViewId="0">
      <pane xSplit="3" ySplit="5" topLeftCell="D27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D33" sqref="D33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</cols>
  <sheetData>
    <row r="1" spans="1:8" ht="21" x14ac:dyDescent="0.5">
      <c r="A1" s="1" t="s">
        <v>2</v>
      </c>
      <c r="B1" s="1" t="s">
        <v>3</v>
      </c>
      <c r="C1" s="24" t="s">
        <v>84</v>
      </c>
    </row>
    <row r="2" spans="1:8" x14ac:dyDescent="0.35">
      <c r="A2" s="1" t="s">
        <v>4</v>
      </c>
      <c r="B2" s="1">
        <v>2024</v>
      </c>
    </row>
    <row r="3" spans="1:8" x14ac:dyDescent="0.3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8" ht="29" thickBot="1" x14ac:dyDescent="0.7">
      <c r="B4" s="51" t="s">
        <v>58</v>
      </c>
      <c r="C4" s="49"/>
      <c r="D4" s="49"/>
      <c r="E4" s="49"/>
      <c r="F4" s="3"/>
    </row>
    <row r="5" spans="1:8" ht="68.25" customHeight="1" thickTop="1" x14ac:dyDescent="0.35">
      <c r="A5" s="8" t="s">
        <v>0</v>
      </c>
      <c r="B5" s="9" t="s">
        <v>1</v>
      </c>
      <c r="C5" s="10" t="s">
        <v>33</v>
      </c>
      <c r="D5" s="10" t="s">
        <v>32</v>
      </c>
      <c r="E5" s="10" t="s">
        <v>34</v>
      </c>
      <c r="F5" s="10" t="s">
        <v>31</v>
      </c>
      <c r="G5" s="10" t="s">
        <v>59</v>
      </c>
      <c r="H5" s="23" t="s">
        <v>61</v>
      </c>
    </row>
    <row r="6" spans="1:8" ht="17.5" x14ac:dyDescent="0.35">
      <c r="A6" s="11" t="s">
        <v>60</v>
      </c>
      <c r="B6" s="12" t="s">
        <v>3</v>
      </c>
      <c r="C6" s="25">
        <f>HISTOBQUEJANV24!C6+HISTOBQUEFEV24!C6+HISTOBQUEMARS24!C6+HISTOBQUEAVRIL24!C6+HISTOBQUEMAI24!C6+HISTOBQUEJUIN24!C6+HISTOBQUEJUIL24!C6+HISTOBQUEAOUT24!C6+HISTOBQUESEPT24!C6+HISTOBQUEOCT24!C6+HISTOBQUENOV24!C6+HISTOBQUEDEC24!C6</f>
        <v>2100000</v>
      </c>
      <c r="D6" s="25">
        <f>HISTOBQUEJANV24!D6+HISTOBQUEFEV24!D6+HISTOBQUEMARS24!D6+HISTOBQUEAVRIL24!D6+HISTOBQUEMAI24!D6+HISTOBQUEJUIN24!D6+HISTOBQUEJUIL24!D6+HISTOBQUEAOUT24!D6+HISTOBQUESEPT24!D6+HISTOBQUEOCT24!D6+HISTOBQUENOV24!D6+HISTOBQUEDEC24!D6</f>
        <v>0</v>
      </c>
      <c r="E6" s="25">
        <f>HISTOBQUEJANV24!E6+HISTOBQUEFEV24!E6+HISTOBQUEMARS24!E6+HISTOBQUEAVRIL24!E6+HISTOBQUEMAI24!E6+HISTOBQUEJUIN24!E6+HISTOBQUEJUIL24!E6+HISTOBQUEAOUT24!E6+HISTOBQUESEPT24!E6+HISTOBQUEOCT24!E6+HISTOBQUENOV24!E6+HISTOBQUEDEC24!E6</f>
        <v>0</v>
      </c>
      <c r="F6" s="15">
        <f>SUM(C6:E6)</f>
        <v>2100000</v>
      </c>
      <c r="G6" s="15"/>
      <c r="H6" s="18"/>
    </row>
    <row r="7" spans="1:8" ht="17.5" x14ac:dyDescent="0.35">
      <c r="A7" s="11" t="s">
        <v>66</v>
      </c>
      <c r="B7" s="12" t="s">
        <v>95</v>
      </c>
      <c r="C7" s="25">
        <f>HISTOBQUEJANV24!C7+HISTOBQUEFEV24!C7+HISTOBQUEMARS24!C7+HISTOBQUEAVRIL24!C7+HISTOBQUEMAI24!C7+HISTOBQUEJUIN24!C7+HISTOBQUEJUIL24!C7+HISTOBQUEAOUT24!C7+HISTOBQUESEPT24!C7+HISTOBQUEOCT24!C7+HISTOBQUENOV24!C7+HISTOBQUEDEC24!C7</f>
        <v>268000</v>
      </c>
      <c r="D7" s="25">
        <f>HISTOBQUEJANV24!D7+HISTOBQUEFEV24!D7+HISTOBQUEMARS24!D7+HISTOBQUEAVRIL24!D7+HISTOBQUEMAI24!D7+HISTOBQUEJUIN24!D7+HISTOBQUEJUIL24!D7+HISTOBQUEAOUT24!D7+HISTOBQUESEPT24!D7+HISTOBQUEOCT24!D7+HISTOBQUENOV24!D7+HISTOBQUEDEC24!D7</f>
        <v>471000</v>
      </c>
      <c r="E7" s="25">
        <f>HISTOBQUEJANV24!E7+HISTOBQUEFEV24!E7+HISTOBQUEMARS24!E7+HISTOBQUEAVRIL24!E7+HISTOBQUEMAI24!E7+HISTOBQUEJUIN24!E7+HISTOBQUEJUIL24!E7+HISTOBQUEAOUT24!E7+HISTOBQUESEPT24!E7+HISTOBQUEOCT24!E7+HISTOBQUENOV24!E7+HISTOBQUEDEC24!E7</f>
        <v>0</v>
      </c>
      <c r="F7" s="15">
        <f t="shared" ref="F7:F38" si="0">SUM(C7:E7)</f>
        <v>739000</v>
      </c>
      <c r="G7" s="15"/>
      <c r="H7" s="18"/>
    </row>
    <row r="8" spans="1:8" ht="17.5" x14ac:dyDescent="0.35">
      <c r="A8" s="11" t="s">
        <v>6</v>
      </c>
      <c r="B8" s="12" t="s">
        <v>96</v>
      </c>
      <c r="C8" s="25">
        <f>HISTOBQUEJANV24!C8+HISTOBQUEFEV24!C8+HISTOBQUEMARS24!C8+HISTOBQUEAVRIL24!C8+HISTOBQUEMAI24!C8+HISTOBQUEJUIN24!C8+HISTOBQUEJUIL24!C8+HISTOBQUEAOUT24!C8+HISTOBQUESEPT24!C8+HISTOBQUEOCT24!C8+HISTOBQUENOV24!C8+HISTOBQUEDEC24!C8</f>
        <v>1365000</v>
      </c>
      <c r="D8" s="25">
        <f>HISTOBQUEJANV24!D8+HISTOBQUEFEV24!D8+HISTOBQUEMARS24!D8+HISTOBQUEAVRIL24!D8+HISTOBQUEMAI24!D8+HISTOBQUEJUIN24!D8+HISTOBQUEJUIL24!D8+HISTOBQUEAOUT24!D8+HISTOBQUESEPT24!D8+HISTOBQUEOCT24!D8+HISTOBQUENOV24!D8+HISTOBQUEDEC24!D8</f>
        <v>663000</v>
      </c>
      <c r="E8" s="25">
        <f>HISTOBQUEJANV24!E8+HISTOBQUEFEV24!E8+HISTOBQUEMARS24!E8+HISTOBQUEAVRIL24!E8+HISTOBQUEMAI24!E8+HISTOBQUEJUIN24!E8+HISTOBQUEJUIL24!E8+HISTOBQUEAOUT24!E8+HISTOBQUESEPT24!E8+HISTOBQUEOCT24!E8+HISTOBQUENOV24!E8+HISTOBQUEDEC24!E8</f>
        <v>0</v>
      </c>
      <c r="F8" s="15">
        <f t="shared" si="0"/>
        <v>2028000</v>
      </c>
      <c r="G8" s="15"/>
      <c r="H8" s="18"/>
    </row>
    <row r="9" spans="1:8" ht="17.5" x14ac:dyDescent="0.35">
      <c r="A9" s="11" t="s">
        <v>7</v>
      </c>
      <c r="B9" s="12" t="s">
        <v>97</v>
      </c>
      <c r="C9" s="25">
        <f>HISTOBQUEJANV24!C9+HISTOBQUEFEV24!C9+HISTOBQUEMARS24!C9+HISTOBQUEAVRIL24!C9+HISTOBQUEMAI24!C9+HISTOBQUEJUIN24!C9+HISTOBQUEJUIL24!C9+HISTOBQUEAOUT24!C9+HISTOBQUESEPT24!C9+HISTOBQUEOCT24!C9+HISTOBQUENOV24!C9+HISTOBQUEDEC24!C9</f>
        <v>3457000</v>
      </c>
      <c r="D9" s="25">
        <f>HISTOBQUEJANV24!D9+HISTOBQUEFEV24!D9+HISTOBQUEMARS24!D9+HISTOBQUEAVRIL24!D9+HISTOBQUEMAI24!D9+HISTOBQUEJUIN24!D9+HISTOBQUEJUIL24!D9+HISTOBQUEAOUT24!D9+HISTOBQUESEPT24!D9+HISTOBQUEOCT24!D9+HISTOBQUENOV24!D9+HISTOBQUEDEC24!D9</f>
        <v>800000</v>
      </c>
      <c r="E9" s="25">
        <f>HISTOBQUEJANV24!E9+HISTOBQUEFEV24!E9+HISTOBQUEMARS24!E9+HISTOBQUEAVRIL24!E9+HISTOBQUEMAI24!E9+HISTOBQUEJUIN24!E9+HISTOBQUEJUIL24!E9+HISTOBQUEAOUT24!E9+HISTOBQUESEPT24!E9+HISTOBQUEOCT24!E9+HISTOBQUENOV24!E9+HISTOBQUEDEC24!E9</f>
        <v>0</v>
      </c>
      <c r="F9" s="15">
        <f t="shared" si="0"/>
        <v>4257000</v>
      </c>
      <c r="G9" s="15"/>
      <c r="H9" s="18"/>
    </row>
    <row r="10" spans="1:8" ht="17.5" x14ac:dyDescent="0.35">
      <c r="A10" s="11" t="s">
        <v>8</v>
      </c>
      <c r="B10" s="12" t="s">
        <v>98</v>
      </c>
      <c r="C10" s="25">
        <f>HISTOBQUEJANV24!C10+HISTOBQUEFEV24!C10+HISTOBQUEMARS24!C10+HISTOBQUEAVRIL24!C10+HISTOBQUEMAI24!C10+HISTOBQUEJUIN24!C10+HISTOBQUEJUIL24!C10+HISTOBQUEAOUT24!C10+HISTOBQUESEPT24!C10+HISTOBQUEOCT24!C10+HISTOBQUENOV24!C10+HISTOBQUEDEC24!C10</f>
        <v>1382000</v>
      </c>
      <c r="D10" s="25">
        <f>HISTOBQUEJANV24!D10+HISTOBQUEFEV24!D10+HISTOBQUEMARS24!D10+HISTOBQUEAVRIL24!D10+HISTOBQUEMAI24!D10+HISTOBQUEJUIN24!D10+HISTOBQUEJUIL24!D10+HISTOBQUEAOUT24!D10+HISTOBQUESEPT24!D10+HISTOBQUEOCT24!D10+HISTOBQUENOV24!D10+HISTOBQUEDEC24!D10</f>
        <v>1830000</v>
      </c>
      <c r="E10" s="25">
        <f>HISTOBQUEJANV24!E10+HISTOBQUEFEV24!E10+HISTOBQUEMARS24!E10+HISTOBQUEAVRIL24!E10+HISTOBQUEMAI24!E10+HISTOBQUEJUIN24!E10+HISTOBQUEJUIL24!E10+HISTOBQUEAOUT24!E10+HISTOBQUESEPT24!E10+HISTOBQUEOCT24!E10+HISTOBQUENOV24!E10+HISTOBQUEDEC24!E10</f>
        <v>0</v>
      </c>
      <c r="F10" s="15">
        <f t="shared" si="0"/>
        <v>3212000</v>
      </c>
      <c r="G10" s="15"/>
      <c r="H10" s="18"/>
    </row>
    <row r="11" spans="1:8" ht="17.5" x14ac:dyDescent="0.35">
      <c r="A11" s="11" t="s">
        <v>9</v>
      </c>
      <c r="B11" s="12" t="s">
        <v>99</v>
      </c>
      <c r="C11" s="25">
        <f>HISTOBQUEJANV24!C11+HISTOBQUEFEV24!C11+HISTOBQUEMARS24!C11+HISTOBQUEAVRIL24!C11+HISTOBQUEMAI24!C11+HISTOBQUEJUIN24!C11+HISTOBQUEJUIL24!C11+HISTOBQUEAOUT24!C11+HISTOBQUESEPT24!C11+HISTOBQUEOCT24!C11+HISTOBQUENOV24!C11+HISTOBQUEDEC24!C11</f>
        <v>2262500</v>
      </c>
      <c r="D11" s="25">
        <f>HISTOBQUEJANV24!D11+HISTOBQUEFEV24!D11+HISTOBQUEMARS24!D11+HISTOBQUEAVRIL24!D11+HISTOBQUEMAI24!D11+HISTOBQUEJUIN24!D11+HISTOBQUEJUIL24!D11+HISTOBQUEAOUT24!D11+HISTOBQUESEPT24!D11+HISTOBQUEOCT24!D11+HISTOBQUENOV24!D11+HISTOBQUEDEC24!D11</f>
        <v>228000</v>
      </c>
      <c r="E11" s="25">
        <f>HISTOBQUEJANV24!E11+HISTOBQUEFEV24!E11+HISTOBQUEMARS24!E11+HISTOBQUEAVRIL24!E11+HISTOBQUEMAI24!E11+HISTOBQUEJUIN24!E11+HISTOBQUEJUIL24!E11+HISTOBQUEAOUT24!E11+HISTOBQUESEPT24!E11+HISTOBQUEOCT24!E11+HISTOBQUENOV24!E11+HISTOBQUEDEC24!E11</f>
        <v>0</v>
      </c>
      <c r="F11" s="15">
        <f t="shared" si="0"/>
        <v>2490500</v>
      </c>
      <c r="G11" s="15"/>
      <c r="H11" s="18"/>
    </row>
    <row r="12" spans="1:8" ht="17.5" x14ac:dyDescent="0.35">
      <c r="A12" s="11" t="s">
        <v>10</v>
      </c>
      <c r="B12" s="12" t="s">
        <v>100</v>
      </c>
      <c r="C12" s="25">
        <f>HISTOBQUEJANV24!C12+HISTOBQUEFEV24!C12+HISTOBQUEMARS24!C12+HISTOBQUEAVRIL24!C12+HISTOBQUEMAI24!C12+HISTOBQUEJUIN24!C12+HISTOBQUEJUIL24!C12+HISTOBQUEAOUT24!C12+HISTOBQUESEPT24!C12+HISTOBQUEOCT24!C12+HISTOBQUENOV24!C12+HISTOBQUEDEC24!C12</f>
        <v>5364000</v>
      </c>
      <c r="D12" s="25">
        <f>HISTOBQUEJANV24!D12+HISTOBQUEFEV24!D12+HISTOBQUEMARS24!D12+HISTOBQUEAVRIL24!D12+HISTOBQUEMAI24!D12+HISTOBQUEJUIN24!D12+HISTOBQUEJUIL24!D12+HISTOBQUEAOUT24!D12+HISTOBQUESEPT24!D12+HISTOBQUEOCT24!D12+HISTOBQUENOV24!D12+HISTOBQUEDEC24!D12</f>
        <v>642500</v>
      </c>
      <c r="E12" s="25">
        <f>HISTOBQUEJANV24!E12+HISTOBQUEFEV24!E12+HISTOBQUEMARS24!E12+HISTOBQUEAVRIL24!E12+HISTOBQUEMAI24!E12+HISTOBQUEJUIN24!E12+HISTOBQUEJUIL24!E12+HISTOBQUEAOUT24!E12+HISTOBQUESEPT24!E12+HISTOBQUEOCT24!E12+HISTOBQUENOV24!E12+HISTOBQUEDEC24!E12</f>
        <v>0</v>
      </c>
      <c r="F12" s="15">
        <f t="shared" si="0"/>
        <v>6006500</v>
      </c>
      <c r="G12" s="15"/>
      <c r="H12" s="18"/>
    </row>
    <row r="13" spans="1:8" ht="17.5" x14ac:dyDescent="0.35">
      <c r="A13" s="11" t="s">
        <v>11</v>
      </c>
      <c r="B13" s="12" t="s">
        <v>101</v>
      </c>
      <c r="C13" s="25">
        <f>HISTOBQUEJANV24!C13+HISTOBQUEFEV24!C13+HISTOBQUEMARS24!C13+HISTOBQUEAVRIL24!C13+HISTOBQUEMAI24!C13+HISTOBQUEJUIN24!C13+HISTOBQUEJUIL24!C13+HISTOBQUEAOUT24!C13+HISTOBQUESEPT24!C13+HISTOBQUEOCT24!C13+HISTOBQUENOV24!C13+HISTOBQUEDEC24!C13</f>
        <v>600000</v>
      </c>
      <c r="D13" s="25">
        <f>HISTOBQUEJANV24!D13+HISTOBQUEFEV24!D13+HISTOBQUEMARS24!D13+HISTOBQUEAVRIL24!D13+HISTOBQUEMAI24!D13+HISTOBQUEJUIN24!D13+HISTOBQUEJUIL24!D13+HISTOBQUEAOUT24!D13+HISTOBQUESEPT24!D13+HISTOBQUEOCT24!D13+HISTOBQUENOV24!D13+HISTOBQUEDEC24!D13</f>
        <v>0</v>
      </c>
      <c r="E13" s="25">
        <f>HISTOBQUEJANV24!E13+HISTOBQUEFEV24!E13+HISTOBQUEMARS24!E13+HISTOBQUEAVRIL24!E13+HISTOBQUEMAI24!E13+HISTOBQUEJUIN24!E13+HISTOBQUEJUIL24!E13+HISTOBQUEAOUT24!E13+HISTOBQUESEPT24!E13+HISTOBQUEOCT24!E13+HISTOBQUENOV24!E13+HISTOBQUEDEC24!E13</f>
        <v>0</v>
      </c>
      <c r="F13" s="15">
        <f t="shared" si="0"/>
        <v>600000</v>
      </c>
      <c r="G13" s="15"/>
      <c r="H13" s="18"/>
    </row>
    <row r="14" spans="1:8" ht="17.5" x14ac:dyDescent="0.35">
      <c r="A14" s="11" t="s">
        <v>12</v>
      </c>
      <c r="B14" s="12" t="s">
        <v>102</v>
      </c>
      <c r="C14" s="25">
        <f>HISTOBQUEJANV24!C14+HISTOBQUEFEV24!C14+HISTOBQUEMARS24!C14+HISTOBQUEAVRIL24!C14+HISTOBQUEMAI24!C14+HISTOBQUEJUIN24!C14+HISTOBQUEJUIL24!C14+HISTOBQUEAOUT24!C14+HISTOBQUESEPT24!C14+HISTOBQUEOCT24!C14+HISTOBQUENOV24!C14+HISTOBQUEDEC24!C14</f>
        <v>500000</v>
      </c>
      <c r="D14" s="25">
        <f>HISTOBQUEJANV24!D14+HISTOBQUEFEV24!D14+HISTOBQUEMARS24!D14+HISTOBQUEAVRIL24!D14+HISTOBQUEMAI24!D14+HISTOBQUEJUIN24!D14+HISTOBQUEJUIL24!D14+HISTOBQUEAOUT24!D14+HISTOBQUESEPT24!D14+HISTOBQUEOCT24!D14+HISTOBQUENOV24!D14+HISTOBQUEDEC24!D14</f>
        <v>100000</v>
      </c>
      <c r="E14" s="25">
        <f>HISTOBQUEJANV24!E14+HISTOBQUEFEV24!E14+HISTOBQUEMARS24!E14+HISTOBQUEAVRIL24!E14+HISTOBQUEMAI24!E14+HISTOBQUEJUIN24!E14+HISTOBQUEJUIL24!E14+HISTOBQUEAOUT24!E14+HISTOBQUESEPT24!E14+HISTOBQUEOCT24!E14+HISTOBQUENOV24!E14+HISTOBQUEDEC24!E14</f>
        <v>0</v>
      </c>
      <c r="F14" s="15">
        <f t="shared" si="0"/>
        <v>600000</v>
      </c>
      <c r="G14" s="15"/>
      <c r="H14" s="18"/>
    </row>
    <row r="15" spans="1:8" ht="17.5" x14ac:dyDescent="0.35">
      <c r="A15" s="11" t="s">
        <v>13</v>
      </c>
      <c r="B15" s="12" t="s">
        <v>103</v>
      </c>
      <c r="C15" s="25">
        <f>HISTOBQUEJANV24!C15+HISTOBQUEFEV24!C15+HISTOBQUEMARS24!C15+HISTOBQUEAVRIL24!C15+HISTOBQUEMAI24!C15+HISTOBQUEJUIN24!C15+HISTOBQUEJUIL24!C15+HISTOBQUEAOUT24!C15+HISTOBQUESEPT24!C15+HISTOBQUEOCT24!C15+HISTOBQUENOV24!C15+HISTOBQUEDEC24!C15</f>
        <v>1375000</v>
      </c>
      <c r="D15" s="25">
        <f>HISTOBQUEJANV24!D15+HISTOBQUEFEV24!D15+HISTOBQUEMARS24!D15+HISTOBQUEAVRIL24!D15+HISTOBQUEMAI24!D15+HISTOBQUEJUIN24!D15+HISTOBQUEJUIL24!D15+HISTOBQUEAOUT24!D15+HISTOBQUESEPT24!D15+HISTOBQUEOCT24!D15+HISTOBQUENOV24!D15+HISTOBQUEDEC24!D15</f>
        <v>125000</v>
      </c>
      <c r="E15" s="25">
        <f>HISTOBQUEJANV24!E15+HISTOBQUEFEV24!E15+HISTOBQUEMARS24!E15+HISTOBQUEAVRIL24!E15+HISTOBQUEMAI24!E15+HISTOBQUEJUIN24!E15+HISTOBQUEJUIL24!E15+HISTOBQUEAOUT24!E15+HISTOBQUESEPT24!E15+HISTOBQUEOCT24!E15+HISTOBQUENOV24!E15+HISTOBQUEDEC24!E15</f>
        <v>0</v>
      </c>
      <c r="F15" s="15">
        <f t="shared" si="0"/>
        <v>1500000</v>
      </c>
      <c r="G15" s="15"/>
      <c r="H15" s="18"/>
    </row>
    <row r="16" spans="1:8" ht="17.5" x14ac:dyDescent="0.35">
      <c r="A16" s="11" t="s">
        <v>14</v>
      </c>
      <c r="B16" s="12" t="s">
        <v>104</v>
      </c>
      <c r="C16" s="25">
        <f>HISTOBQUEJANV24!C16+HISTOBQUEFEV24!C16+HISTOBQUEMARS24!C16+HISTOBQUEAVRIL24!C16+HISTOBQUEMAI24!C16+HISTOBQUEJUIN24!C16+HISTOBQUEJUIL24!C16+HISTOBQUEAOUT24!C16+HISTOBQUESEPT24!C16+HISTOBQUEOCT24!C16+HISTOBQUENOV24!C16+HISTOBQUEDEC24!C16</f>
        <v>3262000</v>
      </c>
      <c r="D16" s="25">
        <f>HISTOBQUEJANV24!D16+HISTOBQUEFEV24!D16+HISTOBQUEMARS24!D16+HISTOBQUEAVRIL24!D16+HISTOBQUEMAI24!D16+HISTOBQUEJUIN24!D16+HISTOBQUEJUIL24!D16+HISTOBQUEAOUT24!D16+HISTOBQUESEPT24!D16+HISTOBQUEOCT24!D16+HISTOBQUENOV24!D16+HISTOBQUEDEC24!D16</f>
        <v>202000</v>
      </c>
      <c r="E16" s="25">
        <f>HISTOBQUEJANV24!E16+HISTOBQUEFEV24!E16+HISTOBQUEMARS24!E16+HISTOBQUEAVRIL24!E16+HISTOBQUEMAI24!E16+HISTOBQUEJUIN24!E16+HISTOBQUEJUIL24!E16+HISTOBQUEAOUT24!E16+HISTOBQUESEPT24!E16+HISTOBQUEOCT24!E16+HISTOBQUENOV24!E16+HISTOBQUEDEC24!E16</f>
        <v>0</v>
      </c>
      <c r="F16" s="15">
        <f t="shared" si="0"/>
        <v>3464000</v>
      </c>
      <c r="G16" s="15"/>
      <c r="H16" s="18"/>
    </row>
    <row r="17" spans="1:8" ht="17.5" x14ac:dyDescent="0.35">
      <c r="A17" s="11" t="s">
        <v>15</v>
      </c>
      <c r="B17" s="12" t="s">
        <v>105</v>
      </c>
      <c r="C17" s="25">
        <f>HISTOBQUEJANV24!C17+HISTOBQUEFEV24!C17+HISTOBQUEMARS24!C17+HISTOBQUEAVRIL24!C17+HISTOBQUEMAI24!C17+HISTOBQUEJUIN24!C17+HISTOBQUEJUIL24!C17+HISTOBQUEAOUT24!C17+HISTOBQUESEPT24!C17+HISTOBQUEOCT24!C17+HISTOBQUENOV24!C17+HISTOBQUEDEC24!C17</f>
        <v>2155000</v>
      </c>
      <c r="D17" s="25">
        <f>HISTOBQUEJANV24!D17+HISTOBQUEFEV24!D17+HISTOBQUEMARS24!D17+HISTOBQUEAVRIL24!D17+HISTOBQUEMAI24!D17+HISTOBQUEJUIN24!D17+HISTOBQUEJUIL24!D17+HISTOBQUEAOUT24!D17+HISTOBQUESEPT24!D17+HISTOBQUEOCT24!D17+HISTOBQUENOV24!D17+HISTOBQUEDEC24!D17</f>
        <v>310000</v>
      </c>
      <c r="E17" s="25">
        <f>HISTOBQUEJANV24!E17+HISTOBQUEFEV24!E17+HISTOBQUEMARS24!E17+HISTOBQUEAVRIL24!E17+HISTOBQUEMAI24!E17+HISTOBQUEJUIN24!E17+HISTOBQUEJUIL24!E17+HISTOBQUEAOUT24!E17+HISTOBQUESEPT24!E17+HISTOBQUEOCT24!E17+HISTOBQUENOV24!E17+HISTOBQUEDEC24!E17</f>
        <v>500000</v>
      </c>
      <c r="F17" s="15">
        <f t="shared" si="0"/>
        <v>2965000</v>
      </c>
      <c r="G17" s="15"/>
      <c r="H17" s="18"/>
    </row>
    <row r="18" spans="1:8" ht="17.5" x14ac:dyDescent="0.35">
      <c r="A18" s="11" t="s">
        <v>16</v>
      </c>
      <c r="B18" s="12" t="s">
        <v>106</v>
      </c>
      <c r="C18" s="25">
        <f>HISTOBQUEJANV24!C18+HISTOBQUEFEV24!C18+HISTOBQUEMARS24!C18+HISTOBQUEAVRIL24!C18+HISTOBQUEMAI24!C18+HISTOBQUEJUIN24!C18+HISTOBQUEJUIL24!C18+HISTOBQUEAOUT24!C18+HISTOBQUESEPT24!C18+HISTOBQUEOCT24!C18+HISTOBQUENOV24!C18+HISTOBQUEDEC24!C18</f>
        <v>2228000</v>
      </c>
      <c r="D18" s="25">
        <f>HISTOBQUEJANV24!D18+HISTOBQUEFEV24!D18+HISTOBQUEMARS24!D18+HISTOBQUEAVRIL24!D18+HISTOBQUEMAI24!D18+HISTOBQUEJUIN24!D18+HISTOBQUEJUIL24!D18+HISTOBQUEAOUT24!D18+HISTOBQUESEPT24!D18+HISTOBQUEOCT24!D18+HISTOBQUENOV24!D18+HISTOBQUEDEC24!D18</f>
        <v>1163000</v>
      </c>
      <c r="E18" s="25">
        <f>HISTOBQUEJANV24!E18+HISTOBQUEFEV24!E18+HISTOBQUEMARS24!E18+HISTOBQUEAVRIL24!E18+HISTOBQUEMAI24!E18+HISTOBQUEJUIN24!E18+HISTOBQUEJUIL24!E18+HISTOBQUEAOUT24!E18+HISTOBQUESEPT24!E18+HISTOBQUEOCT24!E18+HISTOBQUENOV24!E18+HISTOBQUEDEC24!E18</f>
        <v>0</v>
      </c>
      <c r="F18" s="15">
        <f t="shared" si="0"/>
        <v>3391000</v>
      </c>
      <c r="G18" s="15"/>
      <c r="H18" s="18"/>
    </row>
    <row r="19" spans="1:8" ht="17.5" x14ac:dyDescent="0.35">
      <c r="A19" s="11" t="s">
        <v>82</v>
      </c>
      <c r="B19" s="12" t="s">
        <v>107</v>
      </c>
      <c r="C19" s="25">
        <f>HISTOBQUEJANV24!C19+HISTOBQUEFEV24!C19+HISTOBQUEMARS24!C19+HISTOBQUEAVRIL24!C19+HISTOBQUEMAI24!C19+HISTOBQUEJUIN24!C19+HISTOBQUEJUIL24!C19+HISTOBQUEAOUT24!C19+HISTOBQUESEPT24!C19+HISTOBQUEOCT24!C19+HISTOBQUENOV24!C19+HISTOBQUEDEC24!C19</f>
        <v>600000</v>
      </c>
      <c r="D19" s="25">
        <f>HISTOBQUEJANV24!D19+HISTOBQUEFEV24!D19+HISTOBQUEMARS24!D19+HISTOBQUEAVRIL24!D19+HISTOBQUEMAI24!D19+HISTOBQUEJUIN24!D19+HISTOBQUEJUIL24!D19+HISTOBQUEAOUT24!D19+HISTOBQUESEPT24!D19+HISTOBQUEOCT24!D19+HISTOBQUENOV24!D19+HISTOBQUEDEC24!D19</f>
        <v>25000</v>
      </c>
      <c r="E19" s="25">
        <f>HISTOBQUEJANV24!E19+HISTOBQUEFEV24!E19+HISTOBQUEMARS24!E19+HISTOBQUEAVRIL24!E19+HISTOBQUEMAI24!E19+HISTOBQUEJUIN24!E19+HISTOBQUEJUIL24!E19+HISTOBQUEAOUT24!E19+HISTOBQUESEPT24!E19+HISTOBQUEOCT24!E19+HISTOBQUENOV24!E19+HISTOBQUEDEC24!E19</f>
        <v>0</v>
      </c>
      <c r="F19" s="15">
        <f t="shared" si="0"/>
        <v>625000</v>
      </c>
      <c r="G19" s="15"/>
      <c r="H19" s="18"/>
    </row>
    <row r="20" spans="1:8" ht="17.5" x14ac:dyDescent="0.35">
      <c r="A20" s="11" t="s">
        <v>17</v>
      </c>
      <c r="B20" s="12" t="s">
        <v>108</v>
      </c>
      <c r="C20" s="25">
        <f>HISTOBQUEJANV24!C20+HISTOBQUEFEV24!C20+HISTOBQUEMARS24!C20+HISTOBQUEAVRIL24!C20+HISTOBQUEMAI24!C20+HISTOBQUEJUIN24!C20+HISTOBQUEJUIL24!C20+HISTOBQUEAOUT24!C20+HISTOBQUESEPT24!C20+HISTOBQUEOCT24!C20+HISTOBQUENOV24!C20+HISTOBQUEDEC24!C20</f>
        <v>4072000</v>
      </c>
      <c r="D20" s="25">
        <f>HISTOBQUEJANV24!D20+HISTOBQUEFEV24!D20+HISTOBQUEMARS24!D20+HISTOBQUEAVRIL24!D20+HISTOBQUEMAI24!D20+HISTOBQUEJUIN24!D20+HISTOBQUEJUIL24!D20+HISTOBQUEAOUT24!D20+HISTOBQUESEPT24!D20+HISTOBQUEOCT24!D20+HISTOBQUENOV24!D20+HISTOBQUEDEC24!D20</f>
        <v>1688000</v>
      </c>
      <c r="E20" s="25">
        <f>HISTOBQUEJANV24!E20+HISTOBQUEFEV24!E20+HISTOBQUEMARS24!E20+HISTOBQUEAVRIL24!E20+HISTOBQUEMAI24!E20+HISTOBQUEJUIN24!E20+HISTOBQUEJUIL24!E20+HISTOBQUEAOUT24!E20+HISTOBQUESEPT24!E20+HISTOBQUEOCT24!E20+HISTOBQUENOV24!E20+HISTOBQUEDEC24!E20</f>
        <v>0</v>
      </c>
      <c r="F20" s="15">
        <f t="shared" si="0"/>
        <v>5760000</v>
      </c>
      <c r="G20" s="15"/>
      <c r="H20" s="18"/>
    </row>
    <row r="21" spans="1:8" ht="17.5" x14ac:dyDescent="0.35">
      <c r="A21" s="11" t="s">
        <v>18</v>
      </c>
      <c r="B21" s="12" t="s">
        <v>109</v>
      </c>
      <c r="C21" s="25">
        <f>HISTOBQUEJANV24!C21+HISTOBQUEFEV24!C21+HISTOBQUEMARS24!C21+HISTOBQUEAVRIL24!C21+HISTOBQUEMAI24!C21+HISTOBQUEJUIN24!C21+HISTOBQUEJUIL24!C21+HISTOBQUEAOUT24!C21+HISTOBQUESEPT24!C21+HISTOBQUEOCT24!C21+HISTOBQUENOV24!C21+HISTOBQUEDEC24!C21</f>
        <v>550000</v>
      </c>
      <c r="D21" s="25">
        <f>HISTOBQUEJANV24!D21+HISTOBQUEFEV24!D21+HISTOBQUEMARS24!D21+HISTOBQUEAVRIL24!D21+HISTOBQUEMAI24!D21+HISTOBQUEJUIN24!D21+HISTOBQUEJUIL24!D21+HISTOBQUEAOUT24!D21+HISTOBQUESEPT24!D21+HISTOBQUEOCT24!D21+HISTOBQUENOV24!D21+HISTOBQUEDEC24!D21</f>
        <v>66500</v>
      </c>
      <c r="E21" s="25">
        <f>HISTOBQUEJANV24!E21+HISTOBQUEFEV24!E21+HISTOBQUEMARS24!E21+HISTOBQUEAVRIL24!E21+HISTOBQUEMAI24!E21+HISTOBQUEJUIN24!E21+HISTOBQUEJUIL24!E21+HISTOBQUEAOUT24!E21+HISTOBQUESEPT24!E21+HISTOBQUEOCT24!E21+HISTOBQUENOV24!E21+HISTOBQUEDEC24!E21</f>
        <v>0</v>
      </c>
      <c r="F21" s="15">
        <f t="shared" si="0"/>
        <v>616500</v>
      </c>
      <c r="G21" s="15"/>
      <c r="H21" s="18"/>
    </row>
    <row r="22" spans="1:8" ht="17.5" x14ac:dyDescent="0.35">
      <c r="A22" s="11" t="s">
        <v>19</v>
      </c>
      <c r="B22" s="12" t="s">
        <v>110</v>
      </c>
      <c r="C22" s="25">
        <f>HISTOBQUEJANV24!C22+HISTOBQUEFEV24!C22+HISTOBQUEMARS24!C22+HISTOBQUEAVRIL24!C22+HISTOBQUEMAI24!C22+HISTOBQUEJUIN24!C22+HISTOBQUEJUIL24!C22+HISTOBQUEAOUT24!C22+HISTOBQUESEPT24!C22+HISTOBQUEOCT24!C22+HISTOBQUENOV24!C22+HISTOBQUEDEC24!C22</f>
        <v>1375000</v>
      </c>
      <c r="D22" s="25">
        <f>HISTOBQUEJANV24!D22+HISTOBQUEFEV24!D22+HISTOBQUEMARS24!D22+HISTOBQUEAVRIL24!D22+HISTOBQUEMAI24!D22+HISTOBQUEJUIN24!D22+HISTOBQUEJUIL24!D22+HISTOBQUEAOUT24!D22+HISTOBQUESEPT24!D22+HISTOBQUEOCT24!D22+HISTOBQUENOV24!D22+HISTOBQUEDEC24!D22</f>
        <v>128000</v>
      </c>
      <c r="E22" s="25">
        <f>HISTOBQUEJANV24!E22+HISTOBQUEFEV24!E22+HISTOBQUEMARS24!E22+HISTOBQUEAVRIL24!E22+HISTOBQUEMAI24!E22+HISTOBQUEJUIN24!E22+HISTOBQUEJUIL24!E22+HISTOBQUEAOUT24!E22+HISTOBQUESEPT24!E22+HISTOBQUEOCT24!E22+HISTOBQUENOV24!E22+HISTOBQUEDEC24!E22</f>
        <v>0</v>
      </c>
      <c r="F22" s="15">
        <f t="shared" si="0"/>
        <v>1503000</v>
      </c>
      <c r="G22" s="15"/>
      <c r="H22" s="18"/>
    </row>
    <row r="23" spans="1:8" ht="17.5" x14ac:dyDescent="0.35">
      <c r="A23" s="11" t="s">
        <v>20</v>
      </c>
      <c r="B23" s="12" t="s">
        <v>111</v>
      </c>
      <c r="C23" s="25">
        <f>HISTOBQUEJANV24!C23+HISTOBQUEFEV24!C23+HISTOBQUEMARS24!C23+HISTOBQUEAVRIL24!C23+HISTOBQUEMAI24!C23+HISTOBQUEJUIN24!C23+HISTOBQUEJUIL24!C23+HISTOBQUEAOUT24!C23+HISTOBQUESEPT24!C23+HISTOBQUEOCT24!C23+HISTOBQUENOV24!C23+HISTOBQUEDEC24!C23</f>
        <v>3776000</v>
      </c>
      <c r="D23" s="25">
        <f>HISTOBQUEJANV24!D23+HISTOBQUEFEV24!D23+HISTOBQUEMARS24!D23+HISTOBQUEAVRIL24!D23+HISTOBQUEMAI24!D23+HISTOBQUEJUIN24!D23+HISTOBQUEJUIL24!D23+HISTOBQUEAOUT24!D23+HISTOBQUESEPT24!D23+HISTOBQUEOCT24!D23+HISTOBQUENOV24!D23+HISTOBQUEDEC24!D23</f>
        <v>0</v>
      </c>
      <c r="E23" s="25">
        <f>HISTOBQUEJANV24!E23+HISTOBQUEFEV24!E23+HISTOBQUEMARS24!E23+HISTOBQUEAVRIL24!E23+HISTOBQUEMAI24!E23+HISTOBQUEJUIN24!E23+HISTOBQUEJUIL24!E23+HISTOBQUEAOUT24!E23+HISTOBQUESEPT24!E23+HISTOBQUEOCT24!E23+HISTOBQUENOV24!E23+HISTOBQUEDEC24!E23</f>
        <v>0</v>
      </c>
      <c r="F23" s="15">
        <f t="shared" si="0"/>
        <v>3776000</v>
      </c>
      <c r="G23" s="15"/>
      <c r="H23" s="18"/>
    </row>
    <row r="24" spans="1:8" ht="17.5" x14ac:dyDescent="0.35">
      <c r="A24" s="11" t="s">
        <v>21</v>
      </c>
      <c r="B24" s="12" t="s">
        <v>112</v>
      </c>
      <c r="C24" s="25">
        <f>HISTOBQUEJANV24!C24+HISTOBQUEFEV24!C24+HISTOBQUEMARS24!C24+HISTOBQUEAVRIL24!C24+HISTOBQUEMAI24!C24+HISTOBQUEJUIN24!C24+HISTOBQUEJUIL24!C24+HISTOBQUEAOUT24!C24+HISTOBQUESEPT24!C24+HISTOBQUEOCT24!C24+HISTOBQUENOV24!C24+HISTOBQUEDEC24!C24</f>
        <v>2335000</v>
      </c>
      <c r="D24" s="25">
        <f>HISTOBQUEJANV24!D24+HISTOBQUEFEV24!D24+HISTOBQUEMARS24!D24+HISTOBQUEAVRIL24!D24+HISTOBQUEMAI24!D24+HISTOBQUEJUIN24!D24+HISTOBQUEJUIL24!D24+HISTOBQUEAOUT24!D24+HISTOBQUESEPT24!D24+HISTOBQUEOCT24!D24+HISTOBQUENOV24!D24+HISTOBQUEDEC24!D24</f>
        <v>1594000</v>
      </c>
      <c r="E24" s="25">
        <f>HISTOBQUEJANV24!E24+HISTOBQUEFEV24!E24+HISTOBQUEMARS24!E24+HISTOBQUEAVRIL24!E24+HISTOBQUEMAI24!E24+HISTOBQUEJUIN24!E24+HISTOBQUEJUIL24!E24+HISTOBQUEAOUT24!E24+HISTOBQUESEPT24!E24+HISTOBQUEOCT24!E24+HISTOBQUENOV24!E24+HISTOBQUEDEC24!E24</f>
        <v>500000</v>
      </c>
      <c r="F24" s="15">
        <f t="shared" si="0"/>
        <v>4429000</v>
      </c>
      <c r="G24" s="15"/>
      <c r="H24" s="18"/>
    </row>
    <row r="25" spans="1:8" ht="17.5" x14ac:dyDescent="0.35">
      <c r="A25" s="11" t="s">
        <v>22</v>
      </c>
      <c r="B25" s="12" t="s">
        <v>113</v>
      </c>
      <c r="C25" s="25">
        <f>HISTOBQUEJANV24!C25+HISTOBQUEFEV24!C25+HISTOBQUEMARS24!C25+HISTOBQUEAVRIL24!C25+HISTOBQUEMAI24!C25+HISTOBQUEJUIN24!C25+HISTOBQUEJUIL24!C25+HISTOBQUEAOUT24!C25+HISTOBQUESEPT24!C25+HISTOBQUEOCT24!C25+HISTOBQUENOV24!C25+HISTOBQUEDEC24!C25</f>
        <v>5249000</v>
      </c>
      <c r="D25" s="25">
        <f>HISTOBQUEJANV24!D25+HISTOBQUEFEV24!D25+HISTOBQUEMARS24!D25+HISTOBQUEAVRIL24!D25+HISTOBQUEMAI24!D25+HISTOBQUEJUIN24!D25+HISTOBQUEJUIL24!D25+HISTOBQUEAOUT24!D25+HISTOBQUESEPT24!D25+HISTOBQUEOCT24!D25+HISTOBQUENOV24!D25+HISTOBQUEDEC24!D25</f>
        <v>104500</v>
      </c>
      <c r="E25" s="25">
        <f>HISTOBQUEJANV24!E25+HISTOBQUEFEV24!E25+HISTOBQUEMARS24!E25+HISTOBQUEAVRIL24!E25+HISTOBQUEMAI24!E25+HISTOBQUEJUIN24!E25+HISTOBQUEJUIL24!E25+HISTOBQUEAOUT24!E25+HISTOBQUESEPT24!E25+HISTOBQUEOCT24!E25+HISTOBQUENOV24!E25+HISTOBQUEDEC24!E25</f>
        <v>0</v>
      </c>
      <c r="F25" s="15">
        <f t="shared" si="0"/>
        <v>5353500</v>
      </c>
      <c r="G25" s="15"/>
      <c r="H25" s="18"/>
    </row>
    <row r="26" spans="1:8" ht="17.5" x14ac:dyDescent="0.35">
      <c r="A26" s="11" t="s">
        <v>23</v>
      </c>
      <c r="B26" s="12" t="s">
        <v>114</v>
      </c>
      <c r="C26" s="25">
        <f>HISTOBQUEJANV24!C26+HISTOBQUEFEV24!C26+HISTOBQUEMARS24!C26+HISTOBQUEAVRIL24!C26+HISTOBQUEMAI24!C26+HISTOBQUEJUIN24!C26+HISTOBQUEJUIL24!C26+HISTOBQUEAOUT24!C26+HISTOBQUESEPT24!C26+HISTOBQUEOCT24!C26+HISTOBQUENOV24!C26+HISTOBQUEDEC24!C26</f>
        <v>689000</v>
      </c>
      <c r="D26" s="25">
        <f>HISTOBQUEJANV24!D26+HISTOBQUEFEV24!D26+HISTOBQUEMARS24!D26+HISTOBQUEAVRIL24!D26+HISTOBQUEMAI24!D26+HISTOBQUEJUIN24!D26+HISTOBQUEJUIL24!D26+HISTOBQUEAOUT24!D26+HISTOBQUESEPT24!D26+HISTOBQUEOCT24!D26+HISTOBQUENOV24!D26+HISTOBQUEDEC24!D26</f>
        <v>1100000</v>
      </c>
      <c r="E26" s="25">
        <f>HISTOBQUEJANV24!E26+HISTOBQUEFEV24!E26+HISTOBQUEMARS24!E26+HISTOBQUEAVRIL24!E26+HISTOBQUEMAI24!E26+HISTOBQUEJUIN24!E26+HISTOBQUEJUIL24!E26+HISTOBQUEAOUT24!E26+HISTOBQUESEPT24!E26+HISTOBQUEOCT24!E26+HISTOBQUENOV24!E26+HISTOBQUEDEC24!E26</f>
        <v>0</v>
      </c>
      <c r="F26" s="15">
        <f t="shared" si="0"/>
        <v>1789000</v>
      </c>
      <c r="G26" s="15"/>
      <c r="H26" s="18"/>
    </row>
    <row r="27" spans="1:8" ht="17.5" x14ac:dyDescent="0.35">
      <c r="A27" s="11" t="s">
        <v>63</v>
      </c>
      <c r="B27" s="12" t="s">
        <v>115</v>
      </c>
      <c r="C27" s="25">
        <f>HISTOBQUEJANV24!C27+HISTOBQUEFEV24!C27+HISTOBQUEMARS24!C27+HISTOBQUEAVRIL24!C27+HISTOBQUEMAI24!C27+HISTOBQUEJUIN24!C27+HISTOBQUEJUIL24!C27+HISTOBQUEAOUT24!C27+HISTOBQUESEPT24!C27+HISTOBQUEOCT24!C27+HISTOBQUENOV24!C27+HISTOBQUEDEC24!C27</f>
        <v>600000</v>
      </c>
      <c r="D27" s="25">
        <f>HISTOBQUEJANV24!D27+HISTOBQUEFEV24!D27+HISTOBQUEMARS24!D27+HISTOBQUEAVRIL24!D27+HISTOBQUEMAI24!D27+HISTOBQUEJUIN24!D27+HISTOBQUEJUIL24!D27+HISTOBQUEAOUT24!D27+HISTOBQUESEPT24!D27+HISTOBQUEOCT24!D27+HISTOBQUENOV24!D27+HISTOBQUEDEC24!D27</f>
        <v>0</v>
      </c>
      <c r="E27" s="25">
        <f>HISTOBQUEJANV24!E27+HISTOBQUEFEV24!E27+HISTOBQUEMARS24!E27+HISTOBQUEAVRIL24!E27+HISTOBQUEMAI24!E27+HISTOBQUEJUIN24!E27+HISTOBQUEJUIL24!E27+HISTOBQUEAOUT24!E27+HISTOBQUESEPT24!E27+HISTOBQUEOCT24!E27+HISTOBQUENOV24!E27+HISTOBQUEDEC24!E27</f>
        <v>0</v>
      </c>
      <c r="F27" s="15">
        <f>SUM(C27:E27)</f>
        <v>600000</v>
      </c>
      <c r="G27" s="15"/>
      <c r="H27" s="18"/>
    </row>
    <row r="28" spans="1:8" ht="17.5" x14ac:dyDescent="0.35">
      <c r="A28" s="11" t="s">
        <v>24</v>
      </c>
      <c r="B28" s="12" t="s">
        <v>116</v>
      </c>
      <c r="C28" s="25">
        <f>HISTOBQUEJANV24!C28+HISTOBQUEFEV24!C28+HISTOBQUEMARS24!C28+HISTOBQUEAVRIL24!C28+HISTOBQUEMAI24!C28+HISTOBQUEJUIN24!C28+HISTOBQUEJUIL24!C28+HISTOBQUEAOUT24!C28+HISTOBQUESEPT24!C28+HISTOBQUEOCT24!C28+HISTOBQUENOV24!C28+HISTOBQUEDEC24!C28</f>
        <v>1500000</v>
      </c>
      <c r="D28" s="25">
        <f>HISTOBQUEJANV24!D28+HISTOBQUEFEV24!D28+HISTOBQUEMARS24!D28+HISTOBQUEAVRIL24!D28+HISTOBQUEMAI24!D28+HISTOBQUEJUIN24!D28+HISTOBQUEJUIL24!D28+HISTOBQUEAOUT24!D28+HISTOBQUESEPT24!D28+HISTOBQUEOCT24!D28+HISTOBQUENOV24!D28+HISTOBQUEDEC24!D28</f>
        <v>0</v>
      </c>
      <c r="E28" s="25">
        <f>HISTOBQUEJANV24!E28+HISTOBQUEFEV24!E28+HISTOBQUEMARS24!E28+HISTOBQUEAVRIL24!E28+HISTOBQUEMAI24!E28+HISTOBQUEJUIN24!E28+HISTOBQUEJUIL24!E28+HISTOBQUEAOUT24!E28+HISTOBQUESEPT24!E28+HISTOBQUEOCT24!E28+HISTOBQUENOV24!E28+HISTOBQUEDEC24!E28</f>
        <v>0</v>
      </c>
      <c r="F28" s="15">
        <f t="shared" si="0"/>
        <v>1500000</v>
      </c>
      <c r="G28" s="15"/>
      <c r="H28" s="18"/>
    </row>
    <row r="29" spans="1:8" ht="17.5" x14ac:dyDescent="0.35">
      <c r="A29" s="11" t="s">
        <v>64</v>
      </c>
      <c r="B29" s="12" t="s">
        <v>117</v>
      </c>
      <c r="C29" s="25">
        <f>HISTOBQUEJANV24!C29+HISTOBQUEFEV24!C29+HISTOBQUEMARS24!C29+HISTOBQUEAVRIL24!C29+HISTOBQUEMAI24!C29+HISTOBQUEJUIN24!C29+HISTOBQUEJUIL24!C29+HISTOBQUEAOUT24!C29+HISTOBQUESEPT24!C29+HISTOBQUEOCT24!C29+HISTOBQUENOV24!C29+HISTOBQUEDEC24!C29</f>
        <v>1144500</v>
      </c>
      <c r="D29" s="25">
        <f>HISTOBQUEJANV24!D29+HISTOBQUEFEV24!D29+HISTOBQUEMARS24!D29+HISTOBQUEAVRIL24!D29+HISTOBQUEMAI24!D29+HISTOBQUEJUIN24!D29+HISTOBQUEJUIL24!D29+HISTOBQUEAOUT24!D29+HISTOBQUESEPT24!D29+HISTOBQUEOCT24!D29+HISTOBQUENOV24!D29+HISTOBQUEDEC24!D29</f>
        <v>0</v>
      </c>
      <c r="E29" s="25">
        <f>HISTOBQUEJANV24!E29+HISTOBQUEFEV24!E29+HISTOBQUEMARS24!E29+HISTOBQUEAVRIL24!E29+HISTOBQUEMAI24!E29+HISTOBQUEJUIN24!E29+HISTOBQUEJUIL24!E29+HISTOBQUEAOUT24!E29+HISTOBQUESEPT24!E29+HISTOBQUEOCT24!E29+HISTOBQUENOV24!E29+HISTOBQUEDEC24!E29</f>
        <v>0</v>
      </c>
      <c r="F29" s="15">
        <f t="shared" si="0"/>
        <v>1144500</v>
      </c>
      <c r="G29" s="15"/>
      <c r="H29" s="18"/>
    </row>
    <row r="30" spans="1:8" ht="17.5" x14ac:dyDescent="0.35">
      <c r="A30" s="11" t="s">
        <v>25</v>
      </c>
      <c r="B30" s="12" t="s">
        <v>118</v>
      </c>
      <c r="C30" s="25">
        <f>HISTOBQUEJANV24!C30+HISTOBQUEFEV24!C30+HISTOBQUEMARS24!C30+HISTOBQUEAVRIL24!C30+HISTOBQUEMAI24!C30+HISTOBQUEJUIN24!C30+HISTOBQUEJUIL24!C30+HISTOBQUEAOUT24!C30+HISTOBQUESEPT24!C30+HISTOBQUEOCT24!C30+HISTOBQUENOV24!C30+HISTOBQUEDEC24!C30</f>
        <v>3331000</v>
      </c>
      <c r="D30" s="25">
        <f>HISTOBQUEJANV24!D30+HISTOBQUEFEV24!D30+HISTOBQUEMARS24!D30+HISTOBQUEAVRIL24!D30+HISTOBQUEMAI24!D30+HISTOBQUEJUIN24!D30+HISTOBQUEJUIL24!D30+HISTOBQUEAOUT24!D30+HISTOBQUESEPT24!D30+HISTOBQUEOCT24!D30+HISTOBQUENOV24!D30+HISTOBQUEDEC24!D30</f>
        <v>1000000</v>
      </c>
      <c r="E30" s="25">
        <f>HISTOBQUEJANV24!E30+HISTOBQUEFEV24!E30+HISTOBQUEMARS24!E30+HISTOBQUEAVRIL24!E30+HISTOBQUEMAI24!E30+HISTOBQUEJUIN24!E30+HISTOBQUEJUIL24!E30+HISTOBQUEAOUT24!E30+HISTOBQUESEPT24!E30+HISTOBQUEOCT24!E30+HISTOBQUENOV24!E30+HISTOBQUEDEC24!E30</f>
        <v>0</v>
      </c>
      <c r="F30" s="15">
        <f t="shared" si="0"/>
        <v>4331000</v>
      </c>
      <c r="G30" s="15"/>
      <c r="H30" s="18"/>
    </row>
    <row r="31" spans="1:8" ht="17.5" x14ac:dyDescent="0.35">
      <c r="A31" s="11" t="s">
        <v>26</v>
      </c>
      <c r="B31" s="12" t="s">
        <v>119</v>
      </c>
      <c r="C31" s="25">
        <f>HISTOBQUEJANV24!C31+HISTOBQUEFEV24!C31+HISTOBQUEMARS24!C31+HISTOBQUEAVRIL24!C31+HISTOBQUEMAI24!C31+HISTOBQUEJUIN24!C31+HISTOBQUEJUIL24!C31+HISTOBQUEAOUT24!C31+HISTOBQUESEPT24!C31+HISTOBQUEOCT24!C31+HISTOBQUENOV24!C31+HISTOBQUEDEC24!C31</f>
        <v>1880000</v>
      </c>
      <c r="D31" s="25">
        <f>HISTOBQUEJANV24!D31+HISTOBQUEFEV24!D31+HISTOBQUEMARS24!D31+HISTOBQUEAVRIL24!D31+HISTOBQUEMAI24!D31+HISTOBQUEJUIN24!D31+HISTOBQUEJUIL24!D31+HISTOBQUEAOUT24!D31+HISTOBQUESEPT24!D31+HISTOBQUEOCT24!D31+HISTOBQUENOV24!D31+HISTOBQUEDEC24!D31</f>
        <v>10000</v>
      </c>
      <c r="E31" s="25">
        <f>HISTOBQUEJANV24!E31+HISTOBQUEFEV24!E31+HISTOBQUEMARS24!E31+HISTOBQUEAVRIL24!E31+HISTOBQUEMAI24!E31+HISTOBQUEJUIN24!E31+HISTOBQUEJUIL24!E31+HISTOBQUEAOUT24!E31+HISTOBQUESEPT24!E31+HISTOBQUEOCT24!E31+HISTOBQUENOV24!E31+HISTOBQUEDEC24!E31</f>
        <v>0</v>
      </c>
      <c r="F31" s="15">
        <f t="shared" si="0"/>
        <v>1890000</v>
      </c>
      <c r="G31" s="15"/>
      <c r="H31" s="18"/>
    </row>
    <row r="32" spans="1:8" ht="17.5" x14ac:dyDescent="0.35">
      <c r="A32" s="11" t="s">
        <v>27</v>
      </c>
      <c r="B32" s="12" t="s">
        <v>120</v>
      </c>
      <c r="C32" s="25">
        <f>HISTOBQUEJANV24!C32+HISTOBQUEFEV24!C32+HISTOBQUEMARS24!C32+HISTOBQUEAVRIL24!C32+HISTOBQUEMAI24!C32+HISTOBQUEJUIN24!C32+HISTOBQUEJUIL24!C32+HISTOBQUEAOUT24!C32+HISTOBQUESEPT24!C32+HISTOBQUEOCT24!C32+HISTOBQUENOV24!C32+HISTOBQUEDEC24!C32</f>
        <v>4014500</v>
      </c>
      <c r="D32" s="25">
        <f>HISTOBQUEJANV24!D32+HISTOBQUEFEV24!D32+HISTOBQUEMARS24!D32+HISTOBQUEAVRIL24!D32+HISTOBQUEMAI24!D32+HISTOBQUEJUIN24!D32+HISTOBQUEJUIL24!D32+HISTOBQUEAOUT24!D32+HISTOBQUESEPT24!D32+HISTOBQUEOCT24!D32+HISTOBQUENOV24!D32+HISTOBQUEDEC24!D32</f>
        <v>0</v>
      </c>
      <c r="E32" s="25">
        <f>HISTOBQUEJANV24!E32+HISTOBQUEFEV24!E32+HISTOBQUEMARS24!E32+HISTOBQUEAVRIL24!E32+HISTOBQUEMAI24!E32+HISTOBQUEJUIN24!E32+HISTOBQUEJUIL24!E32+HISTOBQUEAOUT24!E32+HISTOBQUESEPT24!E32+HISTOBQUEOCT24!E32+HISTOBQUENOV24!E32+HISTOBQUEDEC24!E32</f>
        <v>0</v>
      </c>
      <c r="F32" s="15">
        <f t="shared" si="0"/>
        <v>4014500</v>
      </c>
      <c r="G32" s="15"/>
      <c r="H32" s="18"/>
    </row>
    <row r="33" spans="1:8" ht="17.5" x14ac:dyDescent="0.35">
      <c r="A33" s="11" t="s">
        <v>81</v>
      </c>
      <c r="B33" s="12" t="s">
        <v>121</v>
      </c>
      <c r="C33" s="25">
        <f>HISTOBQUEJANV24!C33+HISTOBQUEFEV24!C33+HISTOBQUEMARS24!C33+HISTOBQUEAVRIL24!C33+HISTOBQUEMAI24!C33+HISTOBQUEJUIN24!C33+HISTOBQUEJUIL24!C33+HISTOBQUEAOUT24!C33+HISTOBQUESEPT24!C33+HISTOBQUEOCT24!C33+HISTOBQUENOV24!C33+HISTOBQUEDEC24!C33</f>
        <v>2400000</v>
      </c>
      <c r="D33" s="25">
        <f>HISTOBQUEJANV24!D33+HISTOBQUEFEV24!D33+HISTOBQUEMARS24!D33+HISTOBQUEAVRIL24!D33+HISTOBQUEMAI24!D33+HISTOBQUEJUIN24!D33+HISTOBQUEJUIL24!D33+HISTOBQUEAOUT24!D33+HISTOBQUESEPT24!D33+HISTOBQUEOCT24!D33+HISTOBQUENOV24!D33+HISTOBQUEDEC24!D33</f>
        <v>0</v>
      </c>
      <c r="E33" s="25">
        <f>HISTOBQUEJANV24!E33+HISTOBQUEFEV24!E33+HISTOBQUEMARS24!E33+HISTOBQUEAVRIL24!E33+HISTOBQUEMAI24!E33+HISTOBQUEJUIN24!E33+HISTOBQUEJUIL24!E33+HISTOBQUEAOUT24!E33+HISTOBQUESEPT24!E33+HISTOBQUEOCT24!E33+HISTOBQUENOV24!E33+HISTOBQUEDEC24!E33</f>
        <v>0</v>
      </c>
      <c r="F33" s="15">
        <f t="shared" si="0"/>
        <v>2400000</v>
      </c>
      <c r="G33" s="15"/>
      <c r="H33" s="18"/>
    </row>
    <row r="34" spans="1:8" ht="17.5" x14ac:dyDescent="0.35">
      <c r="A34" s="11" t="s">
        <v>62</v>
      </c>
      <c r="B34" s="12" t="s">
        <v>122</v>
      </c>
      <c r="C34" s="25">
        <f>HISTOBQUEJANV24!C34+HISTOBQUEFEV24!C34+HISTOBQUEMARS24!C34+HISTOBQUEAVRIL24!C34+HISTOBQUEMAI24!C34+HISTOBQUEJUIN24!C34+HISTOBQUEJUIL24!C34+HISTOBQUEAOUT24!C34+HISTOBQUESEPT24!C34+HISTOBQUEOCT24!C34+HISTOBQUENOV24!C34+HISTOBQUEDEC24!C34</f>
        <v>450000</v>
      </c>
      <c r="D34" s="25">
        <f>HISTOBQUEJANV24!D34+HISTOBQUEFEV24!D34+HISTOBQUEMARS24!D34+HISTOBQUEAVRIL24!D34+HISTOBQUEMAI24!D34+HISTOBQUEJUIN24!D34+HISTOBQUEJUIL24!D34+HISTOBQUEAOUT24!D34+HISTOBQUESEPT24!D34+HISTOBQUEOCT24!D34+HISTOBQUENOV24!D34+HISTOBQUEDEC24!D34</f>
        <v>100000</v>
      </c>
      <c r="E34" s="25">
        <f>HISTOBQUEJANV24!E34+HISTOBQUEFEV24!E34+HISTOBQUEMARS24!E34+HISTOBQUEAVRIL24!E34+HISTOBQUEMAI24!E34+HISTOBQUEJUIN24!E34+HISTOBQUEJUIL24!E34+HISTOBQUEAOUT24!E34+HISTOBQUESEPT24!E34+HISTOBQUEOCT24!E34+HISTOBQUENOV24!E34+HISTOBQUEDEC24!E34</f>
        <v>0</v>
      </c>
      <c r="F34" s="15">
        <f t="shared" si="0"/>
        <v>550000</v>
      </c>
      <c r="G34" s="15"/>
      <c r="H34" s="18"/>
    </row>
    <row r="35" spans="1:8" ht="17.5" x14ac:dyDescent="0.35">
      <c r="A35" s="11" t="s">
        <v>65</v>
      </c>
      <c r="B35" s="12" t="s">
        <v>123</v>
      </c>
      <c r="C35" s="25">
        <f>HISTOBQUEJANV24!C35+HISTOBQUEFEV24!C35+HISTOBQUEMARS24!C35+HISTOBQUEAVRIL24!C35+HISTOBQUEMAI24!C35+HISTOBQUEJUIN24!C35+HISTOBQUEJUIL24!C35+HISTOBQUEAOUT24!C35+HISTOBQUESEPT24!C35+HISTOBQUEOCT24!C35+HISTOBQUENOV24!C35+HISTOBQUEDEC24!C35</f>
        <v>720000</v>
      </c>
      <c r="D35" s="25">
        <f>HISTOBQUEJANV24!D35+HISTOBQUEFEV24!D35+HISTOBQUEMARS24!D35+HISTOBQUEAVRIL24!D35+HISTOBQUEMAI24!D35+HISTOBQUEJUIN24!D35+HISTOBQUEJUIL24!D35+HISTOBQUEAOUT24!D35+HISTOBQUESEPT24!D35+HISTOBQUEOCT24!D35+HISTOBQUENOV24!D35+HISTOBQUEDEC24!D35</f>
        <v>0</v>
      </c>
      <c r="E35" s="25">
        <f>HISTOBQUEJANV24!E35+HISTOBQUEFEV24!E35+HISTOBQUEMARS24!E35+HISTOBQUEAVRIL24!E35+HISTOBQUEMAI24!E35+HISTOBQUEJUIN24!E35+HISTOBQUEJUIL24!E35+HISTOBQUEAOUT24!E35+HISTOBQUESEPT24!E35+HISTOBQUEOCT24!E35+HISTOBQUENOV24!E35+HISTOBQUEDEC24!E35</f>
        <v>0</v>
      </c>
      <c r="F35" s="15">
        <f t="shared" si="0"/>
        <v>720000</v>
      </c>
      <c r="G35" s="15"/>
      <c r="H35" s="18"/>
    </row>
    <row r="36" spans="1:8" ht="17.5" x14ac:dyDescent="0.35">
      <c r="A36" s="11" t="s">
        <v>28</v>
      </c>
      <c r="B36" s="12" t="s">
        <v>124</v>
      </c>
      <c r="C36" s="25">
        <f>HISTOBQUEJANV24!C36+HISTOBQUEFEV24!C36+HISTOBQUEMARS24!C36+HISTOBQUEAVRIL24!C36+HISTOBQUEMAI24!C36+HISTOBQUEJUIN24!C36+HISTOBQUEJUIL24!C36+HISTOBQUEAOUT24!C36+HISTOBQUESEPT24!C36+HISTOBQUEOCT24!C36+HISTOBQUENOV24!C36+HISTOBQUEDEC24!C36</f>
        <v>450000</v>
      </c>
      <c r="D36" s="25">
        <f>HISTOBQUEJANV24!D36+HISTOBQUEFEV24!D36+HISTOBQUEMARS24!D36+HISTOBQUEAVRIL24!D36+HISTOBQUEMAI24!D36+HISTOBQUEJUIN24!D36+HISTOBQUEJUIL24!D36+HISTOBQUEAOUT24!D36+HISTOBQUESEPT24!D36+HISTOBQUEOCT24!D36+HISTOBQUENOV24!D36+HISTOBQUEDEC24!D36</f>
        <v>203000</v>
      </c>
      <c r="E36" s="25">
        <f>HISTOBQUEJANV24!E36+HISTOBQUEFEV24!E36+HISTOBQUEMARS24!E36+HISTOBQUEAVRIL24!E36+HISTOBQUEMAI24!E36+HISTOBQUEJUIN24!E36+HISTOBQUEJUIL24!E36+HISTOBQUEAOUT24!E36+HISTOBQUESEPT24!E36+HISTOBQUEOCT24!E36+HISTOBQUENOV24!E36+HISTOBQUEDEC24!E36</f>
        <v>0</v>
      </c>
      <c r="F36" s="15">
        <f t="shared" si="0"/>
        <v>653000</v>
      </c>
      <c r="G36" s="15"/>
      <c r="H36" s="18"/>
    </row>
    <row r="37" spans="1:8" ht="17.5" x14ac:dyDescent="0.35">
      <c r="A37" s="11" t="s">
        <v>80</v>
      </c>
      <c r="B37" s="12" t="s">
        <v>125</v>
      </c>
      <c r="C37" s="25">
        <f>HISTOBQUEJANV24!C37+HISTOBQUEFEV24!C37+HISTOBQUEMARS24!C37+HISTOBQUEAVRIL24!C37+HISTOBQUEMAI24!C37+HISTOBQUEJUIN24!C37+HISTOBQUEJUIL24!C37+HISTOBQUEAOUT24!C37+HISTOBQUESEPT24!C37+HISTOBQUEOCT24!C37+HISTOBQUENOV24!C37+HISTOBQUEDEC24!C37</f>
        <v>750000</v>
      </c>
      <c r="D37" s="25">
        <f>HISTOBQUEJANV24!D37+HISTOBQUEFEV24!D37+HISTOBQUEMARS24!D37+HISTOBQUEAVRIL24!D37+HISTOBQUEMAI24!D37+HISTOBQUEJUIN24!D37+HISTOBQUEJUIL24!D37+HISTOBQUEAOUT24!D37+HISTOBQUESEPT24!D37+HISTOBQUEOCT24!D37+HISTOBQUENOV24!D37+HISTOBQUEDEC24!D37</f>
        <v>1093000</v>
      </c>
      <c r="E37" s="25">
        <f>HISTOBQUEJANV24!E37+HISTOBQUEFEV24!E37+HISTOBQUEMARS24!E37+HISTOBQUEAVRIL24!E37+HISTOBQUEMAI24!E37+HISTOBQUEJUIN24!E37+HISTOBQUEJUIL24!E37+HISTOBQUEAOUT24!E37+HISTOBQUESEPT24!E37+HISTOBQUEOCT24!E37+HISTOBQUENOV24!E37+HISTOBQUEDEC24!E37</f>
        <v>0</v>
      </c>
      <c r="F37" s="15">
        <f t="shared" si="0"/>
        <v>1843000</v>
      </c>
      <c r="G37" s="15"/>
      <c r="H37" s="18"/>
    </row>
    <row r="38" spans="1:8" ht="17.5" x14ac:dyDescent="0.35">
      <c r="A38" s="11" t="s">
        <v>29</v>
      </c>
      <c r="B38" s="12" t="s">
        <v>126</v>
      </c>
      <c r="C38" s="25">
        <f>HISTOBQUEJANV24!C38+HISTOBQUEFEV24!C38+HISTOBQUEMARS24!C38+HISTOBQUEAVRIL24!C38+HISTOBQUEMAI24!C38+HISTOBQUEJUIN24!C38+HISTOBQUEJUIL24!C38+HISTOBQUEAOUT24!C38+HISTOBQUESEPT24!C38+HISTOBQUEOCT24!C38+HISTOBQUENOV24!C38+HISTOBQUEDEC24!C38</f>
        <v>1500000</v>
      </c>
      <c r="D38" s="25">
        <f>HISTOBQUEJANV24!D38+HISTOBQUEFEV24!D38+HISTOBQUEMARS24!D38+HISTOBQUEAVRIL24!D38+HISTOBQUEMAI24!D38+HISTOBQUEJUIN24!D38+HISTOBQUEJUIL24!D38+HISTOBQUEAOUT24!D38+HISTOBQUESEPT24!D38+HISTOBQUEOCT24!D38+HISTOBQUENOV24!D38+HISTOBQUEDEC24!D38</f>
        <v>0</v>
      </c>
      <c r="E38" s="25">
        <f>HISTOBQUEJANV24!E38+HISTOBQUEFEV24!E38+HISTOBQUEMARS24!E38+HISTOBQUEAVRIL24!E38+HISTOBQUEMAI24!E38+HISTOBQUEJUIN24!E38+HISTOBQUEJUIL24!E38+HISTOBQUEAOUT24!E38+HISTOBQUESEPT24!E38+HISTOBQUEOCT24!E38+HISTOBQUENOV24!E38+HISTOBQUEDEC24!E38</f>
        <v>0</v>
      </c>
      <c r="F38" s="15">
        <f t="shared" si="0"/>
        <v>1500000</v>
      </c>
      <c r="G38" s="15"/>
      <c r="H38" s="18"/>
    </row>
    <row r="39" spans="1:8" x14ac:dyDescent="0.35">
      <c r="A39" s="16"/>
      <c r="B39" s="17"/>
      <c r="C39" s="17"/>
      <c r="D39" s="17"/>
      <c r="E39" s="17"/>
      <c r="F39" s="17"/>
      <c r="G39" s="17"/>
      <c r="H39" s="18"/>
    </row>
    <row r="40" spans="1:8" ht="18" thickBot="1" x14ac:dyDescent="0.4">
      <c r="A40" s="19"/>
      <c r="B40" s="20" t="s">
        <v>30</v>
      </c>
      <c r="C40" s="21">
        <f>SUM(C7:C39)</f>
        <v>61604500</v>
      </c>
      <c r="D40" s="21">
        <f>SUM(D7:D39)</f>
        <v>13646500</v>
      </c>
      <c r="E40" s="21">
        <f>SUM(E7:E39)</f>
        <v>1000000</v>
      </c>
      <c r="F40" s="21">
        <f>SUM(F7:F39)</f>
        <v>76251000</v>
      </c>
      <c r="G40" s="21">
        <f>SUM(G7:G39)</f>
        <v>0</v>
      </c>
      <c r="H40" s="22">
        <f t="shared" ref="H40" si="1">SUM(H8:H39)</f>
        <v>0</v>
      </c>
    </row>
    <row r="41" spans="1:8" ht="15" thickTop="1" x14ac:dyDescent="0.35"/>
  </sheetData>
  <autoFilter ref="A5:F38" xr:uid="{00000000-0009-0000-0000-00000E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zoomScale="106" zoomScaleNormal="106" workbookViewId="0">
      <pane xSplit="3" ySplit="5" topLeftCell="G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G11" sqref="G11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  <col min="9" max="9" width="12.54296875" customWidth="1"/>
    <col min="10" max="10" width="13.08984375" bestFit="1" customWidth="1"/>
    <col min="11" max="11" width="18.453125" customWidth="1"/>
  </cols>
  <sheetData>
    <row r="1" spans="1:11" ht="21" x14ac:dyDescent="0.5">
      <c r="A1" s="1" t="s">
        <v>2</v>
      </c>
      <c r="B1" s="1" t="s">
        <v>3</v>
      </c>
      <c r="C1" s="24" t="s">
        <v>67</v>
      </c>
    </row>
    <row r="2" spans="1:11" x14ac:dyDescent="0.35">
      <c r="A2" s="1" t="s">
        <v>4</v>
      </c>
      <c r="B2" s="1">
        <v>2024</v>
      </c>
    </row>
    <row r="3" spans="1:11" x14ac:dyDescent="0.3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11" ht="29" thickBot="1" x14ac:dyDescent="0.7">
      <c r="B4" s="51" t="s">
        <v>58</v>
      </c>
      <c r="C4" s="49"/>
      <c r="D4" s="49"/>
      <c r="E4" s="49"/>
      <c r="F4" s="3"/>
    </row>
    <row r="5" spans="1:11" ht="68.25" customHeight="1" thickTop="1" x14ac:dyDescent="0.35">
      <c r="A5" s="8" t="s">
        <v>0</v>
      </c>
      <c r="B5" s="9" t="s">
        <v>1</v>
      </c>
      <c r="C5" s="10" t="s">
        <v>33</v>
      </c>
      <c r="D5" s="10" t="s">
        <v>32</v>
      </c>
      <c r="E5" s="10" t="s">
        <v>34</v>
      </c>
      <c r="F5" s="10" t="s">
        <v>31</v>
      </c>
      <c r="G5" s="10" t="s">
        <v>59</v>
      </c>
      <c r="H5" s="26" t="s">
        <v>61</v>
      </c>
      <c r="I5" s="26" t="s">
        <v>78</v>
      </c>
      <c r="J5" s="31" t="s">
        <v>86</v>
      </c>
      <c r="K5" s="23" t="s">
        <v>85</v>
      </c>
    </row>
    <row r="6" spans="1:11" ht="17.5" x14ac:dyDescent="0.35">
      <c r="A6" s="11" t="s">
        <v>60</v>
      </c>
      <c r="B6" s="12" t="s">
        <v>3</v>
      </c>
      <c r="C6" s="25">
        <v>175000</v>
      </c>
      <c r="D6" s="13"/>
      <c r="E6" s="14"/>
      <c r="F6" s="15">
        <f>SUM(C6:E6)</f>
        <v>175000</v>
      </c>
      <c r="G6" s="15"/>
      <c r="H6" s="17">
        <v>1193</v>
      </c>
      <c r="I6" s="27" t="s">
        <v>79</v>
      </c>
      <c r="J6" s="33">
        <f>C6</f>
        <v>175000</v>
      </c>
      <c r="K6" s="29">
        <v>0</v>
      </c>
    </row>
    <row r="7" spans="1:11" ht="17.5" x14ac:dyDescent="0.35">
      <c r="A7" s="11" t="s">
        <v>66</v>
      </c>
      <c r="B7" s="12" t="s">
        <v>95</v>
      </c>
      <c r="C7" s="25">
        <v>56000</v>
      </c>
      <c r="D7" s="13"/>
      <c r="E7" s="14"/>
      <c r="F7" s="15">
        <f t="shared" ref="F7:F38" si="0">SUM(C7:E7)</f>
        <v>56000</v>
      </c>
      <c r="G7" s="15"/>
      <c r="H7" s="17"/>
      <c r="I7" s="27" t="s">
        <v>79</v>
      </c>
      <c r="J7" s="33">
        <f t="shared" ref="J7:J38" si="1">C7</f>
        <v>56000</v>
      </c>
      <c r="K7" s="29">
        <v>6000</v>
      </c>
    </row>
    <row r="8" spans="1:11" ht="17.5" x14ac:dyDescent="0.35">
      <c r="A8" s="11" t="s">
        <v>6</v>
      </c>
      <c r="B8" s="12" t="s">
        <v>96</v>
      </c>
      <c r="C8" s="25">
        <v>125000</v>
      </c>
      <c r="D8" s="13"/>
      <c r="E8" s="14"/>
      <c r="F8" s="15">
        <f t="shared" si="0"/>
        <v>125000</v>
      </c>
      <c r="G8" s="15"/>
      <c r="H8" s="17"/>
      <c r="I8" s="27" t="s">
        <v>79</v>
      </c>
      <c r="J8" s="33">
        <f t="shared" si="1"/>
        <v>125000</v>
      </c>
      <c r="K8" s="29">
        <v>0</v>
      </c>
    </row>
    <row r="9" spans="1:11" ht="17.5" x14ac:dyDescent="0.35">
      <c r="A9" s="11" t="s">
        <v>7</v>
      </c>
      <c r="B9" s="12" t="s">
        <v>97</v>
      </c>
      <c r="C9" s="25">
        <v>250000</v>
      </c>
      <c r="D9" s="13"/>
      <c r="E9" s="14"/>
      <c r="F9" s="15">
        <f t="shared" si="0"/>
        <v>250000</v>
      </c>
      <c r="G9" s="15"/>
      <c r="H9" s="17"/>
      <c r="I9" s="27" t="s">
        <v>79</v>
      </c>
      <c r="J9" s="33">
        <f t="shared" si="1"/>
        <v>250000</v>
      </c>
      <c r="K9" s="29">
        <v>0</v>
      </c>
    </row>
    <row r="10" spans="1:11" ht="17.5" x14ac:dyDescent="0.35">
      <c r="A10" s="11" t="s">
        <v>8</v>
      </c>
      <c r="B10" s="12" t="s">
        <v>98</v>
      </c>
      <c r="C10" s="25">
        <v>125000</v>
      </c>
      <c r="D10" s="13"/>
      <c r="E10" s="14"/>
      <c r="F10" s="15">
        <f t="shared" si="0"/>
        <v>125000</v>
      </c>
      <c r="G10" s="15"/>
      <c r="H10" s="17"/>
      <c r="I10" s="27" t="s">
        <v>79</v>
      </c>
      <c r="J10" s="33">
        <f t="shared" si="1"/>
        <v>125000</v>
      </c>
      <c r="K10" s="29">
        <v>0</v>
      </c>
    </row>
    <row r="11" spans="1:11" ht="17.5" x14ac:dyDescent="0.35">
      <c r="A11" s="11" t="s">
        <v>9</v>
      </c>
      <c r="B11" s="12" t="s">
        <v>99</v>
      </c>
      <c r="C11" s="25">
        <v>125000</v>
      </c>
      <c r="D11" s="13"/>
      <c r="E11" s="14"/>
      <c r="F11" s="15">
        <f t="shared" si="0"/>
        <v>125000</v>
      </c>
      <c r="G11" s="15"/>
      <c r="H11" s="17"/>
      <c r="I11" s="27" t="s">
        <v>79</v>
      </c>
      <c r="J11" s="33">
        <f t="shared" si="1"/>
        <v>125000</v>
      </c>
      <c r="K11" s="29">
        <v>0</v>
      </c>
    </row>
    <row r="12" spans="1:11" ht="17.5" x14ac:dyDescent="0.35">
      <c r="A12" s="11" t="s">
        <v>10</v>
      </c>
      <c r="B12" s="12" t="s">
        <v>100</v>
      </c>
      <c r="C12" s="25">
        <v>330000</v>
      </c>
      <c r="D12" s="13"/>
      <c r="E12" s="14"/>
      <c r="F12" s="15">
        <f t="shared" si="0"/>
        <v>330000</v>
      </c>
      <c r="G12" s="15"/>
      <c r="H12" s="17"/>
      <c r="I12" s="27" t="s">
        <v>79</v>
      </c>
      <c r="J12" s="33">
        <f t="shared" si="1"/>
        <v>330000</v>
      </c>
      <c r="K12" s="29">
        <v>0</v>
      </c>
    </row>
    <row r="13" spans="1:11" ht="17.5" x14ac:dyDescent="0.35">
      <c r="A13" s="11" t="s">
        <v>11</v>
      </c>
      <c r="B13" s="12" t="s">
        <v>101</v>
      </c>
      <c r="C13" s="25">
        <v>50000</v>
      </c>
      <c r="D13" s="13"/>
      <c r="E13" s="14"/>
      <c r="F13" s="15">
        <f t="shared" si="0"/>
        <v>50000</v>
      </c>
      <c r="G13" s="15"/>
      <c r="H13" s="17"/>
      <c r="I13" s="27" t="s">
        <v>79</v>
      </c>
      <c r="J13" s="33">
        <f t="shared" si="1"/>
        <v>50000</v>
      </c>
      <c r="K13" s="29">
        <v>0</v>
      </c>
    </row>
    <row r="14" spans="1:11" ht="17.5" x14ac:dyDescent="0.35">
      <c r="A14" s="11" t="s">
        <v>12</v>
      </c>
      <c r="B14" s="12" t="s">
        <v>102</v>
      </c>
      <c r="C14" s="25">
        <v>0</v>
      </c>
      <c r="D14" s="13">
        <v>50000</v>
      </c>
      <c r="E14" s="14"/>
      <c r="F14" s="15">
        <f t="shared" si="0"/>
        <v>50000</v>
      </c>
      <c r="G14" s="15"/>
      <c r="H14" s="17"/>
      <c r="I14" s="27"/>
      <c r="J14" s="33">
        <f t="shared" si="1"/>
        <v>0</v>
      </c>
      <c r="K14" s="29">
        <v>0</v>
      </c>
    </row>
    <row r="15" spans="1:11" ht="17.5" x14ac:dyDescent="0.35">
      <c r="A15" s="11" t="s">
        <v>13</v>
      </c>
      <c r="B15" s="12" t="s">
        <v>103</v>
      </c>
      <c r="C15" s="25">
        <v>125000</v>
      </c>
      <c r="D15" s="13"/>
      <c r="E15" s="14"/>
      <c r="F15" s="15">
        <f t="shared" si="0"/>
        <v>125000</v>
      </c>
      <c r="G15" s="15"/>
      <c r="H15" s="17"/>
      <c r="I15" s="27" t="s">
        <v>79</v>
      </c>
      <c r="J15" s="33">
        <f t="shared" si="1"/>
        <v>125000</v>
      </c>
      <c r="K15" s="29">
        <v>0</v>
      </c>
    </row>
    <row r="16" spans="1:11" ht="17.5" x14ac:dyDescent="0.35">
      <c r="A16" s="11" t="s">
        <v>14</v>
      </c>
      <c r="B16" s="12" t="s">
        <v>104</v>
      </c>
      <c r="C16" s="25">
        <v>260000</v>
      </c>
      <c r="D16" s="13"/>
      <c r="E16" s="14"/>
      <c r="F16" s="15">
        <f t="shared" si="0"/>
        <v>260000</v>
      </c>
      <c r="G16" s="15"/>
      <c r="H16" s="17"/>
      <c r="I16" s="27" t="s">
        <v>79</v>
      </c>
      <c r="J16" s="33">
        <f t="shared" si="1"/>
        <v>260000</v>
      </c>
      <c r="K16" s="29">
        <v>0</v>
      </c>
    </row>
    <row r="17" spans="1:11" ht="17.5" x14ac:dyDescent="0.35">
      <c r="A17" s="11" t="s">
        <v>15</v>
      </c>
      <c r="B17" s="12" t="s">
        <v>105</v>
      </c>
      <c r="C17" s="25">
        <v>150000</v>
      </c>
      <c r="D17" s="13"/>
      <c r="E17" s="14"/>
      <c r="F17" s="15">
        <f t="shared" si="0"/>
        <v>150000</v>
      </c>
      <c r="G17" s="15"/>
      <c r="H17" s="17"/>
      <c r="I17" s="27" t="s">
        <v>79</v>
      </c>
      <c r="J17" s="33">
        <f t="shared" si="1"/>
        <v>150000</v>
      </c>
      <c r="K17" s="29">
        <v>0</v>
      </c>
    </row>
    <row r="18" spans="1:11" ht="17.5" x14ac:dyDescent="0.35">
      <c r="A18" s="11" t="s">
        <v>16</v>
      </c>
      <c r="B18" s="12" t="s">
        <v>106</v>
      </c>
      <c r="C18" s="25">
        <v>150000</v>
      </c>
      <c r="D18" s="13"/>
      <c r="E18" s="14"/>
      <c r="F18" s="15">
        <f t="shared" si="0"/>
        <v>150000</v>
      </c>
      <c r="G18" s="15"/>
      <c r="H18" s="17"/>
      <c r="I18" s="27" t="s">
        <v>79</v>
      </c>
      <c r="J18" s="33">
        <f t="shared" si="1"/>
        <v>150000</v>
      </c>
      <c r="K18" s="29">
        <v>0</v>
      </c>
    </row>
    <row r="19" spans="1:11" ht="17.5" x14ac:dyDescent="0.35">
      <c r="A19" s="11" t="s">
        <v>82</v>
      </c>
      <c r="B19" s="12" t="s">
        <v>107</v>
      </c>
      <c r="C19" s="25">
        <v>50000</v>
      </c>
      <c r="D19" s="13">
        <v>25000</v>
      </c>
      <c r="E19" s="14"/>
      <c r="F19" s="15">
        <f t="shared" ref="F19" si="2">SUM(C19:E19)</f>
        <v>75000</v>
      </c>
      <c r="G19" s="15"/>
      <c r="H19" s="17"/>
      <c r="I19" s="27" t="s">
        <v>79</v>
      </c>
      <c r="J19" s="33">
        <f t="shared" si="1"/>
        <v>50000</v>
      </c>
      <c r="K19" s="29">
        <v>0</v>
      </c>
    </row>
    <row r="20" spans="1:11" ht="17.5" x14ac:dyDescent="0.35">
      <c r="A20" s="11" t="s">
        <v>17</v>
      </c>
      <c r="B20" s="12" t="s">
        <v>108</v>
      </c>
      <c r="C20" s="25">
        <v>225000</v>
      </c>
      <c r="D20" s="13"/>
      <c r="E20" s="14"/>
      <c r="F20" s="15">
        <f t="shared" si="0"/>
        <v>225000</v>
      </c>
      <c r="G20" s="15"/>
      <c r="H20" s="17"/>
      <c r="I20" s="27" t="s">
        <v>79</v>
      </c>
      <c r="J20" s="33">
        <f t="shared" si="1"/>
        <v>225000</v>
      </c>
      <c r="K20" s="29">
        <v>0</v>
      </c>
    </row>
    <row r="21" spans="1:11" ht="17.5" x14ac:dyDescent="0.35">
      <c r="A21" s="11" t="s">
        <v>18</v>
      </c>
      <c r="B21" s="12" t="s">
        <v>109</v>
      </c>
      <c r="C21" s="25">
        <v>50000</v>
      </c>
      <c r="D21" s="13"/>
      <c r="E21" s="14"/>
      <c r="F21" s="15">
        <f t="shared" si="0"/>
        <v>50000</v>
      </c>
      <c r="G21" s="15"/>
      <c r="H21" s="17"/>
      <c r="I21" s="27" t="s">
        <v>79</v>
      </c>
      <c r="J21" s="33">
        <f t="shared" si="1"/>
        <v>50000</v>
      </c>
      <c r="K21" s="29">
        <v>0</v>
      </c>
    </row>
    <row r="22" spans="1:11" ht="17.5" x14ac:dyDescent="0.35">
      <c r="A22" s="11" t="s">
        <v>19</v>
      </c>
      <c r="B22" s="12" t="s">
        <v>110</v>
      </c>
      <c r="C22" s="25">
        <v>125000</v>
      </c>
      <c r="D22" s="13"/>
      <c r="E22" s="14"/>
      <c r="F22" s="15">
        <f t="shared" si="0"/>
        <v>125000</v>
      </c>
      <c r="G22" s="15"/>
      <c r="H22" s="17"/>
      <c r="I22" s="27" t="s">
        <v>79</v>
      </c>
      <c r="J22" s="33">
        <f t="shared" si="1"/>
        <v>125000</v>
      </c>
      <c r="K22" s="29">
        <v>0</v>
      </c>
    </row>
    <row r="23" spans="1:11" ht="17.5" x14ac:dyDescent="0.35">
      <c r="A23" s="11" t="s">
        <v>20</v>
      </c>
      <c r="B23" s="12" t="s">
        <v>111</v>
      </c>
      <c r="C23" s="25">
        <v>260000</v>
      </c>
      <c r="D23" s="13"/>
      <c r="E23" s="14"/>
      <c r="F23" s="15">
        <f t="shared" si="0"/>
        <v>260000</v>
      </c>
      <c r="G23" s="15"/>
      <c r="H23" s="17"/>
      <c r="I23" s="27" t="s">
        <v>79</v>
      </c>
      <c r="J23" s="33">
        <f t="shared" si="1"/>
        <v>260000</v>
      </c>
      <c r="K23" s="29">
        <v>0</v>
      </c>
    </row>
    <row r="24" spans="1:11" ht="17.5" x14ac:dyDescent="0.35">
      <c r="A24" s="11" t="s">
        <v>21</v>
      </c>
      <c r="B24" s="12" t="s">
        <v>112</v>
      </c>
      <c r="C24" s="25">
        <v>225000</v>
      </c>
      <c r="D24" s="13"/>
      <c r="E24" s="14"/>
      <c r="F24" s="15">
        <f t="shared" si="0"/>
        <v>225000</v>
      </c>
      <c r="G24" s="15"/>
      <c r="H24" s="17"/>
      <c r="I24" s="27" t="s">
        <v>79</v>
      </c>
      <c r="J24" s="33">
        <f t="shared" si="1"/>
        <v>225000</v>
      </c>
      <c r="K24" s="29">
        <v>0</v>
      </c>
    </row>
    <row r="25" spans="1:11" ht="17.5" x14ac:dyDescent="0.35">
      <c r="A25" s="11" t="s">
        <v>22</v>
      </c>
      <c r="B25" s="12" t="s">
        <v>113</v>
      </c>
      <c r="C25" s="25">
        <v>375000</v>
      </c>
      <c r="D25" s="13"/>
      <c r="E25" s="14"/>
      <c r="F25" s="15">
        <f t="shared" si="0"/>
        <v>375000</v>
      </c>
      <c r="G25" s="15"/>
      <c r="H25" s="17"/>
      <c r="I25" s="27" t="s">
        <v>79</v>
      </c>
      <c r="J25" s="33">
        <f t="shared" si="1"/>
        <v>375000</v>
      </c>
      <c r="K25" s="29">
        <v>0</v>
      </c>
    </row>
    <row r="26" spans="1:11" ht="17.5" x14ac:dyDescent="0.35">
      <c r="A26" s="11" t="s">
        <v>23</v>
      </c>
      <c r="B26" s="12" t="s">
        <v>114</v>
      </c>
      <c r="C26" s="25">
        <v>50000</v>
      </c>
      <c r="D26" s="13">
        <v>50000</v>
      </c>
      <c r="E26" s="14"/>
      <c r="F26" s="15">
        <f t="shared" si="0"/>
        <v>100000</v>
      </c>
      <c r="G26" s="15"/>
      <c r="H26" s="17"/>
      <c r="I26" s="27" t="s">
        <v>79</v>
      </c>
      <c r="J26" s="33">
        <f t="shared" si="1"/>
        <v>50000</v>
      </c>
      <c r="K26" s="29">
        <v>0</v>
      </c>
    </row>
    <row r="27" spans="1:11" ht="17.5" x14ac:dyDescent="0.35">
      <c r="A27" s="11" t="s">
        <v>63</v>
      </c>
      <c r="B27" s="12" t="s">
        <v>115</v>
      </c>
      <c r="C27" s="25">
        <v>50000</v>
      </c>
      <c r="D27" s="13"/>
      <c r="E27" s="14"/>
      <c r="F27" s="15">
        <f>SUM(C27:E27)</f>
        <v>50000</v>
      </c>
      <c r="G27" s="15"/>
      <c r="H27" s="17"/>
      <c r="I27" s="27" t="s">
        <v>79</v>
      </c>
      <c r="J27" s="33">
        <f t="shared" si="1"/>
        <v>50000</v>
      </c>
      <c r="K27" s="29">
        <v>0</v>
      </c>
    </row>
    <row r="28" spans="1:11" ht="17.5" x14ac:dyDescent="0.35">
      <c r="A28" s="11" t="s">
        <v>24</v>
      </c>
      <c r="B28" s="12" t="s">
        <v>116</v>
      </c>
      <c r="C28" s="25">
        <v>125000</v>
      </c>
      <c r="D28" s="13"/>
      <c r="E28" s="14"/>
      <c r="F28" s="15">
        <f t="shared" si="0"/>
        <v>125000</v>
      </c>
      <c r="G28" s="15"/>
      <c r="H28" s="17"/>
      <c r="I28" s="27" t="s">
        <v>79</v>
      </c>
      <c r="J28" s="33">
        <f t="shared" si="1"/>
        <v>125000</v>
      </c>
      <c r="K28" s="29">
        <v>0</v>
      </c>
    </row>
    <row r="29" spans="1:11" ht="17.5" x14ac:dyDescent="0.35">
      <c r="A29" s="11" t="s">
        <v>64</v>
      </c>
      <c r="B29" s="12" t="s">
        <v>117</v>
      </c>
      <c r="C29" s="25">
        <v>500000</v>
      </c>
      <c r="D29" s="13"/>
      <c r="E29" s="14"/>
      <c r="F29" s="15">
        <f t="shared" si="0"/>
        <v>500000</v>
      </c>
      <c r="G29" s="15"/>
      <c r="H29" s="17"/>
      <c r="I29" s="27" t="s">
        <v>79</v>
      </c>
      <c r="J29" s="33">
        <f t="shared" si="1"/>
        <v>500000</v>
      </c>
      <c r="K29" s="29">
        <v>450000</v>
      </c>
    </row>
    <row r="30" spans="1:11" ht="17.5" x14ac:dyDescent="0.35">
      <c r="A30" s="11" t="s">
        <v>25</v>
      </c>
      <c r="B30" s="12" t="s">
        <v>118</v>
      </c>
      <c r="C30" s="25">
        <v>250000</v>
      </c>
      <c r="D30" s="13"/>
      <c r="E30" s="14"/>
      <c r="F30" s="15">
        <f t="shared" si="0"/>
        <v>250000</v>
      </c>
      <c r="G30" s="15"/>
      <c r="H30" s="17"/>
      <c r="I30" s="27" t="s">
        <v>79</v>
      </c>
      <c r="J30" s="33">
        <f t="shared" si="1"/>
        <v>250000</v>
      </c>
      <c r="K30" s="29">
        <v>0</v>
      </c>
    </row>
    <row r="31" spans="1:11" ht="17.5" x14ac:dyDescent="0.35">
      <c r="A31" s="11" t="s">
        <v>26</v>
      </c>
      <c r="B31" s="12" t="s">
        <v>119</v>
      </c>
      <c r="C31" s="25">
        <v>150000</v>
      </c>
      <c r="D31" s="13"/>
      <c r="E31" s="14"/>
      <c r="F31" s="15">
        <f t="shared" si="0"/>
        <v>150000</v>
      </c>
      <c r="G31" s="15"/>
      <c r="H31" s="17"/>
      <c r="I31" s="27" t="s">
        <v>79</v>
      </c>
      <c r="J31" s="33">
        <f t="shared" si="1"/>
        <v>150000</v>
      </c>
      <c r="K31" s="29">
        <v>0</v>
      </c>
    </row>
    <row r="32" spans="1:11" ht="17.5" x14ac:dyDescent="0.35">
      <c r="A32" s="11" t="s">
        <v>27</v>
      </c>
      <c r="B32" s="12" t="s">
        <v>120</v>
      </c>
      <c r="C32" s="25">
        <v>125000</v>
      </c>
      <c r="D32" s="13"/>
      <c r="E32" s="14"/>
      <c r="F32" s="15">
        <f t="shared" si="0"/>
        <v>125000</v>
      </c>
      <c r="G32" s="15"/>
      <c r="H32" s="17"/>
      <c r="I32" s="27" t="s">
        <v>79</v>
      </c>
      <c r="J32" s="33">
        <f t="shared" si="1"/>
        <v>125000</v>
      </c>
      <c r="K32" s="29">
        <v>0</v>
      </c>
    </row>
    <row r="33" spans="1:11" ht="17.5" x14ac:dyDescent="0.35">
      <c r="A33" s="11" t="s">
        <v>81</v>
      </c>
      <c r="B33" s="12" t="s">
        <v>121</v>
      </c>
      <c r="C33" s="25">
        <v>540000</v>
      </c>
      <c r="D33" s="13"/>
      <c r="E33" s="14"/>
      <c r="F33" s="15">
        <f t="shared" si="0"/>
        <v>540000</v>
      </c>
      <c r="G33" s="15"/>
      <c r="H33" s="17"/>
      <c r="I33" s="27" t="s">
        <v>79</v>
      </c>
      <c r="J33" s="33">
        <f t="shared" si="1"/>
        <v>540000</v>
      </c>
      <c r="K33" s="29">
        <v>390000</v>
      </c>
    </row>
    <row r="34" spans="1:11" ht="17.5" x14ac:dyDescent="0.35">
      <c r="A34" s="11" t="s">
        <v>62</v>
      </c>
      <c r="B34" s="12" t="s">
        <v>122</v>
      </c>
      <c r="C34" s="25">
        <v>50000</v>
      </c>
      <c r="D34" s="13"/>
      <c r="E34" s="14"/>
      <c r="F34" s="15">
        <f t="shared" ref="F34" si="3">SUM(C34:E34)</f>
        <v>50000</v>
      </c>
      <c r="G34" s="15"/>
      <c r="H34" s="17"/>
      <c r="I34" s="27" t="s">
        <v>79</v>
      </c>
      <c r="J34" s="33">
        <f t="shared" si="1"/>
        <v>50000</v>
      </c>
      <c r="K34" s="29">
        <v>0</v>
      </c>
    </row>
    <row r="35" spans="1:11" ht="17.5" x14ac:dyDescent="0.35">
      <c r="A35" s="11" t="s">
        <v>65</v>
      </c>
      <c r="B35" s="12" t="s">
        <v>123</v>
      </c>
      <c r="C35" s="25">
        <v>60000</v>
      </c>
      <c r="D35" s="13"/>
      <c r="E35" s="14"/>
      <c r="F35" s="15">
        <f t="shared" si="0"/>
        <v>60000</v>
      </c>
      <c r="G35" s="15"/>
      <c r="H35" s="17"/>
      <c r="I35" s="27" t="s">
        <v>79</v>
      </c>
      <c r="J35" s="33">
        <f t="shared" si="1"/>
        <v>60000</v>
      </c>
      <c r="K35" s="29">
        <v>0</v>
      </c>
    </row>
    <row r="36" spans="1:11" ht="17.5" x14ac:dyDescent="0.35">
      <c r="A36" s="11" t="s">
        <v>28</v>
      </c>
      <c r="B36" s="12" t="s">
        <v>124</v>
      </c>
      <c r="C36" s="25">
        <v>50000</v>
      </c>
      <c r="D36" s="13">
        <v>50000</v>
      </c>
      <c r="E36" s="14"/>
      <c r="F36" s="15">
        <f t="shared" si="0"/>
        <v>100000</v>
      </c>
      <c r="G36" s="15"/>
      <c r="H36" s="17"/>
      <c r="I36" s="27" t="s">
        <v>79</v>
      </c>
      <c r="J36" s="33">
        <f t="shared" si="1"/>
        <v>50000</v>
      </c>
      <c r="K36" s="29">
        <v>0</v>
      </c>
    </row>
    <row r="37" spans="1:11" ht="17.5" x14ac:dyDescent="0.35">
      <c r="A37" s="11" t="s">
        <v>80</v>
      </c>
      <c r="B37" s="12" t="s">
        <v>125</v>
      </c>
      <c r="C37" s="25">
        <v>150000</v>
      </c>
      <c r="D37" s="13">
        <v>25000</v>
      </c>
      <c r="E37" s="14"/>
      <c r="F37" s="15">
        <f t="shared" ref="F37" si="4">SUM(C37:E37)</f>
        <v>175000</v>
      </c>
      <c r="G37" s="15"/>
      <c r="H37" s="17"/>
      <c r="I37" s="27" t="s">
        <v>79</v>
      </c>
      <c r="J37" s="33">
        <f t="shared" si="1"/>
        <v>150000</v>
      </c>
      <c r="K37" s="29">
        <v>0</v>
      </c>
    </row>
    <row r="38" spans="1:11" ht="17.5" x14ac:dyDescent="0.35">
      <c r="A38" s="11" t="s">
        <v>29</v>
      </c>
      <c r="B38" s="12" t="s">
        <v>126</v>
      </c>
      <c r="C38" s="25">
        <v>125000</v>
      </c>
      <c r="D38" s="13"/>
      <c r="E38" s="14"/>
      <c r="F38" s="15">
        <f t="shared" si="0"/>
        <v>125000</v>
      </c>
      <c r="G38" s="15"/>
      <c r="H38" s="17"/>
      <c r="I38" s="27" t="s">
        <v>79</v>
      </c>
      <c r="J38" s="33">
        <f t="shared" si="1"/>
        <v>125000</v>
      </c>
      <c r="K38" s="29">
        <v>0</v>
      </c>
    </row>
    <row r="39" spans="1:11" x14ac:dyDescent="0.35">
      <c r="A39" s="16"/>
      <c r="B39" s="17"/>
      <c r="C39" s="17"/>
      <c r="D39" s="17"/>
      <c r="E39" s="17"/>
      <c r="F39" s="17"/>
      <c r="G39" s="17"/>
      <c r="H39" s="17"/>
      <c r="I39" s="17"/>
      <c r="J39" s="32"/>
      <c r="K39" s="18"/>
    </row>
    <row r="40" spans="1:11" ht="18" thickBot="1" x14ac:dyDescent="0.4">
      <c r="A40" s="19"/>
      <c r="B40" s="20" t="s">
        <v>30</v>
      </c>
      <c r="C40" s="21">
        <f>SUM(C7:C39)</f>
        <v>5281000</v>
      </c>
      <c r="D40" s="21">
        <f>SUM(D7:D39)</f>
        <v>200000</v>
      </c>
      <c r="E40" s="21">
        <f>SUM(E7:E39)</f>
        <v>0</v>
      </c>
      <c r="F40" s="21">
        <f>SUM(F7:F39)</f>
        <v>5481000</v>
      </c>
      <c r="G40" s="21">
        <f>SUM(G7:G39)</f>
        <v>0</v>
      </c>
      <c r="H40" s="21">
        <f t="shared" ref="H40" si="5">SUM(H8:H39)</f>
        <v>0</v>
      </c>
      <c r="I40" s="28"/>
      <c r="J40" s="21">
        <f t="shared" ref="J40" si="6">SUM(J6:J39)</f>
        <v>5456000</v>
      </c>
      <c r="K40" s="22">
        <f>SUM(K6:K39)</f>
        <v>846000</v>
      </c>
    </row>
    <row r="41" spans="1:11" ht="15" thickTop="1" x14ac:dyDescent="0.35"/>
  </sheetData>
  <autoFilter ref="A5:F38" xr:uid="{00000000-0009-0000-0000-000002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41"/>
  <sheetViews>
    <sheetView zoomScale="106" zoomScaleNormal="106" workbookViewId="0">
      <pane xSplit="3" ySplit="5" topLeftCell="G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J6" sqref="J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  <col min="9" max="9" width="12.54296875" customWidth="1"/>
    <col min="10" max="10" width="13.08984375" bestFit="1" customWidth="1"/>
    <col min="11" max="11" width="18.453125" customWidth="1"/>
  </cols>
  <sheetData>
    <row r="1" spans="1:11" ht="21" x14ac:dyDescent="0.5">
      <c r="A1" s="1" t="s">
        <v>2</v>
      </c>
      <c r="B1" s="1" t="s">
        <v>3</v>
      </c>
      <c r="C1" s="24" t="s">
        <v>68</v>
      </c>
    </row>
    <row r="2" spans="1:11" x14ac:dyDescent="0.35">
      <c r="A2" s="1" t="s">
        <v>4</v>
      </c>
      <c r="B2" s="1">
        <v>2024</v>
      </c>
    </row>
    <row r="3" spans="1:11" x14ac:dyDescent="0.3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11" ht="29" thickBot="1" x14ac:dyDescent="0.7">
      <c r="B4" s="51" t="s">
        <v>58</v>
      </c>
      <c r="C4" s="49"/>
      <c r="D4" s="49"/>
      <c r="E4" s="49"/>
      <c r="F4" s="3"/>
    </row>
    <row r="5" spans="1:11" ht="68.25" customHeight="1" thickTop="1" x14ac:dyDescent="0.35">
      <c r="A5" s="8" t="s">
        <v>0</v>
      </c>
      <c r="B5" s="9" t="s">
        <v>1</v>
      </c>
      <c r="C5" s="10" t="s">
        <v>33</v>
      </c>
      <c r="D5" s="10" t="s">
        <v>32</v>
      </c>
      <c r="E5" s="10" t="s">
        <v>34</v>
      </c>
      <c r="F5" s="10" t="s">
        <v>31</v>
      </c>
      <c r="G5" s="10" t="s">
        <v>59</v>
      </c>
      <c r="H5" s="26" t="s">
        <v>61</v>
      </c>
      <c r="I5" s="26" t="s">
        <v>78</v>
      </c>
      <c r="J5" s="31" t="s">
        <v>86</v>
      </c>
      <c r="K5" s="23" t="s">
        <v>85</v>
      </c>
    </row>
    <row r="6" spans="1:11" ht="17.5" x14ac:dyDescent="0.35">
      <c r="A6" s="11" t="s">
        <v>60</v>
      </c>
      <c r="B6" s="12" t="s">
        <v>3</v>
      </c>
      <c r="C6" s="25">
        <v>175000</v>
      </c>
      <c r="D6" s="13"/>
      <c r="E6" s="14"/>
      <c r="F6" s="15">
        <f>SUM(C6:E6)</f>
        <v>175000</v>
      </c>
      <c r="G6" s="15"/>
      <c r="H6" s="17">
        <v>1193</v>
      </c>
      <c r="I6" s="27" t="s">
        <v>79</v>
      </c>
      <c r="J6" s="33">
        <f>C6</f>
        <v>175000</v>
      </c>
      <c r="K6" s="29">
        <v>0</v>
      </c>
    </row>
    <row r="7" spans="1:11" ht="17.5" x14ac:dyDescent="0.35">
      <c r="A7" s="11" t="s">
        <v>66</v>
      </c>
      <c r="B7" s="12" t="s">
        <v>95</v>
      </c>
      <c r="C7" s="25">
        <v>56000</v>
      </c>
      <c r="D7" s="13"/>
      <c r="E7" s="14"/>
      <c r="F7" s="15">
        <f t="shared" ref="F7:F38" si="0">SUM(C7:E7)</f>
        <v>56000</v>
      </c>
      <c r="G7" s="15"/>
      <c r="H7" s="17"/>
      <c r="I7" s="27" t="s">
        <v>79</v>
      </c>
      <c r="J7" s="33">
        <f t="shared" ref="J7:J38" si="1">C7</f>
        <v>56000</v>
      </c>
      <c r="K7" s="29">
        <v>6000</v>
      </c>
    </row>
    <row r="8" spans="1:11" ht="17.5" x14ac:dyDescent="0.35">
      <c r="A8" s="11" t="s">
        <v>6</v>
      </c>
      <c r="B8" s="12" t="s">
        <v>96</v>
      </c>
      <c r="C8" s="25">
        <v>100000</v>
      </c>
      <c r="D8" s="13">
        <v>25000</v>
      </c>
      <c r="E8" s="14"/>
      <c r="F8" s="15">
        <f t="shared" si="0"/>
        <v>125000</v>
      </c>
      <c r="G8" s="15"/>
      <c r="H8" s="17"/>
      <c r="I8" s="27" t="s">
        <v>79</v>
      </c>
      <c r="J8" s="33">
        <f t="shared" si="1"/>
        <v>100000</v>
      </c>
      <c r="K8" s="29">
        <v>0</v>
      </c>
    </row>
    <row r="9" spans="1:11" ht="17.5" x14ac:dyDescent="0.35">
      <c r="A9" s="11" t="s">
        <v>7</v>
      </c>
      <c r="B9" s="12" t="s">
        <v>97</v>
      </c>
      <c r="C9" s="25">
        <v>250000</v>
      </c>
      <c r="D9" s="13"/>
      <c r="E9" s="14"/>
      <c r="F9" s="15">
        <f t="shared" si="0"/>
        <v>250000</v>
      </c>
      <c r="G9" s="15"/>
      <c r="H9" s="17"/>
      <c r="I9" s="27" t="s">
        <v>79</v>
      </c>
      <c r="J9" s="33">
        <f t="shared" si="1"/>
        <v>250000</v>
      </c>
      <c r="K9" s="29">
        <v>0</v>
      </c>
    </row>
    <row r="10" spans="1:11" ht="17.5" x14ac:dyDescent="0.35">
      <c r="A10" s="11" t="s">
        <v>8</v>
      </c>
      <c r="B10" s="12" t="s">
        <v>98</v>
      </c>
      <c r="C10" s="25">
        <v>125000</v>
      </c>
      <c r="D10" s="13">
        <v>105000</v>
      </c>
      <c r="E10" s="14"/>
      <c r="F10" s="15">
        <f t="shared" si="0"/>
        <v>230000</v>
      </c>
      <c r="G10" s="15"/>
      <c r="H10" s="17"/>
      <c r="I10" s="27" t="s">
        <v>79</v>
      </c>
      <c r="J10" s="33">
        <f t="shared" si="1"/>
        <v>125000</v>
      </c>
      <c r="K10" s="29">
        <v>0</v>
      </c>
    </row>
    <row r="11" spans="1:11" ht="17.5" x14ac:dyDescent="0.35">
      <c r="A11" s="11" t="s">
        <v>9</v>
      </c>
      <c r="B11" s="12" t="s">
        <v>99</v>
      </c>
      <c r="C11" s="25">
        <v>227000</v>
      </c>
      <c r="D11" s="13"/>
      <c r="E11" s="14"/>
      <c r="F11" s="15">
        <f t="shared" si="0"/>
        <v>227000</v>
      </c>
      <c r="G11" s="15"/>
      <c r="H11" s="17"/>
      <c r="I11" s="27" t="s">
        <v>79</v>
      </c>
      <c r="J11" s="33">
        <f t="shared" si="1"/>
        <v>227000</v>
      </c>
      <c r="K11" s="29">
        <v>102000</v>
      </c>
    </row>
    <row r="12" spans="1:11" ht="17.5" x14ac:dyDescent="0.35">
      <c r="A12" s="11" t="s">
        <v>10</v>
      </c>
      <c r="B12" s="12" t="s">
        <v>100</v>
      </c>
      <c r="C12" s="25">
        <v>330000</v>
      </c>
      <c r="D12" s="13"/>
      <c r="E12" s="14"/>
      <c r="F12" s="15">
        <f t="shared" si="0"/>
        <v>330000</v>
      </c>
      <c r="G12" s="15"/>
      <c r="H12" s="17"/>
      <c r="I12" s="27" t="s">
        <v>79</v>
      </c>
      <c r="J12" s="33">
        <f t="shared" si="1"/>
        <v>330000</v>
      </c>
      <c r="K12" s="29">
        <v>0</v>
      </c>
    </row>
    <row r="13" spans="1:11" ht="17.5" x14ac:dyDescent="0.35">
      <c r="A13" s="11" t="s">
        <v>11</v>
      </c>
      <c r="B13" s="12" t="s">
        <v>101</v>
      </c>
      <c r="C13" s="25">
        <v>50000</v>
      </c>
      <c r="D13" s="13"/>
      <c r="E13" s="14"/>
      <c r="F13" s="15">
        <f t="shared" si="0"/>
        <v>50000</v>
      </c>
      <c r="G13" s="15"/>
      <c r="H13" s="17"/>
      <c r="I13" s="27" t="s">
        <v>79</v>
      </c>
      <c r="J13" s="33">
        <f t="shared" si="1"/>
        <v>50000</v>
      </c>
      <c r="K13" s="29">
        <v>0</v>
      </c>
    </row>
    <row r="14" spans="1:11" ht="17.5" x14ac:dyDescent="0.35">
      <c r="A14" s="11" t="s">
        <v>12</v>
      </c>
      <c r="B14" s="12" t="s">
        <v>102</v>
      </c>
      <c r="C14" s="25">
        <v>50000</v>
      </c>
      <c r="D14" s="13"/>
      <c r="E14" s="14"/>
      <c r="F14" s="15">
        <f t="shared" si="0"/>
        <v>50000</v>
      </c>
      <c r="G14" s="15"/>
      <c r="H14" s="17"/>
      <c r="I14" s="27" t="s">
        <v>79</v>
      </c>
      <c r="J14" s="33">
        <f t="shared" si="1"/>
        <v>50000</v>
      </c>
      <c r="K14" s="29">
        <v>0</v>
      </c>
    </row>
    <row r="15" spans="1:11" ht="17.5" x14ac:dyDescent="0.35">
      <c r="A15" s="11" t="s">
        <v>13</v>
      </c>
      <c r="B15" s="12" t="s">
        <v>103</v>
      </c>
      <c r="C15" s="25">
        <v>125000</v>
      </c>
      <c r="D15" s="13"/>
      <c r="E15" s="14"/>
      <c r="F15" s="15">
        <f t="shared" si="0"/>
        <v>125000</v>
      </c>
      <c r="G15" s="15"/>
      <c r="H15" s="17"/>
      <c r="I15" s="27" t="s">
        <v>79</v>
      </c>
      <c r="J15" s="33">
        <f t="shared" si="1"/>
        <v>125000</v>
      </c>
      <c r="K15" s="29">
        <v>0</v>
      </c>
    </row>
    <row r="16" spans="1:11" ht="17.5" x14ac:dyDescent="0.35">
      <c r="A16" s="11" t="s">
        <v>14</v>
      </c>
      <c r="B16" s="12" t="s">
        <v>104</v>
      </c>
      <c r="C16" s="25">
        <v>260000</v>
      </c>
      <c r="D16" s="13"/>
      <c r="E16" s="14"/>
      <c r="F16" s="15">
        <f t="shared" si="0"/>
        <v>260000</v>
      </c>
      <c r="G16" s="15"/>
      <c r="H16" s="17"/>
      <c r="I16" s="27" t="s">
        <v>79</v>
      </c>
      <c r="J16" s="33">
        <f t="shared" si="1"/>
        <v>260000</v>
      </c>
      <c r="K16" s="29">
        <v>0</v>
      </c>
    </row>
    <row r="17" spans="1:11" ht="17.5" x14ac:dyDescent="0.35">
      <c r="A17" s="11" t="s">
        <v>15</v>
      </c>
      <c r="B17" s="12" t="s">
        <v>105</v>
      </c>
      <c r="C17" s="25">
        <v>251000</v>
      </c>
      <c r="D17" s="13"/>
      <c r="E17" s="14"/>
      <c r="F17" s="15">
        <f t="shared" si="0"/>
        <v>251000</v>
      </c>
      <c r="G17" s="15"/>
      <c r="H17" s="17"/>
      <c r="I17" s="27" t="s">
        <v>79</v>
      </c>
      <c r="J17" s="33">
        <f t="shared" si="1"/>
        <v>251000</v>
      </c>
      <c r="K17" s="29">
        <v>101000</v>
      </c>
    </row>
    <row r="18" spans="1:11" ht="17.5" x14ac:dyDescent="0.35">
      <c r="A18" s="11" t="s">
        <v>16</v>
      </c>
      <c r="B18" s="12" t="s">
        <v>106</v>
      </c>
      <c r="C18" s="25">
        <v>160000</v>
      </c>
      <c r="D18" s="13"/>
      <c r="E18" s="14"/>
      <c r="F18" s="15">
        <f t="shared" si="0"/>
        <v>160000</v>
      </c>
      <c r="G18" s="15"/>
      <c r="H18" s="17"/>
      <c r="I18" s="27" t="s">
        <v>79</v>
      </c>
      <c r="J18" s="33">
        <f t="shared" si="1"/>
        <v>160000</v>
      </c>
      <c r="K18" s="29">
        <v>10000</v>
      </c>
    </row>
    <row r="19" spans="1:11" ht="17.5" x14ac:dyDescent="0.35">
      <c r="A19" s="11" t="s">
        <v>82</v>
      </c>
      <c r="B19" s="12" t="s">
        <v>107</v>
      </c>
      <c r="C19" s="25">
        <v>50000</v>
      </c>
      <c r="D19" s="13"/>
      <c r="E19" s="14"/>
      <c r="F19" s="15">
        <f t="shared" si="0"/>
        <v>50000</v>
      </c>
      <c r="G19" s="15"/>
      <c r="H19" s="17"/>
      <c r="I19" s="27" t="s">
        <v>79</v>
      </c>
      <c r="J19" s="33">
        <f t="shared" si="1"/>
        <v>50000</v>
      </c>
      <c r="K19" s="29">
        <v>0</v>
      </c>
    </row>
    <row r="20" spans="1:11" ht="17.5" x14ac:dyDescent="0.35">
      <c r="A20" s="11" t="s">
        <v>17</v>
      </c>
      <c r="B20" s="12" t="s">
        <v>108</v>
      </c>
      <c r="C20" s="25">
        <v>225000</v>
      </c>
      <c r="D20" s="13"/>
      <c r="E20" s="14"/>
      <c r="F20" s="15">
        <f t="shared" si="0"/>
        <v>225000</v>
      </c>
      <c r="G20" s="15"/>
      <c r="H20" s="17"/>
      <c r="I20" s="27" t="s">
        <v>79</v>
      </c>
      <c r="J20" s="33">
        <f t="shared" si="1"/>
        <v>225000</v>
      </c>
      <c r="K20" s="29">
        <v>0</v>
      </c>
    </row>
    <row r="21" spans="1:11" ht="17.5" x14ac:dyDescent="0.35">
      <c r="A21" s="11" t="s">
        <v>18</v>
      </c>
      <c r="B21" s="12" t="s">
        <v>109</v>
      </c>
      <c r="C21" s="25">
        <v>50000</v>
      </c>
      <c r="D21" s="13"/>
      <c r="E21" s="14"/>
      <c r="F21" s="15">
        <f t="shared" si="0"/>
        <v>50000</v>
      </c>
      <c r="G21" s="15"/>
      <c r="H21" s="17"/>
      <c r="I21" s="27" t="s">
        <v>79</v>
      </c>
      <c r="J21" s="33">
        <f t="shared" si="1"/>
        <v>50000</v>
      </c>
      <c r="K21" s="29">
        <v>0</v>
      </c>
    </row>
    <row r="22" spans="1:11" ht="17.5" x14ac:dyDescent="0.35">
      <c r="A22" s="11" t="s">
        <v>19</v>
      </c>
      <c r="B22" s="12" t="s">
        <v>110</v>
      </c>
      <c r="C22" s="25">
        <v>125000</v>
      </c>
      <c r="D22" s="13"/>
      <c r="E22" s="14"/>
      <c r="F22" s="15">
        <f t="shared" si="0"/>
        <v>125000</v>
      </c>
      <c r="G22" s="15"/>
      <c r="H22" s="17"/>
      <c r="I22" s="27" t="s">
        <v>79</v>
      </c>
      <c r="J22" s="33">
        <f t="shared" si="1"/>
        <v>125000</v>
      </c>
      <c r="K22" s="29">
        <v>0</v>
      </c>
    </row>
    <row r="23" spans="1:11" ht="17.5" x14ac:dyDescent="0.35">
      <c r="A23" s="11" t="s">
        <v>20</v>
      </c>
      <c r="B23" s="12" t="s">
        <v>111</v>
      </c>
      <c r="C23" s="25">
        <v>260000</v>
      </c>
      <c r="D23" s="13"/>
      <c r="E23" s="14"/>
      <c r="F23" s="15">
        <f t="shared" si="0"/>
        <v>260000</v>
      </c>
      <c r="G23" s="15"/>
      <c r="H23" s="17"/>
      <c r="I23" s="27" t="s">
        <v>79</v>
      </c>
      <c r="J23" s="33">
        <f t="shared" si="1"/>
        <v>260000</v>
      </c>
      <c r="K23" s="29">
        <v>0</v>
      </c>
    </row>
    <row r="24" spans="1:11" ht="17.5" x14ac:dyDescent="0.35">
      <c r="A24" s="11" t="s">
        <v>21</v>
      </c>
      <c r="B24" s="12" t="s">
        <v>112</v>
      </c>
      <c r="C24" s="25">
        <v>240000</v>
      </c>
      <c r="D24" s="13"/>
      <c r="E24" s="14"/>
      <c r="F24" s="15">
        <f t="shared" si="0"/>
        <v>240000</v>
      </c>
      <c r="G24" s="15"/>
      <c r="H24" s="17"/>
      <c r="I24" s="27" t="s">
        <v>79</v>
      </c>
      <c r="J24" s="33">
        <f t="shared" si="1"/>
        <v>240000</v>
      </c>
      <c r="K24" s="29">
        <v>15000</v>
      </c>
    </row>
    <row r="25" spans="1:11" ht="17.5" x14ac:dyDescent="0.35">
      <c r="A25" s="11" t="s">
        <v>22</v>
      </c>
      <c r="B25" s="12" t="s">
        <v>113</v>
      </c>
      <c r="C25" s="25">
        <v>375000</v>
      </c>
      <c r="D25" s="13"/>
      <c r="E25" s="14"/>
      <c r="F25" s="15">
        <f t="shared" si="0"/>
        <v>375000</v>
      </c>
      <c r="G25" s="15"/>
      <c r="H25" s="17"/>
      <c r="I25" s="27" t="s">
        <v>79</v>
      </c>
      <c r="J25" s="33">
        <f t="shared" si="1"/>
        <v>375000</v>
      </c>
      <c r="K25" s="29">
        <v>0</v>
      </c>
    </row>
    <row r="26" spans="1:11" ht="17.5" x14ac:dyDescent="0.35">
      <c r="A26" s="11" t="s">
        <v>23</v>
      </c>
      <c r="B26" s="12" t="s">
        <v>114</v>
      </c>
      <c r="C26" s="25">
        <v>50000</v>
      </c>
      <c r="D26" s="13"/>
      <c r="E26" s="14"/>
      <c r="F26" s="15">
        <f t="shared" si="0"/>
        <v>50000</v>
      </c>
      <c r="G26" s="15"/>
      <c r="H26" s="17"/>
      <c r="I26" s="27" t="s">
        <v>79</v>
      </c>
      <c r="J26" s="33">
        <f t="shared" si="1"/>
        <v>50000</v>
      </c>
      <c r="K26" s="29">
        <v>0</v>
      </c>
    </row>
    <row r="27" spans="1:11" ht="17.5" x14ac:dyDescent="0.35">
      <c r="A27" s="11" t="s">
        <v>63</v>
      </c>
      <c r="B27" s="12" t="s">
        <v>115</v>
      </c>
      <c r="C27" s="25">
        <v>50000</v>
      </c>
      <c r="D27" s="13"/>
      <c r="E27" s="14"/>
      <c r="F27" s="15">
        <f>SUM(C27:E27)</f>
        <v>50000</v>
      </c>
      <c r="G27" s="15"/>
      <c r="H27" s="17"/>
      <c r="I27" s="27" t="s">
        <v>79</v>
      </c>
      <c r="J27" s="33">
        <f t="shared" si="1"/>
        <v>50000</v>
      </c>
      <c r="K27" s="29">
        <v>0</v>
      </c>
    </row>
    <row r="28" spans="1:11" ht="17.5" x14ac:dyDescent="0.35">
      <c r="A28" s="11" t="s">
        <v>24</v>
      </c>
      <c r="B28" s="12" t="s">
        <v>116</v>
      </c>
      <c r="C28" s="25">
        <v>125000</v>
      </c>
      <c r="D28" s="13"/>
      <c r="E28" s="14"/>
      <c r="F28" s="15">
        <f t="shared" si="0"/>
        <v>125000</v>
      </c>
      <c r="G28" s="15"/>
      <c r="H28" s="17"/>
      <c r="I28" s="27" t="s">
        <v>79</v>
      </c>
      <c r="J28" s="33">
        <f t="shared" si="1"/>
        <v>125000</v>
      </c>
      <c r="K28" s="29">
        <v>0</v>
      </c>
    </row>
    <row r="29" spans="1:11" ht="17.5" x14ac:dyDescent="0.35">
      <c r="A29" s="11" t="s">
        <v>64</v>
      </c>
      <c r="B29" s="12" t="s">
        <v>117</v>
      </c>
      <c r="C29" s="25">
        <v>50000</v>
      </c>
      <c r="D29" s="13"/>
      <c r="E29" s="14"/>
      <c r="F29" s="15">
        <f t="shared" si="0"/>
        <v>50000</v>
      </c>
      <c r="G29" s="15"/>
      <c r="H29" s="17"/>
      <c r="I29" s="27" t="s">
        <v>79</v>
      </c>
      <c r="J29" s="33">
        <f t="shared" si="1"/>
        <v>50000</v>
      </c>
      <c r="K29" s="29">
        <v>0</v>
      </c>
    </row>
    <row r="30" spans="1:11" ht="17.5" x14ac:dyDescent="0.35">
      <c r="A30" s="11" t="s">
        <v>25</v>
      </c>
      <c r="B30" s="12" t="s">
        <v>118</v>
      </c>
      <c r="C30" s="25">
        <v>250000</v>
      </c>
      <c r="D30" s="13"/>
      <c r="E30" s="14"/>
      <c r="F30" s="15">
        <f t="shared" si="0"/>
        <v>250000</v>
      </c>
      <c r="G30" s="15"/>
      <c r="H30" s="17"/>
      <c r="I30" s="27" t="s">
        <v>79</v>
      </c>
      <c r="J30" s="33">
        <f t="shared" si="1"/>
        <v>250000</v>
      </c>
      <c r="K30" s="29">
        <v>0</v>
      </c>
    </row>
    <row r="31" spans="1:11" ht="17.5" x14ac:dyDescent="0.35">
      <c r="A31" s="11" t="s">
        <v>26</v>
      </c>
      <c r="B31" s="12" t="s">
        <v>119</v>
      </c>
      <c r="C31" s="25">
        <v>150000</v>
      </c>
      <c r="D31" s="13"/>
      <c r="E31" s="14"/>
      <c r="F31" s="15">
        <f t="shared" si="0"/>
        <v>150000</v>
      </c>
      <c r="G31" s="15"/>
      <c r="H31" s="17"/>
      <c r="I31" s="27" t="s">
        <v>79</v>
      </c>
      <c r="J31" s="33">
        <f t="shared" si="1"/>
        <v>150000</v>
      </c>
      <c r="K31" s="29">
        <v>0</v>
      </c>
    </row>
    <row r="32" spans="1:11" ht="17.5" x14ac:dyDescent="0.35">
      <c r="A32" s="11" t="s">
        <v>27</v>
      </c>
      <c r="B32" s="12" t="s">
        <v>120</v>
      </c>
      <c r="C32" s="25">
        <v>125000</v>
      </c>
      <c r="D32" s="13"/>
      <c r="E32" s="14"/>
      <c r="F32" s="15">
        <f t="shared" si="0"/>
        <v>125000</v>
      </c>
      <c r="G32" s="15"/>
      <c r="H32" s="17"/>
      <c r="I32" s="27" t="s">
        <v>79</v>
      </c>
      <c r="J32" s="33">
        <f t="shared" si="1"/>
        <v>125000</v>
      </c>
      <c r="K32" s="29">
        <v>0</v>
      </c>
    </row>
    <row r="33" spans="1:11" ht="17.5" x14ac:dyDescent="0.35">
      <c r="A33" s="11" t="s">
        <v>81</v>
      </c>
      <c r="B33" s="12" t="s">
        <v>121</v>
      </c>
      <c r="C33" s="25">
        <v>180000</v>
      </c>
      <c r="D33" s="13"/>
      <c r="E33" s="14"/>
      <c r="F33" s="15">
        <f t="shared" si="0"/>
        <v>180000</v>
      </c>
      <c r="G33" s="15"/>
      <c r="H33" s="17"/>
      <c r="I33" s="27" t="s">
        <v>79</v>
      </c>
      <c r="J33" s="33">
        <f t="shared" si="1"/>
        <v>180000</v>
      </c>
      <c r="K33" s="29">
        <v>30000</v>
      </c>
    </row>
    <row r="34" spans="1:11" ht="17.5" x14ac:dyDescent="0.35">
      <c r="A34" s="11" t="s">
        <v>62</v>
      </c>
      <c r="B34" s="12" t="s">
        <v>122</v>
      </c>
      <c r="C34" s="25">
        <v>50000</v>
      </c>
      <c r="D34" s="13"/>
      <c r="E34" s="14"/>
      <c r="F34" s="15">
        <f t="shared" si="0"/>
        <v>50000</v>
      </c>
      <c r="G34" s="15"/>
      <c r="H34" s="17"/>
      <c r="I34" s="27" t="s">
        <v>79</v>
      </c>
      <c r="J34" s="33">
        <f t="shared" si="1"/>
        <v>50000</v>
      </c>
      <c r="K34" s="29">
        <v>0</v>
      </c>
    </row>
    <row r="35" spans="1:11" ht="17.5" x14ac:dyDescent="0.35">
      <c r="A35" s="11" t="s">
        <v>65</v>
      </c>
      <c r="B35" s="12" t="s">
        <v>123</v>
      </c>
      <c r="C35" s="25">
        <v>60000</v>
      </c>
      <c r="D35" s="13"/>
      <c r="E35" s="14"/>
      <c r="F35" s="15">
        <f t="shared" si="0"/>
        <v>60000</v>
      </c>
      <c r="G35" s="15"/>
      <c r="H35" s="17"/>
      <c r="I35" s="27" t="s">
        <v>79</v>
      </c>
      <c r="J35" s="33">
        <f t="shared" si="1"/>
        <v>60000</v>
      </c>
      <c r="K35" s="29">
        <v>0</v>
      </c>
    </row>
    <row r="36" spans="1:11" ht="17.5" x14ac:dyDescent="0.35">
      <c r="A36" s="11" t="s">
        <v>28</v>
      </c>
      <c r="B36" s="12" t="s">
        <v>124</v>
      </c>
      <c r="C36" s="25">
        <v>50000</v>
      </c>
      <c r="D36" s="13"/>
      <c r="E36" s="14"/>
      <c r="F36" s="15">
        <f t="shared" si="0"/>
        <v>50000</v>
      </c>
      <c r="G36" s="15"/>
      <c r="H36" s="17"/>
      <c r="I36" s="27" t="s">
        <v>79</v>
      </c>
      <c r="J36" s="33">
        <f t="shared" si="1"/>
        <v>50000</v>
      </c>
      <c r="K36" s="29">
        <v>0</v>
      </c>
    </row>
    <row r="37" spans="1:11" ht="17.5" x14ac:dyDescent="0.35">
      <c r="A37" s="11" t="s">
        <v>80</v>
      </c>
      <c r="B37" s="12" t="s">
        <v>125</v>
      </c>
      <c r="C37" s="25">
        <v>0</v>
      </c>
      <c r="D37" s="13">
        <f>150000+3000</f>
        <v>153000</v>
      </c>
      <c r="E37" s="14"/>
      <c r="F37" s="15">
        <f t="shared" si="0"/>
        <v>153000</v>
      </c>
      <c r="G37" s="15"/>
      <c r="H37" s="17"/>
      <c r="I37" s="27"/>
      <c r="J37" s="33">
        <f t="shared" si="1"/>
        <v>0</v>
      </c>
      <c r="K37" s="29">
        <v>0</v>
      </c>
    </row>
    <row r="38" spans="1:11" ht="17.5" x14ac:dyDescent="0.35">
      <c r="A38" s="11" t="s">
        <v>29</v>
      </c>
      <c r="B38" s="12" t="s">
        <v>126</v>
      </c>
      <c r="C38" s="25">
        <v>125000</v>
      </c>
      <c r="D38" s="13"/>
      <c r="E38" s="14"/>
      <c r="F38" s="15">
        <f t="shared" si="0"/>
        <v>125000</v>
      </c>
      <c r="G38" s="15"/>
      <c r="H38" s="17"/>
      <c r="I38" s="27" t="s">
        <v>79</v>
      </c>
      <c r="J38" s="33">
        <f t="shared" si="1"/>
        <v>125000</v>
      </c>
      <c r="K38" s="29">
        <v>0</v>
      </c>
    </row>
    <row r="39" spans="1:11" x14ac:dyDescent="0.35">
      <c r="A39" s="16"/>
      <c r="B39" s="17"/>
      <c r="C39" s="17"/>
      <c r="D39" s="17"/>
      <c r="E39" s="17"/>
      <c r="F39" s="17"/>
      <c r="G39" s="17"/>
      <c r="H39" s="17"/>
      <c r="I39" s="17"/>
      <c r="J39" s="32"/>
      <c r="K39" s="18"/>
    </row>
    <row r="40" spans="1:11" ht="18" thickBot="1" x14ac:dyDescent="0.4">
      <c r="A40" s="19"/>
      <c r="B40" s="20" t="s">
        <v>30</v>
      </c>
      <c r="C40" s="21">
        <f>SUM(C7:C39)</f>
        <v>4574000</v>
      </c>
      <c r="D40" s="21">
        <f>SUM(D7:D39)</f>
        <v>283000</v>
      </c>
      <c r="E40" s="21">
        <f>SUM(E7:E39)</f>
        <v>0</v>
      </c>
      <c r="F40" s="21">
        <f>SUM(F7:F39)</f>
        <v>4857000</v>
      </c>
      <c r="G40" s="21">
        <f>SUM(G7:G39)</f>
        <v>0</v>
      </c>
      <c r="H40" s="21">
        <f t="shared" ref="H40" si="2">SUM(H8:H39)</f>
        <v>0</v>
      </c>
      <c r="I40" s="28"/>
      <c r="J40" s="21">
        <f t="shared" ref="J40" si="3">SUM(J6:J39)</f>
        <v>4749000</v>
      </c>
      <c r="K40" s="22">
        <f>SUM(K6:K39)</f>
        <v>264000</v>
      </c>
    </row>
    <row r="41" spans="1:11" ht="15" thickTop="1" x14ac:dyDescent="0.35"/>
  </sheetData>
  <autoFilter ref="A5:F38" xr:uid="{00000000-0009-0000-0000-000003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1"/>
  <sheetViews>
    <sheetView zoomScale="106" zoomScaleNormal="106" workbookViewId="0">
      <pane xSplit="3" ySplit="5" topLeftCell="E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J1" sqref="J1:J104857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  <col min="9" max="9" width="12.54296875" customWidth="1"/>
    <col min="10" max="10" width="13.08984375" bestFit="1" customWidth="1"/>
    <col min="11" max="11" width="18.453125" customWidth="1"/>
  </cols>
  <sheetData>
    <row r="1" spans="1:11" ht="21" x14ac:dyDescent="0.5">
      <c r="A1" s="1" t="s">
        <v>2</v>
      </c>
      <c r="B1" s="1" t="s">
        <v>3</v>
      </c>
      <c r="C1" s="24" t="s">
        <v>69</v>
      </c>
    </row>
    <row r="2" spans="1:11" x14ac:dyDescent="0.35">
      <c r="A2" s="1" t="s">
        <v>4</v>
      </c>
      <c r="B2" s="1">
        <v>2024</v>
      </c>
    </row>
    <row r="3" spans="1:11" x14ac:dyDescent="0.3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11" ht="29" thickBot="1" x14ac:dyDescent="0.7">
      <c r="B4" s="51" t="s">
        <v>58</v>
      </c>
      <c r="C4" s="49"/>
      <c r="D4" s="49"/>
      <c r="E4" s="49"/>
      <c r="F4" s="3"/>
    </row>
    <row r="5" spans="1:11" ht="68.25" customHeight="1" thickTop="1" x14ac:dyDescent="0.35">
      <c r="A5" s="8" t="s">
        <v>0</v>
      </c>
      <c r="B5" s="9" t="s">
        <v>1</v>
      </c>
      <c r="C5" s="10" t="s">
        <v>33</v>
      </c>
      <c r="D5" s="10" t="s">
        <v>32</v>
      </c>
      <c r="E5" s="10" t="s">
        <v>34</v>
      </c>
      <c r="F5" s="10" t="s">
        <v>31</v>
      </c>
      <c r="G5" s="10" t="s">
        <v>59</v>
      </c>
      <c r="H5" s="26" t="s">
        <v>61</v>
      </c>
      <c r="I5" s="26" t="s">
        <v>78</v>
      </c>
      <c r="J5" s="31" t="s">
        <v>86</v>
      </c>
      <c r="K5" s="23" t="s">
        <v>85</v>
      </c>
    </row>
    <row r="6" spans="1:11" ht="17.5" x14ac:dyDescent="0.35">
      <c r="A6" s="11" t="s">
        <v>60</v>
      </c>
      <c r="B6" s="12" t="s">
        <v>3</v>
      </c>
      <c r="C6" s="25">
        <v>175000</v>
      </c>
      <c r="D6" s="13"/>
      <c r="E6" s="14"/>
      <c r="F6" s="15">
        <f>SUM(C6:E6)</f>
        <v>175000</v>
      </c>
      <c r="G6" s="15"/>
      <c r="H6" s="17">
        <v>1193</v>
      </c>
      <c r="I6" s="27" t="s">
        <v>79</v>
      </c>
      <c r="J6" s="33">
        <f>C6</f>
        <v>175000</v>
      </c>
      <c r="K6" s="29">
        <v>0</v>
      </c>
    </row>
    <row r="7" spans="1:11" ht="17.5" x14ac:dyDescent="0.35">
      <c r="A7" s="11" t="s">
        <v>66</v>
      </c>
      <c r="B7" s="12" t="s">
        <v>95</v>
      </c>
      <c r="C7" s="25">
        <v>56000</v>
      </c>
      <c r="D7" s="13">
        <v>61000</v>
      </c>
      <c r="E7" s="14"/>
      <c r="F7" s="15">
        <f t="shared" ref="F7:F38" si="0">SUM(C7:E7)</f>
        <v>117000</v>
      </c>
      <c r="G7" s="15"/>
      <c r="H7" s="17"/>
      <c r="I7" s="27" t="s">
        <v>79</v>
      </c>
      <c r="J7" s="33">
        <f t="shared" ref="J7:J38" si="1">C7</f>
        <v>56000</v>
      </c>
      <c r="K7" s="29">
        <v>0</v>
      </c>
    </row>
    <row r="8" spans="1:11" ht="17.5" x14ac:dyDescent="0.35">
      <c r="A8" s="11" t="s">
        <v>6</v>
      </c>
      <c r="B8" s="12" t="s">
        <v>96</v>
      </c>
      <c r="C8" s="25">
        <v>150000</v>
      </c>
      <c r="D8" s="13"/>
      <c r="E8" s="14"/>
      <c r="F8" s="15">
        <f t="shared" si="0"/>
        <v>150000</v>
      </c>
      <c r="G8" s="15"/>
      <c r="H8" s="17"/>
      <c r="I8" s="27" t="s">
        <v>79</v>
      </c>
      <c r="J8" s="33">
        <f t="shared" si="1"/>
        <v>150000</v>
      </c>
      <c r="K8" s="29">
        <v>25000</v>
      </c>
    </row>
    <row r="9" spans="1:11" ht="17.5" x14ac:dyDescent="0.35">
      <c r="A9" s="11" t="s">
        <v>7</v>
      </c>
      <c r="B9" s="12" t="s">
        <v>97</v>
      </c>
      <c r="C9" s="25">
        <v>250000</v>
      </c>
      <c r="D9" s="13"/>
      <c r="E9" s="14"/>
      <c r="F9" s="15">
        <f t="shared" si="0"/>
        <v>250000</v>
      </c>
      <c r="G9" s="15"/>
      <c r="H9" s="17"/>
      <c r="I9" s="27" t="s">
        <v>79</v>
      </c>
      <c r="J9" s="33">
        <f t="shared" si="1"/>
        <v>250000</v>
      </c>
      <c r="K9" s="29">
        <v>0</v>
      </c>
    </row>
    <row r="10" spans="1:11" ht="17.5" x14ac:dyDescent="0.35">
      <c r="A10" s="11" t="s">
        <v>8</v>
      </c>
      <c r="B10" s="12" t="s">
        <v>98</v>
      </c>
      <c r="C10" s="25">
        <v>180000</v>
      </c>
      <c r="D10" s="13"/>
      <c r="E10" s="14"/>
      <c r="F10" s="15">
        <f t="shared" si="0"/>
        <v>180000</v>
      </c>
      <c r="G10" s="15"/>
      <c r="H10" s="17"/>
      <c r="I10" s="27" t="s">
        <v>79</v>
      </c>
      <c r="J10" s="33">
        <f t="shared" si="1"/>
        <v>180000</v>
      </c>
      <c r="K10" s="29">
        <v>55000</v>
      </c>
    </row>
    <row r="11" spans="1:11" ht="17.5" x14ac:dyDescent="0.35">
      <c r="A11" s="11" t="s">
        <v>9</v>
      </c>
      <c r="B11" s="12" t="s">
        <v>99</v>
      </c>
      <c r="C11" s="25">
        <v>125000</v>
      </c>
      <c r="D11" s="13"/>
      <c r="E11" s="14"/>
      <c r="F11" s="15">
        <f t="shared" si="0"/>
        <v>125000</v>
      </c>
      <c r="G11" s="15"/>
      <c r="H11" s="17"/>
      <c r="I11" s="27" t="s">
        <v>79</v>
      </c>
      <c r="J11" s="33">
        <f t="shared" si="1"/>
        <v>125000</v>
      </c>
      <c r="K11" s="29">
        <v>0</v>
      </c>
    </row>
    <row r="12" spans="1:11" ht="17.5" x14ac:dyDescent="0.35">
      <c r="A12" s="11" t="s">
        <v>10</v>
      </c>
      <c r="B12" s="12" t="s">
        <v>100</v>
      </c>
      <c r="C12" s="25">
        <v>462000</v>
      </c>
      <c r="D12" s="13"/>
      <c r="E12" s="14"/>
      <c r="F12" s="15">
        <f t="shared" si="0"/>
        <v>462000</v>
      </c>
      <c r="G12" s="15"/>
      <c r="H12" s="17"/>
      <c r="I12" s="27" t="s">
        <v>79</v>
      </c>
      <c r="J12" s="33">
        <f t="shared" si="1"/>
        <v>462000</v>
      </c>
      <c r="K12" s="29">
        <v>132000</v>
      </c>
    </row>
    <row r="13" spans="1:11" ht="17.5" x14ac:dyDescent="0.35">
      <c r="A13" s="11" t="s">
        <v>11</v>
      </c>
      <c r="B13" s="12" t="s">
        <v>101</v>
      </c>
      <c r="C13" s="25">
        <v>50000</v>
      </c>
      <c r="D13" s="13"/>
      <c r="E13" s="14"/>
      <c r="F13" s="15">
        <f t="shared" si="0"/>
        <v>50000</v>
      </c>
      <c r="G13" s="15"/>
      <c r="H13" s="17"/>
      <c r="I13" s="27" t="s">
        <v>79</v>
      </c>
      <c r="J13" s="33">
        <f t="shared" si="1"/>
        <v>50000</v>
      </c>
      <c r="K13" s="29">
        <v>0</v>
      </c>
    </row>
    <row r="14" spans="1:11" ht="17.5" x14ac:dyDescent="0.35">
      <c r="A14" s="11" t="s">
        <v>12</v>
      </c>
      <c r="B14" s="12" t="s">
        <v>102</v>
      </c>
      <c r="C14" s="25">
        <v>50000</v>
      </c>
      <c r="D14" s="13"/>
      <c r="E14" s="14"/>
      <c r="F14" s="15">
        <f t="shared" si="0"/>
        <v>50000</v>
      </c>
      <c r="G14" s="15"/>
      <c r="H14" s="17"/>
      <c r="I14" s="27" t="s">
        <v>79</v>
      </c>
      <c r="J14" s="33">
        <f t="shared" si="1"/>
        <v>50000</v>
      </c>
      <c r="K14" s="29">
        <v>0</v>
      </c>
    </row>
    <row r="15" spans="1:11" ht="17.5" x14ac:dyDescent="0.35">
      <c r="A15" s="11" t="s">
        <v>13</v>
      </c>
      <c r="B15" s="12" t="s">
        <v>103</v>
      </c>
      <c r="C15" s="25">
        <v>125000</v>
      </c>
      <c r="D15" s="13"/>
      <c r="E15" s="14"/>
      <c r="F15" s="15">
        <f t="shared" si="0"/>
        <v>125000</v>
      </c>
      <c r="G15" s="15"/>
      <c r="H15" s="17"/>
      <c r="I15" s="27" t="s">
        <v>79</v>
      </c>
      <c r="J15" s="33">
        <f t="shared" si="1"/>
        <v>125000</v>
      </c>
      <c r="K15" s="29">
        <v>0</v>
      </c>
    </row>
    <row r="16" spans="1:11" ht="17.5" x14ac:dyDescent="0.35">
      <c r="A16" s="11" t="s">
        <v>14</v>
      </c>
      <c r="B16" s="12" t="s">
        <v>104</v>
      </c>
      <c r="C16" s="25">
        <v>260000</v>
      </c>
      <c r="D16" s="13"/>
      <c r="E16" s="14"/>
      <c r="F16" s="15">
        <f t="shared" si="0"/>
        <v>260000</v>
      </c>
      <c r="G16" s="15"/>
      <c r="H16" s="17"/>
      <c r="I16" s="27" t="s">
        <v>79</v>
      </c>
      <c r="J16" s="33">
        <f t="shared" si="1"/>
        <v>260000</v>
      </c>
      <c r="K16" s="29">
        <v>0</v>
      </c>
    </row>
    <row r="17" spans="1:11" ht="17.5" x14ac:dyDescent="0.35">
      <c r="A17" s="11" t="s">
        <v>15</v>
      </c>
      <c r="B17" s="12" t="s">
        <v>105</v>
      </c>
      <c r="C17" s="25">
        <v>150000</v>
      </c>
      <c r="D17" s="13"/>
      <c r="E17" s="14">
        <v>500000</v>
      </c>
      <c r="F17" s="15">
        <f t="shared" si="0"/>
        <v>650000</v>
      </c>
      <c r="G17" s="15"/>
      <c r="H17" s="17"/>
      <c r="I17" s="27" t="s">
        <v>79</v>
      </c>
      <c r="J17" s="33">
        <f t="shared" si="1"/>
        <v>150000</v>
      </c>
      <c r="K17" s="29">
        <v>0</v>
      </c>
    </row>
    <row r="18" spans="1:11" ht="17.5" x14ac:dyDescent="0.35">
      <c r="A18" s="11" t="s">
        <v>16</v>
      </c>
      <c r="B18" s="12" t="s">
        <v>106</v>
      </c>
      <c r="C18" s="25">
        <v>160000</v>
      </c>
      <c r="D18" s="13"/>
      <c r="E18" s="14"/>
      <c r="F18" s="15">
        <f t="shared" si="0"/>
        <v>160000</v>
      </c>
      <c r="G18" s="15"/>
      <c r="H18" s="17"/>
      <c r="I18" s="27" t="s">
        <v>79</v>
      </c>
      <c r="J18" s="33">
        <f t="shared" si="1"/>
        <v>160000</v>
      </c>
      <c r="K18" s="29">
        <v>10000</v>
      </c>
    </row>
    <row r="19" spans="1:11" ht="17.5" x14ac:dyDescent="0.35">
      <c r="A19" s="11" t="s">
        <v>82</v>
      </c>
      <c r="B19" s="12" t="s">
        <v>107</v>
      </c>
      <c r="C19" s="25">
        <v>50000</v>
      </c>
      <c r="D19" s="13"/>
      <c r="E19" s="14"/>
      <c r="F19" s="15">
        <f t="shared" si="0"/>
        <v>50000</v>
      </c>
      <c r="G19" s="15"/>
      <c r="H19" s="17"/>
      <c r="I19" s="27" t="s">
        <v>79</v>
      </c>
      <c r="J19" s="33">
        <f t="shared" si="1"/>
        <v>50000</v>
      </c>
      <c r="K19" s="29">
        <v>0</v>
      </c>
    </row>
    <row r="20" spans="1:11" ht="17.5" x14ac:dyDescent="0.35">
      <c r="A20" s="11" t="s">
        <v>17</v>
      </c>
      <c r="B20" s="12" t="s">
        <v>108</v>
      </c>
      <c r="C20" s="25">
        <v>427000</v>
      </c>
      <c r="D20" s="13"/>
      <c r="E20" s="14"/>
      <c r="F20" s="15">
        <f t="shared" si="0"/>
        <v>427000</v>
      </c>
      <c r="G20" s="15"/>
      <c r="H20" s="17"/>
      <c r="I20" s="27" t="s">
        <v>79</v>
      </c>
      <c r="J20" s="33">
        <f t="shared" si="1"/>
        <v>427000</v>
      </c>
      <c r="K20" s="29">
        <v>202000</v>
      </c>
    </row>
    <row r="21" spans="1:11" ht="17.5" x14ac:dyDescent="0.35">
      <c r="A21" s="11" t="s">
        <v>18</v>
      </c>
      <c r="B21" s="12" t="s">
        <v>109</v>
      </c>
      <c r="C21" s="25">
        <v>50000</v>
      </c>
      <c r="D21" s="13"/>
      <c r="E21" s="14"/>
      <c r="F21" s="15">
        <f t="shared" si="0"/>
        <v>50000</v>
      </c>
      <c r="G21" s="15"/>
      <c r="H21" s="17"/>
      <c r="I21" s="27" t="s">
        <v>79</v>
      </c>
      <c r="J21" s="33">
        <f t="shared" si="1"/>
        <v>50000</v>
      </c>
      <c r="K21" s="29">
        <v>0</v>
      </c>
    </row>
    <row r="22" spans="1:11" ht="17.5" x14ac:dyDescent="0.35">
      <c r="A22" s="11" t="s">
        <v>19</v>
      </c>
      <c r="B22" s="12" t="s">
        <v>110</v>
      </c>
      <c r="C22" s="25">
        <v>125000</v>
      </c>
      <c r="D22" s="13"/>
      <c r="E22" s="14"/>
      <c r="F22" s="15">
        <f t="shared" si="0"/>
        <v>125000</v>
      </c>
      <c r="G22" s="15"/>
      <c r="H22" s="17"/>
      <c r="I22" s="27" t="s">
        <v>79</v>
      </c>
      <c r="J22" s="33">
        <f t="shared" si="1"/>
        <v>125000</v>
      </c>
      <c r="K22" s="29">
        <v>0</v>
      </c>
    </row>
    <row r="23" spans="1:11" ht="17.5" x14ac:dyDescent="0.35">
      <c r="A23" s="11" t="s">
        <v>20</v>
      </c>
      <c r="B23" s="12" t="s">
        <v>111</v>
      </c>
      <c r="C23" s="25">
        <v>260000</v>
      </c>
      <c r="D23" s="13"/>
      <c r="E23" s="14"/>
      <c r="F23" s="15">
        <f t="shared" si="0"/>
        <v>260000</v>
      </c>
      <c r="G23" s="15"/>
      <c r="H23" s="17"/>
      <c r="I23" s="27" t="s">
        <v>79</v>
      </c>
      <c r="J23" s="33">
        <f t="shared" si="1"/>
        <v>260000</v>
      </c>
      <c r="K23" s="29">
        <v>0</v>
      </c>
    </row>
    <row r="24" spans="1:11" ht="17.5" x14ac:dyDescent="0.35">
      <c r="A24" s="11" t="s">
        <v>21</v>
      </c>
      <c r="B24" s="12" t="s">
        <v>112</v>
      </c>
      <c r="C24" s="25">
        <v>240000</v>
      </c>
      <c r="D24" s="13"/>
      <c r="E24" s="14"/>
      <c r="F24" s="15">
        <f t="shared" si="0"/>
        <v>240000</v>
      </c>
      <c r="G24" s="15"/>
      <c r="H24" s="17"/>
      <c r="I24" s="27" t="s">
        <v>79</v>
      </c>
      <c r="J24" s="33">
        <f t="shared" si="1"/>
        <v>240000</v>
      </c>
      <c r="K24" s="29">
        <v>15000</v>
      </c>
    </row>
    <row r="25" spans="1:11" ht="17.5" x14ac:dyDescent="0.35">
      <c r="A25" s="11" t="s">
        <v>22</v>
      </c>
      <c r="B25" s="12" t="s">
        <v>113</v>
      </c>
      <c r="C25" s="25">
        <v>375000</v>
      </c>
      <c r="D25" s="13">
        <v>104500</v>
      </c>
      <c r="E25" s="14"/>
      <c r="F25" s="15">
        <f t="shared" si="0"/>
        <v>479500</v>
      </c>
      <c r="G25" s="15"/>
      <c r="H25" s="17"/>
      <c r="I25" s="27" t="s">
        <v>79</v>
      </c>
      <c r="J25" s="33">
        <f t="shared" si="1"/>
        <v>375000</v>
      </c>
      <c r="K25" s="29">
        <v>0</v>
      </c>
    </row>
    <row r="26" spans="1:11" ht="17.5" x14ac:dyDescent="0.35">
      <c r="A26" s="11" t="s">
        <v>23</v>
      </c>
      <c r="B26" s="12" t="s">
        <v>114</v>
      </c>
      <c r="C26" s="25">
        <v>50000</v>
      </c>
      <c r="D26" s="13"/>
      <c r="E26" s="14"/>
      <c r="F26" s="15">
        <f t="shared" si="0"/>
        <v>50000</v>
      </c>
      <c r="G26" s="15"/>
      <c r="H26" s="17"/>
      <c r="I26" s="27" t="s">
        <v>79</v>
      </c>
      <c r="J26" s="33">
        <f t="shared" si="1"/>
        <v>50000</v>
      </c>
      <c r="K26" s="29">
        <v>0</v>
      </c>
    </row>
    <row r="27" spans="1:11" ht="17.5" x14ac:dyDescent="0.35">
      <c r="A27" s="11" t="s">
        <v>63</v>
      </c>
      <c r="B27" s="12" t="s">
        <v>115</v>
      </c>
      <c r="C27" s="25">
        <v>50000</v>
      </c>
      <c r="D27" s="13"/>
      <c r="E27" s="14"/>
      <c r="F27" s="15">
        <f>SUM(C27:E27)</f>
        <v>50000</v>
      </c>
      <c r="G27" s="15"/>
      <c r="H27" s="17"/>
      <c r="I27" s="27" t="s">
        <v>79</v>
      </c>
      <c r="J27" s="33">
        <f t="shared" si="1"/>
        <v>50000</v>
      </c>
      <c r="K27" s="29">
        <v>0</v>
      </c>
    </row>
    <row r="28" spans="1:11" ht="17.5" x14ac:dyDescent="0.35">
      <c r="A28" s="11" t="s">
        <v>24</v>
      </c>
      <c r="B28" s="12" t="s">
        <v>116</v>
      </c>
      <c r="C28" s="25">
        <v>125000</v>
      </c>
      <c r="D28" s="13"/>
      <c r="E28" s="14"/>
      <c r="F28" s="15">
        <f t="shared" si="0"/>
        <v>125000</v>
      </c>
      <c r="G28" s="15"/>
      <c r="H28" s="17"/>
      <c r="I28" s="27" t="s">
        <v>79</v>
      </c>
      <c r="J28" s="33">
        <f t="shared" si="1"/>
        <v>125000</v>
      </c>
      <c r="K28" s="29">
        <v>0</v>
      </c>
    </row>
    <row r="29" spans="1:11" ht="17.5" x14ac:dyDescent="0.35">
      <c r="A29" s="11" t="s">
        <v>64</v>
      </c>
      <c r="B29" s="12" t="s">
        <v>117</v>
      </c>
      <c r="C29" s="25">
        <v>102000</v>
      </c>
      <c r="D29" s="13"/>
      <c r="E29" s="14"/>
      <c r="F29" s="15">
        <f t="shared" si="0"/>
        <v>102000</v>
      </c>
      <c r="G29" s="15"/>
      <c r="H29" s="17"/>
      <c r="I29" s="27" t="s">
        <v>79</v>
      </c>
      <c r="J29" s="33">
        <f t="shared" si="1"/>
        <v>102000</v>
      </c>
      <c r="K29" s="29">
        <v>52000</v>
      </c>
    </row>
    <row r="30" spans="1:11" ht="17.5" x14ac:dyDescent="0.35">
      <c r="A30" s="11" t="s">
        <v>25</v>
      </c>
      <c r="B30" s="12" t="s">
        <v>118</v>
      </c>
      <c r="C30" s="25">
        <v>250000</v>
      </c>
      <c r="D30" s="13"/>
      <c r="E30" s="14"/>
      <c r="F30" s="15">
        <f t="shared" si="0"/>
        <v>250000</v>
      </c>
      <c r="G30" s="15"/>
      <c r="H30" s="17"/>
      <c r="I30" s="27" t="s">
        <v>79</v>
      </c>
      <c r="J30" s="33">
        <f t="shared" si="1"/>
        <v>250000</v>
      </c>
      <c r="K30" s="29">
        <v>0</v>
      </c>
    </row>
    <row r="31" spans="1:11" ht="17.5" x14ac:dyDescent="0.35">
      <c r="A31" s="11" t="s">
        <v>26</v>
      </c>
      <c r="B31" s="12" t="s">
        <v>119</v>
      </c>
      <c r="C31" s="25">
        <v>150000</v>
      </c>
      <c r="D31" s="13"/>
      <c r="E31" s="14"/>
      <c r="F31" s="15">
        <f t="shared" si="0"/>
        <v>150000</v>
      </c>
      <c r="G31" s="15"/>
      <c r="H31" s="17"/>
      <c r="I31" s="27" t="s">
        <v>79</v>
      </c>
      <c r="J31" s="33">
        <f t="shared" si="1"/>
        <v>150000</v>
      </c>
      <c r="K31" s="29">
        <v>0</v>
      </c>
    </row>
    <row r="32" spans="1:11" ht="17.5" x14ac:dyDescent="0.35">
      <c r="A32" s="11" t="s">
        <v>27</v>
      </c>
      <c r="B32" s="12" t="s">
        <v>120</v>
      </c>
      <c r="C32" s="25">
        <v>125000</v>
      </c>
      <c r="D32" s="13"/>
      <c r="E32" s="14"/>
      <c r="F32" s="15">
        <f t="shared" si="0"/>
        <v>125000</v>
      </c>
      <c r="G32" s="15"/>
      <c r="H32" s="17"/>
      <c r="I32" s="27" t="s">
        <v>79</v>
      </c>
      <c r="J32" s="33">
        <f t="shared" si="1"/>
        <v>125000</v>
      </c>
      <c r="K32" s="29">
        <v>0</v>
      </c>
    </row>
    <row r="33" spans="1:11" ht="17.5" x14ac:dyDescent="0.35">
      <c r="A33" s="11" t="s">
        <v>81</v>
      </c>
      <c r="B33" s="12" t="s">
        <v>121</v>
      </c>
      <c r="C33" s="25">
        <v>200000</v>
      </c>
      <c r="D33" s="13"/>
      <c r="E33" s="14"/>
      <c r="F33" s="15">
        <f t="shared" si="0"/>
        <v>200000</v>
      </c>
      <c r="G33" s="15"/>
      <c r="H33" s="17"/>
      <c r="I33" s="27" t="s">
        <v>79</v>
      </c>
      <c r="J33" s="33">
        <f t="shared" si="1"/>
        <v>200000</v>
      </c>
      <c r="K33" s="29">
        <v>50000</v>
      </c>
    </row>
    <row r="34" spans="1:11" ht="17.5" x14ac:dyDescent="0.35">
      <c r="A34" s="11" t="s">
        <v>62</v>
      </c>
      <c r="B34" s="12" t="s">
        <v>122</v>
      </c>
      <c r="C34" s="25">
        <v>50000</v>
      </c>
      <c r="D34" s="13"/>
      <c r="E34" s="14"/>
      <c r="F34" s="15">
        <f t="shared" si="0"/>
        <v>50000</v>
      </c>
      <c r="G34" s="15"/>
      <c r="H34" s="17"/>
      <c r="I34" s="27" t="s">
        <v>79</v>
      </c>
      <c r="J34" s="33">
        <f t="shared" si="1"/>
        <v>50000</v>
      </c>
      <c r="K34" s="29">
        <v>0</v>
      </c>
    </row>
    <row r="35" spans="1:11" ht="17.5" x14ac:dyDescent="0.35">
      <c r="A35" s="11" t="s">
        <v>65</v>
      </c>
      <c r="B35" s="12" t="s">
        <v>123</v>
      </c>
      <c r="C35" s="25">
        <v>60000</v>
      </c>
      <c r="D35" s="13"/>
      <c r="E35" s="14"/>
      <c r="F35" s="15">
        <f t="shared" si="0"/>
        <v>60000</v>
      </c>
      <c r="G35" s="15"/>
      <c r="H35" s="17"/>
      <c r="I35" s="27" t="s">
        <v>79</v>
      </c>
      <c r="J35" s="33">
        <f t="shared" si="1"/>
        <v>60000</v>
      </c>
      <c r="K35" s="29">
        <v>0</v>
      </c>
    </row>
    <row r="36" spans="1:11" ht="17.5" x14ac:dyDescent="0.35">
      <c r="A36" s="11" t="s">
        <v>28</v>
      </c>
      <c r="B36" s="12" t="s">
        <v>124</v>
      </c>
      <c r="C36" s="25">
        <v>50000</v>
      </c>
      <c r="D36" s="13"/>
      <c r="E36" s="14"/>
      <c r="F36" s="15">
        <f t="shared" si="0"/>
        <v>50000</v>
      </c>
      <c r="G36" s="15"/>
      <c r="H36" s="17"/>
      <c r="I36" s="27" t="s">
        <v>79</v>
      </c>
      <c r="J36" s="33">
        <f t="shared" si="1"/>
        <v>50000</v>
      </c>
      <c r="K36" s="29">
        <v>0</v>
      </c>
    </row>
    <row r="37" spans="1:11" ht="17.5" x14ac:dyDescent="0.35">
      <c r="A37" s="11" t="s">
        <v>80</v>
      </c>
      <c r="B37" s="12" t="s">
        <v>125</v>
      </c>
      <c r="C37" s="25">
        <v>0</v>
      </c>
      <c r="D37" s="13">
        <v>153000</v>
      </c>
      <c r="E37" s="14"/>
      <c r="F37" s="15">
        <f t="shared" si="0"/>
        <v>153000</v>
      </c>
      <c r="G37" s="15"/>
      <c r="H37" s="17"/>
      <c r="I37" s="27"/>
      <c r="J37" s="33">
        <f t="shared" si="1"/>
        <v>0</v>
      </c>
      <c r="K37" s="29">
        <v>0</v>
      </c>
    </row>
    <row r="38" spans="1:11" ht="17.5" x14ac:dyDescent="0.35">
      <c r="A38" s="11" t="s">
        <v>29</v>
      </c>
      <c r="B38" s="12" t="s">
        <v>126</v>
      </c>
      <c r="C38" s="25">
        <v>125000</v>
      </c>
      <c r="D38" s="13"/>
      <c r="E38" s="14"/>
      <c r="F38" s="15">
        <f t="shared" si="0"/>
        <v>125000</v>
      </c>
      <c r="G38" s="15"/>
      <c r="H38" s="17"/>
      <c r="I38" s="27" t="s">
        <v>79</v>
      </c>
      <c r="J38" s="33">
        <f t="shared" si="1"/>
        <v>125000</v>
      </c>
      <c r="K38" s="29">
        <v>0</v>
      </c>
    </row>
    <row r="39" spans="1:11" x14ac:dyDescent="0.35">
      <c r="A39" s="16"/>
      <c r="B39" s="17"/>
      <c r="C39" s="17"/>
      <c r="D39" s="17"/>
      <c r="E39" s="17"/>
      <c r="F39" s="17"/>
      <c r="G39" s="17"/>
      <c r="H39" s="17"/>
      <c r="I39" s="17"/>
      <c r="J39" s="32"/>
      <c r="K39" s="18"/>
    </row>
    <row r="40" spans="1:11" ht="18" thickBot="1" x14ac:dyDescent="0.4">
      <c r="A40" s="19"/>
      <c r="B40" s="20" t="s">
        <v>30</v>
      </c>
      <c r="C40" s="21">
        <f>SUM(C7:C39)</f>
        <v>4882000</v>
      </c>
      <c r="D40" s="21">
        <f>SUM(D7:D39)</f>
        <v>318500</v>
      </c>
      <c r="E40" s="21">
        <f>SUM(E7:E39)</f>
        <v>500000</v>
      </c>
      <c r="F40" s="21">
        <f>SUM(F7:F39)</f>
        <v>5700500</v>
      </c>
      <c r="G40" s="21">
        <f>SUM(G7:G39)</f>
        <v>0</v>
      </c>
      <c r="H40" s="21">
        <f t="shared" ref="H40" si="2">SUM(H8:H39)</f>
        <v>0</v>
      </c>
      <c r="I40" s="28"/>
      <c r="J40" s="21">
        <f t="shared" ref="J40" si="3">SUM(J6:J39)</f>
        <v>5057000</v>
      </c>
      <c r="K40" s="22">
        <f>SUM(K6:K39)</f>
        <v>541000</v>
      </c>
    </row>
    <row r="41" spans="1:11" ht="15" thickTop="1" x14ac:dyDescent="0.35"/>
  </sheetData>
  <autoFilter ref="A5:F38" xr:uid="{00000000-0009-0000-0000-000004000000}"/>
  <mergeCells count="1">
    <mergeCell ref="B4:E4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1"/>
  <sheetViews>
    <sheetView zoomScale="106" zoomScaleNormal="106" workbookViewId="0">
      <pane xSplit="3" ySplit="5" topLeftCell="F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J1" sqref="J1:J104857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  <col min="9" max="9" width="12.54296875" customWidth="1"/>
    <col min="10" max="10" width="13.08984375" bestFit="1" customWidth="1"/>
    <col min="11" max="11" width="18.453125" customWidth="1"/>
  </cols>
  <sheetData>
    <row r="1" spans="1:11" ht="21" x14ac:dyDescent="0.5">
      <c r="A1" s="1" t="s">
        <v>2</v>
      </c>
      <c r="B1" s="1" t="s">
        <v>3</v>
      </c>
      <c r="C1" s="24" t="s">
        <v>83</v>
      </c>
    </row>
    <row r="2" spans="1:11" x14ac:dyDescent="0.35">
      <c r="A2" s="1" t="s">
        <v>4</v>
      </c>
      <c r="B2" s="1">
        <v>2024</v>
      </c>
    </row>
    <row r="3" spans="1:11" x14ac:dyDescent="0.3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11" ht="29" thickBot="1" x14ac:dyDescent="0.7">
      <c r="B4" s="51" t="s">
        <v>58</v>
      </c>
      <c r="C4" s="49"/>
      <c r="D4" s="49"/>
      <c r="E4" s="49"/>
      <c r="F4" s="3"/>
    </row>
    <row r="5" spans="1:11" ht="68.25" customHeight="1" thickTop="1" x14ac:dyDescent="0.35">
      <c r="A5" s="8" t="s">
        <v>0</v>
      </c>
      <c r="B5" s="9" t="s">
        <v>1</v>
      </c>
      <c r="C5" s="10" t="s">
        <v>33</v>
      </c>
      <c r="D5" s="10" t="s">
        <v>32</v>
      </c>
      <c r="E5" s="10" t="s">
        <v>34</v>
      </c>
      <c r="F5" s="10" t="s">
        <v>31</v>
      </c>
      <c r="G5" s="10" t="s">
        <v>59</v>
      </c>
      <c r="H5" s="26" t="s">
        <v>61</v>
      </c>
      <c r="I5" s="26" t="s">
        <v>78</v>
      </c>
      <c r="J5" s="31" t="s">
        <v>86</v>
      </c>
      <c r="K5" s="23" t="s">
        <v>85</v>
      </c>
    </row>
    <row r="6" spans="1:11" ht="17.5" x14ac:dyDescent="0.35">
      <c r="A6" s="11" t="s">
        <v>60</v>
      </c>
      <c r="B6" s="12" t="s">
        <v>3</v>
      </c>
      <c r="C6" s="25">
        <v>175000</v>
      </c>
      <c r="D6" s="13"/>
      <c r="E6" s="14"/>
      <c r="F6" s="15">
        <f>SUM(C6:E6)</f>
        <v>175000</v>
      </c>
      <c r="G6" s="15"/>
      <c r="H6" s="17">
        <v>2385</v>
      </c>
      <c r="I6" s="27" t="s">
        <v>79</v>
      </c>
      <c r="J6" s="33">
        <f>C6</f>
        <v>175000</v>
      </c>
      <c r="K6" s="29">
        <v>0</v>
      </c>
    </row>
    <row r="7" spans="1:11" ht="17.5" x14ac:dyDescent="0.35">
      <c r="A7" s="11" t="s">
        <v>66</v>
      </c>
      <c r="B7" s="12" t="s">
        <v>95</v>
      </c>
      <c r="C7" s="25">
        <v>0</v>
      </c>
      <c r="D7" s="13">
        <v>50000</v>
      </c>
      <c r="E7" s="14"/>
      <c r="F7" s="15">
        <f t="shared" ref="F7:F38" si="0">SUM(C7:E7)</f>
        <v>50000</v>
      </c>
      <c r="G7" s="15"/>
      <c r="H7" s="17"/>
      <c r="I7" s="27"/>
      <c r="J7" s="33">
        <f t="shared" ref="J7:J38" si="1">C7</f>
        <v>0</v>
      </c>
      <c r="K7" s="29">
        <v>0</v>
      </c>
    </row>
    <row r="8" spans="1:11" ht="17.5" x14ac:dyDescent="0.35">
      <c r="A8" s="11" t="s">
        <v>6</v>
      </c>
      <c r="B8" s="12" t="s">
        <v>96</v>
      </c>
      <c r="C8" s="25">
        <v>125000</v>
      </c>
      <c r="D8" s="13"/>
      <c r="E8" s="14"/>
      <c r="F8" s="15">
        <f t="shared" si="0"/>
        <v>125000</v>
      </c>
      <c r="G8" s="15"/>
      <c r="H8" s="17"/>
      <c r="I8" s="27" t="s">
        <v>79</v>
      </c>
      <c r="J8" s="33">
        <f t="shared" si="1"/>
        <v>125000</v>
      </c>
      <c r="K8" s="29">
        <v>0</v>
      </c>
    </row>
    <row r="9" spans="1:11" ht="17.5" x14ac:dyDescent="0.35">
      <c r="A9" s="11" t="s">
        <v>7</v>
      </c>
      <c r="B9" s="12" t="s">
        <v>97</v>
      </c>
      <c r="C9" s="25">
        <v>455000</v>
      </c>
      <c r="D9" s="13"/>
      <c r="E9" s="14"/>
      <c r="F9" s="15">
        <f t="shared" si="0"/>
        <v>455000</v>
      </c>
      <c r="G9" s="15"/>
      <c r="H9" s="17"/>
      <c r="I9" s="27" t="s">
        <v>79</v>
      </c>
      <c r="J9" s="33">
        <f t="shared" si="1"/>
        <v>455000</v>
      </c>
      <c r="K9" s="29">
        <v>205000</v>
      </c>
    </row>
    <row r="10" spans="1:11" ht="17.5" x14ac:dyDescent="0.35">
      <c r="A10" s="11" t="s">
        <v>8</v>
      </c>
      <c r="B10" s="12" t="s">
        <v>98</v>
      </c>
      <c r="C10" s="25">
        <v>165000</v>
      </c>
      <c r="D10" s="13"/>
      <c r="E10" s="14"/>
      <c r="F10" s="15">
        <f t="shared" si="0"/>
        <v>165000</v>
      </c>
      <c r="G10" s="15"/>
      <c r="H10" s="17"/>
      <c r="I10" s="27" t="s">
        <v>79</v>
      </c>
      <c r="J10" s="33">
        <f t="shared" si="1"/>
        <v>165000</v>
      </c>
      <c r="K10" s="29">
        <v>40000</v>
      </c>
    </row>
    <row r="11" spans="1:11" ht="17.5" x14ac:dyDescent="0.35">
      <c r="A11" s="11" t="s">
        <v>9</v>
      </c>
      <c r="B11" s="12" t="s">
        <v>99</v>
      </c>
      <c r="C11" s="25">
        <v>238000</v>
      </c>
      <c r="D11" s="13"/>
      <c r="E11" s="14"/>
      <c r="F11" s="15">
        <f t="shared" si="0"/>
        <v>238000</v>
      </c>
      <c r="G11" s="15"/>
      <c r="H11" s="17"/>
      <c r="I11" s="27" t="s">
        <v>79</v>
      </c>
      <c r="J11" s="33">
        <f t="shared" si="1"/>
        <v>238000</v>
      </c>
      <c r="K11" s="29">
        <v>113000</v>
      </c>
    </row>
    <row r="12" spans="1:11" ht="17.5" x14ac:dyDescent="0.35">
      <c r="A12" s="11" t="s">
        <v>10</v>
      </c>
      <c r="B12" s="12" t="s">
        <v>100</v>
      </c>
      <c r="C12" s="25">
        <v>330000</v>
      </c>
      <c r="D12" s="13"/>
      <c r="E12" s="14"/>
      <c r="F12" s="15">
        <f t="shared" si="0"/>
        <v>330000</v>
      </c>
      <c r="G12" s="15"/>
      <c r="H12" s="17"/>
      <c r="I12" s="27" t="s">
        <v>79</v>
      </c>
      <c r="J12" s="33">
        <f t="shared" si="1"/>
        <v>330000</v>
      </c>
      <c r="K12" s="29">
        <v>0</v>
      </c>
    </row>
    <row r="13" spans="1:11" ht="17.5" x14ac:dyDescent="0.35">
      <c r="A13" s="11" t="s">
        <v>11</v>
      </c>
      <c r="B13" s="12" t="s">
        <v>101</v>
      </c>
      <c r="C13" s="25">
        <v>50000</v>
      </c>
      <c r="D13" s="13"/>
      <c r="E13" s="14"/>
      <c r="F13" s="15">
        <f t="shared" si="0"/>
        <v>50000</v>
      </c>
      <c r="G13" s="15"/>
      <c r="H13" s="17"/>
      <c r="I13" s="27" t="s">
        <v>79</v>
      </c>
      <c r="J13" s="33">
        <f t="shared" si="1"/>
        <v>50000</v>
      </c>
      <c r="K13" s="29">
        <v>0</v>
      </c>
    </row>
    <row r="14" spans="1:11" ht="17.5" x14ac:dyDescent="0.35">
      <c r="A14" s="11" t="s">
        <v>12</v>
      </c>
      <c r="B14" s="12" t="s">
        <v>102</v>
      </c>
      <c r="C14" s="25">
        <v>50000</v>
      </c>
      <c r="D14" s="13"/>
      <c r="E14" s="14"/>
      <c r="F14" s="15">
        <f t="shared" si="0"/>
        <v>50000</v>
      </c>
      <c r="G14" s="15"/>
      <c r="H14" s="17"/>
      <c r="I14" s="27" t="s">
        <v>79</v>
      </c>
      <c r="J14" s="33">
        <f t="shared" si="1"/>
        <v>50000</v>
      </c>
      <c r="K14" s="29">
        <v>0</v>
      </c>
    </row>
    <row r="15" spans="1:11" ht="17.5" x14ac:dyDescent="0.35">
      <c r="A15" s="11" t="s">
        <v>13</v>
      </c>
      <c r="B15" s="12" t="s">
        <v>103</v>
      </c>
      <c r="C15" s="25">
        <v>125000</v>
      </c>
      <c r="D15" s="13"/>
      <c r="E15" s="14"/>
      <c r="F15" s="15">
        <f t="shared" si="0"/>
        <v>125000</v>
      </c>
      <c r="G15" s="15"/>
      <c r="H15" s="17"/>
      <c r="I15" s="27" t="s">
        <v>79</v>
      </c>
      <c r="J15" s="33">
        <f t="shared" si="1"/>
        <v>125000</v>
      </c>
      <c r="K15" s="29">
        <v>0</v>
      </c>
    </row>
    <row r="16" spans="1:11" ht="17.5" x14ac:dyDescent="0.35">
      <c r="A16" s="11" t="s">
        <v>14</v>
      </c>
      <c r="B16" s="12" t="s">
        <v>104</v>
      </c>
      <c r="C16" s="25">
        <v>260000</v>
      </c>
      <c r="D16" s="13"/>
      <c r="E16" s="14"/>
      <c r="F16" s="15">
        <f t="shared" si="0"/>
        <v>260000</v>
      </c>
      <c r="G16" s="15"/>
      <c r="H16" s="17"/>
      <c r="I16" s="27" t="s">
        <v>79</v>
      </c>
      <c r="J16" s="33">
        <f t="shared" si="1"/>
        <v>260000</v>
      </c>
      <c r="K16" s="29">
        <v>0</v>
      </c>
    </row>
    <row r="17" spans="1:11" ht="17.5" x14ac:dyDescent="0.35">
      <c r="A17" s="11" t="s">
        <v>15</v>
      </c>
      <c r="B17" s="12" t="s">
        <v>105</v>
      </c>
      <c r="C17" s="25">
        <v>150000</v>
      </c>
      <c r="D17" s="13"/>
      <c r="E17" s="14"/>
      <c r="F17" s="15">
        <f t="shared" si="0"/>
        <v>150000</v>
      </c>
      <c r="G17" s="15"/>
      <c r="H17" s="17"/>
      <c r="I17" s="27" t="s">
        <v>79</v>
      </c>
      <c r="J17" s="33">
        <f t="shared" si="1"/>
        <v>150000</v>
      </c>
      <c r="K17" s="29">
        <v>0</v>
      </c>
    </row>
    <row r="18" spans="1:11" ht="17.5" x14ac:dyDescent="0.35">
      <c r="A18" s="11" t="s">
        <v>16</v>
      </c>
      <c r="B18" s="12" t="s">
        <v>106</v>
      </c>
      <c r="C18" s="25">
        <v>362000</v>
      </c>
      <c r="D18" s="13"/>
      <c r="E18" s="14"/>
      <c r="F18" s="15">
        <f t="shared" si="0"/>
        <v>362000</v>
      </c>
      <c r="G18" s="15"/>
      <c r="H18" s="17"/>
      <c r="I18" s="27" t="s">
        <v>79</v>
      </c>
      <c r="J18" s="33">
        <f t="shared" si="1"/>
        <v>362000</v>
      </c>
      <c r="K18" s="29">
        <v>212000</v>
      </c>
    </row>
    <row r="19" spans="1:11" ht="17.5" x14ac:dyDescent="0.35">
      <c r="A19" s="11" t="s">
        <v>82</v>
      </c>
      <c r="B19" s="12" t="s">
        <v>107</v>
      </c>
      <c r="C19" s="25">
        <v>50000</v>
      </c>
      <c r="D19" s="13"/>
      <c r="E19" s="14"/>
      <c r="F19" s="15">
        <f t="shared" si="0"/>
        <v>50000</v>
      </c>
      <c r="G19" s="15"/>
      <c r="H19" s="17"/>
      <c r="I19" s="27" t="s">
        <v>79</v>
      </c>
      <c r="J19" s="33">
        <f t="shared" si="1"/>
        <v>50000</v>
      </c>
      <c r="K19" s="29">
        <v>0</v>
      </c>
    </row>
    <row r="20" spans="1:11" ht="17.5" x14ac:dyDescent="0.35">
      <c r="A20" s="11" t="s">
        <v>17</v>
      </c>
      <c r="B20" s="12" t="s">
        <v>108</v>
      </c>
      <c r="C20" s="25">
        <v>517000</v>
      </c>
      <c r="D20" s="13"/>
      <c r="E20" s="14"/>
      <c r="F20" s="15">
        <f t="shared" si="0"/>
        <v>517000</v>
      </c>
      <c r="G20" s="15"/>
      <c r="H20" s="17"/>
      <c r="I20" s="27" t="s">
        <v>79</v>
      </c>
      <c r="J20" s="33">
        <f t="shared" si="1"/>
        <v>517000</v>
      </c>
      <c r="K20" s="29">
        <v>292000</v>
      </c>
    </row>
    <row r="21" spans="1:11" ht="17.5" x14ac:dyDescent="0.35">
      <c r="A21" s="11" t="s">
        <v>18</v>
      </c>
      <c r="B21" s="12" t="s">
        <v>109</v>
      </c>
      <c r="C21" s="25">
        <v>50000</v>
      </c>
      <c r="D21" s="13"/>
      <c r="E21" s="14"/>
      <c r="F21" s="15">
        <f t="shared" si="0"/>
        <v>50000</v>
      </c>
      <c r="G21" s="15"/>
      <c r="H21" s="17"/>
      <c r="I21" s="27" t="s">
        <v>79</v>
      </c>
      <c r="J21" s="33">
        <f t="shared" si="1"/>
        <v>50000</v>
      </c>
      <c r="K21" s="29">
        <v>0</v>
      </c>
    </row>
    <row r="22" spans="1:11" ht="17.5" x14ac:dyDescent="0.35">
      <c r="A22" s="11" t="s">
        <v>19</v>
      </c>
      <c r="B22" s="12" t="s">
        <v>110</v>
      </c>
      <c r="C22" s="25">
        <v>125000</v>
      </c>
      <c r="D22" s="13"/>
      <c r="E22" s="14"/>
      <c r="F22" s="15">
        <f t="shared" si="0"/>
        <v>125000</v>
      </c>
      <c r="G22" s="15"/>
      <c r="H22" s="17"/>
      <c r="I22" s="27" t="s">
        <v>79</v>
      </c>
      <c r="J22" s="33">
        <f t="shared" si="1"/>
        <v>125000</v>
      </c>
      <c r="K22" s="29">
        <v>0</v>
      </c>
    </row>
    <row r="23" spans="1:11" ht="17.5" x14ac:dyDescent="0.35">
      <c r="A23" s="11" t="s">
        <v>20</v>
      </c>
      <c r="B23" s="12" t="s">
        <v>111</v>
      </c>
      <c r="C23" s="25">
        <v>462000</v>
      </c>
      <c r="D23" s="13"/>
      <c r="E23" s="14"/>
      <c r="F23" s="15">
        <f t="shared" si="0"/>
        <v>462000</v>
      </c>
      <c r="G23" s="15"/>
      <c r="H23" s="17"/>
      <c r="I23" s="27" t="s">
        <v>79</v>
      </c>
      <c r="J23" s="33">
        <f t="shared" si="1"/>
        <v>462000</v>
      </c>
      <c r="K23" s="29">
        <v>202000</v>
      </c>
    </row>
    <row r="24" spans="1:11" ht="17.5" x14ac:dyDescent="0.35">
      <c r="A24" s="11" t="s">
        <v>21</v>
      </c>
      <c r="B24" s="12" t="s">
        <v>112</v>
      </c>
      <c r="C24" s="25">
        <v>0</v>
      </c>
      <c r="D24" s="13">
        <v>250000</v>
      </c>
      <c r="E24" s="14"/>
      <c r="F24" s="15">
        <f t="shared" si="0"/>
        <v>250000</v>
      </c>
      <c r="G24" s="15"/>
      <c r="H24" s="17"/>
      <c r="I24" s="27"/>
      <c r="J24" s="33">
        <f t="shared" si="1"/>
        <v>0</v>
      </c>
      <c r="K24" s="29">
        <v>0</v>
      </c>
    </row>
    <row r="25" spans="1:11" ht="17.5" x14ac:dyDescent="0.35">
      <c r="A25" s="11" t="s">
        <v>22</v>
      </c>
      <c r="B25" s="12" t="s">
        <v>113</v>
      </c>
      <c r="C25" s="25">
        <v>575000</v>
      </c>
      <c r="D25" s="13"/>
      <c r="E25" s="14"/>
      <c r="F25" s="15">
        <f t="shared" si="0"/>
        <v>575000</v>
      </c>
      <c r="G25" s="15"/>
      <c r="H25" s="17"/>
      <c r="I25" s="27" t="s">
        <v>79</v>
      </c>
      <c r="J25" s="33">
        <f t="shared" si="1"/>
        <v>575000</v>
      </c>
      <c r="K25" s="29">
        <v>200000</v>
      </c>
    </row>
    <row r="26" spans="1:11" ht="17.5" x14ac:dyDescent="0.35">
      <c r="A26" s="11" t="s">
        <v>23</v>
      </c>
      <c r="B26" s="12" t="s">
        <v>114</v>
      </c>
      <c r="C26" s="25">
        <v>53000</v>
      </c>
      <c r="D26" s="13"/>
      <c r="E26" s="14"/>
      <c r="F26" s="15">
        <f t="shared" si="0"/>
        <v>53000</v>
      </c>
      <c r="G26" s="15"/>
      <c r="H26" s="17"/>
      <c r="I26" s="27" t="s">
        <v>79</v>
      </c>
      <c r="J26" s="33">
        <f t="shared" si="1"/>
        <v>53000</v>
      </c>
      <c r="K26" s="29">
        <v>3000</v>
      </c>
    </row>
    <row r="27" spans="1:11" ht="17.5" x14ac:dyDescent="0.35">
      <c r="A27" s="11" t="s">
        <v>63</v>
      </c>
      <c r="B27" s="12" t="s">
        <v>115</v>
      </c>
      <c r="C27" s="25">
        <v>50000</v>
      </c>
      <c r="D27" s="13"/>
      <c r="E27" s="14"/>
      <c r="F27" s="15">
        <f>SUM(C27:E27)</f>
        <v>50000</v>
      </c>
      <c r="G27" s="15"/>
      <c r="H27" s="17"/>
      <c r="I27" s="27" t="s">
        <v>79</v>
      </c>
      <c r="J27" s="33">
        <f t="shared" si="1"/>
        <v>50000</v>
      </c>
      <c r="K27" s="29">
        <v>0</v>
      </c>
    </row>
    <row r="28" spans="1:11" ht="17.5" x14ac:dyDescent="0.35">
      <c r="A28" s="11" t="s">
        <v>24</v>
      </c>
      <c r="B28" s="12" t="s">
        <v>116</v>
      </c>
      <c r="C28" s="25">
        <v>125000</v>
      </c>
      <c r="D28" s="13"/>
      <c r="E28" s="14"/>
      <c r="F28" s="15">
        <f t="shared" si="0"/>
        <v>125000</v>
      </c>
      <c r="G28" s="15"/>
      <c r="H28" s="17"/>
      <c r="I28" s="27" t="s">
        <v>79</v>
      </c>
      <c r="J28" s="33">
        <f t="shared" si="1"/>
        <v>125000</v>
      </c>
      <c r="K28" s="29">
        <v>0</v>
      </c>
    </row>
    <row r="29" spans="1:11" ht="17.5" x14ac:dyDescent="0.35">
      <c r="A29" s="11" t="s">
        <v>64</v>
      </c>
      <c r="B29" s="12" t="s">
        <v>117</v>
      </c>
      <c r="C29" s="25">
        <v>92500</v>
      </c>
      <c r="D29" s="13"/>
      <c r="E29" s="14"/>
      <c r="F29" s="15">
        <f t="shared" si="0"/>
        <v>92500</v>
      </c>
      <c r="G29" s="15"/>
      <c r="H29" s="17"/>
      <c r="I29" s="27" t="s">
        <v>79</v>
      </c>
      <c r="J29" s="33">
        <f t="shared" si="1"/>
        <v>92500</v>
      </c>
      <c r="K29" s="29">
        <v>42500</v>
      </c>
    </row>
    <row r="30" spans="1:11" ht="17.5" x14ac:dyDescent="0.35">
      <c r="A30" s="11" t="s">
        <v>25</v>
      </c>
      <c r="B30" s="12" t="s">
        <v>118</v>
      </c>
      <c r="C30" s="25">
        <v>250000</v>
      </c>
      <c r="D30" s="13"/>
      <c r="E30" s="14"/>
      <c r="F30" s="15">
        <f t="shared" si="0"/>
        <v>250000</v>
      </c>
      <c r="G30" s="15"/>
      <c r="H30" s="17"/>
      <c r="I30" s="27" t="s">
        <v>79</v>
      </c>
      <c r="J30" s="33">
        <f t="shared" si="1"/>
        <v>250000</v>
      </c>
      <c r="K30" s="29">
        <v>0</v>
      </c>
    </row>
    <row r="31" spans="1:11" ht="17.5" x14ac:dyDescent="0.35">
      <c r="A31" s="11" t="s">
        <v>26</v>
      </c>
      <c r="B31" s="12" t="s">
        <v>119</v>
      </c>
      <c r="C31" s="25">
        <v>150000</v>
      </c>
      <c r="D31" s="13"/>
      <c r="E31" s="14"/>
      <c r="F31" s="15">
        <f t="shared" si="0"/>
        <v>150000</v>
      </c>
      <c r="G31" s="15"/>
      <c r="H31" s="17"/>
      <c r="I31" s="27" t="s">
        <v>79</v>
      </c>
      <c r="J31" s="33">
        <f t="shared" si="1"/>
        <v>150000</v>
      </c>
      <c r="K31" s="29">
        <v>0</v>
      </c>
    </row>
    <row r="32" spans="1:11" ht="17.5" x14ac:dyDescent="0.35">
      <c r="A32" s="11" t="s">
        <v>27</v>
      </c>
      <c r="B32" s="12" t="s">
        <v>120</v>
      </c>
      <c r="C32" s="25">
        <v>125000</v>
      </c>
      <c r="D32" s="13"/>
      <c r="E32" s="14"/>
      <c r="F32" s="15">
        <f t="shared" si="0"/>
        <v>125000</v>
      </c>
      <c r="G32" s="15"/>
      <c r="H32" s="17"/>
      <c r="I32" s="27" t="s">
        <v>79</v>
      </c>
      <c r="J32" s="33">
        <f t="shared" si="1"/>
        <v>125000</v>
      </c>
      <c r="K32" s="29">
        <v>0</v>
      </c>
    </row>
    <row r="33" spans="1:11" ht="17.5" x14ac:dyDescent="0.35">
      <c r="A33" s="11" t="s">
        <v>81</v>
      </c>
      <c r="B33" s="12" t="s">
        <v>121</v>
      </c>
      <c r="C33" s="25">
        <v>230000</v>
      </c>
      <c r="D33" s="13"/>
      <c r="E33" s="14"/>
      <c r="F33" s="15">
        <f t="shared" si="0"/>
        <v>230000</v>
      </c>
      <c r="G33" s="15"/>
      <c r="H33" s="17"/>
      <c r="I33" s="27" t="s">
        <v>79</v>
      </c>
      <c r="J33" s="33">
        <f t="shared" si="1"/>
        <v>230000</v>
      </c>
      <c r="K33" s="29">
        <v>80000</v>
      </c>
    </row>
    <row r="34" spans="1:11" ht="17.5" x14ac:dyDescent="0.35">
      <c r="A34" s="11" t="s">
        <v>62</v>
      </c>
      <c r="B34" s="12" t="s">
        <v>122</v>
      </c>
      <c r="C34" s="25">
        <v>0</v>
      </c>
      <c r="D34" s="13">
        <v>50000</v>
      </c>
      <c r="E34" s="14"/>
      <c r="F34" s="15">
        <f t="shared" si="0"/>
        <v>50000</v>
      </c>
      <c r="G34" s="15"/>
      <c r="H34" s="17"/>
      <c r="I34" s="27"/>
      <c r="J34" s="33">
        <f t="shared" si="1"/>
        <v>0</v>
      </c>
      <c r="K34" s="29">
        <v>0</v>
      </c>
    </row>
    <row r="35" spans="1:11" ht="17.5" x14ac:dyDescent="0.35">
      <c r="A35" s="11" t="s">
        <v>65</v>
      </c>
      <c r="B35" s="12" t="s">
        <v>123</v>
      </c>
      <c r="C35" s="25">
        <v>60000</v>
      </c>
      <c r="D35" s="13"/>
      <c r="E35" s="14"/>
      <c r="F35" s="15">
        <f t="shared" si="0"/>
        <v>60000</v>
      </c>
      <c r="G35" s="15"/>
      <c r="H35" s="17"/>
      <c r="I35" s="27" t="s">
        <v>79</v>
      </c>
      <c r="J35" s="33">
        <f t="shared" si="1"/>
        <v>60000</v>
      </c>
      <c r="K35" s="29">
        <v>0</v>
      </c>
    </row>
    <row r="36" spans="1:11" ht="17.5" x14ac:dyDescent="0.35">
      <c r="A36" s="11" t="s">
        <v>28</v>
      </c>
      <c r="B36" s="12" t="s">
        <v>124</v>
      </c>
      <c r="C36" s="25">
        <v>0</v>
      </c>
      <c r="D36" s="13">
        <v>50000</v>
      </c>
      <c r="E36" s="14"/>
      <c r="F36" s="15">
        <f t="shared" si="0"/>
        <v>50000</v>
      </c>
      <c r="G36" s="15"/>
      <c r="H36" s="17"/>
      <c r="I36" s="27"/>
      <c r="J36" s="33">
        <f t="shared" si="1"/>
        <v>0</v>
      </c>
      <c r="K36" s="29">
        <v>0</v>
      </c>
    </row>
    <row r="37" spans="1:11" ht="17.5" x14ac:dyDescent="0.35">
      <c r="A37" s="11" t="s">
        <v>80</v>
      </c>
      <c r="B37" s="12" t="s">
        <v>125</v>
      </c>
      <c r="C37" s="25">
        <v>150000</v>
      </c>
      <c r="D37" s="13"/>
      <c r="E37" s="14"/>
      <c r="F37" s="15">
        <f t="shared" si="0"/>
        <v>150000</v>
      </c>
      <c r="G37" s="15"/>
      <c r="H37" s="17"/>
      <c r="I37" s="27" t="s">
        <v>79</v>
      </c>
      <c r="J37" s="33">
        <f t="shared" si="1"/>
        <v>150000</v>
      </c>
      <c r="K37" s="29">
        <v>0</v>
      </c>
    </row>
    <row r="38" spans="1:11" ht="17.5" x14ac:dyDescent="0.35">
      <c r="A38" s="11" t="s">
        <v>29</v>
      </c>
      <c r="B38" s="12" t="s">
        <v>126</v>
      </c>
      <c r="C38" s="25">
        <v>125000</v>
      </c>
      <c r="D38" s="13"/>
      <c r="E38" s="14"/>
      <c r="F38" s="15">
        <f t="shared" si="0"/>
        <v>125000</v>
      </c>
      <c r="G38" s="15"/>
      <c r="H38" s="17"/>
      <c r="I38" s="27" t="s">
        <v>79</v>
      </c>
      <c r="J38" s="33">
        <f t="shared" si="1"/>
        <v>125000</v>
      </c>
      <c r="K38" s="29">
        <v>0</v>
      </c>
    </row>
    <row r="39" spans="1:11" x14ac:dyDescent="0.35">
      <c r="A39" s="16"/>
      <c r="B39" s="17"/>
      <c r="C39" s="17"/>
      <c r="D39" s="17"/>
      <c r="E39" s="17"/>
      <c r="F39" s="17"/>
      <c r="G39" s="17"/>
      <c r="H39" s="17"/>
      <c r="I39" s="17"/>
      <c r="J39" s="32"/>
      <c r="K39" s="18"/>
    </row>
    <row r="40" spans="1:11" ht="18" thickBot="1" x14ac:dyDescent="0.4">
      <c r="A40" s="19"/>
      <c r="B40" s="20" t="s">
        <v>30</v>
      </c>
      <c r="C40" s="21">
        <f>SUM(C7:C39)</f>
        <v>5499500</v>
      </c>
      <c r="D40" s="21">
        <f>SUM(D7:D39)</f>
        <v>400000</v>
      </c>
      <c r="E40" s="21">
        <f>SUM(E7:E39)</f>
        <v>0</v>
      </c>
      <c r="F40" s="21">
        <f>SUM(F7:F39)</f>
        <v>5899500</v>
      </c>
      <c r="G40" s="21">
        <f>SUM(G7:G39)</f>
        <v>0</v>
      </c>
      <c r="H40" s="21">
        <f t="shared" ref="H40" si="2">SUM(H8:H39)</f>
        <v>0</v>
      </c>
      <c r="I40" s="28"/>
      <c r="J40" s="21">
        <f t="shared" ref="J40" si="3">SUM(J6:J39)</f>
        <v>5674500</v>
      </c>
      <c r="K40" s="22">
        <f>SUM(K6:K39)</f>
        <v>1389500</v>
      </c>
    </row>
    <row r="41" spans="1:11" ht="15" thickTop="1" x14ac:dyDescent="0.35"/>
  </sheetData>
  <autoFilter ref="A5:F38" xr:uid="{00000000-0009-0000-0000-000005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41"/>
  <sheetViews>
    <sheetView zoomScale="108" zoomScaleNormal="108" workbookViewId="0">
      <pane xSplit="3" ySplit="5" topLeftCell="F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J1" sqref="J1:J104857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  <col min="9" max="9" width="12.54296875" customWidth="1"/>
    <col min="10" max="10" width="13.08984375" bestFit="1" customWidth="1"/>
    <col min="11" max="11" width="18.453125" customWidth="1"/>
  </cols>
  <sheetData>
    <row r="1" spans="1:11" ht="21" x14ac:dyDescent="0.5">
      <c r="A1" s="1" t="s">
        <v>2</v>
      </c>
      <c r="B1" s="1" t="s">
        <v>3</v>
      </c>
      <c r="C1" s="24" t="s">
        <v>70</v>
      </c>
    </row>
    <row r="2" spans="1:11" x14ac:dyDescent="0.35">
      <c r="A2" s="1" t="s">
        <v>4</v>
      </c>
      <c r="B2" s="1">
        <v>2024</v>
      </c>
    </row>
    <row r="3" spans="1:11" x14ac:dyDescent="0.3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11" ht="29" thickBot="1" x14ac:dyDescent="0.7">
      <c r="B4" s="51" t="s">
        <v>58</v>
      </c>
      <c r="C4" s="49"/>
      <c r="D4" s="49"/>
      <c r="E4" s="49"/>
      <c r="F4" s="3"/>
    </row>
    <row r="5" spans="1:11" ht="68.25" customHeight="1" thickTop="1" x14ac:dyDescent="0.35">
      <c r="A5" s="8" t="s">
        <v>0</v>
      </c>
      <c r="B5" s="9" t="s">
        <v>1</v>
      </c>
      <c r="C5" s="10" t="s">
        <v>33</v>
      </c>
      <c r="D5" s="10" t="s">
        <v>32</v>
      </c>
      <c r="E5" s="10" t="s">
        <v>34</v>
      </c>
      <c r="F5" s="10" t="s">
        <v>31</v>
      </c>
      <c r="G5" s="10" t="s">
        <v>59</v>
      </c>
      <c r="H5" s="26" t="s">
        <v>61</v>
      </c>
      <c r="I5" s="26" t="s">
        <v>78</v>
      </c>
      <c r="J5" s="31" t="s">
        <v>86</v>
      </c>
      <c r="K5" s="23" t="s">
        <v>85</v>
      </c>
    </row>
    <row r="6" spans="1:11" ht="17.5" x14ac:dyDescent="0.35">
      <c r="A6" s="11" t="s">
        <v>60</v>
      </c>
      <c r="B6" s="12" t="s">
        <v>3</v>
      </c>
      <c r="C6" s="25">
        <v>175000</v>
      </c>
      <c r="D6" s="13"/>
      <c r="E6" s="14"/>
      <c r="F6" s="15">
        <f>SUM(C6:E6)</f>
        <v>175000</v>
      </c>
      <c r="G6" s="15"/>
      <c r="H6" s="17">
        <v>2385</v>
      </c>
      <c r="I6" s="27" t="s">
        <v>79</v>
      </c>
      <c r="J6" s="33">
        <f>C6</f>
        <v>175000</v>
      </c>
      <c r="K6" s="29">
        <v>0</v>
      </c>
    </row>
    <row r="7" spans="1:11" ht="17.5" x14ac:dyDescent="0.35">
      <c r="A7" s="11" t="s">
        <v>66</v>
      </c>
      <c r="B7" s="12" t="s">
        <v>95</v>
      </c>
      <c r="C7" s="25">
        <v>50000</v>
      </c>
      <c r="D7" s="13"/>
      <c r="E7" s="14"/>
      <c r="F7" s="15">
        <f t="shared" ref="F7:F38" si="0">SUM(C7:E7)</f>
        <v>50000</v>
      </c>
      <c r="G7" s="15"/>
      <c r="H7" s="17"/>
      <c r="I7" s="27" t="s">
        <v>79</v>
      </c>
      <c r="J7" s="33">
        <f t="shared" ref="J7:J38" si="1">C7</f>
        <v>50000</v>
      </c>
      <c r="K7" s="29">
        <v>0</v>
      </c>
    </row>
    <row r="8" spans="1:11" ht="17.5" x14ac:dyDescent="0.35">
      <c r="A8" s="11" t="s">
        <v>6</v>
      </c>
      <c r="B8" s="12" t="s">
        <v>96</v>
      </c>
      <c r="C8" s="25">
        <v>125000</v>
      </c>
      <c r="D8" s="13"/>
      <c r="E8" s="14"/>
      <c r="F8" s="15">
        <f t="shared" si="0"/>
        <v>125000</v>
      </c>
      <c r="G8" s="15"/>
      <c r="H8" s="17"/>
      <c r="I8" s="27" t="s">
        <v>79</v>
      </c>
      <c r="J8" s="33">
        <f t="shared" si="1"/>
        <v>125000</v>
      </c>
      <c r="K8" s="29">
        <v>0</v>
      </c>
    </row>
    <row r="9" spans="1:11" ht="17.5" x14ac:dyDescent="0.35">
      <c r="A9" s="11" t="s">
        <v>7</v>
      </c>
      <c r="B9" s="12" t="s">
        <v>97</v>
      </c>
      <c r="C9" s="25">
        <v>250000</v>
      </c>
      <c r="D9" s="13"/>
      <c r="E9" s="14"/>
      <c r="F9" s="15">
        <f t="shared" si="0"/>
        <v>250000</v>
      </c>
      <c r="G9" s="15"/>
      <c r="H9" s="17"/>
      <c r="I9" s="27" t="s">
        <v>79</v>
      </c>
      <c r="J9" s="33">
        <f t="shared" si="1"/>
        <v>250000</v>
      </c>
      <c r="K9" s="29">
        <v>0</v>
      </c>
    </row>
    <row r="10" spans="1:11" ht="17.5" x14ac:dyDescent="0.35">
      <c r="A10" s="11" t="s">
        <v>8</v>
      </c>
      <c r="B10" s="12" t="s">
        <v>98</v>
      </c>
      <c r="C10" s="25">
        <v>140000</v>
      </c>
      <c r="D10" s="13"/>
      <c r="E10" s="14"/>
      <c r="F10" s="15">
        <f t="shared" si="0"/>
        <v>140000</v>
      </c>
      <c r="G10" s="15"/>
      <c r="H10" s="17"/>
      <c r="I10" s="27" t="s">
        <v>79</v>
      </c>
      <c r="J10" s="33">
        <f t="shared" si="1"/>
        <v>140000</v>
      </c>
      <c r="K10" s="29">
        <v>15000</v>
      </c>
    </row>
    <row r="11" spans="1:11" ht="17.5" x14ac:dyDescent="0.35">
      <c r="A11" s="11" t="s">
        <v>9</v>
      </c>
      <c r="B11" s="12" t="s">
        <v>99</v>
      </c>
      <c r="C11" s="25">
        <v>376000</v>
      </c>
      <c r="D11" s="13"/>
      <c r="E11" s="14"/>
      <c r="F11" s="15">
        <f t="shared" si="0"/>
        <v>376000</v>
      </c>
      <c r="G11" s="15"/>
      <c r="H11" s="17"/>
      <c r="I11" s="27" t="s">
        <v>79</v>
      </c>
      <c r="J11" s="33">
        <f t="shared" si="1"/>
        <v>376000</v>
      </c>
      <c r="K11" s="29">
        <v>251000</v>
      </c>
    </row>
    <row r="12" spans="1:11" ht="17.5" x14ac:dyDescent="0.35">
      <c r="A12" s="11" t="s">
        <v>10</v>
      </c>
      <c r="B12" s="12" t="s">
        <v>100</v>
      </c>
      <c r="C12" s="25">
        <v>825000</v>
      </c>
      <c r="D12" s="13">
        <v>5000</v>
      </c>
      <c r="E12" s="14"/>
      <c r="F12" s="15">
        <f t="shared" si="0"/>
        <v>830000</v>
      </c>
      <c r="G12" s="15"/>
      <c r="H12" s="17"/>
      <c r="I12" s="27" t="s">
        <v>79</v>
      </c>
      <c r="J12" s="33">
        <f t="shared" si="1"/>
        <v>825000</v>
      </c>
      <c r="K12" s="29">
        <v>0</v>
      </c>
    </row>
    <row r="13" spans="1:11" ht="17.5" x14ac:dyDescent="0.35">
      <c r="A13" s="11" t="s">
        <v>11</v>
      </c>
      <c r="B13" s="12" t="s">
        <v>101</v>
      </c>
      <c r="C13" s="25">
        <v>50000</v>
      </c>
      <c r="D13" s="13"/>
      <c r="E13" s="14"/>
      <c r="F13" s="15">
        <f t="shared" si="0"/>
        <v>50000</v>
      </c>
      <c r="G13" s="15"/>
      <c r="H13" s="17"/>
      <c r="I13" s="27" t="s">
        <v>79</v>
      </c>
      <c r="J13" s="33">
        <f t="shared" si="1"/>
        <v>50000</v>
      </c>
      <c r="K13" s="29">
        <v>0</v>
      </c>
    </row>
    <row r="14" spans="1:11" ht="17.5" x14ac:dyDescent="0.35">
      <c r="A14" s="11" t="s">
        <v>12</v>
      </c>
      <c r="B14" s="12" t="s">
        <v>102</v>
      </c>
      <c r="C14" s="25">
        <v>50000</v>
      </c>
      <c r="D14" s="13"/>
      <c r="E14" s="14"/>
      <c r="F14" s="15">
        <f t="shared" si="0"/>
        <v>50000</v>
      </c>
      <c r="G14" s="15"/>
      <c r="H14" s="17"/>
      <c r="I14" s="27" t="s">
        <v>79</v>
      </c>
      <c r="J14" s="33">
        <f t="shared" si="1"/>
        <v>50000</v>
      </c>
      <c r="K14" s="29">
        <v>0</v>
      </c>
    </row>
    <row r="15" spans="1:11" ht="17.5" x14ac:dyDescent="0.35">
      <c r="A15" s="11" t="s">
        <v>13</v>
      </c>
      <c r="B15" s="12" t="s">
        <v>103</v>
      </c>
      <c r="C15" s="25">
        <v>125000</v>
      </c>
      <c r="D15" s="13"/>
      <c r="E15" s="14"/>
      <c r="F15" s="15">
        <f t="shared" si="0"/>
        <v>125000</v>
      </c>
      <c r="G15" s="15"/>
      <c r="H15" s="17"/>
      <c r="I15" s="27" t="s">
        <v>79</v>
      </c>
      <c r="J15" s="33">
        <f t="shared" si="1"/>
        <v>125000</v>
      </c>
      <c r="K15" s="29">
        <v>0</v>
      </c>
    </row>
    <row r="16" spans="1:11" ht="17.5" x14ac:dyDescent="0.35">
      <c r="A16" s="11" t="s">
        <v>14</v>
      </c>
      <c r="B16" s="12" t="s">
        <v>104</v>
      </c>
      <c r="C16" s="25">
        <v>260000</v>
      </c>
      <c r="D16" s="13"/>
      <c r="E16" s="14"/>
      <c r="F16" s="15">
        <f t="shared" si="0"/>
        <v>260000</v>
      </c>
      <c r="G16" s="15"/>
      <c r="H16" s="17"/>
      <c r="I16" s="27" t="s">
        <v>79</v>
      </c>
      <c r="J16" s="33">
        <f t="shared" si="1"/>
        <v>260000</v>
      </c>
      <c r="K16" s="29">
        <v>0</v>
      </c>
    </row>
    <row r="17" spans="1:11" ht="17.5" x14ac:dyDescent="0.35">
      <c r="A17" s="11" t="s">
        <v>15</v>
      </c>
      <c r="B17" s="12" t="s">
        <v>105</v>
      </c>
      <c r="C17" s="25">
        <v>150000</v>
      </c>
      <c r="D17" s="13"/>
      <c r="E17" s="14"/>
      <c r="F17" s="15">
        <f t="shared" si="0"/>
        <v>150000</v>
      </c>
      <c r="G17" s="15"/>
      <c r="H17" s="17"/>
      <c r="I17" s="27" t="s">
        <v>79</v>
      </c>
      <c r="J17" s="33">
        <f t="shared" si="1"/>
        <v>150000</v>
      </c>
      <c r="K17" s="29">
        <v>0</v>
      </c>
    </row>
    <row r="18" spans="1:11" ht="17.5" x14ac:dyDescent="0.35">
      <c r="A18" s="11" t="s">
        <v>16</v>
      </c>
      <c r="B18" s="12" t="s">
        <v>106</v>
      </c>
      <c r="C18" s="25">
        <v>365000</v>
      </c>
      <c r="D18" s="13">
        <v>1003000</v>
      </c>
      <c r="E18" s="14"/>
      <c r="F18" s="15">
        <f t="shared" si="0"/>
        <v>1368000</v>
      </c>
      <c r="G18" s="15"/>
      <c r="H18" s="17"/>
      <c r="I18" s="27" t="s">
        <v>79</v>
      </c>
      <c r="J18" s="33">
        <f t="shared" si="1"/>
        <v>365000</v>
      </c>
      <c r="K18" s="29">
        <v>0</v>
      </c>
    </row>
    <row r="19" spans="1:11" ht="17.5" x14ac:dyDescent="0.35">
      <c r="A19" s="11" t="s">
        <v>82</v>
      </c>
      <c r="B19" s="12" t="s">
        <v>107</v>
      </c>
      <c r="C19" s="25">
        <v>50000</v>
      </c>
      <c r="D19" s="13"/>
      <c r="E19" s="14"/>
      <c r="F19" s="15">
        <f t="shared" si="0"/>
        <v>50000</v>
      </c>
      <c r="G19" s="15"/>
      <c r="H19" s="17"/>
      <c r="I19" s="27" t="s">
        <v>79</v>
      </c>
      <c r="J19" s="33">
        <f t="shared" si="1"/>
        <v>50000</v>
      </c>
      <c r="K19" s="29">
        <v>0</v>
      </c>
    </row>
    <row r="20" spans="1:11" ht="17.5" x14ac:dyDescent="0.35">
      <c r="A20" s="11" t="s">
        <v>17</v>
      </c>
      <c r="B20" s="12" t="s">
        <v>108</v>
      </c>
      <c r="C20" s="25">
        <v>296000</v>
      </c>
      <c r="D20" s="13">
        <v>101000</v>
      </c>
      <c r="E20" s="14"/>
      <c r="F20" s="15">
        <f t="shared" si="0"/>
        <v>397000</v>
      </c>
      <c r="G20" s="15"/>
      <c r="H20" s="17"/>
      <c r="I20" s="27" t="s">
        <v>79</v>
      </c>
      <c r="J20" s="33">
        <f t="shared" si="1"/>
        <v>296000</v>
      </c>
      <c r="K20" s="29">
        <v>0</v>
      </c>
    </row>
    <row r="21" spans="1:11" ht="17.5" x14ac:dyDescent="0.35">
      <c r="A21" s="11" t="s">
        <v>18</v>
      </c>
      <c r="B21" s="12" t="s">
        <v>109</v>
      </c>
      <c r="C21" s="25">
        <v>50000</v>
      </c>
      <c r="D21" s="13"/>
      <c r="E21" s="14"/>
      <c r="F21" s="15">
        <f t="shared" si="0"/>
        <v>50000</v>
      </c>
      <c r="G21" s="15"/>
      <c r="H21" s="17"/>
      <c r="I21" s="27" t="s">
        <v>79</v>
      </c>
      <c r="J21" s="33">
        <f t="shared" si="1"/>
        <v>50000</v>
      </c>
      <c r="K21" s="29">
        <v>0</v>
      </c>
    </row>
    <row r="22" spans="1:11" ht="17.5" x14ac:dyDescent="0.35">
      <c r="A22" s="11" t="s">
        <v>19</v>
      </c>
      <c r="B22" s="12" t="s">
        <v>110</v>
      </c>
      <c r="C22" s="25">
        <v>125000</v>
      </c>
      <c r="D22" s="13"/>
      <c r="E22" s="14"/>
      <c r="F22" s="15">
        <f t="shared" si="0"/>
        <v>125000</v>
      </c>
      <c r="G22" s="15"/>
      <c r="H22" s="17"/>
      <c r="I22" s="27" t="s">
        <v>79</v>
      </c>
      <c r="J22" s="33">
        <f t="shared" si="1"/>
        <v>125000</v>
      </c>
      <c r="K22" s="29">
        <v>0</v>
      </c>
    </row>
    <row r="23" spans="1:11" ht="17.5" x14ac:dyDescent="0.35">
      <c r="A23" s="11" t="s">
        <v>20</v>
      </c>
      <c r="B23" s="12" t="s">
        <v>111</v>
      </c>
      <c r="C23" s="25">
        <v>270000</v>
      </c>
      <c r="D23" s="13"/>
      <c r="E23" s="14"/>
      <c r="F23" s="15">
        <f t="shared" si="0"/>
        <v>270000</v>
      </c>
      <c r="G23" s="15"/>
      <c r="H23" s="17"/>
      <c r="I23" s="27" t="s">
        <v>79</v>
      </c>
      <c r="J23" s="33">
        <f t="shared" si="1"/>
        <v>270000</v>
      </c>
      <c r="K23" s="29">
        <v>10000</v>
      </c>
    </row>
    <row r="24" spans="1:11" ht="17.5" x14ac:dyDescent="0.35">
      <c r="A24" s="11" t="s">
        <v>21</v>
      </c>
      <c r="B24" s="12" t="s">
        <v>112</v>
      </c>
      <c r="C24" s="25">
        <v>250000</v>
      </c>
      <c r="D24" s="13"/>
      <c r="E24" s="14"/>
      <c r="F24" s="15">
        <f t="shared" si="0"/>
        <v>250000</v>
      </c>
      <c r="G24" s="15"/>
      <c r="H24" s="17"/>
      <c r="I24" s="27" t="s">
        <v>79</v>
      </c>
      <c r="J24" s="33">
        <f t="shared" si="1"/>
        <v>250000</v>
      </c>
      <c r="K24" s="29">
        <v>25000</v>
      </c>
    </row>
    <row r="25" spans="1:11" ht="17.5" x14ac:dyDescent="0.35">
      <c r="A25" s="11" t="s">
        <v>22</v>
      </c>
      <c r="B25" s="12" t="s">
        <v>113</v>
      </c>
      <c r="C25" s="25">
        <v>580000</v>
      </c>
      <c r="D25" s="13"/>
      <c r="E25" s="14"/>
      <c r="F25" s="15">
        <f t="shared" si="0"/>
        <v>580000</v>
      </c>
      <c r="G25" s="15"/>
      <c r="H25" s="17"/>
      <c r="I25" s="27" t="s">
        <v>79</v>
      </c>
      <c r="J25" s="33">
        <f t="shared" si="1"/>
        <v>580000</v>
      </c>
      <c r="K25" s="29">
        <v>205000</v>
      </c>
    </row>
    <row r="26" spans="1:11" ht="17.5" x14ac:dyDescent="0.35">
      <c r="A26" s="11" t="s">
        <v>23</v>
      </c>
      <c r="B26" s="12" t="s">
        <v>114</v>
      </c>
      <c r="C26" s="25">
        <v>50000</v>
      </c>
      <c r="D26" s="13"/>
      <c r="E26" s="14"/>
      <c r="F26" s="15">
        <f t="shared" si="0"/>
        <v>50000</v>
      </c>
      <c r="G26" s="15"/>
      <c r="H26" s="17"/>
      <c r="I26" s="27" t="s">
        <v>79</v>
      </c>
      <c r="J26" s="33">
        <f t="shared" si="1"/>
        <v>50000</v>
      </c>
      <c r="K26" s="29">
        <v>0</v>
      </c>
    </row>
    <row r="27" spans="1:11" ht="17.5" x14ac:dyDescent="0.35">
      <c r="A27" s="11" t="s">
        <v>63</v>
      </c>
      <c r="B27" s="12" t="s">
        <v>115</v>
      </c>
      <c r="C27" s="25">
        <v>50000</v>
      </c>
      <c r="D27" s="13"/>
      <c r="E27" s="14"/>
      <c r="F27" s="15">
        <f>SUM(C27:E27)</f>
        <v>50000</v>
      </c>
      <c r="G27" s="15"/>
      <c r="H27" s="17"/>
      <c r="I27" s="27" t="s">
        <v>79</v>
      </c>
      <c r="J27" s="33">
        <f t="shared" si="1"/>
        <v>50000</v>
      </c>
      <c r="K27" s="29">
        <v>0</v>
      </c>
    </row>
    <row r="28" spans="1:11" ht="17.5" x14ac:dyDescent="0.35">
      <c r="A28" s="11" t="s">
        <v>24</v>
      </c>
      <c r="B28" s="12" t="s">
        <v>116</v>
      </c>
      <c r="C28" s="25">
        <v>125000</v>
      </c>
      <c r="D28" s="13"/>
      <c r="E28" s="14"/>
      <c r="F28" s="15">
        <f t="shared" si="0"/>
        <v>125000</v>
      </c>
      <c r="G28" s="15"/>
      <c r="H28" s="17"/>
      <c r="I28" s="27" t="s">
        <v>79</v>
      </c>
      <c r="J28" s="33">
        <f t="shared" si="1"/>
        <v>125000</v>
      </c>
      <c r="K28" s="29">
        <v>0</v>
      </c>
    </row>
    <row r="29" spans="1:11" ht="17.5" x14ac:dyDescent="0.35">
      <c r="A29" s="11" t="s">
        <v>64</v>
      </c>
      <c r="B29" s="12" t="s">
        <v>117</v>
      </c>
      <c r="C29" s="25">
        <v>50000</v>
      </c>
      <c r="D29" s="13"/>
      <c r="E29" s="14"/>
      <c r="F29" s="15">
        <f t="shared" si="0"/>
        <v>50000</v>
      </c>
      <c r="G29" s="15"/>
      <c r="H29" s="17"/>
      <c r="I29" s="27" t="s">
        <v>79</v>
      </c>
      <c r="J29" s="33">
        <f t="shared" si="1"/>
        <v>50000</v>
      </c>
      <c r="K29" s="29">
        <v>0</v>
      </c>
    </row>
    <row r="30" spans="1:11" ht="17.5" x14ac:dyDescent="0.35">
      <c r="A30" s="11" t="s">
        <v>25</v>
      </c>
      <c r="B30" s="12" t="s">
        <v>118</v>
      </c>
      <c r="C30" s="25">
        <v>250000</v>
      </c>
      <c r="D30" s="13"/>
      <c r="E30" s="14"/>
      <c r="F30" s="15">
        <f t="shared" si="0"/>
        <v>250000</v>
      </c>
      <c r="G30" s="15"/>
      <c r="H30" s="17"/>
      <c r="I30" s="27" t="s">
        <v>79</v>
      </c>
      <c r="J30" s="33">
        <f t="shared" si="1"/>
        <v>250000</v>
      </c>
      <c r="K30" s="29">
        <v>0</v>
      </c>
    </row>
    <row r="31" spans="1:11" ht="17.5" x14ac:dyDescent="0.35">
      <c r="A31" s="11" t="s">
        <v>26</v>
      </c>
      <c r="B31" s="12" t="s">
        <v>119</v>
      </c>
      <c r="C31" s="25">
        <v>150000</v>
      </c>
      <c r="D31" s="13"/>
      <c r="E31" s="14"/>
      <c r="F31" s="15">
        <f t="shared" si="0"/>
        <v>150000</v>
      </c>
      <c r="G31" s="15"/>
      <c r="H31" s="17"/>
      <c r="I31" s="27" t="s">
        <v>79</v>
      </c>
      <c r="J31" s="33">
        <f t="shared" si="1"/>
        <v>150000</v>
      </c>
      <c r="K31" s="29">
        <v>0</v>
      </c>
    </row>
    <row r="32" spans="1:11" ht="17.5" x14ac:dyDescent="0.35">
      <c r="A32" s="11" t="s">
        <v>27</v>
      </c>
      <c r="B32" s="12" t="s">
        <v>120</v>
      </c>
      <c r="C32" s="25">
        <v>226000</v>
      </c>
      <c r="D32" s="13"/>
      <c r="E32" s="14"/>
      <c r="F32" s="15">
        <f t="shared" si="0"/>
        <v>226000</v>
      </c>
      <c r="G32" s="15"/>
      <c r="H32" s="17"/>
      <c r="I32" s="27" t="s">
        <v>79</v>
      </c>
      <c r="J32" s="33">
        <f t="shared" si="1"/>
        <v>226000</v>
      </c>
      <c r="K32" s="29">
        <v>101000</v>
      </c>
    </row>
    <row r="33" spans="1:11" ht="17.5" x14ac:dyDescent="0.35">
      <c r="A33" s="11" t="s">
        <v>81</v>
      </c>
      <c r="B33" s="12" t="s">
        <v>121</v>
      </c>
      <c r="C33" s="25">
        <v>160000</v>
      </c>
      <c r="D33" s="13"/>
      <c r="E33" s="14"/>
      <c r="F33" s="15">
        <f t="shared" si="0"/>
        <v>160000</v>
      </c>
      <c r="G33" s="15"/>
      <c r="H33" s="17"/>
      <c r="I33" s="27" t="s">
        <v>79</v>
      </c>
      <c r="J33" s="33">
        <f t="shared" si="1"/>
        <v>160000</v>
      </c>
      <c r="K33" s="29">
        <v>10000</v>
      </c>
    </row>
    <row r="34" spans="1:11" ht="17.5" x14ac:dyDescent="0.35">
      <c r="A34" s="11" t="s">
        <v>62</v>
      </c>
      <c r="B34" s="12" t="s">
        <v>122</v>
      </c>
      <c r="C34" s="25">
        <v>50000</v>
      </c>
      <c r="D34" s="13"/>
      <c r="E34" s="14"/>
      <c r="F34" s="15">
        <f t="shared" si="0"/>
        <v>50000</v>
      </c>
      <c r="G34" s="15"/>
      <c r="H34" s="17"/>
      <c r="I34" s="27" t="s">
        <v>79</v>
      </c>
      <c r="J34" s="33">
        <f t="shared" si="1"/>
        <v>50000</v>
      </c>
      <c r="K34" s="29">
        <v>0</v>
      </c>
    </row>
    <row r="35" spans="1:11" ht="17.5" x14ac:dyDescent="0.35">
      <c r="A35" s="11" t="s">
        <v>65</v>
      </c>
      <c r="B35" s="12" t="s">
        <v>123</v>
      </c>
      <c r="C35" s="25">
        <v>60000</v>
      </c>
      <c r="D35" s="13"/>
      <c r="E35" s="14"/>
      <c r="F35" s="15">
        <f t="shared" si="0"/>
        <v>60000</v>
      </c>
      <c r="G35" s="15"/>
      <c r="H35" s="17"/>
      <c r="I35" s="27" t="s">
        <v>79</v>
      </c>
      <c r="J35" s="33">
        <f t="shared" si="1"/>
        <v>60000</v>
      </c>
      <c r="K35" s="29">
        <v>0</v>
      </c>
    </row>
    <row r="36" spans="1:11" ht="17.5" x14ac:dyDescent="0.35">
      <c r="A36" s="11" t="s">
        <v>28</v>
      </c>
      <c r="B36" s="12" t="s">
        <v>124</v>
      </c>
      <c r="C36" s="25">
        <v>0</v>
      </c>
      <c r="D36" s="13">
        <v>53000</v>
      </c>
      <c r="E36" s="14"/>
      <c r="F36" s="15">
        <f t="shared" si="0"/>
        <v>53000</v>
      </c>
      <c r="G36" s="15"/>
      <c r="H36" s="17"/>
      <c r="I36" s="27"/>
      <c r="J36" s="33">
        <f t="shared" si="1"/>
        <v>0</v>
      </c>
      <c r="K36" s="29">
        <v>0</v>
      </c>
    </row>
    <row r="37" spans="1:11" ht="17.5" x14ac:dyDescent="0.35">
      <c r="A37" s="11" t="s">
        <v>80</v>
      </c>
      <c r="B37" s="12" t="s">
        <v>125</v>
      </c>
      <c r="C37" s="25">
        <v>0</v>
      </c>
      <c r="D37" s="13">
        <v>153000</v>
      </c>
      <c r="E37" s="14"/>
      <c r="F37" s="15">
        <f t="shared" si="0"/>
        <v>153000</v>
      </c>
      <c r="G37" s="15"/>
      <c r="H37" s="17"/>
      <c r="I37" s="27"/>
      <c r="J37" s="33">
        <f t="shared" si="1"/>
        <v>0</v>
      </c>
      <c r="K37" s="29">
        <v>0</v>
      </c>
    </row>
    <row r="38" spans="1:11" ht="17.5" x14ac:dyDescent="0.35">
      <c r="A38" s="11" t="s">
        <v>29</v>
      </c>
      <c r="B38" s="12" t="s">
        <v>126</v>
      </c>
      <c r="C38" s="25">
        <v>125000</v>
      </c>
      <c r="D38" s="13"/>
      <c r="E38" s="14"/>
      <c r="F38" s="15">
        <f t="shared" si="0"/>
        <v>125000</v>
      </c>
      <c r="G38" s="15"/>
      <c r="H38" s="17"/>
      <c r="I38" s="27" t="s">
        <v>79</v>
      </c>
      <c r="J38" s="33">
        <f t="shared" si="1"/>
        <v>125000</v>
      </c>
      <c r="K38" s="29">
        <v>0</v>
      </c>
    </row>
    <row r="39" spans="1:11" x14ac:dyDescent="0.35">
      <c r="A39" s="16"/>
      <c r="B39" s="17"/>
      <c r="C39" s="17"/>
      <c r="D39" s="17"/>
      <c r="E39" s="17"/>
      <c r="F39" s="17"/>
      <c r="G39" s="17"/>
      <c r="H39" s="17"/>
      <c r="I39" s="17"/>
      <c r="J39" s="32"/>
      <c r="K39" s="18"/>
    </row>
    <row r="40" spans="1:11" ht="18" thickBot="1" x14ac:dyDescent="0.4">
      <c r="A40" s="19"/>
      <c r="B40" s="20" t="s">
        <v>30</v>
      </c>
      <c r="C40" s="21">
        <f>SUM(C7:C39)</f>
        <v>5683000</v>
      </c>
      <c r="D40" s="21">
        <f>SUM(D7:D39)</f>
        <v>1315000</v>
      </c>
      <c r="E40" s="21">
        <f>SUM(E7:E39)</f>
        <v>0</v>
      </c>
      <c r="F40" s="21">
        <f>SUM(F7:F39)</f>
        <v>6998000</v>
      </c>
      <c r="G40" s="21">
        <f>SUM(G7:G39)</f>
        <v>0</v>
      </c>
      <c r="H40" s="21">
        <f t="shared" ref="H40" si="2">SUM(H8:H39)</f>
        <v>0</v>
      </c>
      <c r="I40" s="28"/>
      <c r="J40" s="21">
        <f t="shared" ref="J40" si="3">SUM(J6:J39)</f>
        <v>5858000</v>
      </c>
      <c r="K40" s="22">
        <f>SUM(K6:K39)</f>
        <v>617000</v>
      </c>
    </row>
    <row r="41" spans="1:11" ht="15" thickTop="1" x14ac:dyDescent="0.35"/>
  </sheetData>
  <autoFilter ref="A5:F38" xr:uid="{00000000-0009-0000-0000-000006000000}"/>
  <mergeCells count="1">
    <mergeCell ref="B4:E4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41"/>
  <sheetViews>
    <sheetView zoomScale="106" zoomScaleNormal="106" workbookViewId="0">
      <pane xSplit="3" ySplit="5" topLeftCell="F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J1" sqref="J1:J104857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  <col min="9" max="9" width="12.54296875" customWidth="1"/>
    <col min="10" max="10" width="13.08984375" bestFit="1" customWidth="1"/>
    <col min="11" max="11" width="18.453125" customWidth="1"/>
  </cols>
  <sheetData>
    <row r="1" spans="1:11" ht="21" x14ac:dyDescent="0.5">
      <c r="A1" s="1" t="s">
        <v>2</v>
      </c>
      <c r="B1" s="1" t="s">
        <v>3</v>
      </c>
      <c r="C1" s="24" t="s">
        <v>71</v>
      </c>
    </row>
    <row r="2" spans="1:11" x14ac:dyDescent="0.35">
      <c r="A2" s="1" t="s">
        <v>4</v>
      </c>
      <c r="B2" s="1">
        <v>2024</v>
      </c>
    </row>
    <row r="3" spans="1:11" x14ac:dyDescent="0.3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11" ht="29" thickBot="1" x14ac:dyDescent="0.7">
      <c r="B4" s="51" t="s">
        <v>58</v>
      </c>
      <c r="C4" s="49"/>
      <c r="D4" s="49"/>
      <c r="E4" s="49"/>
      <c r="F4" s="3"/>
    </row>
    <row r="5" spans="1:11" ht="68.25" customHeight="1" thickTop="1" x14ac:dyDescent="0.35">
      <c r="A5" s="8" t="s">
        <v>0</v>
      </c>
      <c r="B5" s="9" t="s">
        <v>1</v>
      </c>
      <c r="C5" s="10" t="s">
        <v>33</v>
      </c>
      <c r="D5" s="10" t="s">
        <v>32</v>
      </c>
      <c r="E5" s="10" t="s">
        <v>34</v>
      </c>
      <c r="F5" s="10" t="s">
        <v>31</v>
      </c>
      <c r="G5" s="10" t="s">
        <v>59</v>
      </c>
      <c r="H5" s="26" t="s">
        <v>61</v>
      </c>
      <c r="I5" s="26" t="s">
        <v>78</v>
      </c>
      <c r="J5" s="31" t="s">
        <v>86</v>
      </c>
      <c r="K5" s="23" t="s">
        <v>85</v>
      </c>
    </row>
    <row r="6" spans="1:11" ht="17.5" x14ac:dyDescent="0.35">
      <c r="A6" s="11" t="s">
        <v>60</v>
      </c>
      <c r="B6" s="12" t="s">
        <v>3</v>
      </c>
      <c r="C6" s="25">
        <v>175000</v>
      </c>
      <c r="D6" s="13"/>
      <c r="E6" s="14"/>
      <c r="F6" s="15">
        <f>SUM(C6:E6)</f>
        <v>175000</v>
      </c>
      <c r="G6" s="15"/>
      <c r="H6" s="17"/>
      <c r="I6" s="27" t="s">
        <v>79</v>
      </c>
      <c r="J6" s="33">
        <f>C6</f>
        <v>175000</v>
      </c>
      <c r="K6" s="29">
        <v>0</v>
      </c>
    </row>
    <row r="7" spans="1:11" ht="17.5" x14ac:dyDescent="0.35">
      <c r="A7" s="11" t="s">
        <v>66</v>
      </c>
      <c r="B7" s="12" t="s">
        <v>95</v>
      </c>
      <c r="C7" s="25"/>
      <c r="D7" s="13">
        <v>50000</v>
      </c>
      <c r="E7" s="14"/>
      <c r="F7" s="15">
        <f t="shared" ref="F7:F38" si="0">SUM(C7:E7)</f>
        <v>50000</v>
      </c>
      <c r="G7" s="15"/>
      <c r="H7" s="17"/>
      <c r="I7" s="27" t="s">
        <v>79</v>
      </c>
      <c r="J7" s="33">
        <f t="shared" ref="J7:J38" si="1">C7</f>
        <v>0</v>
      </c>
      <c r="K7" s="29">
        <v>0</v>
      </c>
    </row>
    <row r="8" spans="1:11" ht="17.5" x14ac:dyDescent="0.35">
      <c r="A8" s="11" t="s">
        <v>6</v>
      </c>
      <c r="B8" s="12" t="s">
        <v>96</v>
      </c>
      <c r="C8" s="25">
        <v>115000</v>
      </c>
      <c r="D8" s="13">
        <v>10000</v>
      </c>
      <c r="E8" s="14"/>
      <c r="F8" s="15">
        <f t="shared" si="0"/>
        <v>125000</v>
      </c>
      <c r="G8" s="15"/>
      <c r="H8" s="17"/>
      <c r="I8" s="27" t="s">
        <v>79</v>
      </c>
      <c r="J8" s="33">
        <f t="shared" si="1"/>
        <v>115000</v>
      </c>
      <c r="K8" s="29">
        <v>0</v>
      </c>
    </row>
    <row r="9" spans="1:11" ht="17.5" x14ac:dyDescent="0.35">
      <c r="A9" s="11" t="s">
        <v>7</v>
      </c>
      <c r="B9" s="12" t="s">
        <v>97</v>
      </c>
      <c r="C9" s="25">
        <v>300000</v>
      </c>
      <c r="D9" s="13"/>
      <c r="E9" s="14"/>
      <c r="F9" s="15">
        <f t="shared" si="0"/>
        <v>300000</v>
      </c>
      <c r="G9" s="15"/>
      <c r="H9" s="17"/>
      <c r="I9" s="27" t="s">
        <v>79</v>
      </c>
      <c r="J9" s="33">
        <f t="shared" si="1"/>
        <v>300000</v>
      </c>
      <c r="K9" s="29">
        <v>50000</v>
      </c>
    </row>
    <row r="10" spans="1:11" ht="17.5" x14ac:dyDescent="0.35">
      <c r="A10" s="11" t="s">
        <v>8</v>
      </c>
      <c r="B10" s="12" t="s">
        <v>98</v>
      </c>
      <c r="C10" s="25">
        <v>0</v>
      </c>
      <c r="D10" s="13">
        <v>128000</v>
      </c>
      <c r="E10" s="14"/>
      <c r="F10" s="15">
        <f t="shared" si="0"/>
        <v>128000</v>
      </c>
      <c r="G10" s="15"/>
      <c r="H10" s="17"/>
      <c r="I10" s="27"/>
      <c r="J10" s="33">
        <f t="shared" si="1"/>
        <v>0</v>
      </c>
      <c r="K10" s="29">
        <v>0</v>
      </c>
    </row>
    <row r="11" spans="1:11" ht="17.5" x14ac:dyDescent="0.35">
      <c r="A11" s="11" t="s">
        <v>9</v>
      </c>
      <c r="B11" s="12" t="s">
        <v>99</v>
      </c>
      <c r="C11" s="25">
        <v>404000</v>
      </c>
      <c r="D11" s="13"/>
      <c r="E11" s="14"/>
      <c r="F11" s="15">
        <f t="shared" si="0"/>
        <v>404000</v>
      </c>
      <c r="G11" s="15"/>
      <c r="H11" s="17"/>
      <c r="I11" s="27" t="s">
        <v>79</v>
      </c>
      <c r="J11" s="33">
        <f t="shared" si="1"/>
        <v>404000</v>
      </c>
      <c r="K11" s="29">
        <v>279000</v>
      </c>
    </row>
    <row r="12" spans="1:11" ht="17.5" x14ac:dyDescent="0.35">
      <c r="A12" s="11" t="s">
        <v>10</v>
      </c>
      <c r="B12" s="12" t="s">
        <v>100</v>
      </c>
      <c r="C12" s="25">
        <v>795000</v>
      </c>
      <c r="D12" s="13"/>
      <c r="E12" s="14"/>
      <c r="F12" s="15">
        <f t="shared" si="0"/>
        <v>795000</v>
      </c>
      <c r="G12" s="15"/>
      <c r="H12" s="17"/>
      <c r="I12" s="27" t="s">
        <v>79</v>
      </c>
      <c r="J12" s="33">
        <f t="shared" si="1"/>
        <v>795000</v>
      </c>
      <c r="K12" s="29">
        <v>465000</v>
      </c>
    </row>
    <row r="13" spans="1:11" ht="17.5" x14ac:dyDescent="0.35">
      <c r="A13" s="11" t="s">
        <v>11</v>
      </c>
      <c r="B13" s="12" t="s">
        <v>101</v>
      </c>
      <c r="C13" s="25">
        <v>50000</v>
      </c>
      <c r="D13" s="13"/>
      <c r="E13" s="14"/>
      <c r="F13" s="15">
        <f t="shared" si="0"/>
        <v>50000</v>
      </c>
      <c r="G13" s="15"/>
      <c r="H13" s="17"/>
      <c r="I13" s="27" t="s">
        <v>79</v>
      </c>
      <c r="J13" s="33">
        <f t="shared" si="1"/>
        <v>50000</v>
      </c>
      <c r="K13" s="29">
        <v>0</v>
      </c>
    </row>
    <row r="14" spans="1:11" ht="17.5" x14ac:dyDescent="0.35">
      <c r="A14" s="11" t="s">
        <v>12</v>
      </c>
      <c r="B14" s="12" t="s">
        <v>102</v>
      </c>
      <c r="C14" s="25">
        <v>50000</v>
      </c>
      <c r="D14" s="13"/>
      <c r="E14" s="14"/>
      <c r="F14" s="15">
        <f t="shared" si="0"/>
        <v>50000</v>
      </c>
      <c r="G14" s="15"/>
      <c r="H14" s="17"/>
      <c r="I14" s="27" t="s">
        <v>79</v>
      </c>
      <c r="J14" s="33">
        <f t="shared" si="1"/>
        <v>50000</v>
      </c>
      <c r="K14" s="29">
        <v>0</v>
      </c>
    </row>
    <row r="15" spans="1:11" ht="17.5" x14ac:dyDescent="0.35">
      <c r="A15" s="11" t="s">
        <v>13</v>
      </c>
      <c r="B15" s="12" t="s">
        <v>103</v>
      </c>
      <c r="C15" s="25">
        <v>125000</v>
      </c>
      <c r="D15" s="13"/>
      <c r="E15" s="14"/>
      <c r="F15" s="15">
        <f t="shared" si="0"/>
        <v>125000</v>
      </c>
      <c r="G15" s="15"/>
      <c r="H15" s="17"/>
      <c r="I15" s="27" t="s">
        <v>79</v>
      </c>
      <c r="J15" s="33">
        <f t="shared" si="1"/>
        <v>125000</v>
      </c>
      <c r="K15" s="29">
        <v>0</v>
      </c>
    </row>
    <row r="16" spans="1:11" ht="17.5" x14ac:dyDescent="0.35">
      <c r="A16" s="11" t="s">
        <v>14</v>
      </c>
      <c r="B16" s="12" t="s">
        <v>104</v>
      </c>
      <c r="C16" s="25">
        <v>260000</v>
      </c>
      <c r="D16" s="13"/>
      <c r="E16" s="14"/>
      <c r="F16" s="15">
        <f t="shared" si="0"/>
        <v>260000</v>
      </c>
      <c r="G16" s="15"/>
      <c r="H16" s="17"/>
      <c r="I16" s="27" t="s">
        <v>79</v>
      </c>
      <c r="J16" s="33">
        <f t="shared" si="1"/>
        <v>260000</v>
      </c>
      <c r="K16" s="29">
        <v>0</v>
      </c>
    </row>
    <row r="17" spans="1:11" ht="17.5" x14ac:dyDescent="0.35">
      <c r="A17" s="11" t="s">
        <v>15</v>
      </c>
      <c r="B17" s="12" t="s">
        <v>105</v>
      </c>
      <c r="C17" s="25">
        <v>201000</v>
      </c>
      <c r="D17" s="13"/>
      <c r="E17" s="14"/>
      <c r="F17" s="15">
        <f t="shared" si="0"/>
        <v>201000</v>
      </c>
      <c r="G17" s="15"/>
      <c r="H17" s="17"/>
      <c r="I17" s="27" t="s">
        <v>79</v>
      </c>
      <c r="J17" s="33">
        <f t="shared" si="1"/>
        <v>201000</v>
      </c>
      <c r="K17" s="29">
        <v>51000</v>
      </c>
    </row>
    <row r="18" spans="1:11" ht="17.5" x14ac:dyDescent="0.35">
      <c r="A18" s="11" t="s">
        <v>16</v>
      </c>
      <c r="B18" s="12" t="s">
        <v>106</v>
      </c>
      <c r="C18" s="25">
        <v>160000</v>
      </c>
      <c r="D18" s="13"/>
      <c r="E18" s="14"/>
      <c r="F18" s="15">
        <f t="shared" si="0"/>
        <v>160000</v>
      </c>
      <c r="G18" s="15"/>
      <c r="H18" s="17"/>
      <c r="I18" s="27" t="s">
        <v>79</v>
      </c>
      <c r="J18" s="33">
        <f t="shared" si="1"/>
        <v>160000</v>
      </c>
      <c r="K18" s="29">
        <v>10000</v>
      </c>
    </row>
    <row r="19" spans="1:11" ht="17.5" x14ac:dyDescent="0.35">
      <c r="A19" s="11" t="s">
        <v>82</v>
      </c>
      <c r="B19" s="12" t="s">
        <v>107</v>
      </c>
      <c r="C19" s="25">
        <v>50000</v>
      </c>
      <c r="D19" s="13"/>
      <c r="E19" s="14"/>
      <c r="F19" s="15">
        <f t="shared" si="0"/>
        <v>50000</v>
      </c>
      <c r="G19" s="15"/>
      <c r="H19" s="17"/>
      <c r="I19" s="27" t="s">
        <v>79</v>
      </c>
      <c r="J19" s="33">
        <f t="shared" si="1"/>
        <v>50000</v>
      </c>
      <c r="K19" s="29">
        <v>0</v>
      </c>
    </row>
    <row r="20" spans="1:11" ht="17.5" x14ac:dyDescent="0.35">
      <c r="A20" s="11" t="s">
        <v>17</v>
      </c>
      <c r="B20" s="12" t="s">
        <v>108</v>
      </c>
      <c r="C20" s="25">
        <v>427000</v>
      </c>
      <c r="D20" s="13"/>
      <c r="E20" s="14"/>
      <c r="F20" s="15">
        <f t="shared" si="0"/>
        <v>427000</v>
      </c>
      <c r="G20" s="15"/>
      <c r="H20" s="17"/>
      <c r="I20" s="27" t="s">
        <v>79</v>
      </c>
      <c r="J20" s="33">
        <f t="shared" si="1"/>
        <v>427000</v>
      </c>
      <c r="K20" s="29">
        <v>202000</v>
      </c>
    </row>
    <row r="21" spans="1:11" ht="17.5" x14ac:dyDescent="0.35">
      <c r="A21" s="11" t="s">
        <v>18</v>
      </c>
      <c r="B21" s="12" t="s">
        <v>109</v>
      </c>
      <c r="C21" s="25">
        <v>50000</v>
      </c>
      <c r="D21" s="13"/>
      <c r="E21" s="14"/>
      <c r="F21" s="15">
        <f t="shared" si="0"/>
        <v>50000</v>
      </c>
      <c r="G21" s="15"/>
      <c r="H21" s="17"/>
      <c r="I21" s="27" t="s">
        <v>79</v>
      </c>
      <c r="J21" s="33">
        <f t="shared" si="1"/>
        <v>50000</v>
      </c>
      <c r="K21" s="29">
        <v>0</v>
      </c>
    </row>
    <row r="22" spans="1:11" ht="17.5" x14ac:dyDescent="0.35">
      <c r="A22" s="11" t="s">
        <v>19</v>
      </c>
      <c r="B22" s="12" t="s">
        <v>110</v>
      </c>
      <c r="C22" s="25">
        <v>0</v>
      </c>
      <c r="D22" s="13">
        <v>128000</v>
      </c>
      <c r="E22" s="14"/>
      <c r="F22" s="15">
        <f t="shared" si="0"/>
        <v>128000</v>
      </c>
      <c r="G22" s="15"/>
      <c r="H22" s="17"/>
      <c r="I22" s="27"/>
      <c r="J22" s="33">
        <f t="shared" si="1"/>
        <v>0</v>
      </c>
      <c r="K22" s="29">
        <v>0</v>
      </c>
    </row>
    <row r="23" spans="1:11" ht="17.5" x14ac:dyDescent="0.35">
      <c r="A23" s="11" t="s">
        <v>20</v>
      </c>
      <c r="B23" s="12" t="s">
        <v>111</v>
      </c>
      <c r="C23" s="25">
        <v>260000</v>
      </c>
      <c r="D23" s="13"/>
      <c r="E23" s="14"/>
      <c r="F23" s="15">
        <f t="shared" si="0"/>
        <v>260000</v>
      </c>
      <c r="G23" s="15"/>
      <c r="H23" s="17"/>
      <c r="I23" s="27" t="s">
        <v>79</v>
      </c>
      <c r="J23" s="33">
        <f t="shared" si="1"/>
        <v>260000</v>
      </c>
      <c r="K23" s="29">
        <v>0</v>
      </c>
    </row>
    <row r="24" spans="1:11" ht="17.5" x14ac:dyDescent="0.35">
      <c r="A24" s="11" t="s">
        <v>21</v>
      </c>
      <c r="B24" s="12" t="s">
        <v>112</v>
      </c>
      <c r="C24" s="25">
        <v>240000</v>
      </c>
      <c r="D24" s="13"/>
      <c r="E24" s="14"/>
      <c r="F24" s="15">
        <f t="shared" si="0"/>
        <v>240000</v>
      </c>
      <c r="G24" s="15"/>
      <c r="H24" s="17"/>
      <c r="I24" s="27" t="s">
        <v>79</v>
      </c>
      <c r="J24" s="33">
        <f t="shared" si="1"/>
        <v>240000</v>
      </c>
      <c r="K24" s="29">
        <v>15000</v>
      </c>
    </row>
    <row r="25" spans="1:11" ht="17.5" x14ac:dyDescent="0.35">
      <c r="A25" s="11" t="s">
        <v>22</v>
      </c>
      <c r="B25" s="12" t="s">
        <v>113</v>
      </c>
      <c r="C25" s="25">
        <v>415000</v>
      </c>
      <c r="D25" s="13"/>
      <c r="E25" s="14"/>
      <c r="F25" s="15">
        <f t="shared" si="0"/>
        <v>415000</v>
      </c>
      <c r="G25" s="15"/>
      <c r="H25" s="17"/>
      <c r="I25" s="27" t="s">
        <v>79</v>
      </c>
      <c r="J25" s="33">
        <f t="shared" si="1"/>
        <v>415000</v>
      </c>
      <c r="K25" s="29">
        <v>40000</v>
      </c>
    </row>
    <row r="26" spans="1:11" ht="17.5" x14ac:dyDescent="0.35">
      <c r="A26" s="11" t="s">
        <v>23</v>
      </c>
      <c r="B26" s="12" t="s">
        <v>114</v>
      </c>
      <c r="C26" s="25">
        <v>101000</v>
      </c>
      <c r="D26" s="13"/>
      <c r="E26" s="14"/>
      <c r="F26" s="15">
        <f t="shared" si="0"/>
        <v>101000</v>
      </c>
      <c r="G26" s="15"/>
      <c r="H26" s="17"/>
      <c r="I26" s="27" t="s">
        <v>79</v>
      </c>
      <c r="J26" s="33">
        <f t="shared" si="1"/>
        <v>101000</v>
      </c>
      <c r="K26" s="29">
        <v>51000</v>
      </c>
    </row>
    <row r="27" spans="1:11" ht="17.5" x14ac:dyDescent="0.35">
      <c r="A27" s="11" t="s">
        <v>63</v>
      </c>
      <c r="B27" s="12" t="s">
        <v>115</v>
      </c>
      <c r="C27" s="25">
        <v>50000</v>
      </c>
      <c r="D27" s="13"/>
      <c r="E27" s="14"/>
      <c r="F27" s="15">
        <f>SUM(C27:E27)</f>
        <v>50000</v>
      </c>
      <c r="G27" s="15"/>
      <c r="H27" s="17"/>
      <c r="I27" s="27" t="s">
        <v>79</v>
      </c>
      <c r="J27" s="33">
        <f t="shared" si="1"/>
        <v>50000</v>
      </c>
      <c r="K27" s="29">
        <v>0</v>
      </c>
    </row>
    <row r="28" spans="1:11" ht="17.5" x14ac:dyDescent="0.35">
      <c r="A28" s="11" t="s">
        <v>24</v>
      </c>
      <c r="B28" s="12" t="s">
        <v>116</v>
      </c>
      <c r="C28" s="25">
        <v>125000</v>
      </c>
      <c r="D28" s="13"/>
      <c r="E28" s="14"/>
      <c r="F28" s="15">
        <f t="shared" si="0"/>
        <v>125000</v>
      </c>
      <c r="G28" s="15"/>
      <c r="H28" s="17"/>
      <c r="I28" s="27" t="s">
        <v>79</v>
      </c>
      <c r="J28" s="33">
        <f t="shared" si="1"/>
        <v>125000</v>
      </c>
      <c r="K28" s="29">
        <v>0</v>
      </c>
    </row>
    <row r="29" spans="1:11" ht="17.5" x14ac:dyDescent="0.35">
      <c r="A29" s="11" t="s">
        <v>64</v>
      </c>
      <c r="B29" s="12" t="s">
        <v>117</v>
      </c>
      <c r="C29" s="25">
        <v>50000</v>
      </c>
      <c r="D29" s="13"/>
      <c r="E29" s="14"/>
      <c r="F29" s="15">
        <f t="shared" si="0"/>
        <v>50000</v>
      </c>
      <c r="G29" s="15"/>
      <c r="H29" s="17"/>
      <c r="I29" s="27" t="s">
        <v>79</v>
      </c>
      <c r="J29" s="33">
        <f t="shared" si="1"/>
        <v>50000</v>
      </c>
      <c r="K29" s="29">
        <v>0</v>
      </c>
    </row>
    <row r="30" spans="1:11" ht="17.5" x14ac:dyDescent="0.35">
      <c r="A30" s="11" t="s">
        <v>25</v>
      </c>
      <c r="B30" s="12" t="s">
        <v>118</v>
      </c>
      <c r="C30" s="25">
        <v>250000</v>
      </c>
      <c r="D30" s="13"/>
      <c r="E30" s="14"/>
      <c r="F30" s="15">
        <f t="shared" si="0"/>
        <v>250000</v>
      </c>
      <c r="G30" s="15"/>
      <c r="H30" s="17"/>
      <c r="I30" s="27" t="s">
        <v>79</v>
      </c>
      <c r="J30" s="33">
        <f t="shared" si="1"/>
        <v>250000</v>
      </c>
      <c r="K30" s="29">
        <v>0</v>
      </c>
    </row>
    <row r="31" spans="1:11" ht="17.5" x14ac:dyDescent="0.35">
      <c r="A31" s="11" t="s">
        <v>26</v>
      </c>
      <c r="B31" s="12" t="s">
        <v>119</v>
      </c>
      <c r="C31" s="25">
        <v>200000</v>
      </c>
      <c r="D31" s="13">
        <v>10000</v>
      </c>
      <c r="E31" s="14"/>
      <c r="F31" s="15">
        <f t="shared" si="0"/>
        <v>210000</v>
      </c>
      <c r="G31" s="15"/>
      <c r="H31" s="17"/>
      <c r="I31" s="27" t="s">
        <v>79</v>
      </c>
      <c r="J31" s="33">
        <f t="shared" si="1"/>
        <v>200000</v>
      </c>
      <c r="K31" s="29">
        <v>0</v>
      </c>
    </row>
    <row r="32" spans="1:11" ht="17.5" x14ac:dyDescent="0.35">
      <c r="A32" s="11" t="s">
        <v>27</v>
      </c>
      <c r="B32" s="12" t="s">
        <v>120</v>
      </c>
      <c r="C32" s="25">
        <v>327000</v>
      </c>
      <c r="D32" s="13"/>
      <c r="E32" s="14"/>
      <c r="F32" s="15">
        <f t="shared" si="0"/>
        <v>327000</v>
      </c>
      <c r="G32" s="15"/>
      <c r="H32" s="17"/>
      <c r="I32" s="27" t="s">
        <v>79</v>
      </c>
      <c r="J32" s="33">
        <f t="shared" si="1"/>
        <v>327000</v>
      </c>
      <c r="K32" s="29">
        <v>202000</v>
      </c>
    </row>
    <row r="33" spans="1:11" ht="17.5" x14ac:dyDescent="0.35">
      <c r="A33" s="11" t="s">
        <v>81</v>
      </c>
      <c r="B33" s="12" t="s">
        <v>121</v>
      </c>
      <c r="C33" s="25">
        <v>170000</v>
      </c>
      <c r="D33" s="13"/>
      <c r="E33" s="14"/>
      <c r="F33" s="15">
        <f t="shared" si="0"/>
        <v>170000</v>
      </c>
      <c r="G33" s="15"/>
      <c r="H33" s="17"/>
      <c r="I33" s="27" t="s">
        <v>79</v>
      </c>
      <c r="J33" s="33">
        <f t="shared" si="1"/>
        <v>170000</v>
      </c>
      <c r="K33" s="29">
        <v>20000</v>
      </c>
    </row>
    <row r="34" spans="1:11" ht="17.5" x14ac:dyDescent="0.35">
      <c r="A34" s="11" t="s">
        <v>62</v>
      </c>
      <c r="B34" s="12" t="s">
        <v>122</v>
      </c>
      <c r="C34" s="25">
        <v>50000</v>
      </c>
      <c r="D34" s="13"/>
      <c r="E34" s="14"/>
      <c r="F34" s="15">
        <f t="shared" si="0"/>
        <v>50000</v>
      </c>
      <c r="G34" s="15"/>
      <c r="H34" s="17"/>
      <c r="I34" s="27" t="s">
        <v>79</v>
      </c>
      <c r="J34" s="33">
        <f t="shared" si="1"/>
        <v>50000</v>
      </c>
      <c r="K34" s="29">
        <v>0</v>
      </c>
    </row>
    <row r="35" spans="1:11" ht="17.5" x14ac:dyDescent="0.35">
      <c r="A35" s="11" t="s">
        <v>65</v>
      </c>
      <c r="B35" s="12" t="s">
        <v>123</v>
      </c>
      <c r="C35" s="25">
        <v>60000</v>
      </c>
      <c r="D35" s="13"/>
      <c r="E35" s="14"/>
      <c r="F35" s="15">
        <f t="shared" si="0"/>
        <v>60000</v>
      </c>
      <c r="G35" s="15"/>
      <c r="H35" s="17"/>
      <c r="I35" s="27" t="s">
        <v>79</v>
      </c>
      <c r="J35" s="33">
        <f t="shared" si="1"/>
        <v>60000</v>
      </c>
      <c r="K35" s="29">
        <v>0</v>
      </c>
    </row>
    <row r="36" spans="1:11" ht="17.5" x14ac:dyDescent="0.35">
      <c r="A36" s="11" t="s">
        <v>28</v>
      </c>
      <c r="B36" s="12" t="s">
        <v>124</v>
      </c>
      <c r="C36" s="25">
        <v>50000</v>
      </c>
      <c r="D36" s="13"/>
      <c r="E36" s="14"/>
      <c r="F36" s="15">
        <f t="shared" si="0"/>
        <v>50000</v>
      </c>
      <c r="G36" s="15"/>
      <c r="H36" s="17"/>
      <c r="I36" s="27" t="s">
        <v>79</v>
      </c>
      <c r="J36" s="33">
        <f t="shared" si="1"/>
        <v>50000</v>
      </c>
      <c r="K36" s="29">
        <v>0</v>
      </c>
    </row>
    <row r="37" spans="1:11" ht="17.5" x14ac:dyDescent="0.35">
      <c r="A37" s="11" t="s">
        <v>80</v>
      </c>
      <c r="B37" s="12" t="s">
        <v>125</v>
      </c>
      <c r="C37" s="25">
        <v>150000</v>
      </c>
      <c r="D37" s="13"/>
      <c r="E37" s="14"/>
      <c r="F37" s="15">
        <f t="shared" si="0"/>
        <v>150000</v>
      </c>
      <c r="G37" s="15"/>
      <c r="H37" s="17"/>
      <c r="I37" s="27" t="s">
        <v>79</v>
      </c>
      <c r="J37" s="33">
        <f t="shared" si="1"/>
        <v>150000</v>
      </c>
      <c r="K37" s="29">
        <v>0</v>
      </c>
    </row>
    <row r="38" spans="1:11" ht="17.5" x14ac:dyDescent="0.35">
      <c r="A38" s="11" t="s">
        <v>29</v>
      </c>
      <c r="B38" s="12" t="s">
        <v>126</v>
      </c>
      <c r="C38" s="25">
        <v>125000</v>
      </c>
      <c r="D38" s="13"/>
      <c r="E38" s="14"/>
      <c r="F38" s="15">
        <f t="shared" si="0"/>
        <v>125000</v>
      </c>
      <c r="G38" s="15"/>
      <c r="H38" s="17"/>
      <c r="I38" s="27" t="s">
        <v>79</v>
      </c>
      <c r="J38" s="33">
        <f t="shared" si="1"/>
        <v>125000</v>
      </c>
      <c r="K38" s="29">
        <v>0</v>
      </c>
    </row>
    <row r="39" spans="1:11" x14ac:dyDescent="0.35">
      <c r="A39" s="16"/>
      <c r="B39" s="17"/>
      <c r="C39" s="17"/>
      <c r="D39" s="17"/>
      <c r="E39" s="17"/>
      <c r="F39" s="17"/>
      <c r="G39" s="17"/>
      <c r="H39" s="17"/>
      <c r="I39" s="17"/>
      <c r="J39" s="32"/>
      <c r="K39" s="18"/>
    </row>
    <row r="40" spans="1:11" ht="18" thickBot="1" x14ac:dyDescent="0.4">
      <c r="A40" s="19"/>
      <c r="B40" s="20" t="s">
        <v>30</v>
      </c>
      <c r="C40" s="21">
        <f>SUM(C7:C39)</f>
        <v>5610000</v>
      </c>
      <c r="D40" s="21">
        <f>SUM(D7:D39)+218000</f>
        <v>544000</v>
      </c>
      <c r="E40" s="21">
        <f>SUM(E7:E39)</f>
        <v>0</v>
      </c>
      <c r="F40" s="21">
        <f>SUM(F7:F39)</f>
        <v>5936000</v>
      </c>
      <c r="G40" s="21">
        <f>SUM(G7:G39)</f>
        <v>0</v>
      </c>
      <c r="H40" s="21">
        <f t="shared" ref="H40" si="2">SUM(H8:H39)</f>
        <v>0</v>
      </c>
      <c r="I40" s="28"/>
      <c r="J40" s="21">
        <f t="shared" ref="J40" si="3">SUM(J6:J39)</f>
        <v>5785000</v>
      </c>
      <c r="K40" s="22">
        <f>SUM(K6:K39)</f>
        <v>1385000</v>
      </c>
    </row>
    <row r="41" spans="1:11" ht="15" thickTop="1" x14ac:dyDescent="0.35"/>
  </sheetData>
  <autoFilter ref="A5:F38" xr:uid="{00000000-0009-0000-0000-000007000000}"/>
  <mergeCells count="1">
    <mergeCell ref="B4:E4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3"/>
  <sheetViews>
    <sheetView zoomScale="106" zoomScaleNormal="106" workbookViewId="0">
      <pane xSplit="3" ySplit="5" topLeftCell="G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H6" sqref="H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  <col min="9" max="9" width="12.54296875" customWidth="1"/>
    <col min="10" max="10" width="13.08984375" bestFit="1" customWidth="1"/>
    <col min="11" max="11" width="18.453125" customWidth="1"/>
  </cols>
  <sheetData>
    <row r="1" spans="1:11" ht="21" x14ac:dyDescent="0.5">
      <c r="A1" s="1" t="s">
        <v>2</v>
      </c>
      <c r="B1" s="1" t="s">
        <v>3</v>
      </c>
      <c r="C1" s="24" t="s">
        <v>72</v>
      </c>
    </row>
    <row r="2" spans="1:11" x14ac:dyDescent="0.35">
      <c r="A2" s="1" t="s">
        <v>4</v>
      </c>
      <c r="B2" s="1">
        <v>2024</v>
      </c>
    </row>
    <row r="3" spans="1:11" x14ac:dyDescent="0.3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11" ht="29" thickBot="1" x14ac:dyDescent="0.7">
      <c r="B4" s="51" t="s">
        <v>58</v>
      </c>
      <c r="C4" s="49"/>
      <c r="D4" s="49"/>
      <c r="E4" s="49"/>
      <c r="F4" s="3"/>
    </row>
    <row r="5" spans="1:11" ht="68.25" customHeight="1" thickTop="1" x14ac:dyDescent="0.35">
      <c r="A5" s="8" t="s">
        <v>0</v>
      </c>
      <c r="B5" s="9" t="s">
        <v>1</v>
      </c>
      <c r="C5" s="10" t="s">
        <v>87</v>
      </c>
      <c r="D5" s="10" t="s">
        <v>32</v>
      </c>
      <c r="E5" s="10" t="s">
        <v>34</v>
      </c>
      <c r="F5" s="10" t="s">
        <v>31</v>
      </c>
      <c r="G5" s="10" t="s">
        <v>59</v>
      </c>
      <c r="H5" s="26" t="s">
        <v>61</v>
      </c>
      <c r="I5" s="26" t="s">
        <v>78</v>
      </c>
      <c r="J5" s="31" t="s">
        <v>86</v>
      </c>
      <c r="K5" s="23" t="s">
        <v>85</v>
      </c>
    </row>
    <row r="6" spans="1:11" ht="17.5" x14ac:dyDescent="0.35">
      <c r="A6" s="11" t="s">
        <v>60</v>
      </c>
      <c r="B6" s="12" t="s">
        <v>3</v>
      </c>
      <c r="C6" s="25">
        <v>175000</v>
      </c>
      <c r="D6" s="13"/>
      <c r="E6" s="14"/>
      <c r="F6" s="15">
        <f>SUM(C6:E6)</f>
        <v>175000</v>
      </c>
      <c r="G6" s="15"/>
      <c r="H6" s="17">
        <f>2385+2000+385</f>
        <v>4770</v>
      </c>
      <c r="I6" s="27" t="s">
        <v>79</v>
      </c>
      <c r="J6" s="33">
        <v>175000</v>
      </c>
      <c r="K6" s="29">
        <v>0</v>
      </c>
    </row>
    <row r="7" spans="1:11" ht="17.5" x14ac:dyDescent="0.35">
      <c r="A7" s="11" t="s">
        <v>66</v>
      </c>
      <c r="B7" s="12" t="s">
        <v>95</v>
      </c>
      <c r="C7" s="25">
        <v>0</v>
      </c>
      <c r="D7" s="13">
        <v>50000</v>
      </c>
      <c r="E7" s="14"/>
      <c r="F7" s="15">
        <f t="shared" ref="F7:F38" si="0">SUM(C7:E7)</f>
        <v>50000</v>
      </c>
      <c r="G7" s="15"/>
      <c r="H7" s="17"/>
      <c r="I7" s="27"/>
      <c r="J7" s="33">
        <v>0</v>
      </c>
      <c r="K7" s="29">
        <v>0</v>
      </c>
    </row>
    <row r="8" spans="1:11" ht="17.5" x14ac:dyDescent="0.35">
      <c r="A8" s="11" t="s">
        <v>6</v>
      </c>
      <c r="B8" s="12" t="s">
        <v>96</v>
      </c>
      <c r="C8" s="25">
        <v>125000</v>
      </c>
      <c r="D8" s="13"/>
      <c r="E8" s="14"/>
      <c r="F8" s="15">
        <f t="shared" si="0"/>
        <v>125000</v>
      </c>
      <c r="G8" s="15"/>
      <c r="H8" s="17"/>
      <c r="I8" s="27" t="s">
        <v>79</v>
      </c>
      <c r="J8" s="33">
        <v>125000</v>
      </c>
      <c r="K8" s="29">
        <v>0</v>
      </c>
    </row>
    <row r="9" spans="1:11" ht="17.5" x14ac:dyDescent="0.35">
      <c r="A9" s="11" t="s">
        <v>7</v>
      </c>
      <c r="B9" s="12" t="s">
        <v>97</v>
      </c>
      <c r="C9" s="25">
        <v>250000</v>
      </c>
      <c r="D9" s="13"/>
      <c r="E9" s="14"/>
      <c r="F9" s="15">
        <f t="shared" si="0"/>
        <v>250000</v>
      </c>
      <c r="G9" s="15"/>
      <c r="H9" s="17"/>
      <c r="I9" s="27" t="s">
        <v>79</v>
      </c>
      <c r="J9" s="33">
        <v>250000</v>
      </c>
      <c r="K9" s="29">
        <v>0</v>
      </c>
    </row>
    <row r="10" spans="1:11" ht="17.5" x14ac:dyDescent="0.35">
      <c r="A10" s="11" t="s">
        <v>8</v>
      </c>
      <c r="B10" s="12" t="s">
        <v>98</v>
      </c>
      <c r="C10" s="25">
        <v>159000</v>
      </c>
      <c r="D10" s="13"/>
      <c r="E10" s="14"/>
      <c r="F10" s="15">
        <f t="shared" si="0"/>
        <v>159000</v>
      </c>
      <c r="G10" s="15"/>
      <c r="H10" s="17"/>
      <c r="I10" s="27" t="s">
        <v>79</v>
      </c>
      <c r="J10" s="33">
        <v>159000</v>
      </c>
      <c r="K10" s="29">
        <v>34000</v>
      </c>
    </row>
    <row r="11" spans="1:11" ht="17.5" x14ac:dyDescent="0.35">
      <c r="A11" s="11" t="s">
        <v>9</v>
      </c>
      <c r="B11" s="12" t="s">
        <v>99</v>
      </c>
      <c r="C11" s="25">
        <v>216000</v>
      </c>
      <c r="D11" s="13"/>
      <c r="E11" s="14"/>
      <c r="F11" s="15">
        <f t="shared" si="0"/>
        <v>216000</v>
      </c>
      <c r="G11" s="15"/>
      <c r="H11" s="17"/>
      <c r="I11" s="27" t="s">
        <v>79</v>
      </c>
      <c r="J11" s="33">
        <v>216000</v>
      </c>
      <c r="K11" s="29">
        <v>91000</v>
      </c>
    </row>
    <row r="12" spans="1:11" ht="17.5" x14ac:dyDescent="0.35">
      <c r="A12" s="11" t="s">
        <v>10</v>
      </c>
      <c r="B12" s="12" t="s">
        <v>100</v>
      </c>
      <c r="C12" s="25">
        <v>340000</v>
      </c>
      <c r="D12" s="13"/>
      <c r="E12" s="14"/>
      <c r="F12" s="15">
        <f t="shared" si="0"/>
        <v>340000</v>
      </c>
      <c r="G12" s="15"/>
      <c r="H12" s="17"/>
      <c r="I12" s="27" t="s">
        <v>79</v>
      </c>
      <c r="J12" s="33">
        <v>340000</v>
      </c>
      <c r="K12" s="29">
        <v>10000</v>
      </c>
    </row>
    <row r="13" spans="1:11" ht="17.5" x14ac:dyDescent="0.35">
      <c r="A13" s="11" t="s">
        <v>11</v>
      </c>
      <c r="B13" s="12" t="s">
        <v>101</v>
      </c>
      <c r="C13" s="25">
        <v>50000</v>
      </c>
      <c r="D13" s="13"/>
      <c r="E13" s="14"/>
      <c r="F13" s="15">
        <f t="shared" si="0"/>
        <v>50000</v>
      </c>
      <c r="G13" s="15"/>
      <c r="H13" s="17"/>
      <c r="I13" s="27" t="s">
        <v>79</v>
      </c>
      <c r="J13" s="33">
        <v>50000</v>
      </c>
      <c r="K13" s="29">
        <v>0</v>
      </c>
    </row>
    <row r="14" spans="1:11" ht="17.5" x14ac:dyDescent="0.35">
      <c r="A14" s="11" t="s">
        <v>12</v>
      </c>
      <c r="B14" s="12" t="s">
        <v>102</v>
      </c>
      <c r="C14" s="25">
        <v>50000</v>
      </c>
      <c r="D14" s="13"/>
      <c r="E14" s="14"/>
      <c r="F14" s="15">
        <f t="shared" si="0"/>
        <v>50000</v>
      </c>
      <c r="G14" s="15"/>
      <c r="H14" s="17"/>
      <c r="I14" s="27" t="s">
        <v>79</v>
      </c>
      <c r="J14" s="33">
        <v>50000</v>
      </c>
      <c r="K14" s="29">
        <v>0</v>
      </c>
    </row>
    <row r="15" spans="1:11" ht="17.5" x14ac:dyDescent="0.35">
      <c r="A15" s="11" t="s">
        <v>13</v>
      </c>
      <c r="B15" s="12" t="s">
        <v>103</v>
      </c>
      <c r="C15" s="25">
        <v>125000</v>
      </c>
      <c r="D15" s="13"/>
      <c r="E15" s="14"/>
      <c r="F15" s="15">
        <f t="shared" si="0"/>
        <v>125000</v>
      </c>
      <c r="G15" s="15"/>
      <c r="H15" s="17"/>
      <c r="I15" s="27" t="s">
        <v>79</v>
      </c>
      <c r="J15" s="33">
        <v>125000</v>
      </c>
      <c r="K15" s="29">
        <v>0</v>
      </c>
    </row>
    <row r="16" spans="1:11" ht="17.5" x14ac:dyDescent="0.35">
      <c r="A16" s="11" t="s">
        <v>14</v>
      </c>
      <c r="B16" s="12" t="s">
        <v>104</v>
      </c>
      <c r="C16" s="25">
        <v>240000</v>
      </c>
      <c r="D16" s="13"/>
      <c r="E16" s="14"/>
      <c r="F16" s="15">
        <f t="shared" si="0"/>
        <v>240000</v>
      </c>
      <c r="G16" s="15"/>
      <c r="H16" s="17"/>
      <c r="I16" s="27" t="s">
        <v>79</v>
      </c>
      <c r="J16" s="33">
        <v>240000</v>
      </c>
      <c r="K16" s="29">
        <v>-20000</v>
      </c>
    </row>
    <row r="17" spans="1:11" ht="17.5" x14ac:dyDescent="0.35">
      <c r="A17" s="11" t="s">
        <v>15</v>
      </c>
      <c r="B17" s="12" t="s">
        <v>105</v>
      </c>
      <c r="C17" s="25">
        <v>150000</v>
      </c>
      <c r="D17" s="13">
        <v>100000</v>
      </c>
      <c r="E17" s="14"/>
      <c r="F17" s="15">
        <f t="shared" si="0"/>
        <v>250000</v>
      </c>
      <c r="G17" s="15"/>
      <c r="H17" s="17"/>
      <c r="I17" s="27" t="s">
        <v>79</v>
      </c>
      <c r="J17" s="33">
        <v>154000</v>
      </c>
      <c r="K17" s="29">
        <v>0</v>
      </c>
    </row>
    <row r="18" spans="1:11" ht="17.5" x14ac:dyDescent="0.35">
      <c r="A18" s="11" t="s">
        <v>16</v>
      </c>
      <c r="B18" s="12" t="s">
        <v>106</v>
      </c>
      <c r="C18" s="25">
        <v>160000</v>
      </c>
      <c r="D18" s="25">
        <v>0</v>
      </c>
      <c r="E18" s="25">
        <v>0</v>
      </c>
      <c r="F18" s="25">
        <v>0</v>
      </c>
      <c r="G18" s="15"/>
      <c r="H18" s="17"/>
      <c r="I18" s="27" t="s">
        <v>79</v>
      </c>
      <c r="J18" s="33">
        <v>160000</v>
      </c>
      <c r="K18" s="29">
        <v>10000</v>
      </c>
    </row>
    <row r="19" spans="1:11" ht="17.5" x14ac:dyDescent="0.35">
      <c r="A19" s="11" t="s">
        <v>82</v>
      </c>
      <c r="B19" s="12" t="s">
        <v>107</v>
      </c>
      <c r="C19" s="25">
        <v>50000</v>
      </c>
      <c r="D19" s="13"/>
      <c r="E19" s="14"/>
      <c r="F19" s="15">
        <f t="shared" si="0"/>
        <v>50000</v>
      </c>
      <c r="G19" s="15"/>
      <c r="H19" s="17"/>
      <c r="I19" s="27" t="s">
        <v>79</v>
      </c>
      <c r="J19" s="33">
        <v>50000</v>
      </c>
      <c r="K19" s="29">
        <v>0</v>
      </c>
    </row>
    <row r="20" spans="1:11" ht="17.5" x14ac:dyDescent="0.35">
      <c r="A20" s="11" t="s">
        <v>17</v>
      </c>
      <c r="B20" s="12" t="s">
        <v>108</v>
      </c>
      <c r="C20" s="25">
        <v>516000</v>
      </c>
      <c r="D20" s="13"/>
      <c r="E20" s="14"/>
      <c r="F20" s="15">
        <f t="shared" si="0"/>
        <v>516000</v>
      </c>
      <c r="G20" s="15"/>
      <c r="H20" s="17"/>
      <c r="I20" s="27" t="s">
        <v>79</v>
      </c>
      <c r="J20" s="33">
        <v>516000</v>
      </c>
      <c r="K20" s="29">
        <v>291000</v>
      </c>
    </row>
    <row r="21" spans="1:11" ht="17.5" x14ac:dyDescent="0.35">
      <c r="A21" s="11" t="s">
        <v>18</v>
      </c>
      <c r="B21" s="12" t="s">
        <v>109</v>
      </c>
      <c r="C21" s="25">
        <v>50000</v>
      </c>
      <c r="D21" s="13"/>
      <c r="E21" s="14"/>
      <c r="F21" s="15">
        <f t="shared" si="0"/>
        <v>50000</v>
      </c>
      <c r="G21" s="15"/>
      <c r="H21" s="17"/>
      <c r="I21" s="27" t="s">
        <v>79</v>
      </c>
      <c r="J21" s="33">
        <v>50000</v>
      </c>
      <c r="K21" s="29">
        <v>0</v>
      </c>
    </row>
    <row r="22" spans="1:11" ht="17.5" x14ac:dyDescent="0.35">
      <c r="A22" s="11" t="s">
        <v>19</v>
      </c>
      <c r="B22" s="12" t="s">
        <v>110</v>
      </c>
      <c r="C22" s="25">
        <v>125000</v>
      </c>
      <c r="D22" s="13"/>
      <c r="E22" s="14"/>
      <c r="F22" s="15">
        <f t="shared" si="0"/>
        <v>125000</v>
      </c>
      <c r="G22" s="15"/>
      <c r="H22" s="17"/>
      <c r="I22" s="27" t="s">
        <v>79</v>
      </c>
      <c r="J22" s="33">
        <v>125000</v>
      </c>
      <c r="K22" s="29">
        <v>0</v>
      </c>
    </row>
    <row r="23" spans="1:11" ht="17.5" x14ac:dyDescent="0.35">
      <c r="A23" s="11" t="s">
        <v>20</v>
      </c>
      <c r="B23" s="12" t="s">
        <v>111</v>
      </c>
      <c r="C23" s="25">
        <v>502000</v>
      </c>
      <c r="D23" s="13"/>
      <c r="E23" s="14"/>
      <c r="F23" s="15">
        <f t="shared" si="0"/>
        <v>502000</v>
      </c>
      <c r="G23" s="15"/>
      <c r="H23" s="17"/>
      <c r="I23" s="27" t="s">
        <v>79</v>
      </c>
      <c r="J23" s="33">
        <v>502000</v>
      </c>
      <c r="K23" s="29">
        <v>242000</v>
      </c>
    </row>
    <row r="24" spans="1:11" ht="17.5" x14ac:dyDescent="0.35">
      <c r="A24" s="11" t="s">
        <v>21</v>
      </c>
      <c r="B24" s="12" t="s">
        <v>112</v>
      </c>
      <c r="C24" s="25">
        <v>240000</v>
      </c>
      <c r="D24" s="13"/>
      <c r="E24" s="14">
        <f>500000</f>
        <v>500000</v>
      </c>
      <c r="F24" s="15">
        <f t="shared" si="0"/>
        <v>740000</v>
      </c>
      <c r="G24" s="15"/>
      <c r="H24" s="17"/>
      <c r="I24" s="27" t="s">
        <v>79</v>
      </c>
      <c r="J24" s="33">
        <v>240000</v>
      </c>
      <c r="K24" s="29">
        <v>15000</v>
      </c>
    </row>
    <row r="25" spans="1:11" ht="17.5" x14ac:dyDescent="0.35">
      <c r="A25" s="11" t="s">
        <v>22</v>
      </c>
      <c r="B25" s="12" t="s">
        <v>113</v>
      </c>
      <c r="C25" s="25">
        <v>436000</v>
      </c>
      <c r="D25" s="13"/>
      <c r="E25" s="14"/>
      <c r="F25" s="15">
        <f t="shared" si="0"/>
        <v>436000</v>
      </c>
      <c r="G25" s="15"/>
      <c r="H25" s="17"/>
      <c r="I25" s="27" t="s">
        <v>79</v>
      </c>
      <c r="J25" s="33">
        <v>436000</v>
      </c>
      <c r="K25" s="29">
        <v>61000</v>
      </c>
    </row>
    <row r="26" spans="1:11" ht="17.5" x14ac:dyDescent="0.35">
      <c r="A26" s="11" t="s">
        <v>23</v>
      </c>
      <c r="B26" s="12" t="s">
        <v>114</v>
      </c>
      <c r="C26" s="25">
        <v>74000</v>
      </c>
      <c r="D26" s="13"/>
      <c r="E26" s="14"/>
      <c r="F26" s="15">
        <f t="shared" si="0"/>
        <v>74000</v>
      </c>
      <c r="G26" s="15"/>
      <c r="H26" s="17"/>
      <c r="I26" s="27" t="s">
        <v>79</v>
      </c>
      <c r="J26" s="33">
        <v>74000</v>
      </c>
      <c r="K26" s="29">
        <v>24000</v>
      </c>
    </row>
    <row r="27" spans="1:11" ht="17.5" x14ac:dyDescent="0.35">
      <c r="A27" s="11" t="s">
        <v>63</v>
      </c>
      <c r="B27" s="12" t="s">
        <v>115</v>
      </c>
      <c r="C27" s="25">
        <v>50000</v>
      </c>
      <c r="D27" s="13"/>
      <c r="E27" s="14"/>
      <c r="F27" s="15">
        <f>SUM(C27:E27)</f>
        <v>50000</v>
      </c>
      <c r="G27" s="15"/>
      <c r="H27" s="17"/>
      <c r="I27" s="27" t="s">
        <v>79</v>
      </c>
      <c r="J27" s="33">
        <v>50000</v>
      </c>
      <c r="K27" s="29">
        <v>0</v>
      </c>
    </row>
    <row r="28" spans="1:11" ht="17.5" x14ac:dyDescent="0.35">
      <c r="A28" s="11" t="s">
        <v>24</v>
      </c>
      <c r="B28" s="12" t="s">
        <v>116</v>
      </c>
      <c r="C28" s="25">
        <v>125000</v>
      </c>
      <c r="D28" s="13"/>
      <c r="E28" s="14"/>
      <c r="F28" s="15">
        <f t="shared" si="0"/>
        <v>125000</v>
      </c>
      <c r="G28" s="15"/>
      <c r="H28" s="17"/>
      <c r="I28" s="27" t="s">
        <v>79</v>
      </c>
      <c r="J28" s="33">
        <v>125000</v>
      </c>
      <c r="K28" s="29">
        <v>0</v>
      </c>
    </row>
    <row r="29" spans="1:11" ht="17.5" x14ac:dyDescent="0.35">
      <c r="A29" s="11" t="s">
        <v>64</v>
      </c>
      <c r="B29" s="12" t="s">
        <v>117</v>
      </c>
      <c r="C29" s="25">
        <v>50000</v>
      </c>
      <c r="D29" s="13"/>
      <c r="E29" s="14"/>
      <c r="F29" s="15">
        <f t="shared" si="0"/>
        <v>50000</v>
      </c>
      <c r="G29" s="15"/>
      <c r="H29" s="17"/>
      <c r="I29" s="27" t="s">
        <v>79</v>
      </c>
      <c r="J29" s="33">
        <v>50000</v>
      </c>
      <c r="K29" s="29">
        <v>0</v>
      </c>
    </row>
    <row r="30" spans="1:11" ht="17.5" x14ac:dyDescent="0.35">
      <c r="A30" s="11" t="s">
        <v>25</v>
      </c>
      <c r="B30" s="12" t="s">
        <v>118</v>
      </c>
      <c r="C30" s="25">
        <v>379000</v>
      </c>
      <c r="D30" s="13"/>
      <c r="E30" s="14"/>
      <c r="F30" s="15">
        <f t="shared" si="0"/>
        <v>379000</v>
      </c>
      <c r="G30" s="15"/>
      <c r="H30" s="17"/>
      <c r="I30" s="27" t="s">
        <v>79</v>
      </c>
      <c r="J30" s="33">
        <v>379000</v>
      </c>
      <c r="K30" s="29">
        <v>129000</v>
      </c>
    </row>
    <row r="31" spans="1:11" ht="17.5" x14ac:dyDescent="0.35">
      <c r="A31" s="11" t="s">
        <v>26</v>
      </c>
      <c r="B31" s="12" t="s">
        <v>119</v>
      </c>
      <c r="C31" s="25">
        <v>150000</v>
      </c>
      <c r="D31" s="13"/>
      <c r="E31" s="14"/>
      <c r="F31" s="15">
        <f t="shared" si="0"/>
        <v>150000</v>
      </c>
      <c r="G31" s="15"/>
      <c r="H31" s="17"/>
      <c r="I31" s="27" t="s">
        <v>79</v>
      </c>
      <c r="J31" s="33">
        <v>150000</v>
      </c>
      <c r="K31" s="29">
        <v>0</v>
      </c>
    </row>
    <row r="32" spans="1:11" ht="17.5" x14ac:dyDescent="0.35">
      <c r="A32" s="11" t="s">
        <v>27</v>
      </c>
      <c r="B32" s="12" t="s">
        <v>120</v>
      </c>
      <c r="C32" s="25">
        <v>2227000</v>
      </c>
      <c r="D32" s="13"/>
      <c r="E32" s="14"/>
      <c r="F32" s="15">
        <f t="shared" si="0"/>
        <v>2227000</v>
      </c>
      <c r="G32" s="15"/>
      <c r="H32" s="17"/>
      <c r="I32" s="27" t="s">
        <v>79</v>
      </c>
      <c r="J32" s="33">
        <f>2125000+102000</f>
        <v>2227000</v>
      </c>
      <c r="K32" s="29">
        <v>2102000</v>
      </c>
    </row>
    <row r="33" spans="1:11" ht="17.5" x14ac:dyDescent="0.35">
      <c r="A33" s="11" t="s">
        <v>81</v>
      </c>
      <c r="B33" s="12" t="s">
        <v>121</v>
      </c>
      <c r="C33" s="25">
        <v>160000</v>
      </c>
      <c r="D33" s="13"/>
      <c r="E33" s="14"/>
      <c r="F33" s="15">
        <f t="shared" si="0"/>
        <v>160000</v>
      </c>
      <c r="G33" s="15"/>
      <c r="H33" s="17"/>
      <c r="I33" s="27" t="s">
        <v>79</v>
      </c>
      <c r="J33" s="33">
        <v>160000</v>
      </c>
      <c r="K33" s="29">
        <v>10000</v>
      </c>
    </row>
    <row r="34" spans="1:11" ht="17.5" x14ac:dyDescent="0.35">
      <c r="A34" s="11" t="s">
        <v>62</v>
      </c>
      <c r="B34" s="12" t="s">
        <v>122</v>
      </c>
      <c r="C34" s="25">
        <v>50000</v>
      </c>
      <c r="D34" s="13"/>
      <c r="E34" s="14"/>
      <c r="F34" s="15">
        <f t="shared" si="0"/>
        <v>50000</v>
      </c>
      <c r="G34" s="15"/>
      <c r="H34" s="17"/>
      <c r="I34" s="27" t="s">
        <v>79</v>
      </c>
      <c r="J34" s="33">
        <v>50000</v>
      </c>
      <c r="K34" s="29">
        <v>0</v>
      </c>
    </row>
    <row r="35" spans="1:11" ht="17.5" x14ac:dyDescent="0.35">
      <c r="A35" s="11" t="s">
        <v>65</v>
      </c>
      <c r="B35" s="12" t="s">
        <v>123</v>
      </c>
      <c r="C35" s="25">
        <v>60000</v>
      </c>
      <c r="D35" s="13"/>
      <c r="E35" s="14"/>
      <c r="F35" s="15">
        <f t="shared" si="0"/>
        <v>60000</v>
      </c>
      <c r="G35" s="15"/>
      <c r="H35" s="17"/>
      <c r="I35" s="27" t="s">
        <v>79</v>
      </c>
      <c r="J35" s="33">
        <v>60000</v>
      </c>
      <c r="K35" s="29">
        <v>0</v>
      </c>
    </row>
    <row r="36" spans="1:11" ht="17.5" x14ac:dyDescent="0.35">
      <c r="A36" s="11" t="s">
        <v>28</v>
      </c>
      <c r="B36" s="12" t="s">
        <v>124</v>
      </c>
      <c r="C36" s="25">
        <v>50000</v>
      </c>
      <c r="D36" s="13"/>
      <c r="E36" s="14"/>
      <c r="F36" s="15">
        <f t="shared" si="0"/>
        <v>50000</v>
      </c>
      <c r="G36" s="15"/>
      <c r="H36" s="17"/>
      <c r="I36" s="27" t="s">
        <v>79</v>
      </c>
      <c r="J36" s="33">
        <v>50000</v>
      </c>
      <c r="K36" s="29">
        <v>0</v>
      </c>
    </row>
    <row r="37" spans="1:11" ht="17.5" x14ac:dyDescent="0.35">
      <c r="A37" s="11" t="s">
        <v>80</v>
      </c>
      <c r="B37" s="12" t="s">
        <v>125</v>
      </c>
      <c r="C37" s="25">
        <v>150000</v>
      </c>
      <c r="D37" s="13"/>
      <c r="E37" s="14"/>
      <c r="F37" s="15">
        <f t="shared" si="0"/>
        <v>150000</v>
      </c>
      <c r="G37" s="15"/>
      <c r="H37" s="17"/>
      <c r="I37" s="27" t="s">
        <v>79</v>
      </c>
      <c r="J37" s="33">
        <v>150000</v>
      </c>
      <c r="K37" s="29">
        <v>0</v>
      </c>
    </row>
    <row r="38" spans="1:11" ht="17.5" x14ac:dyDescent="0.35">
      <c r="A38" s="11" t="s">
        <v>29</v>
      </c>
      <c r="B38" s="12" t="s">
        <v>126</v>
      </c>
      <c r="C38" s="25">
        <v>125000</v>
      </c>
      <c r="D38" s="13"/>
      <c r="E38" s="14"/>
      <c r="F38" s="15">
        <f t="shared" si="0"/>
        <v>125000</v>
      </c>
      <c r="G38" s="15"/>
      <c r="H38" s="17"/>
      <c r="I38" s="27" t="s">
        <v>79</v>
      </c>
      <c r="J38" s="33">
        <v>125000</v>
      </c>
      <c r="K38" s="29">
        <v>0</v>
      </c>
    </row>
    <row r="39" spans="1:11" x14ac:dyDescent="0.35">
      <c r="A39" s="16"/>
      <c r="B39" s="17"/>
      <c r="C39" s="17"/>
      <c r="D39" s="17"/>
      <c r="E39" s="17"/>
      <c r="F39" s="17"/>
      <c r="G39" s="17"/>
      <c r="H39" s="17"/>
      <c r="I39" s="17"/>
      <c r="J39" s="32"/>
      <c r="K39" s="18"/>
    </row>
    <row r="40" spans="1:11" ht="18" thickBot="1" x14ac:dyDescent="0.4">
      <c r="A40" s="19"/>
      <c r="B40" s="20" t="s">
        <v>30</v>
      </c>
      <c r="C40" s="21">
        <f>SUM(C6:C39)</f>
        <v>7609000</v>
      </c>
      <c r="D40" s="21">
        <f t="shared" ref="D40:J40" si="1">SUM(D6:D39)</f>
        <v>150000</v>
      </c>
      <c r="E40" s="21">
        <f t="shared" si="1"/>
        <v>500000</v>
      </c>
      <c r="F40" s="21">
        <f t="shared" si="1"/>
        <v>8099000</v>
      </c>
      <c r="G40" s="21">
        <f t="shared" si="1"/>
        <v>0</v>
      </c>
      <c r="H40" s="21">
        <f t="shared" si="1"/>
        <v>4770</v>
      </c>
      <c r="I40" s="21">
        <f t="shared" si="1"/>
        <v>0</v>
      </c>
      <c r="J40" s="21">
        <f t="shared" si="1"/>
        <v>7613000</v>
      </c>
      <c r="K40" s="22">
        <f>SUM(K6:K39)</f>
        <v>2999000</v>
      </c>
    </row>
    <row r="41" spans="1:11" ht="15" thickTop="1" x14ac:dyDescent="0.35"/>
    <row r="43" spans="1:11" x14ac:dyDescent="0.35">
      <c r="C43" s="30"/>
    </row>
  </sheetData>
  <autoFilter ref="A5:F38" xr:uid="{00000000-0009-0000-0000-000008000000}"/>
  <mergeCells count="1">
    <mergeCell ref="B4:E4"/>
  </mergeCell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1"/>
  <sheetViews>
    <sheetView zoomScale="106" zoomScaleNormal="106" workbookViewId="0">
      <pane xSplit="3" ySplit="5" topLeftCell="D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E7" sqref="E7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  <col min="9" max="9" width="12.54296875" customWidth="1"/>
    <col min="10" max="10" width="13.08984375" bestFit="1" customWidth="1"/>
    <col min="11" max="11" width="18.453125" customWidth="1"/>
  </cols>
  <sheetData>
    <row r="1" spans="1:11" ht="21" x14ac:dyDescent="0.5">
      <c r="A1" s="1" t="s">
        <v>2</v>
      </c>
      <c r="B1" s="1" t="s">
        <v>3</v>
      </c>
      <c r="C1" s="24" t="s">
        <v>73</v>
      </c>
    </row>
    <row r="2" spans="1:11" x14ac:dyDescent="0.35">
      <c r="A2" s="1" t="s">
        <v>4</v>
      </c>
      <c r="B2" s="1">
        <v>2024</v>
      </c>
    </row>
    <row r="3" spans="1:11" x14ac:dyDescent="0.3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11" ht="29" thickBot="1" x14ac:dyDescent="0.7">
      <c r="B4" s="51" t="s">
        <v>58</v>
      </c>
      <c r="C4" s="49"/>
      <c r="D4" s="49"/>
      <c r="E4" s="49"/>
      <c r="F4" s="3"/>
    </row>
    <row r="5" spans="1:11" ht="68.25" customHeight="1" thickTop="1" x14ac:dyDescent="0.35">
      <c r="A5" s="8" t="s">
        <v>0</v>
      </c>
      <c r="B5" s="9" t="s">
        <v>1</v>
      </c>
      <c r="C5" s="10" t="s">
        <v>33</v>
      </c>
      <c r="D5" s="10" t="s">
        <v>32</v>
      </c>
      <c r="E5" s="10" t="s">
        <v>34</v>
      </c>
      <c r="F5" s="10" t="s">
        <v>31</v>
      </c>
      <c r="G5" s="10" t="s">
        <v>59</v>
      </c>
      <c r="H5" s="26" t="s">
        <v>61</v>
      </c>
      <c r="I5" s="26" t="s">
        <v>78</v>
      </c>
      <c r="J5" s="31" t="s">
        <v>86</v>
      </c>
      <c r="K5" s="23" t="s">
        <v>85</v>
      </c>
    </row>
    <row r="6" spans="1:11" ht="17.5" x14ac:dyDescent="0.35">
      <c r="A6" s="11" t="s">
        <v>60</v>
      </c>
      <c r="B6" s="12" t="s">
        <v>3</v>
      </c>
      <c r="C6" s="25">
        <v>175000</v>
      </c>
      <c r="D6" s="13"/>
      <c r="E6" s="14"/>
      <c r="F6" s="15">
        <f>SUM(C6:E6)</f>
        <v>175000</v>
      </c>
      <c r="G6" s="15"/>
      <c r="H6" s="17">
        <v>2385</v>
      </c>
      <c r="I6" s="27" t="s">
        <v>79</v>
      </c>
      <c r="J6" s="33">
        <v>175000</v>
      </c>
      <c r="K6" s="29">
        <v>0</v>
      </c>
    </row>
    <row r="7" spans="1:11" ht="17.5" x14ac:dyDescent="0.35">
      <c r="A7" s="11" t="s">
        <v>66</v>
      </c>
      <c r="B7" s="12" t="s">
        <v>95</v>
      </c>
      <c r="C7" s="25">
        <v>50000</v>
      </c>
      <c r="D7" s="13"/>
      <c r="E7" s="14"/>
      <c r="F7" s="15">
        <f t="shared" ref="F7:F38" si="0">SUM(C7:E7)</f>
        <v>50000</v>
      </c>
      <c r="G7" s="15"/>
      <c r="H7" s="17"/>
      <c r="I7" s="27" t="s">
        <v>79</v>
      </c>
      <c r="J7" s="33"/>
      <c r="K7" s="29">
        <v>-50000</v>
      </c>
    </row>
    <row r="8" spans="1:11" ht="17.5" x14ac:dyDescent="0.35">
      <c r="A8" s="11" t="s">
        <v>6</v>
      </c>
      <c r="B8" s="12" t="s">
        <v>96</v>
      </c>
      <c r="C8" s="25">
        <v>125000</v>
      </c>
      <c r="D8" s="13"/>
      <c r="E8" s="14"/>
      <c r="F8" s="15">
        <f t="shared" si="0"/>
        <v>125000</v>
      </c>
      <c r="G8" s="15"/>
      <c r="H8" s="17"/>
      <c r="I8" s="27" t="s">
        <v>79</v>
      </c>
      <c r="J8" s="33">
        <v>125000</v>
      </c>
      <c r="K8" s="29">
        <v>0</v>
      </c>
    </row>
    <row r="9" spans="1:11" ht="17.5" x14ac:dyDescent="0.35">
      <c r="A9" s="11" t="s">
        <v>7</v>
      </c>
      <c r="B9" s="12" t="s">
        <v>97</v>
      </c>
      <c r="C9" s="25">
        <v>250000</v>
      </c>
      <c r="D9" s="13"/>
      <c r="E9" s="14"/>
      <c r="F9" s="15">
        <f t="shared" si="0"/>
        <v>250000</v>
      </c>
      <c r="G9" s="15"/>
      <c r="H9" s="17"/>
      <c r="I9" s="27" t="s">
        <v>79</v>
      </c>
      <c r="J9" s="33">
        <v>340000</v>
      </c>
      <c r="K9" s="29">
        <v>90000</v>
      </c>
    </row>
    <row r="10" spans="1:11" ht="17.5" x14ac:dyDescent="0.35">
      <c r="A10" s="11" t="s">
        <v>8</v>
      </c>
      <c r="B10" s="12" t="s">
        <v>98</v>
      </c>
      <c r="C10" s="25">
        <v>125000</v>
      </c>
      <c r="D10" s="13"/>
      <c r="E10" s="14"/>
      <c r="F10" s="15">
        <f t="shared" si="0"/>
        <v>125000</v>
      </c>
      <c r="G10" s="15"/>
      <c r="H10" s="17"/>
      <c r="I10" s="27" t="s">
        <v>79</v>
      </c>
      <c r="J10" s="33">
        <v>125000</v>
      </c>
      <c r="K10" s="29">
        <v>0</v>
      </c>
    </row>
    <row r="11" spans="1:11" ht="17.5" x14ac:dyDescent="0.35">
      <c r="A11" s="11" t="s">
        <v>9</v>
      </c>
      <c r="B11" s="12" t="s">
        <v>99</v>
      </c>
      <c r="C11" s="25">
        <v>125000</v>
      </c>
      <c r="D11" s="13"/>
      <c r="E11" s="14"/>
      <c r="F11" s="15">
        <f t="shared" si="0"/>
        <v>125000</v>
      </c>
      <c r="G11" s="15"/>
      <c r="H11" s="17"/>
      <c r="I11" s="27" t="s">
        <v>79</v>
      </c>
      <c r="J11" s="33">
        <f>125000+69500</f>
        <v>194500</v>
      </c>
      <c r="K11" s="29">
        <v>69500</v>
      </c>
    </row>
    <row r="12" spans="1:11" ht="17.5" x14ac:dyDescent="0.35">
      <c r="A12" s="11" t="s">
        <v>10</v>
      </c>
      <c r="B12" s="12" t="s">
        <v>100</v>
      </c>
      <c r="C12" s="25">
        <v>330000</v>
      </c>
      <c r="D12" s="13"/>
      <c r="E12" s="14"/>
      <c r="F12" s="15">
        <f t="shared" si="0"/>
        <v>330000</v>
      </c>
      <c r="G12" s="15"/>
      <c r="H12" s="17"/>
      <c r="I12" s="27" t="s">
        <v>79</v>
      </c>
      <c r="J12" s="33">
        <f>230000+100000+101000</f>
        <v>431000</v>
      </c>
      <c r="K12" s="29">
        <v>101000</v>
      </c>
    </row>
    <row r="13" spans="1:11" ht="17.5" x14ac:dyDescent="0.35">
      <c r="A13" s="11" t="s">
        <v>11</v>
      </c>
      <c r="B13" s="12" t="s">
        <v>101</v>
      </c>
      <c r="C13" s="25">
        <v>50000</v>
      </c>
      <c r="D13" s="13"/>
      <c r="E13" s="14"/>
      <c r="F13" s="15">
        <f t="shared" si="0"/>
        <v>50000</v>
      </c>
      <c r="G13" s="15"/>
      <c r="H13" s="17"/>
      <c r="I13" s="27" t="s">
        <v>79</v>
      </c>
      <c r="J13" s="33">
        <v>50000</v>
      </c>
      <c r="K13" s="29">
        <v>0</v>
      </c>
    </row>
    <row r="14" spans="1:11" ht="17.5" x14ac:dyDescent="0.35">
      <c r="A14" s="11" t="s">
        <v>12</v>
      </c>
      <c r="B14" s="12" t="s">
        <v>102</v>
      </c>
      <c r="C14" s="25">
        <v>50000</v>
      </c>
      <c r="D14" s="13"/>
      <c r="E14" s="14"/>
      <c r="F14" s="15">
        <f t="shared" si="0"/>
        <v>50000</v>
      </c>
      <c r="G14" s="15"/>
      <c r="H14" s="17"/>
      <c r="I14" s="27" t="s">
        <v>79</v>
      </c>
      <c r="J14" s="33">
        <v>50000</v>
      </c>
      <c r="K14" s="29">
        <v>0</v>
      </c>
    </row>
    <row r="15" spans="1:11" ht="17.5" x14ac:dyDescent="0.35">
      <c r="A15" s="11" t="s">
        <v>13</v>
      </c>
      <c r="B15" s="12" t="s">
        <v>103</v>
      </c>
      <c r="C15" s="25">
        <v>125000</v>
      </c>
      <c r="D15" s="13"/>
      <c r="E15" s="14"/>
      <c r="F15" s="15">
        <f t="shared" si="0"/>
        <v>125000</v>
      </c>
      <c r="G15" s="15"/>
      <c r="H15" s="17"/>
      <c r="I15" s="27" t="s">
        <v>79</v>
      </c>
      <c r="J15" s="33">
        <v>125000</v>
      </c>
      <c r="K15" s="29">
        <v>0</v>
      </c>
    </row>
    <row r="16" spans="1:11" ht="17.5" x14ac:dyDescent="0.35">
      <c r="A16" s="11" t="s">
        <v>14</v>
      </c>
      <c r="B16" s="12" t="s">
        <v>104</v>
      </c>
      <c r="C16" s="25">
        <v>260000</v>
      </c>
      <c r="D16" s="13"/>
      <c r="E16" s="14"/>
      <c r="F16" s="15">
        <f t="shared" si="0"/>
        <v>260000</v>
      </c>
      <c r="G16" s="15"/>
      <c r="H16" s="17"/>
      <c r="I16" s="27" t="s">
        <v>79</v>
      </c>
      <c r="J16" s="33">
        <v>360000</v>
      </c>
      <c r="K16" s="29">
        <v>100000</v>
      </c>
    </row>
    <row r="17" spans="1:11" ht="17.5" x14ac:dyDescent="0.35">
      <c r="A17" s="11" t="s">
        <v>15</v>
      </c>
      <c r="B17" s="12" t="s">
        <v>105</v>
      </c>
      <c r="C17" s="25">
        <v>150000</v>
      </c>
      <c r="D17" s="13"/>
      <c r="E17" s="14"/>
      <c r="F17" s="15">
        <f t="shared" si="0"/>
        <v>150000</v>
      </c>
      <c r="G17" s="15"/>
      <c r="H17" s="17"/>
      <c r="I17" s="27" t="s">
        <v>79</v>
      </c>
      <c r="J17" s="33">
        <v>200000</v>
      </c>
      <c r="K17" s="29">
        <v>50000</v>
      </c>
    </row>
    <row r="18" spans="1:11" ht="17.5" x14ac:dyDescent="0.35">
      <c r="A18" s="11" t="s">
        <v>16</v>
      </c>
      <c r="B18" s="12" t="s">
        <v>106</v>
      </c>
      <c r="C18" s="25">
        <v>150000</v>
      </c>
      <c r="D18" s="13"/>
      <c r="E18" s="14"/>
      <c r="F18" s="15">
        <f t="shared" si="0"/>
        <v>150000</v>
      </c>
      <c r="G18" s="15"/>
      <c r="H18" s="17"/>
      <c r="I18" s="27" t="s">
        <v>79</v>
      </c>
      <c r="J18" s="33">
        <v>260000</v>
      </c>
      <c r="K18" s="29">
        <v>110000</v>
      </c>
    </row>
    <row r="19" spans="1:11" ht="17.5" x14ac:dyDescent="0.35">
      <c r="A19" s="11" t="s">
        <v>82</v>
      </c>
      <c r="B19" s="12" t="s">
        <v>107</v>
      </c>
      <c r="C19" s="25">
        <v>50000</v>
      </c>
      <c r="D19" s="13"/>
      <c r="E19" s="14"/>
      <c r="F19" s="15">
        <f t="shared" si="0"/>
        <v>50000</v>
      </c>
      <c r="G19" s="15"/>
      <c r="H19" s="17"/>
      <c r="I19" s="27" t="s">
        <v>79</v>
      </c>
      <c r="J19" s="33">
        <v>50000</v>
      </c>
      <c r="K19" s="29">
        <v>0</v>
      </c>
    </row>
    <row r="20" spans="1:11" ht="17.5" x14ac:dyDescent="0.35">
      <c r="A20" s="11" t="s">
        <v>17</v>
      </c>
      <c r="B20" s="12" t="s">
        <v>108</v>
      </c>
      <c r="C20" s="25">
        <v>225000</v>
      </c>
      <c r="D20" s="13"/>
      <c r="E20" s="14"/>
      <c r="F20" s="15">
        <f t="shared" si="0"/>
        <v>225000</v>
      </c>
      <c r="G20" s="15"/>
      <c r="H20" s="17"/>
      <c r="I20" s="27" t="s">
        <v>79</v>
      </c>
      <c r="J20" s="33">
        <f>225000+303000</f>
        <v>528000</v>
      </c>
      <c r="K20" s="29">
        <v>303000</v>
      </c>
    </row>
    <row r="21" spans="1:11" ht="17.5" x14ac:dyDescent="0.35">
      <c r="A21" s="11" t="s">
        <v>18</v>
      </c>
      <c r="B21" s="12" t="s">
        <v>109</v>
      </c>
      <c r="C21" s="25">
        <v>50000</v>
      </c>
      <c r="D21" s="13"/>
      <c r="E21" s="14"/>
      <c r="F21" s="15">
        <f t="shared" si="0"/>
        <v>50000</v>
      </c>
      <c r="G21" s="15"/>
      <c r="H21" s="17"/>
      <c r="I21" s="27" t="s">
        <v>79</v>
      </c>
      <c r="J21" s="33">
        <v>50000</v>
      </c>
      <c r="K21" s="29">
        <v>0</v>
      </c>
    </row>
    <row r="22" spans="1:11" ht="17.5" x14ac:dyDescent="0.35">
      <c r="A22" s="11" t="s">
        <v>19</v>
      </c>
      <c r="B22" s="12" t="s">
        <v>110</v>
      </c>
      <c r="C22" s="25">
        <v>125000</v>
      </c>
      <c r="D22" s="13"/>
      <c r="E22" s="14"/>
      <c r="F22" s="15">
        <f t="shared" si="0"/>
        <v>125000</v>
      </c>
      <c r="G22" s="15"/>
      <c r="H22" s="17"/>
      <c r="I22" s="27" t="s">
        <v>79</v>
      </c>
      <c r="J22" s="33">
        <v>125000</v>
      </c>
      <c r="K22" s="29">
        <v>0</v>
      </c>
    </row>
    <row r="23" spans="1:11" ht="17.5" x14ac:dyDescent="0.35">
      <c r="A23" s="11" t="s">
        <v>20</v>
      </c>
      <c r="B23" s="12" t="s">
        <v>111</v>
      </c>
      <c r="C23" s="25">
        <v>260000</v>
      </c>
      <c r="D23" s="13"/>
      <c r="E23" s="14"/>
      <c r="F23" s="15">
        <f t="shared" si="0"/>
        <v>260000</v>
      </c>
      <c r="G23" s="15"/>
      <c r="H23" s="17"/>
      <c r="I23" s="27" t="s">
        <v>79</v>
      </c>
      <c r="J23" s="33">
        <f>260000+202000</f>
        <v>462000</v>
      </c>
      <c r="K23" s="29">
        <v>202000</v>
      </c>
    </row>
    <row r="24" spans="1:11" ht="17.5" x14ac:dyDescent="0.35">
      <c r="A24" s="11" t="s">
        <v>21</v>
      </c>
      <c r="B24" s="12" t="s">
        <v>112</v>
      </c>
      <c r="C24" s="25">
        <v>225000</v>
      </c>
      <c r="D24" s="13"/>
      <c r="E24" s="14"/>
      <c r="F24" s="15">
        <f t="shared" si="0"/>
        <v>225000</v>
      </c>
      <c r="G24" s="15"/>
      <c r="H24" s="17"/>
      <c r="I24" s="27" t="s">
        <v>79</v>
      </c>
      <c r="J24" s="33">
        <v>240000</v>
      </c>
      <c r="K24" s="29">
        <v>15000</v>
      </c>
    </row>
    <row r="25" spans="1:11" ht="17.5" x14ac:dyDescent="0.35">
      <c r="A25" s="11" t="s">
        <v>22</v>
      </c>
      <c r="B25" s="12" t="s">
        <v>113</v>
      </c>
      <c r="C25" s="25">
        <v>375000</v>
      </c>
      <c r="D25" s="13"/>
      <c r="E25" s="14"/>
      <c r="F25" s="15">
        <f t="shared" si="0"/>
        <v>375000</v>
      </c>
      <c r="G25" s="15"/>
      <c r="H25" s="17"/>
      <c r="I25" s="27" t="s">
        <v>79</v>
      </c>
      <c r="J25" s="33">
        <f>200000+330000+75000</f>
        <v>605000</v>
      </c>
      <c r="K25" s="29">
        <v>230000</v>
      </c>
    </row>
    <row r="26" spans="1:11" ht="17.5" x14ac:dyDescent="0.35">
      <c r="A26" s="11" t="s">
        <v>23</v>
      </c>
      <c r="B26" s="12" t="s">
        <v>114</v>
      </c>
      <c r="C26" s="25">
        <v>50000</v>
      </c>
      <c r="D26" s="13"/>
      <c r="E26" s="14"/>
      <c r="F26" s="15">
        <f t="shared" si="0"/>
        <v>50000</v>
      </c>
      <c r="G26" s="15"/>
      <c r="H26" s="17"/>
      <c r="I26" s="27" t="s">
        <v>79</v>
      </c>
      <c r="J26" s="33">
        <v>50000</v>
      </c>
      <c r="K26" s="29">
        <v>0</v>
      </c>
    </row>
    <row r="27" spans="1:11" ht="17.5" x14ac:dyDescent="0.35">
      <c r="A27" s="11" t="s">
        <v>63</v>
      </c>
      <c r="B27" s="12" t="s">
        <v>115</v>
      </c>
      <c r="C27" s="25">
        <v>50000</v>
      </c>
      <c r="D27" s="13"/>
      <c r="E27" s="14"/>
      <c r="F27" s="15">
        <f>SUM(C27:E27)</f>
        <v>50000</v>
      </c>
      <c r="G27" s="15"/>
      <c r="H27" s="17"/>
      <c r="I27" s="27" t="s">
        <v>79</v>
      </c>
      <c r="J27" s="33">
        <v>50000</v>
      </c>
      <c r="K27" s="29">
        <v>0</v>
      </c>
    </row>
    <row r="28" spans="1:11" ht="17.5" x14ac:dyDescent="0.35">
      <c r="A28" s="11" t="s">
        <v>24</v>
      </c>
      <c r="B28" s="12" t="s">
        <v>116</v>
      </c>
      <c r="C28" s="25">
        <v>125000</v>
      </c>
      <c r="D28" s="13"/>
      <c r="E28" s="14"/>
      <c r="F28" s="15">
        <f t="shared" si="0"/>
        <v>125000</v>
      </c>
      <c r="G28" s="15"/>
      <c r="H28" s="17"/>
      <c r="I28" s="27" t="s">
        <v>79</v>
      </c>
      <c r="J28" s="33">
        <v>125000</v>
      </c>
      <c r="K28" s="29">
        <v>0</v>
      </c>
    </row>
    <row r="29" spans="1:11" ht="17.5" x14ac:dyDescent="0.35">
      <c r="A29" s="11" t="s">
        <v>64</v>
      </c>
      <c r="B29" s="12" t="s">
        <v>117</v>
      </c>
      <c r="C29" s="25">
        <v>50000</v>
      </c>
      <c r="D29" s="13"/>
      <c r="E29" s="14"/>
      <c r="F29" s="15">
        <f t="shared" si="0"/>
        <v>50000</v>
      </c>
      <c r="G29" s="15"/>
      <c r="H29" s="17"/>
      <c r="I29" s="27" t="s">
        <v>79</v>
      </c>
      <c r="J29" s="33">
        <v>105000</v>
      </c>
      <c r="K29" s="29">
        <v>55000</v>
      </c>
    </row>
    <row r="30" spans="1:11" ht="17.5" x14ac:dyDescent="0.35">
      <c r="A30" s="11" t="s">
        <v>25</v>
      </c>
      <c r="B30" s="12" t="s">
        <v>118</v>
      </c>
      <c r="C30" s="25">
        <v>250000</v>
      </c>
      <c r="D30" s="13"/>
      <c r="E30" s="14"/>
      <c r="F30" s="15">
        <f t="shared" si="0"/>
        <v>250000</v>
      </c>
      <c r="G30" s="15"/>
      <c r="H30" s="17"/>
      <c r="I30" s="27" t="s">
        <v>79</v>
      </c>
      <c r="J30" s="33">
        <v>250000</v>
      </c>
      <c r="K30" s="29">
        <v>0</v>
      </c>
    </row>
    <row r="31" spans="1:11" ht="17.5" x14ac:dyDescent="0.35">
      <c r="A31" s="11" t="s">
        <v>26</v>
      </c>
      <c r="B31" s="12" t="s">
        <v>119</v>
      </c>
      <c r="C31" s="25">
        <v>150000</v>
      </c>
      <c r="D31" s="13"/>
      <c r="E31" s="14"/>
      <c r="F31" s="15">
        <f t="shared" si="0"/>
        <v>150000</v>
      </c>
      <c r="G31" s="15"/>
      <c r="H31" s="17"/>
      <c r="I31" s="27" t="s">
        <v>79</v>
      </c>
      <c r="J31" s="33">
        <v>150000</v>
      </c>
      <c r="K31" s="29">
        <v>0</v>
      </c>
    </row>
    <row r="32" spans="1:11" ht="17.5" x14ac:dyDescent="0.35">
      <c r="A32" s="11" t="s">
        <v>27</v>
      </c>
      <c r="B32" s="12" t="s">
        <v>120</v>
      </c>
      <c r="C32" s="25">
        <v>125000</v>
      </c>
      <c r="D32" s="13"/>
      <c r="E32" s="14"/>
      <c r="F32" s="15">
        <f t="shared" si="0"/>
        <v>125000</v>
      </c>
      <c r="G32" s="15"/>
      <c r="H32" s="17"/>
      <c r="I32" s="27" t="s">
        <v>79</v>
      </c>
      <c r="J32" s="33">
        <f>125000+101000</f>
        <v>226000</v>
      </c>
      <c r="K32" s="29">
        <v>101000</v>
      </c>
    </row>
    <row r="33" spans="1:11" ht="17.5" x14ac:dyDescent="0.35">
      <c r="A33" s="11" t="s">
        <v>81</v>
      </c>
      <c r="B33" s="12" t="s">
        <v>121</v>
      </c>
      <c r="C33" s="25">
        <v>150000</v>
      </c>
      <c r="D33" s="13"/>
      <c r="E33" s="14"/>
      <c r="F33" s="15">
        <f t="shared" si="0"/>
        <v>150000</v>
      </c>
      <c r="G33" s="15"/>
      <c r="H33" s="17"/>
      <c r="I33" s="27" t="s">
        <v>79</v>
      </c>
      <c r="J33" s="33">
        <v>160000</v>
      </c>
      <c r="K33" s="29">
        <v>10000</v>
      </c>
    </row>
    <row r="34" spans="1:11" ht="17.5" x14ac:dyDescent="0.35">
      <c r="A34" s="11" t="s">
        <v>62</v>
      </c>
      <c r="B34" s="12" t="s">
        <v>122</v>
      </c>
      <c r="C34" s="25">
        <v>0</v>
      </c>
      <c r="D34" s="13"/>
      <c r="E34" s="14"/>
      <c r="F34" s="15">
        <f t="shared" si="0"/>
        <v>0</v>
      </c>
      <c r="G34" s="15"/>
      <c r="H34" s="17"/>
      <c r="I34" s="27"/>
      <c r="J34" s="33"/>
      <c r="K34" s="29">
        <v>-50000</v>
      </c>
    </row>
    <row r="35" spans="1:11" ht="17.5" x14ac:dyDescent="0.35">
      <c r="A35" s="11" t="s">
        <v>65</v>
      </c>
      <c r="B35" s="12" t="s">
        <v>123</v>
      </c>
      <c r="C35" s="25">
        <v>60000</v>
      </c>
      <c r="D35" s="13"/>
      <c r="E35" s="14"/>
      <c r="F35" s="15">
        <f t="shared" si="0"/>
        <v>60000</v>
      </c>
      <c r="G35" s="15"/>
      <c r="H35" s="17"/>
      <c r="I35" s="27" t="s">
        <v>79</v>
      </c>
      <c r="J35" s="33">
        <v>60000</v>
      </c>
      <c r="K35" s="29">
        <v>0</v>
      </c>
    </row>
    <row r="36" spans="1:11" ht="17.5" x14ac:dyDescent="0.35">
      <c r="A36" s="11" t="s">
        <v>28</v>
      </c>
      <c r="B36" s="12" t="s">
        <v>124</v>
      </c>
      <c r="C36" s="25">
        <v>50000</v>
      </c>
      <c r="D36" s="13"/>
      <c r="E36" s="14"/>
      <c r="F36" s="15">
        <f t="shared" si="0"/>
        <v>50000</v>
      </c>
      <c r="G36" s="15"/>
      <c r="H36" s="17"/>
      <c r="I36" s="27" t="s">
        <v>79</v>
      </c>
      <c r="J36" s="33">
        <v>50000</v>
      </c>
      <c r="K36" s="29">
        <v>0</v>
      </c>
    </row>
    <row r="37" spans="1:11" ht="17.5" x14ac:dyDescent="0.35">
      <c r="A37" s="11" t="s">
        <v>80</v>
      </c>
      <c r="B37" s="12" t="s">
        <v>125</v>
      </c>
      <c r="C37" s="25">
        <v>150000</v>
      </c>
      <c r="D37" s="13"/>
      <c r="E37" s="14"/>
      <c r="F37" s="15">
        <f t="shared" si="0"/>
        <v>150000</v>
      </c>
      <c r="G37" s="15"/>
      <c r="H37" s="17"/>
      <c r="I37" s="27" t="s">
        <v>79</v>
      </c>
      <c r="J37" s="33"/>
      <c r="K37" s="29">
        <v>-150000</v>
      </c>
    </row>
    <row r="38" spans="1:11" ht="17.5" x14ac:dyDescent="0.35">
      <c r="A38" s="11" t="s">
        <v>29</v>
      </c>
      <c r="B38" s="12" t="s">
        <v>126</v>
      </c>
      <c r="C38" s="25">
        <v>125000</v>
      </c>
      <c r="D38" s="13"/>
      <c r="E38" s="14"/>
      <c r="F38" s="15">
        <f t="shared" si="0"/>
        <v>125000</v>
      </c>
      <c r="G38" s="15"/>
      <c r="H38" s="17"/>
      <c r="I38" s="27" t="s">
        <v>79</v>
      </c>
      <c r="J38" s="33">
        <v>125000</v>
      </c>
      <c r="K38" s="29">
        <v>0</v>
      </c>
    </row>
    <row r="39" spans="1:11" x14ac:dyDescent="0.35">
      <c r="A39" s="16"/>
      <c r="B39" s="17"/>
      <c r="C39" s="17"/>
      <c r="D39" s="17"/>
      <c r="E39" s="17"/>
      <c r="F39" s="17"/>
      <c r="G39" s="17"/>
      <c r="H39" s="17"/>
      <c r="I39" s="17"/>
      <c r="J39" s="32"/>
      <c r="K39" s="18"/>
    </row>
    <row r="40" spans="1:11" ht="18" thickBot="1" x14ac:dyDescent="0.4">
      <c r="A40" s="19"/>
      <c r="B40" s="20" t="s">
        <v>30</v>
      </c>
      <c r="C40" s="21">
        <f>SUM(C7:C39)</f>
        <v>4435000</v>
      </c>
      <c r="D40" s="21">
        <f>SUM(D7:D39)</f>
        <v>0</v>
      </c>
      <c r="E40" s="21">
        <f>SUM(E7:E39)</f>
        <v>0</v>
      </c>
      <c r="F40" s="21">
        <f>SUM(F7:F39)</f>
        <v>4435000</v>
      </c>
      <c r="G40" s="21">
        <f>SUM(G7:G39)</f>
        <v>0</v>
      </c>
      <c r="H40" s="21">
        <f t="shared" ref="H40" si="1">SUM(H8:H39)</f>
        <v>0</v>
      </c>
      <c r="I40" s="28"/>
      <c r="J40" s="21">
        <f t="shared" ref="J40" si="2">SUM(J6:J39)</f>
        <v>5846500</v>
      </c>
      <c r="K40" s="22">
        <f>SUM(K6:K39)</f>
        <v>1186500</v>
      </c>
    </row>
    <row r="41" spans="1:11" ht="15" thickTop="1" x14ac:dyDescent="0.35"/>
  </sheetData>
  <autoFilter ref="A5:F38" xr:uid="{00000000-0009-0000-0000-000009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1"/>
  <sheetViews>
    <sheetView zoomScale="106" zoomScaleNormal="106" workbookViewId="0">
      <pane xSplit="3" ySplit="5" topLeftCell="D12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C16" sqref="C16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  <col min="9" max="9" width="12.54296875" customWidth="1"/>
    <col min="10" max="10" width="13.08984375" bestFit="1" customWidth="1"/>
    <col min="11" max="11" width="18.453125" customWidth="1"/>
  </cols>
  <sheetData>
    <row r="1" spans="1:11" ht="21" x14ac:dyDescent="0.5">
      <c r="A1" s="1" t="s">
        <v>2</v>
      </c>
      <c r="B1" s="1" t="s">
        <v>3</v>
      </c>
      <c r="C1" s="24" t="s">
        <v>74</v>
      </c>
    </row>
    <row r="2" spans="1:11" x14ac:dyDescent="0.35">
      <c r="A2" s="1" t="s">
        <v>4</v>
      </c>
      <c r="B2" s="1">
        <v>2024</v>
      </c>
    </row>
    <row r="3" spans="1:11" x14ac:dyDescent="0.3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11" ht="29" thickBot="1" x14ac:dyDescent="0.7">
      <c r="B4" s="51" t="s">
        <v>58</v>
      </c>
      <c r="C4" s="49"/>
      <c r="D4" s="49"/>
      <c r="E4" s="49"/>
      <c r="F4" s="3"/>
    </row>
    <row r="5" spans="1:11" ht="68.25" customHeight="1" thickTop="1" x14ac:dyDescent="0.35">
      <c r="A5" s="8" t="s">
        <v>0</v>
      </c>
      <c r="B5" s="9" t="s">
        <v>1</v>
      </c>
      <c r="C5" s="10" t="s">
        <v>33</v>
      </c>
      <c r="D5" s="10" t="s">
        <v>32</v>
      </c>
      <c r="E5" s="10" t="s">
        <v>34</v>
      </c>
      <c r="F5" s="10" t="s">
        <v>31</v>
      </c>
      <c r="G5" s="10" t="s">
        <v>59</v>
      </c>
      <c r="H5" s="26" t="s">
        <v>61</v>
      </c>
      <c r="I5" s="26" t="s">
        <v>78</v>
      </c>
      <c r="J5" s="31" t="s">
        <v>86</v>
      </c>
      <c r="K5" s="23" t="s">
        <v>85</v>
      </c>
    </row>
    <row r="6" spans="1:11" ht="17.5" x14ac:dyDescent="0.35">
      <c r="A6" s="11" t="s">
        <v>60</v>
      </c>
      <c r="B6" s="12" t="s">
        <v>3</v>
      </c>
      <c r="C6" s="25">
        <v>175000</v>
      </c>
      <c r="D6" s="13"/>
      <c r="E6" s="14"/>
      <c r="F6" s="15">
        <f>SUM(C6:E6)</f>
        <v>175000</v>
      </c>
      <c r="G6" s="15"/>
      <c r="H6" s="17">
        <v>2385</v>
      </c>
      <c r="I6" s="27" t="s">
        <v>79</v>
      </c>
      <c r="J6" s="33"/>
      <c r="K6" s="29">
        <v>-175000</v>
      </c>
    </row>
    <row r="7" spans="1:11" ht="17.5" x14ac:dyDescent="0.35">
      <c r="A7" s="11" t="s">
        <v>66</v>
      </c>
      <c r="B7" s="12" t="s">
        <v>95</v>
      </c>
      <c r="C7" s="25">
        <v>0</v>
      </c>
      <c r="D7" s="13">
        <v>110000</v>
      </c>
      <c r="E7" s="14"/>
      <c r="F7" s="15">
        <f t="shared" ref="F7:F38" si="0">SUM(C7:E7)</f>
        <v>110000</v>
      </c>
      <c r="G7" s="15"/>
      <c r="H7" s="17"/>
      <c r="I7" s="27"/>
      <c r="J7" s="33"/>
      <c r="K7" s="29">
        <v>0</v>
      </c>
    </row>
    <row r="8" spans="1:11" ht="17.5" x14ac:dyDescent="0.35">
      <c r="A8" s="11" t="s">
        <v>6</v>
      </c>
      <c r="B8" s="12" t="s">
        <v>96</v>
      </c>
      <c r="C8" s="25">
        <v>0</v>
      </c>
      <c r="D8" s="13">
        <v>128000</v>
      </c>
      <c r="E8" s="14"/>
      <c r="F8" s="15">
        <f t="shared" si="0"/>
        <v>128000</v>
      </c>
      <c r="G8" s="15"/>
      <c r="H8" s="17"/>
      <c r="I8" s="27"/>
      <c r="J8" s="33"/>
      <c r="K8" s="29">
        <v>0</v>
      </c>
    </row>
    <row r="9" spans="1:11" ht="17.5" x14ac:dyDescent="0.35">
      <c r="A9" s="11" t="s">
        <v>7</v>
      </c>
      <c r="B9" s="12" t="s">
        <v>97</v>
      </c>
      <c r="C9" s="25">
        <v>250000</v>
      </c>
      <c r="D9" s="13"/>
      <c r="E9" s="14"/>
      <c r="F9" s="15">
        <f t="shared" si="0"/>
        <v>250000</v>
      </c>
      <c r="G9" s="15"/>
      <c r="H9" s="17"/>
      <c r="I9" s="27" t="s">
        <v>79</v>
      </c>
      <c r="J9" s="33">
        <f>205000+151000</f>
        <v>356000</v>
      </c>
      <c r="K9" s="29">
        <v>106000</v>
      </c>
    </row>
    <row r="10" spans="1:11" ht="17.5" x14ac:dyDescent="0.35">
      <c r="A10" s="11" t="s">
        <v>8</v>
      </c>
      <c r="B10" s="12" t="s">
        <v>98</v>
      </c>
      <c r="C10" s="25">
        <v>0</v>
      </c>
      <c r="D10" s="13">
        <f>61000+75000+101000+50000+3000</f>
        <v>290000</v>
      </c>
      <c r="E10" s="14"/>
      <c r="F10" s="15">
        <f t="shared" si="0"/>
        <v>290000</v>
      </c>
      <c r="G10" s="15"/>
      <c r="H10" s="17"/>
      <c r="I10" s="27"/>
      <c r="J10" s="33"/>
      <c r="K10" s="29">
        <v>0</v>
      </c>
    </row>
    <row r="11" spans="1:11" ht="17.5" x14ac:dyDescent="0.35">
      <c r="A11" s="11" t="s">
        <v>9</v>
      </c>
      <c r="B11" s="12" t="s">
        <v>99</v>
      </c>
      <c r="C11" s="25">
        <v>125000</v>
      </c>
      <c r="D11" s="13"/>
      <c r="E11" s="14"/>
      <c r="F11" s="15">
        <f t="shared" si="0"/>
        <v>125000</v>
      </c>
      <c r="G11" s="15"/>
      <c r="H11" s="17"/>
      <c r="I11" s="27" t="s">
        <v>79</v>
      </c>
      <c r="J11" s="33">
        <v>230000</v>
      </c>
      <c r="K11" s="29">
        <v>105000</v>
      </c>
    </row>
    <row r="12" spans="1:11" ht="17.5" x14ac:dyDescent="0.35">
      <c r="A12" s="11" t="s">
        <v>10</v>
      </c>
      <c r="B12" s="12" t="s">
        <v>100</v>
      </c>
      <c r="C12" s="25">
        <v>330000</v>
      </c>
      <c r="D12" s="13"/>
      <c r="E12" s="14"/>
      <c r="F12" s="15">
        <f t="shared" si="0"/>
        <v>330000</v>
      </c>
      <c r="G12" s="15"/>
      <c r="H12" s="17"/>
      <c r="I12" s="27" t="s">
        <v>79</v>
      </c>
      <c r="J12" s="33">
        <f>100000+230000+202000</f>
        <v>532000</v>
      </c>
      <c r="K12" s="29">
        <v>202000</v>
      </c>
    </row>
    <row r="13" spans="1:11" ht="17.5" x14ac:dyDescent="0.35">
      <c r="A13" s="11" t="s">
        <v>11</v>
      </c>
      <c r="B13" s="12" t="s">
        <v>101</v>
      </c>
      <c r="C13" s="25">
        <v>50000</v>
      </c>
      <c r="D13" s="13"/>
      <c r="E13" s="14"/>
      <c r="F13" s="15">
        <f t="shared" si="0"/>
        <v>50000</v>
      </c>
      <c r="G13" s="15"/>
      <c r="H13" s="17"/>
      <c r="I13" s="27" t="s">
        <v>79</v>
      </c>
      <c r="J13" s="33">
        <v>50000</v>
      </c>
      <c r="K13" s="29">
        <v>0</v>
      </c>
    </row>
    <row r="14" spans="1:11" ht="17.5" x14ac:dyDescent="0.35">
      <c r="A14" s="11" t="s">
        <v>12</v>
      </c>
      <c r="B14" s="12" t="s">
        <v>102</v>
      </c>
      <c r="C14" s="25">
        <v>50000</v>
      </c>
      <c r="D14" s="13"/>
      <c r="E14" s="14"/>
      <c r="F14" s="15">
        <f t="shared" si="0"/>
        <v>50000</v>
      </c>
      <c r="G14" s="15"/>
      <c r="H14" s="17"/>
      <c r="I14" s="27" t="s">
        <v>79</v>
      </c>
      <c r="J14" s="33">
        <v>50000</v>
      </c>
      <c r="K14" s="29">
        <v>0</v>
      </c>
    </row>
    <row r="15" spans="1:11" ht="17.5" x14ac:dyDescent="0.35">
      <c r="A15" s="11" t="s">
        <v>13</v>
      </c>
      <c r="B15" s="12" t="s">
        <v>103</v>
      </c>
      <c r="C15" s="25">
        <v>125000</v>
      </c>
      <c r="D15" s="13"/>
      <c r="E15" s="14"/>
      <c r="F15" s="15">
        <f t="shared" si="0"/>
        <v>125000</v>
      </c>
      <c r="G15" s="15"/>
      <c r="H15" s="17"/>
      <c r="I15" s="27" t="s">
        <v>79</v>
      </c>
      <c r="J15" s="33">
        <v>125000</v>
      </c>
      <c r="K15" s="29">
        <v>0</v>
      </c>
    </row>
    <row r="16" spans="1:11" ht="17.5" x14ac:dyDescent="0.35">
      <c r="A16" s="11" t="s">
        <v>14</v>
      </c>
      <c r="B16" s="12" t="s">
        <v>104</v>
      </c>
      <c r="C16" s="25">
        <v>250000</v>
      </c>
      <c r="D16" s="13"/>
      <c r="E16" s="14"/>
      <c r="F16" s="15">
        <f t="shared" si="0"/>
        <v>250000</v>
      </c>
      <c r="G16" s="15"/>
      <c r="H16" s="17"/>
      <c r="I16" s="27" t="s">
        <v>79</v>
      </c>
      <c r="J16" s="33">
        <f>250000+202000</f>
        <v>452000</v>
      </c>
      <c r="K16" s="29">
        <v>192000</v>
      </c>
    </row>
    <row r="17" spans="1:11" ht="17.5" x14ac:dyDescent="0.35">
      <c r="A17" s="11" t="s">
        <v>15</v>
      </c>
      <c r="B17" s="12" t="s">
        <v>105</v>
      </c>
      <c r="C17" s="25">
        <v>150000</v>
      </c>
      <c r="D17" s="13">
        <v>210000</v>
      </c>
      <c r="E17" s="14"/>
      <c r="F17" s="15">
        <f t="shared" si="0"/>
        <v>360000</v>
      </c>
      <c r="G17" s="15"/>
      <c r="H17" s="17"/>
      <c r="I17" s="27" t="s">
        <v>79</v>
      </c>
      <c r="J17" s="33">
        <v>170000</v>
      </c>
      <c r="K17" s="29">
        <v>0</v>
      </c>
    </row>
    <row r="18" spans="1:11" ht="17.5" x14ac:dyDescent="0.35">
      <c r="A18" s="11" t="s">
        <v>16</v>
      </c>
      <c r="B18" s="12" t="s">
        <v>106</v>
      </c>
      <c r="C18" s="25">
        <v>150000</v>
      </c>
      <c r="D18" s="13"/>
      <c r="E18" s="14"/>
      <c r="F18" s="15">
        <f t="shared" si="0"/>
        <v>150000</v>
      </c>
      <c r="G18" s="15"/>
      <c r="H18" s="17"/>
      <c r="I18" s="27" t="s">
        <v>79</v>
      </c>
      <c r="J18" s="33">
        <v>362000</v>
      </c>
      <c r="K18" s="29">
        <v>212000</v>
      </c>
    </row>
    <row r="19" spans="1:11" ht="17.5" x14ac:dyDescent="0.35">
      <c r="A19" s="11" t="s">
        <v>82</v>
      </c>
      <c r="B19" s="12" t="s">
        <v>107</v>
      </c>
      <c r="C19" s="25">
        <v>50000</v>
      </c>
      <c r="D19" s="13"/>
      <c r="E19" s="14"/>
      <c r="F19" s="15">
        <f t="shared" si="0"/>
        <v>50000</v>
      </c>
      <c r="G19" s="15"/>
      <c r="H19" s="17"/>
      <c r="I19" s="27" t="s">
        <v>79</v>
      </c>
      <c r="J19" s="33">
        <v>50000</v>
      </c>
      <c r="K19" s="29">
        <v>0</v>
      </c>
    </row>
    <row r="20" spans="1:11" ht="17.5" x14ac:dyDescent="0.35">
      <c r="A20" s="11" t="s">
        <v>17</v>
      </c>
      <c r="B20" s="12" t="s">
        <v>108</v>
      </c>
      <c r="C20" s="25">
        <v>225000</v>
      </c>
      <c r="D20" s="13"/>
      <c r="E20" s="14"/>
      <c r="F20" s="15">
        <f t="shared" si="0"/>
        <v>225000</v>
      </c>
      <c r="G20" s="15"/>
      <c r="H20" s="17"/>
      <c r="I20" s="27" t="s">
        <v>79</v>
      </c>
      <c r="J20" s="33">
        <f>202000+225000</f>
        <v>427000</v>
      </c>
      <c r="K20" s="29">
        <v>202000</v>
      </c>
    </row>
    <row r="21" spans="1:11" ht="17.5" x14ac:dyDescent="0.35">
      <c r="A21" s="11" t="s">
        <v>18</v>
      </c>
      <c r="B21" s="12" t="s">
        <v>109</v>
      </c>
      <c r="C21" s="25">
        <v>50000</v>
      </c>
      <c r="D21" s="13"/>
      <c r="E21" s="14"/>
      <c r="F21" s="15">
        <f t="shared" si="0"/>
        <v>50000</v>
      </c>
      <c r="G21" s="15"/>
      <c r="H21" s="17"/>
      <c r="I21" s="27" t="s">
        <v>79</v>
      </c>
      <c r="J21" s="33">
        <v>50000</v>
      </c>
      <c r="K21" s="29">
        <v>0</v>
      </c>
    </row>
    <row r="22" spans="1:11" ht="17.5" x14ac:dyDescent="0.35">
      <c r="A22" s="11" t="s">
        <v>19</v>
      </c>
      <c r="B22" s="12" t="s">
        <v>110</v>
      </c>
      <c r="C22" s="25">
        <v>125000</v>
      </c>
      <c r="D22" s="13"/>
      <c r="E22" s="14"/>
      <c r="F22" s="15">
        <f t="shared" si="0"/>
        <v>125000</v>
      </c>
      <c r="G22" s="15"/>
      <c r="H22" s="17"/>
      <c r="I22" s="27" t="s">
        <v>79</v>
      </c>
      <c r="J22" s="33">
        <v>125000</v>
      </c>
      <c r="K22" s="29">
        <v>0</v>
      </c>
    </row>
    <row r="23" spans="1:11" ht="17.5" x14ac:dyDescent="0.35">
      <c r="A23" s="11" t="s">
        <v>20</v>
      </c>
      <c r="B23" s="12" t="s">
        <v>111</v>
      </c>
      <c r="C23" s="25">
        <v>260000</v>
      </c>
      <c r="D23" s="13"/>
      <c r="E23" s="14"/>
      <c r="F23" s="15">
        <f t="shared" si="0"/>
        <v>260000</v>
      </c>
      <c r="G23" s="15"/>
      <c r="H23" s="17"/>
      <c r="I23" s="27" t="s">
        <v>79</v>
      </c>
      <c r="J23" s="33">
        <f>260000+202000</f>
        <v>462000</v>
      </c>
      <c r="K23" s="29">
        <v>202000</v>
      </c>
    </row>
    <row r="24" spans="1:11" ht="17.5" x14ac:dyDescent="0.35">
      <c r="A24" s="11" t="s">
        <v>21</v>
      </c>
      <c r="B24" s="12" t="s">
        <v>112</v>
      </c>
      <c r="C24" s="25">
        <v>225000</v>
      </c>
      <c r="D24" s="13">
        <v>209000</v>
      </c>
      <c r="E24" s="14"/>
      <c r="F24" s="15">
        <f t="shared" si="0"/>
        <v>434000</v>
      </c>
      <c r="G24" s="15"/>
      <c r="H24" s="17"/>
      <c r="I24" s="27" t="s">
        <v>79</v>
      </c>
      <c r="J24" s="33">
        <v>240000</v>
      </c>
      <c r="K24" s="29">
        <v>0</v>
      </c>
    </row>
    <row r="25" spans="1:11" ht="17.5" x14ac:dyDescent="0.35">
      <c r="A25" s="11" t="s">
        <v>22</v>
      </c>
      <c r="B25" s="12" t="s">
        <v>113</v>
      </c>
      <c r="C25" s="25">
        <v>375000</v>
      </c>
      <c r="D25" s="13"/>
      <c r="E25" s="14"/>
      <c r="F25" s="15">
        <f t="shared" si="0"/>
        <v>375000</v>
      </c>
      <c r="G25" s="15"/>
      <c r="H25" s="17"/>
      <c r="I25" s="27" t="s">
        <v>79</v>
      </c>
      <c r="J25" s="33">
        <f>300000+75000+83000</f>
        <v>458000</v>
      </c>
      <c r="K25" s="29">
        <v>83000</v>
      </c>
    </row>
    <row r="26" spans="1:11" ht="17.5" x14ac:dyDescent="0.35">
      <c r="A26" s="11" t="s">
        <v>23</v>
      </c>
      <c r="B26" s="12" t="s">
        <v>114</v>
      </c>
      <c r="C26" s="25">
        <v>50000</v>
      </c>
      <c r="D26" s="13"/>
      <c r="E26" s="14"/>
      <c r="F26" s="15">
        <f t="shared" si="0"/>
        <v>50000</v>
      </c>
      <c r="G26" s="15"/>
      <c r="H26" s="17"/>
      <c r="I26" s="27" t="s">
        <v>79</v>
      </c>
      <c r="J26" s="33">
        <v>112000</v>
      </c>
      <c r="K26" s="29">
        <v>62000</v>
      </c>
    </row>
    <row r="27" spans="1:11" ht="17.5" x14ac:dyDescent="0.35">
      <c r="A27" s="11" t="s">
        <v>63</v>
      </c>
      <c r="B27" s="12" t="s">
        <v>115</v>
      </c>
      <c r="C27" s="25">
        <v>50000</v>
      </c>
      <c r="D27" s="13"/>
      <c r="E27" s="14"/>
      <c r="F27" s="15">
        <f>SUM(C27:E27)</f>
        <v>50000</v>
      </c>
      <c r="G27" s="15"/>
      <c r="H27" s="17"/>
      <c r="I27" s="27" t="s">
        <v>79</v>
      </c>
      <c r="J27" s="33">
        <v>50000</v>
      </c>
      <c r="K27" s="29">
        <v>0</v>
      </c>
    </row>
    <row r="28" spans="1:11" ht="17.5" x14ac:dyDescent="0.35">
      <c r="A28" s="11" t="s">
        <v>24</v>
      </c>
      <c r="B28" s="12" t="s">
        <v>116</v>
      </c>
      <c r="C28" s="25">
        <v>125000</v>
      </c>
      <c r="D28" s="13"/>
      <c r="E28" s="14"/>
      <c r="F28" s="15">
        <f t="shared" si="0"/>
        <v>125000</v>
      </c>
      <c r="G28" s="15"/>
      <c r="H28" s="17"/>
      <c r="I28" s="27" t="s">
        <v>79</v>
      </c>
      <c r="J28" s="33">
        <v>125000</v>
      </c>
      <c r="K28" s="29">
        <v>0</v>
      </c>
    </row>
    <row r="29" spans="1:11" ht="17.5" x14ac:dyDescent="0.35">
      <c r="A29" s="11" t="s">
        <v>64</v>
      </c>
      <c r="B29" s="12" t="s">
        <v>117</v>
      </c>
      <c r="C29" s="25">
        <v>50000</v>
      </c>
      <c r="D29" s="13"/>
      <c r="E29" s="14"/>
      <c r="F29" s="15">
        <f t="shared" si="0"/>
        <v>50000</v>
      </c>
      <c r="G29" s="15"/>
      <c r="H29" s="17"/>
      <c r="I29" s="27" t="s">
        <v>79</v>
      </c>
      <c r="J29" s="33">
        <v>112000</v>
      </c>
      <c r="K29" s="29">
        <v>62000</v>
      </c>
    </row>
    <row r="30" spans="1:11" ht="17.5" x14ac:dyDescent="0.35">
      <c r="A30" s="11" t="s">
        <v>25</v>
      </c>
      <c r="B30" s="12" t="s">
        <v>118</v>
      </c>
      <c r="C30" s="25">
        <v>250000</v>
      </c>
      <c r="D30" s="13"/>
      <c r="E30" s="14"/>
      <c r="F30" s="15">
        <f t="shared" si="0"/>
        <v>250000</v>
      </c>
      <c r="G30" s="15"/>
      <c r="H30" s="17"/>
      <c r="I30" s="27" t="s">
        <v>79</v>
      </c>
      <c r="J30" s="33">
        <v>250000</v>
      </c>
      <c r="K30" s="29">
        <v>0</v>
      </c>
    </row>
    <row r="31" spans="1:11" ht="17.5" x14ac:dyDescent="0.35">
      <c r="A31" s="11" t="s">
        <v>26</v>
      </c>
      <c r="B31" s="12" t="s">
        <v>119</v>
      </c>
      <c r="C31" s="25">
        <v>150000</v>
      </c>
      <c r="D31" s="13"/>
      <c r="E31" s="14"/>
      <c r="F31" s="15">
        <f t="shared" si="0"/>
        <v>150000</v>
      </c>
      <c r="G31" s="15"/>
      <c r="H31" s="17"/>
      <c r="I31" s="27" t="s">
        <v>79</v>
      </c>
      <c r="J31" s="33">
        <f>130000+20000</f>
        <v>150000</v>
      </c>
      <c r="K31" s="29">
        <v>0</v>
      </c>
    </row>
    <row r="32" spans="1:11" ht="17.5" x14ac:dyDescent="0.35">
      <c r="A32" s="11" t="s">
        <v>27</v>
      </c>
      <c r="B32" s="12" t="s">
        <v>120</v>
      </c>
      <c r="C32" s="25">
        <v>125000</v>
      </c>
      <c r="D32" s="13"/>
      <c r="E32" s="14"/>
      <c r="F32" s="15">
        <f t="shared" si="0"/>
        <v>125000</v>
      </c>
      <c r="G32" s="15"/>
      <c r="H32" s="17"/>
      <c r="I32" s="27" t="s">
        <v>79</v>
      </c>
      <c r="J32" s="33">
        <f>125000+202000</f>
        <v>327000</v>
      </c>
      <c r="K32" s="29">
        <v>202000</v>
      </c>
    </row>
    <row r="33" spans="1:13" ht="17.5" x14ac:dyDescent="0.35">
      <c r="A33" s="11" t="s">
        <v>81</v>
      </c>
      <c r="B33" s="12" t="s">
        <v>121</v>
      </c>
      <c r="C33" s="25">
        <v>150000</v>
      </c>
      <c r="D33" s="13"/>
      <c r="E33" s="14"/>
      <c r="F33" s="15">
        <f t="shared" si="0"/>
        <v>150000</v>
      </c>
      <c r="G33" s="15"/>
      <c r="H33" s="17"/>
      <c r="I33" s="27" t="s">
        <v>79</v>
      </c>
      <c r="J33" s="33">
        <v>160000</v>
      </c>
      <c r="K33" s="29">
        <v>10000</v>
      </c>
    </row>
    <row r="34" spans="1:13" ht="17.5" x14ac:dyDescent="0.35">
      <c r="A34" s="11" t="s">
        <v>62</v>
      </c>
      <c r="B34" s="12" t="s">
        <v>122</v>
      </c>
      <c r="C34" s="25">
        <v>50000</v>
      </c>
      <c r="D34" s="13"/>
      <c r="E34" s="14"/>
      <c r="F34" s="15">
        <f t="shared" si="0"/>
        <v>50000</v>
      </c>
      <c r="G34" s="15"/>
      <c r="H34" s="17"/>
      <c r="I34" s="27" t="s">
        <v>79</v>
      </c>
      <c r="J34" s="33">
        <v>110000</v>
      </c>
      <c r="K34" s="29">
        <v>60000</v>
      </c>
      <c r="L34">
        <v>3750</v>
      </c>
      <c r="M34">
        <v>44250</v>
      </c>
    </row>
    <row r="35" spans="1:13" ht="17.5" x14ac:dyDescent="0.35">
      <c r="A35" s="11" t="s">
        <v>65</v>
      </c>
      <c r="B35" s="12" t="s">
        <v>123</v>
      </c>
      <c r="C35" s="25">
        <v>60000</v>
      </c>
      <c r="D35" s="13"/>
      <c r="E35" s="14"/>
      <c r="F35" s="15">
        <f t="shared" si="0"/>
        <v>60000</v>
      </c>
      <c r="G35" s="15"/>
      <c r="H35" s="17"/>
      <c r="I35" s="27" t="s">
        <v>79</v>
      </c>
      <c r="J35" s="33">
        <v>60000</v>
      </c>
      <c r="K35" s="29">
        <v>0</v>
      </c>
    </row>
    <row r="36" spans="1:13" ht="17.5" x14ac:dyDescent="0.35">
      <c r="A36" s="11" t="s">
        <v>28</v>
      </c>
      <c r="B36" s="12" t="s">
        <v>124</v>
      </c>
      <c r="C36" s="25">
        <v>50000</v>
      </c>
      <c r="D36" s="13"/>
      <c r="E36" s="14"/>
      <c r="F36" s="15">
        <f t="shared" si="0"/>
        <v>50000</v>
      </c>
      <c r="G36" s="15"/>
      <c r="H36" s="17"/>
      <c r="I36" s="27" t="s">
        <v>79</v>
      </c>
      <c r="J36" s="33">
        <v>50000</v>
      </c>
      <c r="K36" s="29">
        <v>0</v>
      </c>
    </row>
    <row r="37" spans="1:13" ht="17.5" x14ac:dyDescent="0.35">
      <c r="A37" s="11" t="s">
        <v>80</v>
      </c>
      <c r="B37" s="12" t="s">
        <v>125</v>
      </c>
      <c r="C37" s="25">
        <v>0</v>
      </c>
      <c r="D37" s="13">
        <v>153000</v>
      </c>
      <c r="E37" s="14"/>
      <c r="F37" s="15">
        <f t="shared" si="0"/>
        <v>153000</v>
      </c>
      <c r="G37" s="15"/>
      <c r="H37" s="17"/>
      <c r="I37" s="27"/>
      <c r="J37" s="33"/>
      <c r="K37" s="29">
        <v>0</v>
      </c>
    </row>
    <row r="38" spans="1:13" ht="17.5" x14ac:dyDescent="0.35">
      <c r="A38" s="11" t="s">
        <v>29</v>
      </c>
      <c r="B38" s="12" t="s">
        <v>126</v>
      </c>
      <c r="C38" s="25">
        <v>125000</v>
      </c>
      <c r="D38" s="13"/>
      <c r="E38" s="14"/>
      <c r="F38" s="15">
        <f t="shared" si="0"/>
        <v>125000</v>
      </c>
      <c r="G38" s="15"/>
      <c r="H38" s="17"/>
      <c r="I38" s="27" t="s">
        <v>79</v>
      </c>
      <c r="J38" s="33">
        <v>125000</v>
      </c>
      <c r="K38" s="29">
        <v>0</v>
      </c>
    </row>
    <row r="39" spans="1:13" x14ac:dyDescent="0.35">
      <c r="A39" s="16"/>
      <c r="B39" s="17"/>
      <c r="C39" s="17"/>
      <c r="D39" s="17"/>
      <c r="E39" s="17"/>
      <c r="F39" s="17"/>
      <c r="G39" s="17"/>
      <c r="H39" s="17"/>
      <c r="I39" s="17"/>
      <c r="J39" s="32"/>
      <c r="K39" s="18"/>
    </row>
    <row r="40" spans="1:13" ht="18" thickBot="1" x14ac:dyDescent="0.4">
      <c r="A40" s="19"/>
      <c r="B40" s="20" t="s">
        <v>30</v>
      </c>
      <c r="C40" s="21">
        <f>SUM(C7:C39)</f>
        <v>4025000</v>
      </c>
      <c r="D40" s="21">
        <f>SUM(D7:D39)</f>
        <v>1100000</v>
      </c>
      <c r="E40" s="21">
        <f>SUM(E7:E39)</f>
        <v>0</v>
      </c>
      <c r="F40" s="21">
        <f>SUM(F7:F39)</f>
        <v>5125000</v>
      </c>
      <c r="G40" s="21">
        <f>SUM(G7:G39)</f>
        <v>0</v>
      </c>
      <c r="H40" s="21">
        <f t="shared" ref="H40" si="1">SUM(H8:H39)</f>
        <v>0</v>
      </c>
      <c r="I40" s="28"/>
      <c r="J40" s="21">
        <f t="shared" ref="J40" si="2">SUM(J6:J39)</f>
        <v>5770000</v>
      </c>
      <c r="K40" s="22">
        <f>SUM(K6:K39)</f>
        <v>1525000</v>
      </c>
    </row>
    <row r="41" spans="1:13" ht="15" thickTop="1" x14ac:dyDescent="0.35"/>
  </sheetData>
  <autoFilter ref="A5:F38" xr:uid="{00000000-0009-0000-0000-00000A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1"/>
  <sheetViews>
    <sheetView zoomScale="112" zoomScaleNormal="112" workbookViewId="0">
      <pane xSplit="3" ySplit="5" topLeftCell="G30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A33" sqref="A33:XFD33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  <col min="9" max="9" width="12.54296875" customWidth="1"/>
    <col min="10" max="10" width="13.26953125" bestFit="1" customWidth="1"/>
    <col min="11" max="11" width="18.453125" customWidth="1"/>
  </cols>
  <sheetData>
    <row r="1" spans="1:11" ht="21" x14ac:dyDescent="0.5">
      <c r="A1" s="1" t="s">
        <v>2</v>
      </c>
      <c r="B1" s="1" t="s">
        <v>3</v>
      </c>
      <c r="C1" s="24" t="s">
        <v>75</v>
      </c>
    </row>
    <row r="2" spans="1:11" x14ac:dyDescent="0.35">
      <c r="A2" s="1" t="s">
        <v>4</v>
      </c>
      <c r="B2" s="1">
        <v>2024</v>
      </c>
    </row>
    <row r="3" spans="1:11" x14ac:dyDescent="0.3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11" ht="29" thickBot="1" x14ac:dyDescent="0.7">
      <c r="B4" s="51" t="s">
        <v>58</v>
      </c>
      <c r="C4" s="49"/>
      <c r="D4" s="49"/>
      <c r="E4" s="49"/>
      <c r="F4" s="3"/>
    </row>
    <row r="5" spans="1:11" ht="68.25" customHeight="1" thickTop="1" x14ac:dyDescent="0.35">
      <c r="A5" s="8" t="s">
        <v>0</v>
      </c>
      <c r="B5" s="9" t="s">
        <v>1</v>
      </c>
      <c r="C5" s="10" t="s">
        <v>33</v>
      </c>
      <c r="D5" s="10" t="s">
        <v>32</v>
      </c>
      <c r="E5" s="10" t="s">
        <v>34</v>
      </c>
      <c r="F5" s="10" t="s">
        <v>31</v>
      </c>
      <c r="G5" s="10" t="s">
        <v>59</v>
      </c>
      <c r="H5" s="26" t="s">
        <v>61</v>
      </c>
      <c r="I5" s="26" t="s">
        <v>78</v>
      </c>
      <c r="J5" s="31" t="s">
        <v>86</v>
      </c>
      <c r="K5" s="23" t="s">
        <v>85</v>
      </c>
    </row>
    <row r="6" spans="1:11" ht="17.5" x14ac:dyDescent="0.35">
      <c r="A6" s="11" t="s">
        <v>60</v>
      </c>
      <c r="B6" s="12" t="s">
        <v>3</v>
      </c>
      <c r="C6" s="25">
        <v>175000</v>
      </c>
      <c r="D6" s="13"/>
      <c r="E6" s="14"/>
      <c r="F6" s="15">
        <f>SUM(C6:E6)</f>
        <v>175000</v>
      </c>
      <c r="G6" s="15"/>
      <c r="H6" s="17"/>
      <c r="I6" s="15" t="str">
        <f>IF(J6&gt;0,"OK","")</f>
        <v>OK</v>
      </c>
      <c r="J6" s="33">
        <v>175000</v>
      </c>
      <c r="K6" s="34">
        <v>0</v>
      </c>
    </row>
    <row r="7" spans="1:11" ht="17.5" x14ac:dyDescent="0.35">
      <c r="A7" s="11" t="s">
        <v>66</v>
      </c>
      <c r="B7" s="12" t="s">
        <v>95</v>
      </c>
      <c r="C7" s="25">
        <v>0</v>
      </c>
      <c r="D7" s="13">
        <v>50000</v>
      </c>
      <c r="E7" s="14"/>
      <c r="F7" s="15">
        <f t="shared" ref="F7:F38" si="0">SUM(C7:E7)</f>
        <v>50000</v>
      </c>
      <c r="G7" s="15"/>
      <c r="H7" s="17"/>
      <c r="I7" s="15" t="str">
        <f t="shared" ref="I7:I38" si="1">IF(J7&gt;0,"OK","")</f>
        <v/>
      </c>
      <c r="J7" s="33"/>
      <c r="K7" s="34">
        <v>0</v>
      </c>
    </row>
    <row r="8" spans="1:11" ht="17.5" x14ac:dyDescent="0.35">
      <c r="A8" s="11" t="s">
        <v>6</v>
      </c>
      <c r="B8" s="12" t="s">
        <v>96</v>
      </c>
      <c r="C8" s="25">
        <v>125000</v>
      </c>
      <c r="D8" s="13"/>
      <c r="E8" s="14"/>
      <c r="F8" s="15">
        <f t="shared" si="0"/>
        <v>125000</v>
      </c>
      <c r="G8" s="15"/>
      <c r="H8" s="17"/>
      <c r="I8" s="15" t="str">
        <f t="shared" si="1"/>
        <v>OK</v>
      </c>
      <c r="J8" s="33">
        <v>125000</v>
      </c>
      <c r="K8" s="34">
        <v>0</v>
      </c>
    </row>
    <row r="9" spans="1:11" ht="17.5" x14ac:dyDescent="0.35">
      <c r="A9" s="11" t="s">
        <v>7</v>
      </c>
      <c r="B9" s="12" t="s">
        <v>97</v>
      </c>
      <c r="C9" s="25">
        <v>452000</v>
      </c>
      <c r="D9" s="13"/>
      <c r="E9" s="14"/>
      <c r="F9" s="15">
        <f t="shared" si="0"/>
        <v>452000</v>
      </c>
      <c r="G9" s="15"/>
      <c r="H9" s="17"/>
      <c r="I9" s="15" t="str">
        <f t="shared" si="1"/>
        <v>OK</v>
      </c>
      <c r="J9" s="33">
        <v>452000</v>
      </c>
      <c r="K9" s="34">
        <v>202000</v>
      </c>
    </row>
    <row r="10" spans="1:11" ht="17.5" x14ac:dyDescent="0.35">
      <c r="A10" s="11" t="s">
        <v>8</v>
      </c>
      <c r="B10" s="12" t="s">
        <v>98</v>
      </c>
      <c r="C10" s="25">
        <v>238000</v>
      </c>
      <c r="D10" s="13"/>
      <c r="E10" s="14"/>
      <c r="F10" s="15">
        <f t="shared" si="0"/>
        <v>238000</v>
      </c>
      <c r="G10" s="15"/>
      <c r="H10" s="17"/>
      <c r="I10" s="15" t="str">
        <f t="shared" si="1"/>
        <v>OK</v>
      </c>
      <c r="J10" s="33">
        <v>238000</v>
      </c>
      <c r="K10" s="34">
        <v>113000</v>
      </c>
    </row>
    <row r="11" spans="1:11" ht="17.5" x14ac:dyDescent="0.35">
      <c r="A11" s="11" t="s">
        <v>9</v>
      </c>
      <c r="B11" s="12" t="s">
        <v>99</v>
      </c>
      <c r="C11" s="25">
        <v>176500</v>
      </c>
      <c r="D11" s="13"/>
      <c r="E11" s="14"/>
      <c r="F11" s="15">
        <f t="shared" si="0"/>
        <v>176500</v>
      </c>
      <c r="G11" s="15"/>
      <c r="H11" s="17"/>
      <c r="I11" s="15" t="str">
        <f t="shared" si="1"/>
        <v>OK</v>
      </c>
      <c r="J11" s="33">
        <v>176500</v>
      </c>
      <c r="K11" s="34">
        <v>51500</v>
      </c>
    </row>
    <row r="12" spans="1:11" ht="17.5" x14ac:dyDescent="0.35">
      <c r="A12" s="11" t="s">
        <v>10</v>
      </c>
      <c r="B12" s="12" t="s">
        <v>100</v>
      </c>
      <c r="C12" s="25">
        <v>632000</v>
      </c>
      <c r="D12" s="13"/>
      <c r="E12" s="14"/>
      <c r="F12" s="15">
        <f t="shared" si="0"/>
        <v>632000</v>
      </c>
      <c r="G12" s="15"/>
      <c r="H12" s="17"/>
      <c r="I12" s="15" t="str">
        <f t="shared" si="1"/>
        <v>OK</v>
      </c>
      <c r="J12" s="33">
        <f>160000+170000+100000+202000</f>
        <v>632000</v>
      </c>
      <c r="K12" s="34">
        <v>302000</v>
      </c>
    </row>
    <row r="13" spans="1:11" ht="17.5" x14ac:dyDescent="0.35">
      <c r="A13" s="11" t="s">
        <v>11</v>
      </c>
      <c r="B13" s="12" t="s">
        <v>101</v>
      </c>
      <c r="C13" s="25">
        <v>50000</v>
      </c>
      <c r="D13" s="13"/>
      <c r="E13" s="14"/>
      <c r="F13" s="15">
        <f t="shared" si="0"/>
        <v>50000</v>
      </c>
      <c r="G13" s="15"/>
      <c r="H13" s="17"/>
      <c r="I13" s="15" t="str">
        <f t="shared" si="1"/>
        <v>OK</v>
      </c>
      <c r="J13" s="33">
        <v>50000</v>
      </c>
      <c r="K13" s="34">
        <v>0</v>
      </c>
    </row>
    <row r="14" spans="1:11" ht="17.5" x14ac:dyDescent="0.35">
      <c r="A14" s="11" t="s">
        <v>12</v>
      </c>
      <c r="B14" s="12" t="s">
        <v>102</v>
      </c>
      <c r="C14" s="25">
        <v>50000</v>
      </c>
      <c r="D14" s="13"/>
      <c r="E14" s="14"/>
      <c r="F14" s="15">
        <f t="shared" si="0"/>
        <v>50000</v>
      </c>
      <c r="G14" s="15"/>
      <c r="H14" s="17"/>
      <c r="I14" s="15" t="str">
        <f t="shared" si="1"/>
        <v>OK</v>
      </c>
      <c r="J14" s="33">
        <v>50000</v>
      </c>
      <c r="K14" s="34">
        <v>0</v>
      </c>
    </row>
    <row r="15" spans="1:11" ht="17.5" x14ac:dyDescent="0.35">
      <c r="A15" s="11" t="s">
        <v>13</v>
      </c>
      <c r="B15" s="12" t="s">
        <v>103</v>
      </c>
      <c r="C15" s="25">
        <v>125000</v>
      </c>
      <c r="D15" s="13"/>
      <c r="E15" s="14"/>
      <c r="F15" s="15">
        <f t="shared" si="0"/>
        <v>125000</v>
      </c>
      <c r="G15" s="15"/>
      <c r="H15" s="17"/>
      <c r="I15" s="15" t="str">
        <f t="shared" si="1"/>
        <v>OK</v>
      </c>
      <c r="J15" s="33">
        <v>125000</v>
      </c>
      <c r="K15" s="34">
        <v>0</v>
      </c>
    </row>
    <row r="16" spans="1:11" ht="17.5" x14ac:dyDescent="0.35">
      <c r="A16" s="11" t="s">
        <v>14</v>
      </c>
      <c r="B16" s="12" t="s">
        <v>104</v>
      </c>
      <c r="C16" s="25">
        <v>442000</v>
      </c>
      <c r="D16" s="13"/>
      <c r="E16" s="14"/>
      <c r="F16" s="15">
        <f t="shared" si="0"/>
        <v>442000</v>
      </c>
      <c r="G16" s="15"/>
      <c r="H16" s="17"/>
      <c r="I16" s="15" t="str">
        <f t="shared" si="1"/>
        <v>OK</v>
      </c>
      <c r="J16" s="33">
        <f>240000+202000</f>
        <v>442000</v>
      </c>
      <c r="K16" s="34">
        <v>182000</v>
      </c>
    </row>
    <row r="17" spans="1:11" ht="17.5" x14ac:dyDescent="0.35">
      <c r="A17" s="11" t="s">
        <v>15</v>
      </c>
      <c r="B17" s="12" t="s">
        <v>105</v>
      </c>
      <c r="C17" s="25">
        <v>353000</v>
      </c>
      <c r="D17" s="13"/>
      <c r="E17" s="14"/>
      <c r="F17" s="15">
        <f t="shared" si="0"/>
        <v>353000</v>
      </c>
      <c r="G17" s="15"/>
      <c r="H17" s="17"/>
      <c r="I17" s="15" t="str">
        <f t="shared" si="1"/>
        <v>OK</v>
      </c>
      <c r="J17" s="33">
        <f>302000+51000</f>
        <v>353000</v>
      </c>
      <c r="K17" s="34">
        <v>203000</v>
      </c>
    </row>
    <row r="18" spans="1:11" ht="17.5" x14ac:dyDescent="0.35">
      <c r="A18" s="11" t="s">
        <v>16</v>
      </c>
      <c r="B18" s="12" t="s">
        <v>106</v>
      </c>
      <c r="C18" s="25">
        <v>251000</v>
      </c>
      <c r="D18" s="13"/>
      <c r="E18" s="14"/>
      <c r="F18" s="15">
        <f t="shared" si="0"/>
        <v>251000</v>
      </c>
      <c r="G18" s="15"/>
      <c r="H18" s="17"/>
      <c r="I18" s="15" t="str">
        <f t="shared" si="1"/>
        <v>OK</v>
      </c>
      <c r="J18" s="33">
        <v>251000</v>
      </c>
      <c r="K18" s="34">
        <v>101000</v>
      </c>
    </row>
    <row r="19" spans="1:11" ht="17.5" x14ac:dyDescent="0.35">
      <c r="A19" s="11" t="s">
        <v>82</v>
      </c>
      <c r="B19" s="12" t="s">
        <v>107</v>
      </c>
      <c r="C19" s="25">
        <v>50000</v>
      </c>
      <c r="D19" s="13"/>
      <c r="E19" s="14"/>
      <c r="F19" s="15">
        <f t="shared" si="0"/>
        <v>50000</v>
      </c>
      <c r="G19" s="15"/>
      <c r="H19" s="17"/>
      <c r="I19" s="15" t="str">
        <f t="shared" si="1"/>
        <v>OK</v>
      </c>
      <c r="J19" s="33">
        <v>50000</v>
      </c>
      <c r="K19" s="34">
        <v>0</v>
      </c>
    </row>
    <row r="20" spans="1:11" ht="17.5" x14ac:dyDescent="0.35">
      <c r="A20" s="11" t="s">
        <v>17</v>
      </c>
      <c r="B20" s="12" t="s">
        <v>108</v>
      </c>
      <c r="C20" s="25">
        <v>539000</v>
      </c>
      <c r="D20" s="13"/>
      <c r="E20" s="14"/>
      <c r="F20" s="15">
        <f t="shared" si="0"/>
        <v>539000</v>
      </c>
      <c r="G20" s="15"/>
      <c r="H20" s="17"/>
      <c r="I20" s="15" t="str">
        <f t="shared" si="1"/>
        <v>OK</v>
      </c>
      <c r="J20" s="33">
        <f>225000+61000+51000+202000</f>
        <v>539000</v>
      </c>
      <c r="K20" s="34">
        <v>314000</v>
      </c>
    </row>
    <row r="21" spans="1:11" ht="17.5" x14ac:dyDescent="0.35">
      <c r="A21" s="11" t="s">
        <v>18</v>
      </c>
      <c r="B21" s="12" t="s">
        <v>109</v>
      </c>
      <c r="C21" s="25">
        <v>50000</v>
      </c>
      <c r="D21" s="13"/>
      <c r="E21" s="14"/>
      <c r="F21" s="15">
        <f t="shared" si="0"/>
        <v>50000</v>
      </c>
      <c r="G21" s="15"/>
      <c r="H21" s="17"/>
      <c r="I21" s="15" t="str">
        <f t="shared" si="1"/>
        <v>OK</v>
      </c>
      <c r="J21" s="33">
        <v>50000</v>
      </c>
      <c r="K21" s="34">
        <v>0</v>
      </c>
    </row>
    <row r="22" spans="1:11" ht="17.5" x14ac:dyDescent="0.35">
      <c r="A22" s="11" t="s">
        <v>19</v>
      </c>
      <c r="B22" s="12" t="s">
        <v>110</v>
      </c>
      <c r="C22" s="25">
        <v>125000</v>
      </c>
      <c r="D22" s="13"/>
      <c r="E22" s="14"/>
      <c r="F22" s="15">
        <f t="shared" si="0"/>
        <v>125000</v>
      </c>
      <c r="G22" s="15"/>
      <c r="H22" s="17"/>
      <c r="I22" s="15" t="str">
        <f t="shared" si="1"/>
        <v>OK</v>
      </c>
      <c r="J22" s="33">
        <v>125000</v>
      </c>
      <c r="K22" s="34">
        <v>0</v>
      </c>
    </row>
    <row r="23" spans="1:11" ht="17.5" x14ac:dyDescent="0.35">
      <c r="A23" s="11" t="s">
        <v>20</v>
      </c>
      <c r="B23" s="12" t="s">
        <v>111</v>
      </c>
      <c r="C23" s="25">
        <v>462000</v>
      </c>
      <c r="D23" s="13"/>
      <c r="E23" s="14"/>
      <c r="F23" s="15">
        <f t="shared" si="0"/>
        <v>462000</v>
      </c>
      <c r="G23" s="15"/>
      <c r="H23" s="17"/>
      <c r="I23" s="15" t="str">
        <f t="shared" si="1"/>
        <v>OK</v>
      </c>
      <c r="J23" s="33">
        <f>260000+202500</f>
        <v>462500</v>
      </c>
      <c r="K23" s="34">
        <v>202500</v>
      </c>
    </row>
    <row r="24" spans="1:11" ht="17.5" x14ac:dyDescent="0.35">
      <c r="A24" s="11" t="s">
        <v>21</v>
      </c>
      <c r="B24" s="12" t="s">
        <v>112</v>
      </c>
      <c r="C24" s="25">
        <v>0</v>
      </c>
      <c r="D24" s="13">
        <v>430000</v>
      </c>
      <c r="E24" s="14"/>
      <c r="F24" s="15">
        <f t="shared" si="0"/>
        <v>430000</v>
      </c>
      <c r="G24" s="15"/>
      <c r="H24" s="17"/>
      <c r="I24" s="15" t="str">
        <f t="shared" si="1"/>
        <v/>
      </c>
      <c r="J24" s="33"/>
      <c r="K24" s="34">
        <v>0</v>
      </c>
    </row>
    <row r="25" spans="1:11" ht="17.5" x14ac:dyDescent="0.35">
      <c r="A25" s="11" t="s">
        <v>22</v>
      </c>
      <c r="B25" s="12" t="s">
        <v>113</v>
      </c>
      <c r="C25" s="25">
        <v>618000</v>
      </c>
      <c r="D25" s="13"/>
      <c r="E25" s="14"/>
      <c r="F25" s="15">
        <f t="shared" si="0"/>
        <v>618000</v>
      </c>
      <c r="G25" s="15"/>
      <c r="H25" s="17"/>
      <c r="I25" s="15" t="str">
        <f t="shared" si="1"/>
        <v>OK</v>
      </c>
      <c r="J25" s="33">
        <f>300000+75000+142000+101000</f>
        <v>618000</v>
      </c>
      <c r="K25" s="34">
        <v>243000</v>
      </c>
    </row>
    <row r="26" spans="1:11" ht="17.5" x14ac:dyDescent="0.35">
      <c r="A26" s="11" t="s">
        <v>23</v>
      </c>
      <c r="B26" s="12" t="s">
        <v>114</v>
      </c>
      <c r="C26" s="25">
        <v>111000</v>
      </c>
      <c r="D26" s="13"/>
      <c r="E26" s="14"/>
      <c r="F26" s="15">
        <f t="shared" si="0"/>
        <v>111000</v>
      </c>
      <c r="G26" s="15"/>
      <c r="H26" s="17"/>
      <c r="I26" s="15" t="str">
        <f t="shared" si="1"/>
        <v>OK</v>
      </c>
      <c r="J26" s="33">
        <v>111000</v>
      </c>
      <c r="K26" s="34">
        <v>61000</v>
      </c>
    </row>
    <row r="27" spans="1:11" ht="17.5" x14ac:dyDescent="0.35">
      <c r="A27" s="11" t="s">
        <v>63</v>
      </c>
      <c r="B27" s="12" t="s">
        <v>115</v>
      </c>
      <c r="C27" s="25">
        <v>50000</v>
      </c>
      <c r="D27" s="13"/>
      <c r="E27" s="14"/>
      <c r="F27" s="15">
        <f>SUM(C27:E27)</f>
        <v>50000</v>
      </c>
      <c r="G27" s="15"/>
      <c r="H27" s="17"/>
      <c r="I27" s="15" t="str">
        <f t="shared" si="1"/>
        <v>OK</v>
      </c>
      <c r="J27" s="33">
        <v>50000</v>
      </c>
      <c r="K27" s="34">
        <v>0</v>
      </c>
    </row>
    <row r="28" spans="1:11" ht="17.5" x14ac:dyDescent="0.35">
      <c r="A28" s="11" t="s">
        <v>24</v>
      </c>
      <c r="B28" s="12" t="s">
        <v>116</v>
      </c>
      <c r="C28" s="25">
        <v>125000</v>
      </c>
      <c r="D28" s="13"/>
      <c r="E28" s="14"/>
      <c r="F28" s="15">
        <f t="shared" si="0"/>
        <v>125000</v>
      </c>
      <c r="G28" s="15"/>
      <c r="H28" s="17"/>
      <c r="I28" s="15" t="str">
        <f t="shared" si="1"/>
        <v>OK</v>
      </c>
      <c r="J28" s="33">
        <v>125000</v>
      </c>
      <c r="K28" s="34">
        <v>0</v>
      </c>
    </row>
    <row r="29" spans="1:11" ht="17.5" x14ac:dyDescent="0.35">
      <c r="A29" s="11" t="s">
        <v>64</v>
      </c>
      <c r="B29" s="12" t="s">
        <v>117</v>
      </c>
      <c r="C29" s="25">
        <v>50000</v>
      </c>
      <c r="D29" s="13"/>
      <c r="E29" s="14"/>
      <c r="F29" s="15">
        <f t="shared" si="0"/>
        <v>50000</v>
      </c>
      <c r="G29" s="15"/>
      <c r="H29" s="17"/>
      <c r="I29" s="15" t="str">
        <f t="shared" si="1"/>
        <v>OK</v>
      </c>
      <c r="J29" s="33">
        <v>50000</v>
      </c>
      <c r="K29" s="34">
        <v>0</v>
      </c>
    </row>
    <row r="30" spans="1:11" ht="17.5" x14ac:dyDescent="0.35">
      <c r="A30" s="11" t="s">
        <v>25</v>
      </c>
      <c r="B30" s="12" t="s">
        <v>118</v>
      </c>
      <c r="C30" s="25">
        <v>452000</v>
      </c>
      <c r="D30" s="13"/>
      <c r="E30" s="14"/>
      <c r="F30" s="15">
        <f t="shared" si="0"/>
        <v>452000</v>
      </c>
      <c r="G30" s="15"/>
      <c r="H30" s="17"/>
      <c r="I30" s="15" t="str">
        <f t="shared" si="1"/>
        <v>OK</v>
      </c>
      <c r="J30" s="33">
        <f>250000+202000</f>
        <v>452000</v>
      </c>
      <c r="K30" s="34">
        <v>202000</v>
      </c>
    </row>
    <row r="31" spans="1:11" ht="17.5" x14ac:dyDescent="0.35">
      <c r="A31" s="11" t="s">
        <v>26</v>
      </c>
      <c r="B31" s="12" t="s">
        <v>119</v>
      </c>
      <c r="C31" s="25">
        <v>180000</v>
      </c>
      <c r="D31" s="13"/>
      <c r="E31" s="14"/>
      <c r="F31" s="15">
        <f t="shared" si="0"/>
        <v>180000</v>
      </c>
      <c r="G31" s="15"/>
      <c r="H31" s="17"/>
      <c r="I31" s="15" t="str">
        <f t="shared" si="1"/>
        <v>OK</v>
      </c>
      <c r="J31" s="33">
        <f>105000+75000</f>
        <v>180000</v>
      </c>
      <c r="K31" s="34">
        <v>30000</v>
      </c>
    </row>
    <row r="32" spans="1:11" ht="17.5" x14ac:dyDescent="0.35">
      <c r="A32" s="11" t="s">
        <v>27</v>
      </c>
      <c r="B32" s="12" t="s">
        <v>120</v>
      </c>
      <c r="C32" s="25">
        <v>234500</v>
      </c>
      <c r="D32" s="13"/>
      <c r="E32" s="14"/>
      <c r="F32" s="15">
        <f t="shared" si="0"/>
        <v>234500</v>
      </c>
      <c r="G32" s="15"/>
      <c r="H32" s="17"/>
      <c r="I32" s="15" t="str">
        <f t="shared" si="1"/>
        <v>OK</v>
      </c>
      <c r="J32" s="33">
        <f>125000+109500</f>
        <v>234500</v>
      </c>
      <c r="K32" s="34">
        <v>109500</v>
      </c>
    </row>
    <row r="33" spans="1:11" ht="17.5" x14ac:dyDescent="0.35">
      <c r="A33" s="11" t="s">
        <v>81</v>
      </c>
      <c r="B33" s="12" t="s">
        <v>121</v>
      </c>
      <c r="C33" s="25">
        <v>160000</v>
      </c>
      <c r="D33" s="13"/>
      <c r="E33" s="14"/>
      <c r="F33" s="15">
        <f t="shared" si="0"/>
        <v>160000</v>
      </c>
      <c r="G33" s="15"/>
      <c r="H33" s="17"/>
      <c r="I33" s="15" t="str">
        <f t="shared" si="1"/>
        <v>OK</v>
      </c>
      <c r="J33" s="33">
        <v>160000</v>
      </c>
      <c r="K33" s="34">
        <v>10000</v>
      </c>
    </row>
    <row r="34" spans="1:11" ht="17.5" x14ac:dyDescent="0.35">
      <c r="A34" s="11" t="s">
        <v>62</v>
      </c>
      <c r="B34" s="12" t="s">
        <v>122</v>
      </c>
      <c r="C34" s="25">
        <v>50000</v>
      </c>
      <c r="D34" s="13"/>
      <c r="E34" s="14"/>
      <c r="F34" s="15">
        <f t="shared" si="0"/>
        <v>50000</v>
      </c>
      <c r="G34" s="15"/>
      <c r="H34" s="17"/>
      <c r="I34" s="15" t="str">
        <f t="shared" si="1"/>
        <v>OK</v>
      </c>
      <c r="J34" s="33">
        <v>50000</v>
      </c>
      <c r="K34" s="34">
        <v>0</v>
      </c>
    </row>
    <row r="35" spans="1:11" ht="17.5" x14ac:dyDescent="0.35">
      <c r="A35" s="11" t="s">
        <v>65</v>
      </c>
      <c r="B35" s="12" t="s">
        <v>123</v>
      </c>
      <c r="C35" s="25">
        <v>60000</v>
      </c>
      <c r="D35" s="13"/>
      <c r="E35" s="14"/>
      <c r="F35" s="15">
        <f t="shared" si="0"/>
        <v>60000</v>
      </c>
      <c r="G35" s="15"/>
      <c r="H35" s="17"/>
      <c r="I35" s="15" t="str">
        <f t="shared" si="1"/>
        <v>OK</v>
      </c>
      <c r="J35" s="33">
        <v>60000</v>
      </c>
      <c r="K35" s="34">
        <v>0</v>
      </c>
    </row>
    <row r="36" spans="1:11" ht="17.5" x14ac:dyDescent="0.35">
      <c r="A36" s="11" t="s">
        <v>28</v>
      </c>
      <c r="B36" s="12" t="s">
        <v>124</v>
      </c>
      <c r="C36" s="25">
        <v>50000</v>
      </c>
      <c r="D36" s="13"/>
      <c r="E36" s="14"/>
      <c r="F36" s="15">
        <f t="shared" si="0"/>
        <v>50000</v>
      </c>
      <c r="G36" s="15"/>
      <c r="H36" s="17"/>
      <c r="I36" s="15" t="str">
        <f t="shared" si="1"/>
        <v>OK</v>
      </c>
      <c r="J36" s="33">
        <v>50000</v>
      </c>
      <c r="K36" s="34">
        <v>0</v>
      </c>
    </row>
    <row r="37" spans="1:11" ht="17.5" x14ac:dyDescent="0.35">
      <c r="A37" s="11" t="s">
        <v>80</v>
      </c>
      <c r="B37" s="12" t="s">
        <v>125</v>
      </c>
      <c r="C37" s="25">
        <v>0</v>
      </c>
      <c r="D37" s="13">
        <v>153000</v>
      </c>
      <c r="E37" s="14"/>
      <c r="F37" s="15">
        <f t="shared" si="0"/>
        <v>153000</v>
      </c>
      <c r="G37" s="15"/>
      <c r="H37" s="17"/>
      <c r="I37" s="15" t="str">
        <f t="shared" si="1"/>
        <v/>
      </c>
      <c r="J37" s="33"/>
      <c r="K37" s="34">
        <v>0</v>
      </c>
    </row>
    <row r="38" spans="1:11" ht="17.5" x14ac:dyDescent="0.35">
      <c r="A38" s="11" t="s">
        <v>29</v>
      </c>
      <c r="B38" s="12" t="s">
        <v>126</v>
      </c>
      <c r="C38" s="25">
        <v>125000</v>
      </c>
      <c r="D38" s="13"/>
      <c r="E38" s="14"/>
      <c r="F38" s="15">
        <f t="shared" si="0"/>
        <v>125000</v>
      </c>
      <c r="G38" s="15"/>
      <c r="H38" s="17"/>
      <c r="I38" s="15" t="str">
        <f t="shared" si="1"/>
        <v>OK</v>
      </c>
      <c r="J38" s="33">
        <v>125000</v>
      </c>
      <c r="K38" s="34">
        <v>0</v>
      </c>
    </row>
    <row r="39" spans="1:11" x14ac:dyDescent="0.35">
      <c r="A39" s="16"/>
      <c r="B39" s="17"/>
      <c r="C39" s="17"/>
      <c r="D39" s="17"/>
      <c r="E39" s="17"/>
      <c r="F39" s="17"/>
      <c r="G39" s="17"/>
      <c r="H39" s="17"/>
      <c r="I39" s="17"/>
      <c r="J39" s="17"/>
      <c r="K39" s="35"/>
    </row>
    <row r="40" spans="1:11" ht="18" thickBot="1" x14ac:dyDescent="0.4">
      <c r="A40" s="19"/>
      <c r="B40" s="20" t="s">
        <v>30</v>
      </c>
      <c r="C40" s="21">
        <f>SUM(C7:C39)</f>
        <v>6386000</v>
      </c>
      <c r="D40" s="21">
        <f>SUM(D7:D39)</f>
        <v>633000</v>
      </c>
      <c r="E40" s="21">
        <f>SUM(E7:E39)</f>
        <v>0</v>
      </c>
      <c r="F40" s="21">
        <f>SUM(F7:F39)</f>
        <v>7019000</v>
      </c>
      <c r="G40" s="21">
        <f>SUM(G7:G39)</f>
        <v>0</v>
      </c>
      <c r="H40" s="21">
        <f t="shared" ref="H40" si="2">SUM(H8:H39)</f>
        <v>0</v>
      </c>
      <c r="I40" s="28"/>
      <c r="J40" s="21">
        <f t="shared" ref="J40" si="3">SUM(J6:J39)</f>
        <v>6561500</v>
      </c>
      <c r="K40" s="22">
        <f>SUM(K6:K39)</f>
        <v>2326500</v>
      </c>
    </row>
    <row r="41" spans="1:11" ht="15" thickTop="1" x14ac:dyDescent="0.35"/>
  </sheetData>
  <autoFilter ref="A5:F38" xr:uid="{00000000-0009-0000-0000-00000B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41"/>
  <sheetViews>
    <sheetView zoomScale="106" zoomScaleNormal="106" workbookViewId="0">
      <pane xSplit="3" ySplit="5" topLeftCell="D21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E24" sqref="E24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  <col min="9" max="9" width="12.54296875" customWidth="1"/>
    <col min="10" max="10" width="13.08984375" bestFit="1" customWidth="1"/>
    <col min="11" max="11" width="18.453125" customWidth="1"/>
  </cols>
  <sheetData>
    <row r="1" spans="1:11" ht="21" x14ac:dyDescent="0.5">
      <c r="A1" s="1" t="s">
        <v>2</v>
      </c>
      <c r="B1" s="1" t="s">
        <v>3</v>
      </c>
      <c r="C1" s="24" t="s">
        <v>76</v>
      </c>
    </row>
    <row r="2" spans="1:11" x14ac:dyDescent="0.35">
      <c r="A2" s="1" t="s">
        <v>4</v>
      </c>
      <c r="B2" s="1">
        <v>2024</v>
      </c>
    </row>
    <row r="3" spans="1:11" x14ac:dyDescent="0.35">
      <c r="A3" s="1">
        <v>1</v>
      </c>
      <c r="B3" s="2">
        <v>2</v>
      </c>
      <c r="C3" s="2">
        <v>4</v>
      </c>
      <c r="D3" s="1">
        <v>5</v>
      </c>
      <c r="E3" s="2">
        <v>6</v>
      </c>
      <c r="F3" s="1">
        <v>21</v>
      </c>
    </row>
    <row r="4" spans="1:11" ht="29" thickBot="1" x14ac:dyDescent="0.7">
      <c r="B4" s="51" t="s">
        <v>58</v>
      </c>
      <c r="C4" s="49"/>
      <c r="D4" s="49"/>
      <c r="E4" s="49"/>
      <c r="F4" s="3"/>
    </row>
    <row r="5" spans="1:11" ht="68.25" customHeight="1" thickTop="1" x14ac:dyDescent="0.35">
      <c r="A5" s="8" t="s">
        <v>0</v>
      </c>
      <c r="B5" s="9" t="s">
        <v>1</v>
      </c>
      <c r="C5" s="10" t="s">
        <v>33</v>
      </c>
      <c r="D5" s="10" t="s">
        <v>32</v>
      </c>
      <c r="E5" s="10" t="s">
        <v>34</v>
      </c>
      <c r="F5" s="10" t="s">
        <v>31</v>
      </c>
      <c r="G5" s="10" t="s">
        <v>59</v>
      </c>
      <c r="H5" s="26" t="s">
        <v>61</v>
      </c>
      <c r="I5" s="26" t="s">
        <v>78</v>
      </c>
      <c r="J5" s="31" t="s">
        <v>86</v>
      </c>
      <c r="K5" s="23" t="s">
        <v>85</v>
      </c>
    </row>
    <row r="6" spans="1:11" ht="17.5" x14ac:dyDescent="0.35">
      <c r="A6" s="11" t="s">
        <v>60</v>
      </c>
      <c r="B6" s="12" t="s">
        <v>3</v>
      </c>
      <c r="C6" s="25">
        <v>175000</v>
      </c>
      <c r="D6" s="13"/>
      <c r="E6" s="14"/>
      <c r="F6" s="15">
        <f>SUM(C6:E6)</f>
        <v>175000</v>
      </c>
      <c r="G6" s="15"/>
      <c r="H6" s="17">
        <v>2385</v>
      </c>
      <c r="I6" s="27" t="s">
        <v>79</v>
      </c>
      <c r="J6" s="33">
        <v>175000</v>
      </c>
      <c r="K6" s="29">
        <v>0</v>
      </c>
    </row>
    <row r="7" spans="1:11" ht="17.5" x14ac:dyDescent="0.35">
      <c r="A7" s="11" t="s">
        <v>66</v>
      </c>
      <c r="B7" s="12" t="s">
        <v>95</v>
      </c>
      <c r="C7" s="25">
        <v>0</v>
      </c>
      <c r="D7" s="13">
        <v>50000</v>
      </c>
      <c r="E7" s="14"/>
      <c r="F7" s="15">
        <f t="shared" ref="F7:F38" si="0">SUM(C7:E7)</f>
        <v>50000</v>
      </c>
      <c r="G7" s="15"/>
      <c r="H7" s="17"/>
      <c r="I7" s="27"/>
      <c r="J7" s="33"/>
      <c r="K7" s="29">
        <v>0</v>
      </c>
    </row>
    <row r="8" spans="1:11" ht="17.5" x14ac:dyDescent="0.35">
      <c r="A8" s="11" t="s">
        <v>6</v>
      </c>
      <c r="B8" s="12" t="s">
        <v>96</v>
      </c>
      <c r="C8" s="25">
        <v>125000</v>
      </c>
      <c r="D8" s="13"/>
      <c r="E8" s="14"/>
      <c r="F8" s="15">
        <f t="shared" si="0"/>
        <v>125000</v>
      </c>
      <c r="G8" s="15"/>
      <c r="H8" s="17"/>
      <c r="I8" s="27" t="s">
        <v>79</v>
      </c>
      <c r="J8" s="33">
        <v>125000</v>
      </c>
      <c r="K8" s="29">
        <v>0</v>
      </c>
    </row>
    <row r="9" spans="1:11" ht="17.5" x14ac:dyDescent="0.35">
      <c r="A9" s="11" t="s">
        <v>7</v>
      </c>
      <c r="B9" s="12" t="s">
        <v>97</v>
      </c>
      <c r="C9" s="25">
        <v>250000</v>
      </c>
      <c r="D9" s="13"/>
      <c r="E9" s="14"/>
      <c r="F9" s="15">
        <f t="shared" si="0"/>
        <v>250000</v>
      </c>
      <c r="G9" s="15"/>
      <c r="H9" s="17"/>
      <c r="I9" s="27" t="s">
        <v>79</v>
      </c>
      <c r="J9" s="33">
        <f>350000+51500</f>
        <v>401500</v>
      </c>
      <c r="K9" s="29">
        <v>151500</v>
      </c>
    </row>
    <row r="10" spans="1:11" ht="17.5" x14ac:dyDescent="0.35">
      <c r="A10" s="11" t="s">
        <v>8</v>
      </c>
      <c r="B10" s="12" t="s">
        <v>98</v>
      </c>
      <c r="C10" s="25">
        <v>125000</v>
      </c>
      <c r="D10" s="13"/>
      <c r="E10" s="14"/>
      <c r="F10" s="15">
        <f t="shared" si="0"/>
        <v>125000</v>
      </c>
      <c r="G10" s="15"/>
      <c r="H10" s="17"/>
      <c r="I10" s="27" t="s">
        <v>79</v>
      </c>
      <c r="J10" s="33">
        <v>285000</v>
      </c>
      <c r="K10" s="29">
        <v>160000</v>
      </c>
    </row>
    <row r="11" spans="1:11" ht="17.5" x14ac:dyDescent="0.35">
      <c r="A11" s="11" t="s">
        <v>9</v>
      </c>
      <c r="B11" s="12" t="s">
        <v>99</v>
      </c>
      <c r="C11" s="25">
        <v>125000</v>
      </c>
      <c r="D11" s="13"/>
      <c r="E11" s="14"/>
      <c r="F11" s="15">
        <f t="shared" si="0"/>
        <v>125000</v>
      </c>
      <c r="G11" s="15"/>
      <c r="H11" s="17"/>
      <c r="I11" s="27" t="s">
        <v>79</v>
      </c>
      <c r="J11" s="33">
        <v>125000</v>
      </c>
      <c r="K11" s="29">
        <v>0</v>
      </c>
    </row>
    <row r="12" spans="1:11" ht="17.5" x14ac:dyDescent="0.35">
      <c r="A12" s="11" t="s">
        <v>10</v>
      </c>
      <c r="B12" s="12" t="s">
        <v>100</v>
      </c>
      <c r="C12" s="25">
        <v>330000</v>
      </c>
      <c r="D12" s="13"/>
      <c r="E12" s="14"/>
      <c r="F12" s="15">
        <f t="shared" si="0"/>
        <v>330000</v>
      </c>
      <c r="G12" s="15"/>
      <c r="H12" s="17"/>
      <c r="I12" s="27" t="s">
        <v>79</v>
      </c>
      <c r="J12" s="33">
        <f>100000+232000+404000</f>
        <v>736000</v>
      </c>
      <c r="K12" s="29">
        <v>406000</v>
      </c>
    </row>
    <row r="13" spans="1:11" ht="17.5" x14ac:dyDescent="0.35">
      <c r="A13" s="11" t="s">
        <v>11</v>
      </c>
      <c r="B13" s="12" t="s">
        <v>101</v>
      </c>
      <c r="C13" s="25">
        <v>50000</v>
      </c>
      <c r="D13" s="13"/>
      <c r="E13" s="14"/>
      <c r="F13" s="15">
        <f t="shared" si="0"/>
        <v>50000</v>
      </c>
      <c r="G13" s="15"/>
      <c r="H13" s="17"/>
      <c r="I13" s="27" t="s">
        <v>79</v>
      </c>
      <c r="J13" s="33">
        <v>50000</v>
      </c>
      <c r="K13" s="29">
        <v>0</v>
      </c>
    </row>
    <row r="14" spans="1:11" ht="17.5" x14ac:dyDescent="0.35">
      <c r="A14" s="11" t="s">
        <v>12</v>
      </c>
      <c r="B14" s="12" t="s">
        <v>102</v>
      </c>
      <c r="C14" s="25">
        <v>0</v>
      </c>
      <c r="D14" s="13">
        <v>50000</v>
      </c>
      <c r="E14" s="14"/>
      <c r="F14" s="15">
        <f t="shared" si="0"/>
        <v>50000</v>
      </c>
      <c r="G14" s="15"/>
      <c r="H14" s="17"/>
      <c r="I14" s="27"/>
      <c r="J14" s="33"/>
      <c r="K14" s="29">
        <v>0</v>
      </c>
    </row>
    <row r="15" spans="1:11" ht="17.5" x14ac:dyDescent="0.35">
      <c r="A15" s="11" t="s">
        <v>13</v>
      </c>
      <c r="B15" s="12" t="s">
        <v>103</v>
      </c>
      <c r="C15" s="25">
        <v>125000</v>
      </c>
      <c r="D15" s="13"/>
      <c r="E15" s="14"/>
      <c r="F15" s="15">
        <f t="shared" si="0"/>
        <v>125000</v>
      </c>
      <c r="G15" s="15"/>
      <c r="H15" s="17"/>
      <c r="I15" s="27" t="s">
        <v>79</v>
      </c>
      <c r="J15" s="33">
        <v>125000</v>
      </c>
      <c r="K15" s="29">
        <v>0</v>
      </c>
    </row>
    <row r="16" spans="1:11" ht="17.5" x14ac:dyDescent="0.35">
      <c r="A16" s="11" t="s">
        <v>14</v>
      </c>
      <c r="B16" s="12" t="s">
        <v>104</v>
      </c>
      <c r="C16" s="25">
        <v>260000</v>
      </c>
      <c r="D16" s="13"/>
      <c r="E16" s="14"/>
      <c r="F16" s="15">
        <f t="shared" si="0"/>
        <v>260000</v>
      </c>
      <c r="G16" s="15"/>
      <c r="H16" s="17"/>
      <c r="I16" s="27" t="s">
        <v>79</v>
      </c>
      <c r="J16" s="33">
        <f>303000+240000</f>
        <v>543000</v>
      </c>
      <c r="K16" s="29">
        <v>283000</v>
      </c>
    </row>
    <row r="17" spans="1:11" ht="17.5" x14ac:dyDescent="0.35">
      <c r="A17" s="11" t="s">
        <v>15</v>
      </c>
      <c r="B17" s="12" t="s">
        <v>105</v>
      </c>
      <c r="C17" s="25">
        <v>150000</v>
      </c>
      <c r="D17" s="13"/>
      <c r="E17" s="14"/>
      <c r="F17" s="15">
        <f t="shared" si="0"/>
        <v>150000</v>
      </c>
      <c r="G17" s="15"/>
      <c r="H17" s="17"/>
      <c r="I17" s="27" t="s">
        <v>79</v>
      </c>
      <c r="J17" s="33">
        <v>200000</v>
      </c>
      <c r="K17" s="29">
        <v>50000</v>
      </c>
    </row>
    <row r="18" spans="1:11" ht="17.5" x14ac:dyDescent="0.35">
      <c r="A18" s="11" t="s">
        <v>16</v>
      </c>
      <c r="B18" s="12" t="s">
        <v>106</v>
      </c>
      <c r="C18" s="25">
        <v>0</v>
      </c>
      <c r="D18" s="13">
        <v>160000</v>
      </c>
      <c r="E18" s="14"/>
      <c r="F18" s="15">
        <f t="shared" si="0"/>
        <v>160000</v>
      </c>
      <c r="G18" s="15"/>
      <c r="H18" s="17"/>
      <c r="I18" s="27"/>
      <c r="J18" s="33"/>
      <c r="K18" s="29">
        <v>0</v>
      </c>
    </row>
    <row r="19" spans="1:11" ht="17.5" x14ac:dyDescent="0.35">
      <c r="A19" s="11" t="s">
        <v>82</v>
      </c>
      <c r="B19" s="12" t="s">
        <v>107</v>
      </c>
      <c r="C19" s="25">
        <v>50000</v>
      </c>
      <c r="D19" s="13"/>
      <c r="E19" s="14"/>
      <c r="F19" s="15">
        <f t="shared" si="0"/>
        <v>50000</v>
      </c>
      <c r="G19" s="15"/>
      <c r="H19" s="17"/>
      <c r="I19" s="27" t="s">
        <v>79</v>
      </c>
      <c r="J19" s="33">
        <v>50000</v>
      </c>
      <c r="K19" s="29">
        <v>0</v>
      </c>
    </row>
    <row r="20" spans="1:11" ht="17.5" x14ac:dyDescent="0.35">
      <c r="A20" s="11" t="s">
        <v>17</v>
      </c>
      <c r="B20" s="12" t="s">
        <v>108</v>
      </c>
      <c r="C20" s="25">
        <v>225000</v>
      </c>
      <c r="D20" s="13">
        <v>51000</v>
      </c>
      <c r="E20" s="14"/>
      <c r="F20" s="15">
        <f t="shared" si="0"/>
        <v>276000</v>
      </c>
      <c r="G20" s="15"/>
      <c r="H20" s="17"/>
      <c r="I20" s="27" t="s">
        <v>79</v>
      </c>
      <c r="J20" s="33">
        <v>629000</v>
      </c>
      <c r="K20" s="29">
        <v>0</v>
      </c>
    </row>
    <row r="21" spans="1:11" ht="17.5" x14ac:dyDescent="0.35">
      <c r="A21" s="11" t="s">
        <v>18</v>
      </c>
      <c r="B21" s="12" t="s">
        <v>109</v>
      </c>
      <c r="C21" s="25">
        <v>50000</v>
      </c>
      <c r="D21" s="13"/>
      <c r="E21" s="14"/>
      <c r="F21" s="15">
        <f t="shared" si="0"/>
        <v>50000</v>
      </c>
      <c r="G21" s="15"/>
      <c r="H21" s="17"/>
      <c r="I21" s="27" t="s">
        <v>79</v>
      </c>
      <c r="J21" s="33">
        <v>50000</v>
      </c>
      <c r="K21" s="29">
        <v>0</v>
      </c>
    </row>
    <row r="22" spans="1:11" ht="17.5" x14ac:dyDescent="0.35">
      <c r="A22" s="11" t="s">
        <v>19</v>
      </c>
      <c r="B22" s="12" t="s">
        <v>110</v>
      </c>
      <c r="C22" s="25">
        <v>125000</v>
      </c>
      <c r="D22" s="13"/>
      <c r="E22" s="14"/>
      <c r="F22" s="15">
        <f t="shared" si="0"/>
        <v>125000</v>
      </c>
      <c r="G22" s="15"/>
      <c r="H22" s="17"/>
      <c r="I22" s="27" t="s">
        <v>79</v>
      </c>
      <c r="J22" s="33">
        <v>125000</v>
      </c>
      <c r="K22" s="29">
        <v>0</v>
      </c>
    </row>
    <row r="23" spans="1:11" ht="17.5" x14ac:dyDescent="0.35">
      <c r="A23" s="11" t="s">
        <v>20</v>
      </c>
      <c r="B23" s="12" t="s">
        <v>111</v>
      </c>
      <c r="C23" s="25">
        <v>260000</v>
      </c>
      <c r="D23" s="13"/>
      <c r="E23" s="14"/>
      <c r="F23" s="15">
        <f t="shared" si="0"/>
        <v>260000</v>
      </c>
      <c r="G23" s="15"/>
      <c r="H23" s="17"/>
      <c r="I23" s="27" t="s">
        <v>79</v>
      </c>
      <c r="J23" s="33">
        <f>260000+202000</f>
        <v>462000</v>
      </c>
      <c r="K23" s="29">
        <v>202000</v>
      </c>
    </row>
    <row r="24" spans="1:11" ht="17.5" x14ac:dyDescent="0.35">
      <c r="A24" s="11" t="s">
        <v>21</v>
      </c>
      <c r="B24" s="12" t="s">
        <v>112</v>
      </c>
      <c r="C24" s="25">
        <v>225000</v>
      </c>
      <c r="D24" s="13">
        <v>205000</v>
      </c>
      <c r="E24" s="14"/>
      <c r="F24" s="15">
        <f t="shared" si="0"/>
        <v>430000</v>
      </c>
      <c r="G24" s="15"/>
      <c r="H24" s="17"/>
      <c r="I24" s="27" t="s">
        <v>79</v>
      </c>
      <c r="J24" s="33">
        <v>240000</v>
      </c>
      <c r="K24" s="29">
        <v>0</v>
      </c>
    </row>
    <row r="25" spans="1:11" ht="17.5" x14ac:dyDescent="0.35">
      <c r="A25" s="11" t="s">
        <v>22</v>
      </c>
      <c r="B25" s="12" t="s">
        <v>113</v>
      </c>
      <c r="C25" s="25">
        <v>375000</v>
      </c>
      <c r="D25" s="13"/>
      <c r="E25" s="14"/>
      <c r="F25" s="15">
        <f t="shared" si="0"/>
        <v>375000</v>
      </c>
      <c r="G25" s="15"/>
      <c r="H25" s="17"/>
      <c r="I25" s="27" t="s">
        <v>79</v>
      </c>
      <c r="J25" s="33">
        <f>405000+75000</f>
        <v>480000</v>
      </c>
      <c r="K25" s="29">
        <v>105000</v>
      </c>
    </row>
    <row r="26" spans="1:11" ht="17.5" x14ac:dyDescent="0.35">
      <c r="A26" s="11" t="s">
        <v>23</v>
      </c>
      <c r="B26" s="12" t="s">
        <v>114</v>
      </c>
      <c r="C26" s="25">
        <v>50000</v>
      </c>
      <c r="D26" s="13"/>
      <c r="E26" s="14"/>
      <c r="F26" s="15">
        <f t="shared" si="0"/>
        <v>50000</v>
      </c>
      <c r="G26" s="15"/>
      <c r="H26" s="17"/>
      <c r="I26" s="27" t="s">
        <v>79</v>
      </c>
      <c r="J26" s="33">
        <f>706000-656000</f>
        <v>50000</v>
      </c>
      <c r="K26" s="29">
        <v>0</v>
      </c>
    </row>
    <row r="27" spans="1:11" ht="17.5" x14ac:dyDescent="0.35">
      <c r="A27" s="11" t="s">
        <v>63</v>
      </c>
      <c r="B27" s="12" t="s">
        <v>115</v>
      </c>
      <c r="C27" s="25">
        <v>50000</v>
      </c>
      <c r="D27" s="13"/>
      <c r="E27" s="14"/>
      <c r="F27" s="15">
        <f>SUM(C27:E27)</f>
        <v>50000</v>
      </c>
      <c r="G27" s="15"/>
      <c r="H27" s="17"/>
      <c r="I27" s="27" t="s">
        <v>79</v>
      </c>
      <c r="J27" s="33">
        <v>50000</v>
      </c>
      <c r="K27" s="29">
        <v>0</v>
      </c>
    </row>
    <row r="28" spans="1:11" ht="17.5" x14ac:dyDescent="0.35">
      <c r="A28" s="11" t="s">
        <v>24</v>
      </c>
      <c r="B28" s="12" t="s">
        <v>116</v>
      </c>
      <c r="C28" s="25">
        <v>125000</v>
      </c>
      <c r="D28" s="13"/>
      <c r="E28" s="14"/>
      <c r="F28" s="15">
        <f t="shared" si="0"/>
        <v>125000</v>
      </c>
      <c r="G28" s="15"/>
      <c r="H28" s="17"/>
      <c r="I28" s="27" t="s">
        <v>79</v>
      </c>
      <c r="J28" s="33">
        <v>125000</v>
      </c>
      <c r="K28" s="29">
        <v>0</v>
      </c>
    </row>
    <row r="29" spans="1:11" ht="17.5" x14ac:dyDescent="0.35">
      <c r="A29" s="11" t="s">
        <v>64</v>
      </c>
      <c r="B29" s="12" t="s">
        <v>117</v>
      </c>
      <c r="C29" s="25">
        <v>50000</v>
      </c>
      <c r="D29" s="13"/>
      <c r="E29" s="14"/>
      <c r="F29" s="15">
        <f t="shared" si="0"/>
        <v>50000</v>
      </c>
      <c r="G29" s="15"/>
      <c r="H29" s="17"/>
      <c r="I29" s="27" t="s">
        <v>79</v>
      </c>
      <c r="J29" s="33">
        <v>120000</v>
      </c>
      <c r="K29" s="29">
        <v>70000</v>
      </c>
    </row>
    <row r="30" spans="1:11" ht="17.5" x14ac:dyDescent="0.35">
      <c r="A30" s="11" t="s">
        <v>25</v>
      </c>
      <c r="B30" s="12" t="s">
        <v>118</v>
      </c>
      <c r="C30" s="25">
        <v>250000</v>
      </c>
      <c r="D30" s="13"/>
      <c r="E30" s="14"/>
      <c r="F30" s="15">
        <f t="shared" si="0"/>
        <v>250000</v>
      </c>
      <c r="G30" s="15"/>
      <c r="H30" s="17"/>
      <c r="I30" s="27" t="s">
        <v>79</v>
      </c>
      <c r="J30" s="33">
        <v>250000</v>
      </c>
      <c r="K30" s="29">
        <v>0</v>
      </c>
    </row>
    <row r="31" spans="1:11" ht="17.5" x14ac:dyDescent="0.35">
      <c r="A31" s="11" t="s">
        <v>26</v>
      </c>
      <c r="B31" s="12" t="s">
        <v>119</v>
      </c>
      <c r="C31" s="25">
        <v>150000</v>
      </c>
      <c r="D31" s="13"/>
      <c r="E31" s="14"/>
      <c r="F31" s="15">
        <f t="shared" si="0"/>
        <v>150000</v>
      </c>
      <c r="G31" s="15"/>
      <c r="H31" s="17"/>
      <c r="I31" s="27" t="s">
        <v>79</v>
      </c>
      <c r="J31" s="33">
        <f>100000+50000</f>
        <v>150000</v>
      </c>
      <c r="K31" s="29">
        <v>0</v>
      </c>
    </row>
    <row r="32" spans="1:11" ht="17.5" x14ac:dyDescent="0.35">
      <c r="A32" s="11" t="s">
        <v>27</v>
      </c>
      <c r="B32" s="12" t="s">
        <v>120</v>
      </c>
      <c r="C32" s="25">
        <v>125000</v>
      </c>
      <c r="D32" s="13"/>
      <c r="E32" s="14"/>
      <c r="F32" s="15">
        <f t="shared" si="0"/>
        <v>125000</v>
      </c>
      <c r="G32" s="15"/>
      <c r="H32" s="17"/>
      <c r="I32" s="27" t="s">
        <v>79</v>
      </c>
      <c r="J32" s="33">
        <v>125000</v>
      </c>
      <c r="K32" s="29">
        <v>0</v>
      </c>
    </row>
    <row r="33" spans="1:11" ht="17.5" x14ac:dyDescent="0.35">
      <c r="A33" s="11" t="s">
        <v>81</v>
      </c>
      <c r="B33" s="12" t="s">
        <v>121</v>
      </c>
      <c r="C33" s="25">
        <v>150000</v>
      </c>
      <c r="D33" s="13"/>
      <c r="E33" s="14"/>
      <c r="F33" s="15">
        <f t="shared" si="0"/>
        <v>150000</v>
      </c>
      <c r="G33" s="15"/>
      <c r="H33" s="17"/>
      <c r="I33" s="27" t="s">
        <v>79</v>
      </c>
      <c r="J33" s="33">
        <v>160000</v>
      </c>
      <c r="K33" s="29">
        <v>10000</v>
      </c>
    </row>
    <row r="34" spans="1:11" ht="17.5" x14ac:dyDescent="0.35">
      <c r="A34" s="11" t="s">
        <v>62</v>
      </c>
      <c r="B34" s="12" t="s">
        <v>122</v>
      </c>
      <c r="C34" s="25">
        <v>50000</v>
      </c>
      <c r="D34" s="13"/>
      <c r="E34" s="14"/>
      <c r="F34" s="15">
        <f t="shared" si="0"/>
        <v>50000</v>
      </c>
      <c r="G34" s="15"/>
      <c r="H34" s="17"/>
      <c r="I34" s="27" t="s">
        <v>79</v>
      </c>
      <c r="J34" s="33">
        <v>50000</v>
      </c>
      <c r="K34" s="29">
        <v>0</v>
      </c>
    </row>
    <row r="35" spans="1:11" ht="17.5" x14ac:dyDescent="0.35">
      <c r="A35" s="11" t="s">
        <v>65</v>
      </c>
      <c r="B35" s="12" t="s">
        <v>123</v>
      </c>
      <c r="C35" s="25">
        <v>60000</v>
      </c>
      <c r="D35" s="13"/>
      <c r="E35" s="14"/>
      <c r="F35" s="15">
        <f t="shared" si="0"/>
        <v>60000</v>
      </c>
      <c r="G35" s="15"/>
      <c r="H35" s="17"/>
      <c r="I35" s="27" t="s">
        <v>79</v>
      </c>
      <c r="J35" s="33">
        <v>60000</v>
      </c>
      <c r="K35" s="29">
        <v>0</v>
      </c>
    </row>
    <row r="36" spans="1:11" ht="17.5" x14ac:dyDescent="0.35">
      <c r="A36" s="11" t="s">
        <v>28</v>
      </c>
      <c r="B36" s="12" t="s">
        <v>124</v>
      </c>
      <c r="C36" s="25">
        <v>50000</v>
      </c>
      <c r="D36" s="13"/>
      <c r="E36" s="14"/>
      <c r="F36" s="15">
        <f t="shared" si="0"/>
        <v>50000</v>
      </c>
      <c r="G36" s="15"/>
      <c r="H36" s="17"/>
      <c r="I36" s="27" t="s">
        <v>79</v>
      </c>
      <c r="J36" s="33">
        <v>50000</v>
      </c>
      <c r="K36" s="29">
        <v>0</v>
      </c>
    </row>
    <row r="37" spans="1:11" ht="17.5" x14ac:dyDescent="0.35">
      <c r="A37" s="11" t="s">
        <v>80</v>
      </c>
      <c r="B37" s="12" t="s">
        <v>125</v>
      </c>
      <c r="C37" s="25">
        <v>0</v>
      </c>
      <c r="D37" s="13">
        <v>153000</v>
      </c>
      <c r="E37" s="14"/>
      <c r="F37" s="15">
        <f t="shared" si="0"/>
        <v>153000</v>
      </c>
      <c r="G37" s="15"/>
      <c r="H37" s="17"/>
      <c r="I37" s="27"/>
      <c r="J37" s="33"/>
      <c r="K37" s="29">
        <v>0</v>
      </c>
    </row>
    <row r="38" spans="1:11" ht="17.5" x14ac:dyDescent="0.35">
      <c r="A38" s="11" t="s">
        <v>29</v>
      </c>
      <c r="B38" s="12" t="s">
        <v>126</v>
      </c>
      <c r="C38" s="25">
        <v>125000</v>
      </c>
      <c r="D38" s="13"/>
      <c r="E38" s="14"/>
      <c r="F38" s="15">
        <f t="shared" si="0"/>
        <v>125000</v>
      </c>
      <c r="G38" s="15"/>
      <c r="H38" s="17"/>
      <c r="I38" s="27" t="s">
        <v>79</v>
      </c>
      <c r="J38" s="33">
        <v>125000</v>
      </c>
      <c r="K38" s="29">
        <v>0</v>
      </c>
    </row>
    <row r="39" spans="1:11" x14ac:dyDescent="0.35">
      <c r="A39" s="16"/>
      <c r="B39" s="17"/>
      <c r="C39" s="17"/>
      <c r="D39" s="17"/>
      <c r="E39" s="17"/>
      <c r="F39" s="17"/>
      <c r="G39" s="17"/>
      <c r="H39" s="17"/>
      <c r="I39" s="17"/>
      <c r="J39" s="32"/>
      <c r="K39" s="18"/>
    </row>
    <row r="40" spans="1:11" ht="18" thickBot="1" x14ac:dyDescent="0.4">
      <c r="A40" s="19"/>
      <c r="B40" s="20" t="s">
        <v>30</v>
      </c>
      <c r="C40" s="21">
        <f>SUM(C7:C39)</f>
        <v>4085000</v>
      </c>
      <c r="D40" s="21">
        <f>SUM(D7:D39)</f>
        <v>669000</v>
      </c>
      <c r="E40" s="21">
        <f>SUM(E7:E39)</f>
        <v>0</v>
      </c>
      <c r="F40" s="21">
        <f>SUM(F7:F39)</f>
        <v>4754000</v>
      </c>
      <c r="G40" s="21">
        <f>SUM(G7:G39)</f>
        <v>0</v>
      </c>
      <c r="H40" s="21">
        <f t="shared" ref="H40" si="1">SUM(H8:H39)</f>
        <v>0</v>
      </c>
      <c r="I40" s="28"/>
      <c r="J40" s="21">
        <f t="shared" ref="J40" si="2">SUM(J6:J39)</f>
        <v>6116500</v>
      </c>
      <c r="K40" s="22">
        <f>SUM(K6:K39)</f>
        <v>1437500</v>
      </c>
    </row>
    <row r="41" spans="1:11" ht="15" thickTop="1" x14ac:dyDescent="0.35"/>
  </sheetData>
  <autoFilter ref="A5:F38" xr:uid="{00000000-0009-0000-0000-00000C000000}"/>
  <mergeCells count="1">
    <mergeCell ref="B4:E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1"/>
  <sheetViews>
    <sheetView zoomScale="106" zoomScaleNormal="106" workbookViewId="0">
      <pane xSplit="3" ySplit="5" topLeftCell="D6" activePane="bottomRight" state="frozen"/>
      <selection activeCell="A34" sqref="A34:XFD34"/>
      <selection pane="topRight" activeCell="A34" sqref="A34:XFD34"/>
      <selection pane="bottomLeft" activeCell="A34" sqref="A34:XFD34"/>
      <selection pane="bottomRight" activeCell="F1" sqref="F1"/>
    </sheetView>
  </sheetViews>
  <sheetFormatPr baseColWidth="10" defaultRowHeight="14.5" x14ac:dyDescent="0.35"/>
  <cols>
    <col min="1" max="1" width="13.81640625" bestFit="1" customWidth="1"/>
    <col min="2" max="2" width="35.1796875" bestFit="1" customWidth="1"/>
    <col min="3" max="3" width="17.54296875" bestFit="1" customWidth="1"/>
    <col min="4" max="5" width="17.54296875" customWidth="1"/>
    <col min="6" max="6" width="20.453125" customWidth="1"/>
    <col min="7" max="7" width="17.7265625" bestFit="1" customWidth="1"/>
    <col min="9" max="9" width="12.54296875" customWidth="1"/>
    <col min="10" max="10" width="13.08984375" bestFit="1" customWidth="1"/>
    <col min="11" max="11" width="18.453125" customWidth="1"/>
  </cols>
  <sheetData>
    <row r="1" spans="1:13" ht="21" x14ac:dyDescent="0.5">
      <c r="A1" s="1" t="s">
        <v>2</v>
      </c>
      <c r="B1" s="1" t="s">
        <v>3</v>
      </c>
      <c r="C1" s="24" t="s">
        <v>77</v>
      </c>
    </row>
    <row r="2" spans="1:13" x14ac:dyDescent="0.35">
      <c r="A2" s="1" t="s">
        <v>4</v>
      </c>
      <c r="B2" s="1">
        <v>2024</v>
      </c>
    </row>
    <row r="3" spans="1:13" x14ac:dyDescent="0.35">
      <c r="A3" s="1">
        <v>1</v>
      </c>
      <c r="B3" s="2">
        <v>2</v>
      </c>
      <c r="C3" s="2">
        <v>3</v>
      </c>
      <c r="D3" s="2">
        <v>4</v>
      </c>
      <c r="E3" s="2">
        <v>5</v>
      </c>
      <c r="F3" s="2">
        <v>6</v>
      </c>
      <c r="G3" s="2">
        <v>7</v>
      </c>
      <c r="H3" s="2">
        <v>8</v>
      </c>
      <c r="I3" s="2">
        <v>9</v>
      </c>
      <c r="J3" s="2">
        <v>10</v>
      </c>
      <c r="K3" s="2">
        <v>11</v>
      </c>
    </row>
    <row r="4" spans="1:13" ht="29" thickBot="1" x14ac:dyDescent="0.7">
      <c r="B4" s="51" t="s">
        <v>58</v>
      </c>
      <c r="C4" s="49"/>
      <c r="D4" s="49"/>
      <c r="E4" s="49"/>
      <c r="F4" s="3"/>
    </row>
    <row r="5" spans="1:13" ht="68.25" customHeight="1" thickTop="1" x14ac:dyDescent="0.35">
      <c r="A5" s="8" t="s">
        <v>0</v>
      </c>
      <c r="B5" s="9" t="s">
        <v>1</v>
      </c>
      <c r="C5" s="10" t="s">
        <v>33</v>
      </c>
      <c r="D5" s="10" t="s">
        <v>32</v>
      </c>
      <c r="E5" s="10" t="s">
        <v>34</v>
      </c>
      <c r="F5" s="10" t="s">
        <v>31</v>
      </c>
      <c r="G5" s="10" t="s">
        <v>59</v>
      </c>
      <c r="H5" s="26" t="s">
        <v>61</v>
      </c>
      <c r="I5" s="26" t="s">
        <v>78</v>
      </c>
      <c r="J5" s="31" t="s">
        <v>86</v>
      </c>
      <c r="K5" s="23" t="s">
        <v>85</v>
      </c>
      <c r="L5" s="37" t="s">
        <v>5</v>
      </c>
      <c r="M5" s="36" t="s">
        <v>88</v>
      </c>
    </row>
    <row r="6" spans="1:13" ht="17.5" x14ac:dyDescent="0.35">
      <c r="A6" s="11" t="s">
        <v>60</v>
      </c>
      <c r="B6" s="12" t="s">
        <v>3</v>
      </c>
      <c r="C6" s="25">
        <v>175000</v>
      </c>
      <c r="D6" s="13"/>
      <c r="E6" s="14"/>
      <c r="F6" s="15">
        <f>SUM(C6:E6)</f>
        <v>175000</v>
      </c>
      <c r="G6" s="15"/>
      <c r="H6" s="17">
        <v>2385</v>
      </c>
      <c r="I6" s="27" t="s">
        <v>79</v>
      </c>
      <c r="J6" s="33"/>
      <c r="K6" s="29">
        <v>-175000</v>
      </c>
    </row>
    <row r="7" spans="1:13" ht="17.5" x14ac:dyDescent="0.35">
      <c r="A7" s="11" t="s">
        <v>66</v>
      </c>
      <c r="B7" s="12" t="s">
        <v>95</v>
      </c>
      <c r="C7" s="25">
        <v>0</v>
      </c>
      <c r="D7" s="13">
        <v>50000</v>
      </c>
      <c r="E7" s="14"/>
      <c r="F7" s="15">
        <f t="shared" ref="F7:F38" si="0">SUM(C7:E7)</f>
        <v>50000</v>
      </c>
      <c r="G7" s="15"/>
      <c r="H7" s="17"/>
      <c r="I7" s="27"/>
      <c r="J7" s="33"/>
      <c r="K7" s="29">
        <v>0</v>
      </c>
    </row>
    <row r="8" spans="1:13" ht="17.5" x14ac:dyDescent="0.35">
      <c r="A8" s="11" t="s">
        <v>6</v>
      </c>
      <c r="B8" s="12" t="s">
        <v>96</v>
      </c>
      <c r="C8" s="25">
        <v>125000</v>
      </c>
      <c r="D8" s="13">
        <v>500000</v>
      </c>
      <c r="E8" s="14"/>
      <c r="F8" s="15">
        <f t="shared" si="0"/>
        <v>625000</v>
      </c>
      <c r="G8" s="15"/>
      <c r="H8" s="17"/>
      <c r="I8" s="27" t="s">
        <v>79</v>
      </c>
      <c r="J8" s="33">
        <v>125000</v>
      </c>
      <c r="K8" s="29">
        <v>0</v>
      </c>
      <c r="L8">
        <v>500000</v>
      </c>
    </row>
    <row r="9" spans="1:13" ht="17.5" x14ac:dyDescent="0.35">
      <c r="A9" s="11" t="s">
        <v>7</v>
      </c>
      <c r="B9" s="12" t="s">
        <v>97</v>
      </c>
      <c r="C9" s="25">
        <v>250000</v>
      </c>
      <c r="D9" s="13">
        <v>800000</v>
      </c>
      <c r="E9" s="14"/>
      <c r="F9" s="15">
        <f t="shared" si="0"/>
        <v>1050000</v>
      </c>
      <c r="G9" s="15"/>
      <c r="H9" s="17"/>
      <c r="I9" s="27" t="s">
        <v>79</v>
      </c>
      <c r="J9" s="33">
        <v>351000</v>
      </c>
      <c r="K9" s="29">
        <v>0</v>
      </c>
      <c r="L9">
        <v>800000</v>
      </c>
      <c r="M9">
        <v>200000</v>
      </c>
    </row>
    <row r="10" spans="1:13" ht="17.5" x14ac:dyDescent="0.35">
      <c r="A10" s="11" t="s">
        <v>8</v>
      </c>
      <c r="B10" s="12" t="s">
        <v>98</v>
      </c>
      <c r="C10" s="25">
        <v>0</v>
      </c>
      <c r="D10" s="13">
        <v>1307000</v>
      </c>
      <c r="E10" s="14"/>
      <c r="F10" s="15">
        <f t="shared" si="0"/>
        <v>1307000</v>
      </c>
      <c r="G10" s="15"/>
      <c r="H10" s="17"/>
      <c r="I10" s="27"/>
      <c r="J10" s="33"/>
      <c r="K10" s="29"/>
      <c r="L10">
        <f>1207000+50000+50000</f>
        <v>1307000</v>
      </c>
    </row>
    <row r="11" spans="1:13" ht="17.5" x14ac:dyDescent="0.35">
      <c r="A11" s="11" t="s">
        <v>9</v>
      </c>
      <c r="B11" s="12" t="s">
        <v>99</v>
      </c>
      <c r="C11" s="25">
        <v>0</v>
      </c>
      <c r="D11" s="13">
        <v>228000</v>
      </c>
      <c r="E11" s="14"/>
      <c r="F11" s="15">
        <f t="shared" si="0"/>
        <v>228000</v>
      </c>
      <c r="G11" s="15"/>
      <c r="H11" s="17"/>
      <c r="I11" s="27"/>
      <c r="J11" s="33"/>
      <c r="K11" s="29">
        <v>0</v>
      </c>
      <c r="L11">
        <v>228000</v>
      </c>
    </row>
    <row r="12" spans="1:13" ht="17.5" x14ac:dyDescent="0.35">
      <c r="A12" s="11" t="s">
        <v>10</v>
      </c>
      <c r="B12" s="12" t="s">
        <v>100</v>
      </c>
      <c r="C12" s="25">
        <v>330000</v>
      </c>
      <c r="D12" s="13">
        <v>637500</v>
      </c>
      <c r="E12" s="14"/>
      <c r="F12" s="15">
        <f t="shared" si="0"/>
        <v>967500</v>
      </c>
      <c r="G12" s="15"/>
      <c r="H12" s="17"/>
      <c r="I12" s="27" t="s">
        <v>79</v>
      </c>
      <c r="J12" s="33">
        <f>100000+300000</f>
        <v>400000</v>
      </c>
      <c r="K12" s="29">
        <v>0</v>
      </c>
      <c r="L12">
        <f>505000+132500</f>
        <v>637500</v>
      </c>
    </row>
    <row r="13" spans="1:13" ht="17.5" x14ac:dyDescent="0.35">
      <c r="A13" s="11" t="s">
        <v>11</v>
      </c>
      <c r="B13" s="12" t="s">
        <v>101</v>
      </c>
      <c r="C13" s="25">
        <v>50000</v>
      </c>
      <c r="D13" s="13"/>
      <c r="E13" s="14"/>
      <c r="F13" s="15">
        <f t="shared" si="0"/>
        <v>50000</v>
      </c>
      <c r="G13" s="15"/>
      <c r="H13" s="17"/>
      <c r="I13" s="27" t="s">
        <v>79</v>
      </c>
      <c r="J13" s="33">
        <v>1050000</v>
      </c>
      <c r="K13" s="29">
        <v>1000000</v>
      </c>
    </row>
    <row r="14" spans="1:13" ht="17.5" x14ac:dyDescent="0.35">
      <c r="A14" s="11" t="s">
        <v>12</v>
      </c>
      <c r="B14" s="12" t="s">
        <v>102</v>
      </c>
      <c r="C14" s="25">
        <v>50000</v>
      </c>
      <c r="D14" s="13"/>
      <c r="E14" s="14"/>
      <c r="F14" s="15">
        <f t="shared" si="0"/>
        <v>50000</v>
      </c>
      <c r="G14" s="15"/>
      <c r="H14" s="17"/>
      <c r="I14" s="27" t="s">
        <v>79</v>
      </c>
      <c r="J14" s="33">
        <v>50000</v>
      </c>
      <c r="K14" s="29">
        <v>0</v>
      </c>
    </row>
    <row r="15" spans="1:13" ht="17.5" x14ac:dyDescent="0.35">
      <c r="A15" s="11" t="s">
        <v>13</v>
      </c>
      <c r="B15" s="12" t="s">
        <v>103</v>
      </c>
      <c r="C15" s="25">
        <v>0</v>
      </c>
      <c r="D15" s="13">
        <v>125000</v>
      </c>
      <c r="E15" s="14"/>
      <c r="F15" s="15">
        <f t="shared" si="0"/>
        <v>125000</v>
      </c>
      <c r="G15" s="15"/>
      <c r="H15" s="17"/>
      <c r="I15" s="27"/>
      <c r="J15" s="33"/>
      <c r="K15" s="29">
        <v>0</v>
      </c>
      <c r="L15">
        <v>125000</v>
      </c>
    </row>
    <row r="16" spans="1:13" ht="17.5" x14ac:dyDescent="0.35">
      <c r="A16" s="11" t="s">
        <v>14</v>
      </c>
      <c r="B16" s="12" t="s">
        <v>104</v>
      </c>
      <c r="C16" s="25">
        <v>250000</v>
      </c>
      <c r="D16" s="13">
        <v>202000</v>
      </c>
      <c r="E16" s="14"/>
      <c r="F16" s="15">
        <f t="shared" si="0"/>
        <v>452000</v>
      </c>
      <c r="G16" s="15"/>
      <c r="H16" s="17"/>
      <c r="I16" s="27" t="s">
        <v>79</v>
      </c>
      <c r="J16" s="33">
        <f>750000+202000</f>
        <v>952000</v>
      </c>
      <c r="K16" s="29">
        <v>0</v>
      </c>
      <c r="M16">
        <v>500000</v>
      </c>
    </row>
    <row r="17" spans="1:13" ht="17.5" x14ac:dyDescent="0.35">
      <c r="A17" s="11" t="s">
        <v>15</v>
      </c>
      <c r="B17" s="12" t="s">
        <v>105</v>
      </c>
      <c r="C17" s="25">
        <v>150000</v>
      </c>
      <c r="D17" s="13"/>
      <c r="E17" s="14"/>
      <c r="F17" s="15">
        <f t="shared" si="0"/>
        <v>150000</v>
      </c>
      <c r="G17" s="15"/>
      <c r="H17" s="17"/>
      <c r="I17" s="27" t="s">
        <v>79</v>
      </c>
      <c r="J17" s="33">
        <v>260000</v>
      </c>
      <c r="K17" s="29">
        <v>110000</v>
      </c>
    </row>
    <row r="18" spans="1:13" ht="17.5" x14ac:dyDescent="0.35">
      <c r="A18" s="11" t="s">
        <v>16</v>
      </c>
      <c r="B18" s="12" t="s">
        <v>106</v>
      </c>
      <c r="C18" s="25">
        <v>160000</v>
      </c>
      <c r="D18" s="13"/>
      <c r="E18" s="14"/>
      <c r="F18" s="15">
        <f t="shared" si="0"/>
        <v>160000</v>
      </c>
      <c r="G18" s="15"/>
      <c r="H18" s="17"/>
      <c r="I18" s="27" t="s">
        <v>79</v>
      </c>
      <c r="J18" s="33">
        <v>611000</v>
      </c>
      <c r="K18" s="29">
        <v>461000</v>
      </c>
    </row>
    <row r="19" spans="1:13" ht="17.5" x14ac:dyDescent="0.35">
      <c r="A19" s="11" t="s">
        <v>82</v>
      </c>
      <c r="B19" s="12" t="s">
        <v>107</v>
      </c>
      <c r="C19" s="25">
        <v>50000</v>
      </c>
      <c r="D19" s="13"/>
      <c r="E19" s="14"/>
      <c r="F19" s="15">
        <f t="shared" si="0"/>
        <v>50000</v>
      </c>
      <c r="G19" s="15"/>
      <c r="H19" s="17"/>
      <c r="I19" s="27" t="s">
        <v>79</v>
      </c>
      <c r="J19" s="33">
        <v>50000</v>
      </c>
      <c r="K19" s="29">
        <v>0</v>
      </c>
    </row>
    <row r="20" spans="1:13" ht="17.5" x14ac:dyDescent="0.35">
      <c r="A20" s="11" t="s">
        <v>17</v>
      </c>
      <c r="B20" s="12" t="s">
        <v>108</v>
      </c>
      <c r="C20" s="25">
        <v>225000</v>
      </c>
      <c r="D20" s="13">
        <f>1559000-23000</f>
        <v>1536000</v>
      </c>
      <c r="E20" s="14"/>
      <c r="F20" s="15">
        <f t="shared" si="0"/>
        <v>1761000</v>
      </c>
      <c r="G20" s="15"/>
      <c r="H20" s="17"/>
      <c r="I20" s="27" t="s">
        <v>79</v>
      </c>
      <c r="J20" s="33">
        <v>202000</v>
      </c>
      <c r="K20" s="29">
        <v>0</v>
      </c>
      <c r="L20">
        <f>75000+50000+100000+202000+1000000+132000</f>
        <v>1559000</v>
      </c>
    </row>
    <row r="21" spans="1:13" ht="17.5" x14ac:dyDescent="0.35">
      <c r="A21" s="11" t="s">
        <v>18</v>
      </c>
      <c r="B21" s="12" t="s">
        <v>109</v>
      </c>
      <c r="C21" s="25">
        <v>0</v>
      </c>
      <c r="D21" s="13">
        <v>66500</v>
      </c>
      <c r="E21" s="14"/>
      <c r="F21" s="15">
        <f t="shared" si="0"/>
        <v>66500</v>
      </c>
      <c r="G21" s="15"/>
      <c r="H21" s="17"/>
      <c r="I21" s="27"/>
      <c r="J21" s="33"/>
      <c r="K21" s="29">
        <v>0</v>
      </c>
      <c r="L21">
        <v>66500</v>
      </c>
      <c r="M21">
        <v>280000</v>
      </c>
    </row>
    <row r="22" spans="1:13" ht="17.5" x14ac:dyDescent="0.35">
      <c r="A22" s="11" t="s">
        <v>19</v>
      </c>
      <c r="B22" s="12" t="s">
        <v>110</v>
      </c>
      <c r="C22" s="25">
        <v>125000</v>
      </c>
      <c r="D22" s="13"/>
      <c r="E22" s="14"/>
      <c r="F22" s="15">
        <f t="shared" si="0"/>
        <v>125000</v>
      </c>
      <c r="G22" s="15"/>
      <c r="H22" s="17"/>
      <c r="I22" s="27" t="s">
        <v>79</v>
      </c>
      <c r="J22" s="33">
        <v>125000</v>
      </c>
      <c r="K22" s="29">
        <v>0</v>
      </c>
      <c r="M22">
        <v>107500</v>
      </c>
    </row>
    <row r="23" spans="1:13" ht="17.5" x14ac:dyDescent="0.35">
      <c r="A23" s="11" t="s">
        <v>20</v>
      </c>
      <c r="B23" s="12" t="s">
        <v>111</v>
      </c>
      <c r="C23" s="25">
        <v>260000</v>
      </c>
      <c r="D23" s="13"/>
      <c r="E23" s="14"/>
      <c r="F23" s="15">
        <f t="shared" si="0"/>
        <v>260000</v>
      </c>
      <c r="G23" s="15"/>
      <c r="H23" s="17"/>
      <c r="I23" s="27" t="s">
        <v>79</v>
      </c>
      <c r="J23" s="33">
        <f>760000+202000+202000</f>
        <v>1164000</v>
      </c>
      <c r="K23" s="29">
        <v>904000</v>
      </c>
    </row>
    <row r="24" spans="1:13" ht="17.5" x14ac:dyDescent="0.35">
      <c r="A24" s="11" t="s">
        <v>21</v>
      </c>
      <c r="B24" s="12" t="s">
        <v>112</v>
      </c>
      <c r="C24" s="25">
        <v>225000</v>
      </c>
      <c r="D24" s="13">
        <v>500000</v>
      </c>
      <c r="E24" s="14"/>
      <c r="F24" s="15">
        <f t="shared" si="0"/>
        <v>725000</v>
      </c>
      <c r="G24" s="15"/>
      <c r="H24" s="17"/>
      <c r="I24" s="27" t="s">
        <v>79</v>
      </c>
      <c r="J24" s="33">
        <f>202000+240000</f>
        <v>442000</v>
      </c>
      <c r="K24" s="29">
        <v>0</v>
      </c>
      <c r="L24">
        <v>500000</v>
      </c>
    </row>
    <row r="25" spans="1:13" ht="17.5" x14ac:dyDescent="0.35">
      <c r="A25" s="11" t="s">
        <v>22</v>
      </c>
      <c r="B25" s="12" t="s">
        <v>113</v>
      </c>
      <c r="C25" s="25">
        <v>375000</v>
      </c>
      <c r="D25" s="13"/>
      <c r="E25" s="14"/>
      <c r="F25" s="15">
        <f t="shared" si="0"/>
        <v>375000</v>
      </c>
      <c r="G25" s="15"/>
      <c r="H25" s="17"/>
      <c r="I25" s="27" t="s">
        <v>79</v>
      </c>
      <c r="J25" s="33">
        <f>190000+75000+110000</f>
        <v>375000</v>
      </c>
      <c r="K25" s="29">
        <v>0</v>
      </c>
      <c r="M25">
        <v>1000000</v>
      </c>
    </row>
    <row r="26" spans="1:13" ht="17.5" x14ac:dyDescent="0.35">
      <c r="A26" s="11" t="s">
        <v>23</v>
      </c>
      <c r="B26" s="12" t="s">
        <v>114</v>
      </c>
      <c r="C26" s="25">
        <v>0</v>
      </c>
      <c r="D26" s="13">
        <v>1050000</v>
      </c>
      <c r="E26" s="14"/>
      <c r="F26" s="15">
        <f t="shared" si="0"/>
        <v>1050000</v>
      </c>
      <c r="G26" s="15"/>
      <c r="H26" s="17"/>
      <c r="I26" s="27"/>
      <c r="J26" s="33"/>
      <c r="K26" s="29">
        <v>0</v>
      </c>
      <c r="L26">
        <v>1050000</v>
      </c>
    </row>
    <row r="27" spans="1:13" ht="17.5" x14ac:dyDescent="0.35">
      <c r="A27" s="11" t="s">
        <v>63</v>
      </c>
      <c r="B27" s="12" t="s">
        <v>115</v>
      </c>
      <c r="C27" s="25">
        <v>50000</v>
      </c>
      <c r="D27" s="13"/>
      <c r="E27" s="14"/>
      <c r="F27" s="15">
        <f>SUM(C27:E27)</f>
        <v>50000</v>
      </c>
      <c r="G27" s="15"/>
      <c r="H27" s="17"/>
      <c r="I27" s="27" t="s">
        <v>79</v>
      </c>
      <c r="J27" s="33">
        <v>50000</v>
      </c>
      <c r="K27" s="29">
        <v>0</v>
      </c>
      <c r="M27">
        <v>57750</v>
      </c>
    </row>
    <row r="28" spans="1:13" ht="17.5" x14ac:dyDescent="0.35">
      <c r="A28" s="11" t="s">
        <v>24</v>
      </c>
      <c r="B28" s="12" t="s">
        <v>116</v>
      </c>
      <c r="C28" s="25">
        <v>125000</v>
      </c>
      <c r="D28" s="13"/>
      <c r="E28" s="14"/>
      <c r="F28" s="15">
        <f t="shared" si="0"/>
        <v>125000</v>
      </c>
      <c r="G28" s="15"/>
      <c r="H28" s="17"/>
      <c r="I28" s="27" t="s">
        <v>79</v>
      </c>
      <c r="J28" s="33">
        <v>125000</v>
      </c>
      <c r="K28" s="29">
        <v>0</v>
      </c>
    </row>
    <row r="29" spans="1:13" ht="17.5" x14ac:dyDescent="0.35">
      <c r="A29" s="11" t="s">
        <v>64</v>
      </c>
      <c r="B29" s="12" t="s">
        <v>117</v>
      </c>
      <c r="C29" s="25">
        <v>50000</v>
      </c>
      <c r="D29" s="13"/>
      <c r="E29" s="14"/>
      <c r="F29" s="15">
        <f t="shared" si="0"/>
        <v>50000</v>
      </c>
      <c r="G29" s="15"/>
      <c r="H29" s="17"/>
      <c r="I29" s="27" t="s">
        <v>79</v>
      </c>
      <c r="J29" s="33">
        <v>110000</v>
      </c>
      <c r="K29" s="29">
        <v>60000</v>
      </c>
    </row>
    <row r="30" spans="1:13" ht="17.5" x14ac:dyDescent="0.35">
      <c r="A30" s="11" t="s">
        <v>25</v>
      </c>
      <c r="B30" s="12" t="s">
        <v>118</v>
      </c>
      <c r="C30" s="25">
        <v>250000</v>
      </c>
      <c r="D30" s="13">
        <v>1000000</v>
      </c>
      <c r="E30" s="14"/>
      <c r="F30" s="15">
        <f t="shared" si="0"/>
        <v>1250000</v>
      </c>
      <c r="G30" s="15"/>
      <c r="H30" s="17"/>
      <c r="I30" s="27" t="s">
        <v>79</v>
      </c>
      <c r="J30" s="33">
        <f>250000+202000</f>
        <v>452000</v>
      </c>
      <c r="K30" s="29">
        <v>0</v>
      </c>
      <c r="L30">
        <v>1000000</v>
      </c>
    </row>
    <row r="31" spans="1:13" ht="17.5" x14ac:dyDescent="0.35">
      <c r="A31" s="11" t="s">
        <v>26</v>
      </c>
      <c r="B31" s="12" t="s">
        <v>119</v>
      </c>
      <c r="C31" s="25">
        <v>150000</v>
      </c>
      <c r="D31" s="13"/>
      <c r="E31" s="14"/>
      <c r="F31" s="15">
        <f t="shared" si="0"/>
        <v>150000</v>
      </c>
      <c r="G31" s="15"/>
      <c r="H31" s="17"/>
      <c r="I31" s="27" t="s">
        <v>79</v>
      </c>
      <c r="J31" s="33">
        <f>100000+50000+750000+250000</f>
        <v>1150000</v>
      </c>
      <c r="K31" s="29">
        <v>1000000</v>
      </c>
    </row>
    <row r="32" spans="1:13" ht="17.5" x14ac:dyDescent="0.35">
      <c r="A32" s="11" t="s">
        <v>27</v>
      </c>
      <c r="B32" s="12" t="s">
        <v>120</v>
      </c>
      <c r="C32" s="25">
        <v>125000</v>
      </c>
      <c r="D32" s="13"/>
      <c r="E32" s="14"/>
      <c r="F32" s="15">
        <f t="shared" si="0"/>
        <v>125000</v>
      </c>
      <c r="G32" s="15"/>
      <c r="H32" s="17"/>
      <c r="I32" s="27" t="s">
        <v>79</v>
      </c>
      <c r="J32" s="33">
        <v>125000</v>
      </c>
      <c r="K32" s="29">
        <v>0</v>
      </c>
    </row>
    <row r="33" spans="1:13" ht="17.5" x14ac:dyDescent="0.35">
      <c r="A33" s="11" t="s">
        <v>81</v>
      </c>
      <c r="B33" s="12" t="s">
        <v>121</v>
      </c>
      <c r="C33" s="25">
        <v>150000</v>
      </c>
      <c r="D33" s="13"/>
      <c r="E33" s="14"/>
      <c r="F33" s="15">
        <f t="shared" si="0"/>
        <v>150000</v>
      </c>
      <c r="G33" s="15"/>
      <c r="H33" s="17"/>
      <c r="I33" s="27" t="s">
        <v>79</v>
      </c>
      <c r="J33" s="33">
        <v>160000</v>
      </c>
      <c r="K33" s="29">
        <v>10000</v>
      </c>
    </row>
    <row r="34" spans="1:13" ht="17.5" x14ac:dyDescent="0.35">
      <c r="A34" s="11" t="s">
        <v>62</v>
      </c>
      <c r="B34" s="12" t="s">
        <v>122</v>
      </c>
      <c r="C34" s="25">
        <v>0</v>
      </c>
      <c r="D34" s="13">
        <v>50000</v>
      </c>
      <c r="E34" s="14"/>
      <c r="F34" s="15">
        <f t="shared" si="0"/>
        <v>50000</v>
      </c>
      <c r="G34" s="15"/>
      <c r="H34" s="17"/>
      <c r="I34" s="27"/>
      <c r="J34" s="33"/>
      <c r="K34" s="29">
        <v>0</v>
      </c>
      <c r="L34">
        <v>50000</v>
      </c>
    </row>
    <row r="35" spans="1:13" ht="17.5" x14ac:dyDescent="0.35">
      <c r="A35" s="11" t="s">
        <v>65</v>
      </c>
      <c r="B35" s="12" t="s">
        <v>123</v>
      </c>
      <c r="C35" s="25">
        <v>60000</v>
      </c>
      <c r="D35" s="13"/>
      <c r="E35" s="14"/>
      <c r="F35" s="15">
        <f t="shared" si="0"/>
        <v>60000</v>
      </c>
      <c r="G35" s="15"/>
      <c r="H35" s="17"/>
      <c r="I35" s="27" t="s">
        <v>79</v>
      </c>
      <c r="J35" s="33">
        <v>350000</v>
      </c>
      <c r="K35" s="29">
        <v>290000</v>
      </c>
      <c r="M35">
        <v>102500</v>
      </c>
    </row>
    <row r="36" spans="1:13" ht="17.5" x14ac:dyDescent="0.35">
      <c r="A36" s="11" t="s">
        <v>28</v>
      </c>
      <c r="B36" s="12" t="s">
        <v>124</v>
      </c>
      <c r="C36" s="25">
        <v>0</v>
      </c>
      <c r="D36" s="13">
        <v>50000</v>
      </c>
      <c r="E36" s="14"/>
      <c r="F36" s="15">
        <f t="shared" si="0"/>
        <v>50000</v>
      </c>
      <c r="G36" s="15"/>
      <c r="H36" s="17"/>
      <c r="I36" s="27"/>
      <c r="J36" s="33"/>
      <c r="K36" s="29">
        <v>0</v>
      </c>
      <c r="L36">
        <v>50000</v>
      </c>
    </row>
    <row r="37" spans="1:13" ht="17.5" x14ac:dyDescent="0.35">
      <c r="A37" s="11" t="s">
        <v>80</v>
      </c>
      <c r="B37" s="12" t="s">
        <v>125</v>
      </c>
      <c r="C37" s="25">
        <v>0</v>
      </c>
      <c r="D37" s="13">
        <v>150000</v>
      </c>
      <c r="E37" s="14"/>
      <c r="F37" s="15">
        <f t="shared" si="0"/>
        <v>150000</v>
      </c>
      <c r="G37" s="15"/>
      <c r="H37" s="17"/>
      <c r="I37" s="27"/>
      <c r="J37" s="33"/>
      <c r="K37" s="29">
        <v>0</v>
      </c>
      <c r="L37">
        <v>150000</v>
      </c>
    </row>
    <row r="38" spans="1:13" ht="17.5" x14ac:dyDescent="0.35">
      <c r="A38" s="11" t="s">
        <v>29</v>
      </c>
      <c r="B38" s="12" t="s">
        <v>126</v>
      </c>
      <c r="C38" s="25">
        <v>125000</v>
      </c>
      <c r="D38" s="13"/>
      <c r="E38" s="14"/>
      <c r="F38" s="15">
        <f t="shared" si="0"/>
        <v>125000</v>
      </c>
      <c r="G38" s="15"/>
      <c r="H38" s="17"/>
      <c r="I38" s="27" t="s">
        <v>79</v>
      </c>
      <c r="J38" s="33">
        <v>125000</v>
      </c>
      <c r="K38" s="29">
        <v>0</v>
      </c>
    </row>
    <row r="39" spans="1:13" x14ac:dyDescent="0.35">
      <c r="A39" s="16"/>
      <c r="B39" s="17"/>
      <c r="C39" s="17"/>
      <c r="D39" s="17"/>
      <c r="E39" s="17"/>
      <c r="F39" s="17"/>
      <c r="G39" s="17"/>
      <c r="H39" s="17"/>
      <c r="I39" s="17"/>
      <c r="J39" s="32"/>
      <c r="K39" s="18"/>
    </row>
    <row r="40" spans="1:13" ht="18" thickBot="1" x14ac:dyDescent="0.4">
      <c r="A40" s="19"/>
      <c r="B40" s="20" t="s">
        <v>30</v>
      </c>
      <c r="C40" s="21">
        <f>SUM(C7:C39)</f>
        <v>3710000</v>
      </c>
      <c r="D40" s="21">
        <f>SUM(D7:D39)</f>
        <v>8252000</v>
      </c>
      <c r="E40" s="21">
        <f>SUM(E7:E39)</f>
        <v>0</v>
      </c>
      <c r="F40" s="21">
        <f>SUM(F7:F39)</f>
        <v>11962000</v>
      </c>
      <c r="G40" s="21">
        <f>SUM(G7:G39)</f>
        <v>0</v>
      </c>
      <c r="H40" s="21">
        <f t="shared" ref="H40" si="1">SUM(H8:H39)</f>
        <v>0</v>
      </c>
      <c r="I40" s="28"/>
      <c r="J40" s="21">
        <f t="shared" ref="J40" si="2">SUM(J6:J39)</f>
        <v>8804000</v>
      </c>
      <c r="K40" s="22">
        <f>SUM(K6:K39)</f>
        <v>3660000</v>
      </c>
    </row>
    <row r="41" spans="1:13" ht="15" thickTop="1" x14ac:dyDescent="0.35"/>
  </sheetData>
  <autoFilter ref="A5:F38" xr:uid="{00000000-0009-0000-0000-00000D000000}"/>
  <mergeCells count="1">
    <mergeCell ref="B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28</vt:i4>
      </vt:variant>
      <vt:variant>
        <vt:lpstr>Plages nommées</vt:lpstr>
      </vt:variant>
      <vt:variant>
        <vt:i4>1</vt:i4>
      </vt:variant>
    </vt:vector>
  </HeadingPairs>
  <TitlesOfParts>
    <vt:vector size="29" baseType="lpstr">
      <vt:lpstr>MODEVERSEMENT</vt:lpstr>
      <vt:lpstr>COMPTE BANQUE</vt:lpstr>
      <vt:lpstr>HISTOBQUEJANV25</vt:lpstr>
      <vt:lpstr>HISTOBQUEFEV25</vt:lpstr>
      <vt:lpstr>HISTOBQUEMARS25</vt:lpstr>
      <vt:lpstr>HISTOBQUEAVRIL25</vt:lpstr>
      <vt:lpstr>HISTOBQUEMAI25</vt:lpstr>
      <vt:lpstr>HISTOBQUEJUIN25</vt:lpstr>
      <vt:lpstr>HISTOBQUEJUIL25</vt:lpstr>
      <vt:lpstr>HISTOBQUEAOUT25</vt:lpstr>
      <vt:lpstr>HISTOBQUESEPT25</vt:lpstr>
      <vt:lpstr>HISTOBQUEOCT25</vt:lpstr>
      <vt:lpstr>HISTOBQUENOV25</vt:lpstr>
      <vt:lpstr>HISTOBQUEDEC25</vt:lpstr>
      <vt:lpstr>HISTOBQUERESUME25</vt:lpstr>
      <vt:lpstr>HISTOBQUERESUME24</vt:lpstr>
      <vt:lpstr>HISTOBQUEJANV24</vt:lpstr>
      <vt:lpstr>HISTOBQUEFEV24</vt:lpstr>
      <vt:lpstr>HISTOBQUEMARS24</vt:lpstr>
      <vt:lpstr>HISTOBQUEAVRIL24</vt:lpstr>
      <vt:lpstr>HISTOBQUEMAI24</vt:lpstr>
      <vt:lpstr>HISTOBQUEJUIN24</vt:lpstr>
      <vt:lpstr>HISTOBQUEJUIL24</vt:lpstr>
      <vt:lpstr>HISTOBQUEAOUT24</vt:lpstr>
      <vt:lpstr>HISTOBQUESEPT24</vt:lpstr>
      <vt:lpstr>HISTOBQUEOCT24</vt:lpstr>
      <vt:lpstr>HISTOBQUENOV24</vt:lpstr>
      <vt:lpstr>HISTOBQUEDEC24</vt:lpstr>
      <vt:lpstr>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DJUOMBESSY</dc:creator>
  <cp:lastModifiedBy>HP</cp:lastModifiedBy>
  <dcterms:created xsi:type="dcterms:W3CDTF">2020-11-14T09:26:22Z</dcterms:created>
  <dcterms:modified xsi:type="dcterms:W3CDTF">2026-02-10T10:58:38Z</dcterms:modified>
</cp:coreProperties>
</file>