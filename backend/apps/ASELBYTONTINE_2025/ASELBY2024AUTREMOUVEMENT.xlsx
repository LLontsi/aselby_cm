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E:\ASELBYTONTINE_2025\"/>
    </mc:Choice>
  </mc:AlternateContent>
  <xr:revisionPtr revIDLastSave="0" documentId="13_ncr:1_{AE554723-7762-4256-8D85-DA26BE967F9F}" xr6:coauthVersionLast="37" xr6:coauthVersionMax="37" xr10:uidLastSave="{00000000-0000-0000-0000-000000000000}"/>
  <bookViews>
    <workbookView xWindow="0" yWindow="0" windowWidth="15480" windowHeight="6810" firstSheet="14" activeTab="18" xr2:uid="{00000000-000D-0000-FFFF-FFFF00000000}"/>
  </bookViews>
  <sheets>
    <sheet name="TAF" sheetId="130" r:id="rId1"/>
    <sheet name="MODEVERSEMENT" sheetId="24" r:id="rId2"/>
    <sheet name="MODET25000" sheetId="9" r:id="rId3"/>
    <sheet name="MVTDEC21" sheetId="127" r:id="rId4"/>
    <sheet name="MVTDEC22" sheetId="136" r:id="rId5"/>
    <sheet name="MVTDEC23" sheetId="147" r:id="rId6"/>
    <sheet name="MVTJANV24" sheetId="150" r:id="rId7"/>
    <sheet name="MVTFEV24" sheetId="153" r:id="rId8"/>
    <sheet name="MVTMARS24" sheetId="154" r:id="rId9"/>
    <sheet name="MVTAVRIL24" sheetId="155" r:id="rId10"/>
    <sheet name="MVTMAI24" sheetId="156" r:id="rId11"/>
    <sheet name="MVTJUIN24" sheetId="157" r:id="rId12"/>
    <sheet name="MVTJUIL24" sheetId="158" r:id="rId13"/>
    <sheet name="MVTAOUT24" sheetId="159" r:id="rId14"/>
    <sheet name="MVTSEPT24" sheetId="160" r:id="rId15"/>
    <sheet name="MVTOCT24" sheetId="161" r:id="rId16"/>
    <sheet name="MVTNOV24" sheetId="162" r:id="rId17"/>
    <sheet name="MVTDEC24" sheetId="163" r:id="rId18"/>
    <sheet name="MVTRESUME24" sheetId="164" r:id="rId19"/>
    <sheet name="MVTRESUME24EDIT" sheetId="165" r:id="rId20"/>
    <sheet name="MVTREPARTITION2022" sheetId="132" r:id="rId21"/>
    <sheet name="BILAN 2022" sheetId="131" r:id="rId22"/>
    <sheet name="MVTREPARTITIONEDIT (2)" sheetId="84" r:id="rId23"/>
    <sheet name="MVTREPARTITION2021 (2)" sheetId="125" r:id="rId24"/>
    <sheet name="MVTREPARTITION2021DEF" sheetId="126" r:id="rId25"/>
    <sheet name="PARTAGE INTERET T100" sheetId="129" r:id="rId26"/>
    <sheet name="CPTECHINGUE" sheetId="74" r:id="rId27"/>
    <sheet name="CPTEKEHEPDAVID)" sheetId="92" r:id="rId28"/>
    <sheet name="CPTEKOUAMOEMMANUEL" sheetId="94" r:id="rId29"/>
    <sheet name="CPTETCHOUANTE" sheetId="96" r:id="rId30"/>
    <sheet name="CPTENJEPDJIO" sheetId="95" r:id="rId31"/>
    <sheet name="CPTETCHOUTOU" sheetId="97" r:id="rId32"/>
    <sheet name="MVTRESUME2019" sheetId="26" r:id="rId33"/>
    <sheet name="CPTETYAMERNEST" sheetId="98" r:id="rId34"/>
    <sheet name="CPTEFOGANGERIC" sheetId="99" r:id="rId35"/>
    <sheet name="CPTEFOTSOTHOMAS" sheetId="100" r:id="rId36"/>
    <sheet name="VP KOUAMOPEGUY" sheetId="93" r:id="rId37"/>
    <sheet name="SITUATION KEPSEU" sheetId="75" r:id="rId38"/>
    <sheet name="BAKOPACHILLE" sheetId="111" r:id="rId39"/>
    <sheet name="Feuil1" sheetId="54" r:id="rId40"/>
    <sheet name="MVTRESUMEEDIT2019" sheetId="55" r:id="rId41"/>
    <sheet name="MVTRESUMETAB" sheetId="56" r:id="rId42"/>
    <sheet name="MVTRESUME20BACKUP" sheetId="73" r:id="rId43"/>
    <sheet name="GESTTRESORERIE" sheetId="85" r:id="rId44"/>
    <sheet name="MVTJANV212" sheetId="87" r:id="rId45"/>
    <sheet name="MVTREPARTITION2022 (2)" sheetId="135" r:id="rId46"/>
  </sheets>
  <externalReferences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_FilterDatabase" localSheetId="13" hidden="1">MVTAOUT24!$A$5:$V$39</definedName>
    <definedName name="_xlnm._FilterDatabase" localSheetId="9" hidden="1">MVTAVRIL24!$A$5:$V$39</definedName>
    <definedName name="_xlnm._FilterDatabase" localSheetId="3" hidden="1">MVTDEC21!$A$5:$U$36</definedName>
    <definedName name="_xlnm._FilterDatabase" localSheetId="4" hidden="1">MVTDEC22!$A$5:$U$34</definedName>
    <definedName name="_xlnm._FilterDatabase" localSheetId="5" hidden="1">MVTDEC23!$A$5:$V$36</definedName>
    <definedName name="_xlnm._FilterDatabase" localSheetId="17" hidden="1">MVTDEC24!$A$5:$V$39</definedName>
    <definedName name="_xlnm._FilterDatabase" localSheetId="7" hidden="1">MVTFEV24!$A$5:$V$39</definedName>
    <definedName name="_xlnm._FilterDatabase" localSheetId="44" hidden="1">MVTJANV212!$A$5:$U$37</definedName>
    <definedName name="_xlnm._FilterDatabase" localSheetId="6" hidden="1">MVTJANV24!$A$5:$V$39</definedName>
    <definedName name="_xlnm._FilterDatabase" localSheetId="12" hidden="1">MVTJUIL24!$A$5:$V$39</definedName>
    <definedName name="_xlnm._FilterDatabase" localSheetId="11" hidden="1">MVTJUIN24!$A$5:$V$39</definedName>
    <definedName name="_xlnm._FilterDatabase" localSheetId="10" hidden="1">MVTMAI24!$A$5:$V$39</definedName>
    <definedName name="_xlnm._FilterDatabase" localSheetId="8" hidden="1">MVTMARS24!$A$5:$V$39</definedName>
    <definedName name="_xlnm._FilterDatabase" localSheetId="16" hidden="1">MVTNOV24!$A$5:$V$39</definedName>
    <definedName name="_xlnm._FilterDatabase" localSheetId="15" hidden="1">MVTOCT24!$A$5:$V$39</definedName>
    <definedName name="_xlnm._FilterDatabase" localSheetId="23" hidden="1">'MVTREPARTITION2021 (2)'!$A$5:$R$38</definedName>
    <definedName name="_xlnm._FilterDatabase" localSheetId="24" hidden="1">MVTREPARTITION2021DEF!$A$5:$R$38</definedName>
    <definedName name="_xlnm._FilterDatabase" localSheetId="20" hidden="1">MVTREPARTITION2022!$A$5:$U$39</definedName>
    <definedName name="_xlnm._FilterDatabase" localSheetId="45" hidden="1">'MVTREPARTITION2022 (2)'!$A$5:$U$38</definedName>
    <definedName name="_xlnm._FilterDatabase" localSheetId="22" hidden="1">'MVTREPARTITIONEDIT (2)'!$A$5:$F$39</definedName>
    <definedName name="_xlnm._FilterDatabase" localSheetId="32" hidden="1">MVTRESUME2019!$A$5:$Q$49</definedName>
    <definedName name="_xlnm._FilterDatabase" localSheetId="42" hidden="1">MVTRESUME20BACKUP!$A$5:$P$39</definedName>
    <definedName name="_xlnm._FilterDatabase" localSheetId="18" hidden="1">MVTRESUME24!$A$6:$J$40</definedName>
    <definedName name="_xlnm._FilterDatabase" localSheetId="19" hidden="1">MVTRESUME24EDIT!$A$5:$J$39</definedName>
    <definedName name="_xlnm._FilterDatabase" localSheetId="40" hidden="1">MVTRESUMEEDIT2019!$A$5:$E$48</definedName>
    <definedName name="_xlnm._FilterDatabase" localSheetId="41" hidden="1">MVTRESUMETAB!$A$1:$Q$44</definedName>
    <definedName name="_xlnm._FilterDatabase" localSheetId="14" hidden="1">MVTSEPT24!$A$5:$V$39</definedName>
    <definedName name="BANQUE" localSheetId="21">#REF!</definedName>
    <definedName name="BANQUE" localSheetId="34">#REF!</definedName>
    <definedName name="BANQUE" localSheetId="35">#REF!</definedName>
    <definedName name="BANQUE" localSheetId="27">#REF!</definedName>
    <definedName name="BANQUE" localSheetId="28">#REF!</definedName>
    <definedName name="BANQUE" localSheetId="30">#REF!</definedName>
    <definedName name="BANQUE" localSheetId="29">#REF!</definedName>
    <definedName name="BANQUE" localSheetId="31">#REF!</definedName>
    <definedName name="BANQUE" localSheetId="33">#REF!</definedName>
    <definedName name="BANQUE" localSheetId="2">#REF!</definedName>
    <definedName name="BANQUE" localSheetId="1">#REF!</definedName>
    <definedName name="BANQUE" localSheetId="13">#REF!</definedName>
    <definedName name="BANQUE" localSheetId="9">#REF!</definedName>
    <definedName name="BANQUE" localSheetId="3">#REF!</definedName>
    <definedName name="BANQUE" localSheetId="4">#REF!</definedName>
    <definedName name="BANQUE" localSheetId="5">#REF!</definedName>
    <definedName name="BANQUE" localSheetId="17">#REF!</definedName>
    <definedName name="BANQUE" localSheetId="7">#REF!</definedName>
    <definedName name="BANQUE" localSheetId="44">#REF!</definedName>
    <definedName name="BANQUE" localSheetId="6">#REF!</definedName>
    <definedName name="BANQUE" localSheetId="12">#REF!</definedName>
    <definedName name="BANQUE" localSheetId="11">#REF!</definedName>
    <definedName name="BANQUE" localSheetId="10">#REF!</definedName>
    <definedName name="BANQUE" localSheetId="8">#REF!</definedName>
    <definedName name="BANQUE" localSheetId="16">#REF!</definedName>
    <definedName name="BANQUE" localSheetId="15">#REF!</definedName>
    <definedName name="BANQUE" localSheetId="23">#REF!</definedName>
    <definedName name="BANQUE" localSheetId="24">#REF!</definedName>
    <definedName name="BANQUE" localSheetId="20">#REF!</definedName>
    <definedName name="BANQUE" localSheetId="45">#REF!</definedName>
    <definedName name="BANQUE" localSheetId="22">#REF!</definedName>
    <definedName name="BANQUE" localSheetId="32">#REF!</definedName>
    <definedName name="BANQUE" localSheetId="42">#REF!</definedName>
    <definedName name="BANQUE" localSheetId="18">#REF!</definedName>
    <definedName name="BANQUE" localSheetId="19">#REF!</definedName>
    <definedName name="BANQUE" localSheetId="40">#REF!</definedName>
    <definedName name="BANQUE" localSheetId="41">#REF!</definedName>
    <definedName name="BANQUE" localSheetId="14">#REF!</definedName>
    <definedName name="BANQUE" localSheetId="25">#REF!</definedName>
    <definedName name="BANQUE" localSheetId="36">#REF!</definedName>
    <definedName name="BANQUE">#REF!</definedName>
    <definedName name="ECHEC" localSheetId="2">#REF!</definedName>
    <definedName name="_xlnm.Print_Titles" localSheetId="23">'MVTREPARTITION2021 (2)'!$A:$B,'MVTREPARTITION2021 (2)'!$1:$5</definedName>
    <definedName name="_xlnm.Print_Titles" localSheetId="24">MVTREPARTITION2021DEF!$A:$B,MVTREPARTITION2021DEF!$1:$5</definedName>
    <definedName name="_xlnm.Print_Titles" localSheetId="20">MVTREPARTITION2022!$A:$B,MVTREPARTITION2022!$1:$5</definedName>
    <definedName name="_xlnm.Print_Titles" localSheetId="45">'MVTREPARTITION2022 (2)'!$A:$B,'MVTREPARTITION2022 (2)'!$1:$5</definedName>
    <definedName name="_xlnm.Print_Titles" localSheetId="22">'MVTREPARTITIONEDIT (2)'!$1:$5</definedName>
    <definedName name="_xlnm.Print_Titles" localSheetId="18">MVTRESUME24!$A:$B</definedName>
    <definedName name="_xlnm.Print_Titles" localSheetId="19">MVTRESUME24EDIT!$A:$B</definedName>
    <definedName name="_xlnm.Print_Titles" localSheetId="40">MVTRESUMEEDIT2019!$1:$5</definedName>
    <definedName name="MODEET30000" localSheetId="43">[1]MODEVERSEMENT!$A$1:$A$3</definedName>
    <definedName name="MODEET30000" localSheetId="13">[2]MODEVERSEMENT!$A$1:$A$3</definedName>
    <definedName name="MODEET30000" localSheetId="9">[2]MODEVERSEMENT!$A$1:$A$3</definedName>
    <definedName name="MODEET30000" localSheetId="3">[2]MODEVERSEMENT!$A$1:$A$3</definedName>
    <definedName name="MODEET30000" localSheetId="4">[2]MODEVERSEMENT!$A$1:$A$3</definedName>
    <definedName name="MODEET30000" localSheetId="5">[2]MODEVERSEMENT!$A$1:$A$3</definedName>
    <definedName name="MODEET30000" localSheetId="17">[2]MODEVERSEMENT!$A$1:$A$3</definedName>
    <definedName name="MODEET30000" localSheetId="7">[2]MODEVERSEMENT!$A$1:$A$3</definedName>
    <definedName name="MODEET30000" localSheetId="6">[2]MODEVERSEMENT!$A$1:$A$3</definedName>
    <definedName name="MODEET30000" localSheetId="12">[2]MODEVERSEMENT!$A$1:$A$3</definedName>
    <definedName name="MODEET30000" localSheetId="11">[2]MODEVERSEMENT!$A$1:$A$3</definedName>
    <definedName name="MODEET30000" localSheetId="10">[2]MODEVERSEMENT!$A$1:$A$3</definedName>
    <definedName name="MODEET30000" localSheetId="8">[2]MODEVERSEMENT!$A$1:$A$3</definedName>
    <definedName name="MODEET30000" localSheetId="16">[2]MODEVERSEMENT!$A$1:$A$3</definedName>
    <definedName name="MODEET30000" localSheetId="15">[2]MODEVERSEMENT!$A$1:$A$3</definedName>
    <definedName name="MODEET30000" localSheetId="18">[2]MODEVERSEMENT!$A$1:$A$3</definedName>
    <definedName name="MODEET30000" localSheetId="19">[2]MODEVERSEMENT!$A$1:$A$3</definedName>
    <definedName name="MODEET30000" localSheetId="14">[2]MODEVERSEMENT!$A$1:$A$3</definedName>
    <definedName name="MODEET30000">[3]MODEVERSEMENT!$A$1:$A$3</definedName>
    <definedName name="MODEPAID" localSheetId="21">[4]Feuil2!$A$1:$A$3</definedName>
    <definedName name="MODEPAID" localSheetId="2">[5]Feuil2!$A$1:$A$3</definedName>
    <definedName name="MODEPAID" localSheetId="1">#REF!</definedName>
    <definedName name="MODEPAID" localSheetId="36">[6]Feuil2!$A$1:$A$3</definedName>
    <definedName name="MODEPAID">[5]Feuil2!$A$1:$A$3</definedName>
    <definedName name="MODEPAID30000" localSheetId="13">MVTAOUT24!#REF!</definedName>
    <definedName name="MODEPAID30000" localSheetId="9">MVTAVRIL24!#REF!</definedName>
    <definedName name="MODEPAID30000" localSheetId="3">MVTDEC21!#REF!</definedName>
    <definedName name="MODEPAID30000" localSheetId="4">MVTDEC22!#REF!</definedName>
    <definedName name="MODEPAID30000" localSheetId="5">MVTDEC23!#REF!</definedName>
    <definedName name="MODEPAID30000" localSheetId="17">MVTDEC24!#REF!</definedName>
    <definedName name="MODEPAID30000" localSheetId="7">MVTFEV24!#REF!</definedName>
    <definedName name="MODEPAID30000" localSheetId="44">MVTJANV212!#REF!</definedName>
    <definedName name="MODEPAID30000" localSheetId="6">MVTJANV24!#REF!</definedName>
    <definedName name="MODEPAID30000" localSheetId="12">MVTJUIL24!#REF!</definedName>
    <definedName name="MODEPAID30000" localSheetId="11">MVTJUIN24!#REF!</definedName>
    <definedName name="MODEPAID30000" localSheetId="10">MVTMAI24!#REF!</definedName>
    <definedName name="MODEPAID30000" localSheetId="8">MVTMARS24!#REF!</definedName>
    <definedName name="MODEPAID30000" localSheetId="16">MVTNOV24!#REF!</definedName>
    <definedName name="MODEPAID30000" localSheetId="15">MVTOCT24!#REF!</definedName>
    <definedName name="MODEPAID30000" localSheetId="23">'MVTREPARTITION2021 (2)'!#REF!</definedName>
    <definedName name="MODEPAID30000" localSheetId="24">MVTREPARTITION2021DEF!#REF!</definedName>
    <definedName name="MODEPAID30000" localSheetId="20">MVTREPARTITION2022!#REF!</definedName>
    <definedName name="MODEPAID30000" localSheetId="45">'MVTREPARTITION2022 (2)'!#REF!</definedName>
    <definedName name="MODEPAID30000" localSheetId="22">'MVTREPARTITIONEDIT (2)'!#REF!</definedName>
    <definedName name="MODEPAID30000" localSheetId="42">MVTRESUME20BACKUP!#REF!</definedName>
    <definedName name="MODEPAID30000" localSheetId="18">MVTRESUME24!#REF!</definedName>
    <definedName name="MODEPAID30000" localSheetId="19">MVTRESUME24EDIT!#REF!</definedName>
    <definedName name="MODEPAID30000" localSheetId="14">MVTSEPT24!#REF!</definedName>
    <definedName name="MODEPAID30000" localSheetId="25">'PARTAGE INTERET T100'!#REF!</definedName>
    <definedName name="MODEPAIDOK" localSheetId="21">[7]MODEVERSEMENT!$A$1:$A$4</definedName>
    <definedName name="MODEPAIDOK" localSheetId="43">[8]MODEVERSEMENT!$A$1:$A$4</definedName>
    <definedName name="MODEPAIDOK" localSheetId="13">[9]MODEVERSEMENT!$A$1:$A$4</definedName>
    <definedName name="MODEPAIDOK" localSheetId="9">[9]MODEVERSEMENT!$A$1:$A$4</definedName>
    <definedName name="MODEPAIDOK" localSheetId="3">[9]MODEVERSEMENT!$A$1:$A$4</definedName>
    <definedName name="MODEPAIDOK" localSheetId="4">[9]MODEVERSEMENT!$A$1:$A$4</definedName>
    <definedName name="MODEPAIDOK" localSheetId="5">[9]MODEVERSEMENT!$A$1:$A$4</definedName>
    <definedName name="MODEPAIDOK" localSheetId="17">[9]MODEVERSEMENT!$A$1:$A$4</definedName>
    <definedName name="MODEPAIDOK" localSheetId="7">[9]MODEVERSEMENT!$A$1:$A$4</definedName>
    <definedName name="MODEPAIDOK" localSheetId="6">[9]MODEVERSEMENT!$A$1:$A$4</definedName>
    <definedName name="MODEPAIDOK" localSheetId="12">[9]MODEVERSEMENT!$A$1:$A$4</definedName>
    <definedName name="MODEPAIDOK" localSheetId="11">[9]MODEVERSEMENT!$A$1:$A$4</definedName>
    <definedName name="MODEPAIDOK" localSheetId="10">[9]MODEVERSEMENT!$A$1:$A$4</definedName>
    <definedName name="MODEPAIDOK" localSheetId="8">[9]MODEVERSEMENT!$A$1:$A$4</definedName>
    <definedName name="MODEPAIDOK" localSheetId="16">[9]MODEVERSEMENT!$A$1:$A$4</definedName>
    <definedName name="MODEPAIDOK" localSheetId="15">[9]MODEVERSEMENT!$A$1:$A$4</definedName>
    <definedName name="MODEPAIDOK" localSheetId="18">[9]MODEVERSEMENT!$A$1:$A$4</definedName>
    <definedName name="MODEPAIDOK" localSheetId="19">[9]MODEVERSEMENT!$A$1:$A$4</definedName>
    <definedName name="MODEPAIDOK" localSheetId="14">[9]MODEVERSEMENT!$A$1:$A$4</definedName>
    <definedName name="MODEPAIDOK">MODEVERSEMENT!$A$1:$A$4</definedName>
    <definedName name="MODEPAIDS" localSheetId="43">[1]MODEVERSEMENT!$A$1:$A$3</definedName>
    <definedName name="MODEPAIDS" localSheetId="13">[2]MODEVERSEMENT!$A$1:$A$3</definedName>
    <definedName name="MODEPAIDS" localSheetId="9">[2]MODEVERSEMENT!$A$1:$A$3</definedName>
    <definedName name="MODEPAIDS" localSheetId="3">[2]MODEVERSEMENT!$A$1:$A$3</definedName>
    <definedName name="MODEPAIDS" localSheetId="4">[2]MODEVERSEMENT!$A$1:$A$3</definedName>
    <definedName name="MODEPAIDS" localSheetId="5">[2]MODEVERSEMENT!$A$1:$A$3</definedName>
    <definedName name="MODEPAIDS" localSheetId="17">[2]MODEVERSEMENT!$A$1:$A$3</definedName>
    <definedName name="MODEPAIDS" localSheetId="7">[2]MODEVERSEMENT!$A$1:$A$3</definedName>
    <definedName name="MODEPAIDS" localSheetId="6">[2]MODEVERSEMENT!$A$1:$A$3</definedName>
    <definedName name="MODEPAIDS" localSheetId="12">[2]MODEVERSEMENT!$A$1:$A$3</definedName>
    <definedName name="MODEPAIDS" localSheetId="11">[2]MODEVERSEMENT!$A$1:$A$3</definedName>
    <definedName name="MODEPAIDS" localSheetId="10">[2]MODEVERSEMENT!$A$1:$A$3</definedName>
    <definedName name="MODEPAIDS" localSheetId="8">[2]MODEVERSEMENT!$A$1:$A$3</definedName>
    <definedName name="MODEPAIDS" localSheetId="16">[2]MODEVERSEMENT!$A$1:$A$3</definedName>
    <definedName name="MODEPAIDS" localSheetId="15">[2]MODEVERSEMENT!$A$1:$A$3</definedName>
    <definedName name="MODEPAIDS" localSheetId="18">[2]MODEVERSEMENT!$A$1:$A$3</definedName>
    <definedName name="MODEPAIDS" localSheetId="19">[2]MODEVERSEMENT!$A$1:$A$3</definedName>
    <definedName name="MODEPAIDS" localSheetId="14">[2]MODEVERSEMENT!$A$1:$A$3</definedName>
    <definedName name="MODEPAIDS">[3]MODEVERSEMENT!$A$1:$A$3</definedName>
    <definedName name="MODET25000">[10]MODEVERSEMENT!$A$1:$A$3</definedName>
    <definedName name="MODET3000" localSheetId="43">[1]MODEVERSEMENT!$A$1:$A$3</definedName>
    <definedName name="MODET3000" localSheetId="13">[2]MODEVERSEMENT!$A$1:$A$3</definedName>
    <definedName name="MODET3000" localSheetId="9">[2]MODEVERSEMENT!$A$1:$A$3</definedName>
    <definedName name="MODET3000" localSheetId="3">[2]MODEVERSEMENT!$A$1:$A$3</definedName>
    <definedName name="MODET3000" localSheetId="4">[2]MODEVERSEMENT!$A$1:$A$3</definedName>
    <definedName name="MODET3000" localSheetId="5">[2]MODEVERSEMENT!$A$1:$A$3</definedName>
    <definedName name="MODET3000" localSheetId="17">[2]MODEVERSEMENT!$A$1:$A$3</definedName>
    <definedName name="MODET3000" localSheetId="7">[2]MODEVERSEMENT!$A$1:$A$3</definedName>
    <definedName name="MODET3000" localSheetId="6">[2]MODEVERSEMENT!$A$1:$A$3</definedName>
    <definedName name="MODET3000" localSheetId="12">[2]MODEVERSEMENT!$A$1:$A$3</definedName>
    <definedName name="MODET3000" localSheetId="11">[2]MODEVERSEMENT!$A$1:$A$3</definedName>
    <definedName name="MODET3000" localSheetId="10">[2]MODEVERSEMENT!$A$1:$A$3</definedName>
    <definedName name="MODET3000" localSheetId="8">[2]MODEVERSEMENT!$A$1:$A$3</definedName>
    <definedName name="MODET3000" localSheetId="16">[2]MODEVERSEMENT!$A$1:$A$3</definedName>
    <definedName name="MODET3000" localSheetId="15">[2]MODEVERSEMENT!$A$1:$A$3</definedName>
    <definedName name="MODET3000" localSheetId="18">[2]MODEVERSEMENT!$A$1:$A$3</definedName>
    <definedName name="MODET3000" localSheetId="19">[2]MODEVERSEMENT!$A$1:$A$3</definedName>
    <definedName name="MODET3000" localSheetId="14">[2]MODEVERSEMENT!$A$1:$A$3</definedName>
    <definedName name="MODET3000">[3]MODEVERSEMENT!$A$1:$A$3</definedName>
    <definedName name="MODET30000" localSheetId="13">MVTAOUT24!#REF!</definedName>
    <definedName name="MODET30000" localSheetId="9">MVTAVRIL24!#REF!</definedName>
    <definedName name="MODET30000" localSheetId="3">MVTDEC21!#REF!</definedName>
    <definedName name="MODET30000" localSheetId="4">MVTDEC22!#REF!</definedName>
    <definedName name="MODET30000" localSheetId="5">MVTDEC23!#REF!</definedName>
    <definedName name="MODET30000" localSheetId="17">MVTDEC24!#REF!</definedName>
    <definedName name="MODET30000" localSheetId="7">MVTFEV24!#REF!</definedName>
    <definedName name="MODET30000" localSheetId="44">MVTJANV212!#REF!</definedName>
    <definedName name="MODET30000" localSheetId="6">MVTJANV24!#REF!</definedName>
    <definedName name="MODET30000" localSheetId="12">MVTJUIL24!#REF!</definedName>
    <definedName name="MODET30000" localSheetId="11">MVTJUIN24!#REF!</definedName>
    <definedName name="MODET30000" localSheetId="10">MVTMAI24!#REF!</definedName>
    <definedName name="MODET30000" localSheetId="8">MVTMARS24!#REF!</definedName>
    <definedName name="MODET30000" localSheetId="16">MVTNOV24!#REF!</definedName>
    <definedName name="MODET30000" localSheetId="15">MVTOCT24!#REF!</definedName>
    <definedName name="MODET30000" localSheetId="23">'MVTREPARTITION2021 (2)'!#REF!</definedName>
    <definedName name="MODET30000" localSheetId="24">MVTREPARTITION2021DEF!#REF!</definedName>
    <definedName name="MODET30000" localSheetId="20">MVTREPARTITION2022!#REF!</definedName>
    <definedName name="MODET30000" localSheetId="45">'MVTREPARTITION2022 (2)'!#REF!</definedName>
    <definedName name="MODET30000" localSheetId="22">'MVTREPARTITIONEDIT (2)'!#REF!</definedName>
    <definedName name="MODET30000" localSheetId="42">MVTRESUME20BACKUP!#REF!</definedName>
    <definedName name="MODET30000" localSheetId="18">MVTRESUME24!#REF!</definedName>
    <definedName name="MODET30000" localSheetId="19">MVTRESUME24EDIT!#REF!</definedName>
    <definedName name="MODET30000" localSheetId="14">MVTSEPT24!#REF!</definedName>
    <definedName name="MODET30000" localSheetId="25">'PARTAGE INTERET T100'!#REF!</definedName>
    <definedName name="MODET30000B" localSheetId="1">#REF!</definedName>
    <definedName name="MODEVERSEMENT" localSheetId="21">#REF!</definedName>
    <definedName name="MODEVERSEMENT" localSheetId="34">#REF!</definedName>
    <definedName name="MODEVERSEMENT" localSheetId="35">#REF!</definedName>
    <definedName name="MODEVERSEMENT" localSheetId="27">#REF!</definedName>
    <definedName name="MODEVERSEMENT" localSheetId="28">#REF!</definedName>
    <definedName name="MODEVERSEMENT" localSheetId="30">#REF!</definedName>
    <definedName name="MODEVERSEMENT" localSheetId="29">#REF!</definedName>
    <definedName name="MODEVERSEMENT" localSheetId="31">#REF!</definedName>
    <definedName name="MODEVERSEMENT" localSheetId="33">#REF!</definedName>
    <definedName name="MODEVERSEMENT" localSheetId="2">#REF!</definedName>
    <definedName name="MODEVERSEMENT" localSheetId="1">#REF!</definedName>
    <definedName name="MODEVERSEMENT" localSheetId="13">#REF!</definedName>
    <definedName name="MODEVERSEMENT" localSheetId="9">#REF!</definedName>
    <definedName name="MODEVERSEMENT" localSheetId="3">#REF!</definedName>
    <definedName name="MODEVERSEMENT" localSheetId="4">#REF!</definedName>
    <definedName name="MODEVERSEMENT" localSheetId="5">#REF!</definedName>
    <definedName name="MODEVERSEMENT" localSheetId="17">#REF!</definedName>
    <definedName name="MODEVERSEMENT" localSheetId="7">#REF!</definedName>
    <definedName name="MODEVERSEMENT" localSheetId="44">#REF!</definedName>
    <definedName name="MODEVERSEMENT" localSheetId="6">#REF!</definedName>
    <definedName name="MODEVERSEMENT" localSheetId="12">#REF!</definedName>
    <definedName name="MODEVERSEMENT" localSheetId="11">#REF!</definedName>
    <definedName name="MODEVERSEMENT" localSheetId="10">#REF!</definedName>
    <definedName name="MODEVERSEMENT" localSheetId="8">#REF!</definedName>
    <definedName name="MODEVERSEMENT" localSheetId="16">#REF!</definedName>
    <definedName name="MODEVERSEMENT" localSheetId="15">#REF!</definedName>
    <definedName name="MODEVERSEMENT" localSheetId="23">#REF!</definedName>
    <definedName name="MODEVERSEMENT" localSheetId="24">#REF!</definedName>
    <definedName name="MODEVERSEMENT" localSheetId="20">#REF!</definedName>
    <definedName name="MODEVERSEMENT" localSheetId="45">#REF!</definedName>
    <definedName name="MODEVERSEMENT" localSheetId="22">#REF!</definedName>
    <definedName name="MODEVERSEMENT" localSheetId="32">#REF!</definedName>
    <definedName name="MODEVERSEMENT" localSheetId="42">#REF!</definedName>
    <definedName name="MODEVERSEMENT" localSheetId="18">#REF!</definedName>
    <definedName name="MODEVERSEMENT" localSheetId="19">#REF!</definedName>
    <definedName name="MODEVERSEMENT" localSheetId="40">#REF!</definedName>
    <definedName name="MODEVERSEMENT" localSheetId="41">#REF!</definedName>
    <definedName name="MODEVERSEMENT" localSheetId="14">#REF!</definedName>
    <definedName name="MODEVERSEMENT" localSheetId="25">#REF!</definedName>
    <definedName name="MODEVERSEMENT" localSheetId="36">#REF!</definedName>
    <definedName name="MODEVERSEMENT">#REF!</definedName>
    <definedName name="MODEVERSEMENTS" localSheetId="2">MODET25000!$A$1:$A$3</definedName>
    <definedName name="MODEVERSEMENTS" localSheetId="1">MODEVERSEMENT!$A$1:$A$3</definedName>
    <definedName name="MODEVERSEMENTS">[11]MODEVERSEMENT!$A$1:$A$3</definedName>
    <definedName name="MODPAID" localSheetId="13">MVTAOUT24!#REF!</definedName>
    <definedName name="MODPAID" localSheetId="9">MVTAVRIL24!#REF!</definedName>
    <definedName name="MODPAID" localSheetId="3">MVTDEC21!#REF!</definedName>
    <definedName name="MODPAID" localSheetId="4">MVTDEC22!#REF!</definedName>
    <definedName name="MODPAID" localSheetId="5">MVTDEC23!#REF!</definedName>
    <definedName name="MODPAID" localSheetId="17">MVTDEC24!#REF!</definedName>
    <definedName name="MODPAID" localSheetId="7">MVTFEV24!#REF!</definedName>
    <definedName name="MODPAID" localSheetId="44">MVTJANV212!#REF!</definedName>
    <definedName name="MODPAID" localSheetId="6">MVTJANV24!#REF!</definedName>
    <definedName name="MODPAID" localSheetId="12">MVTJUIL24!#REF!</definedName>
    <definedName name="MODPAID" localSheetId="11">MVTJUIN24!#REF!</definedName>
    <definedName name="MODPAID" localSheetId="10">MVTMAI24!#REF!</definedName>
    <definedName name="MODPAID" localSheetId="8">MVTMARS24!#REF!</definedName>
    <definedName name="MODPAID" localSheetId="16">MVTNOV24!#REF!</definedName>
    <definedName name="MODPAID" localSheetId="15">MVTOCT24!#REF!</definedName>
    <definedName name="MODPAID" localSheetId="23">'MVTREPARTITION2021 (2)'!#REF!</definedName>
    <definedName name="MODPAID" localSheetId="24">MVTREPARTITION2021DEF!#REF!</definedName>
    <definedName name="MODPAID" localSheetId="20">MVTREPARTITION2022!#REF!</definedName>
    <definedName name="MODPAID" localSheetId="45">'MVTREPARTITION2022 (2)'!#REF!</definedName>
    <definedName name="MODPAID" localSheetId="22">'MVTREPARTITIONEDIT (2)'!#REF!</definedName>
    <definedName name="MODPAID" localSheetId="32">MVTRESUME2019!#REF!</definedName>
    <definedName name="MODPAID" localSheetId="42">MVTRESUME20BACKUP!#REF!</definedName>
    <definedName name="MODPAID" localSheetId="18">MVTRESUME24!#REF!</definedName>
    <definedName name="MODPAID" localSheetId="19">MVTRESUME24EDIT!#REF!</definedName>
    <definedName name="MODPAID" localSheetId="40">MVTRESUMEEDIT2019!#REF!</definedName>
    <definedName name="MODPAID" localSheetId="41">MVTRESUMETAB!#REF!</definedName>
    <definedName name="MODPAID" localSheetId="14">MVTSEPT24!#REF!</definedName>
    <definedName name="MODPAID" localSheetId="25">'PARTAGE INTERET T100'!#REF!</definedName>
    <definedName name="VALMODEPAID" localSheetId="43">[12]MODEPAID!$A$1:$A$3</definedName>
    <definedName name="VALMODEPAID" localSheetId="13">[13]MODEPAID!$A$1:$A$3</definedName>
    <definedName name="VALMODEPAID" localSheetId="9">[13]MODEPAID!$A$1:$A$3</definedName>
    <definedName name="VALMODEPAID" localSheetId="3">[13]MODEPAID!$A$1:$A$3</definedName>
    <definedName name="VALMODEPAID" localSheetId="4">[13]MODEPAID!$A$1:$A$3</definedName>
    <definedName name="VALMODEPAID" localSheetId="5">[13]MODEPAID!$A$1:$A$3</definedName>
    <definedName name="VALMODEPAID" localSheetId="17">[13]MODEPAID!$A$1:$A$3</definedName>
    <definedName name="VALMODEPAID" localSheetId="7">[13]MODEPAID!$A$1:$A$3</definedName>
    <definedName name="VALMODEPAID" localSheetId="6">[13]MODEPAID!$A$1:$A$3</definedName>
    <definedName name="VALMODEPAID" localSheetId="12">[13]MODEPAID!$A$1:$A$3</definedName>
    <definedName name="VALMODEPAID" localSheetId="11">[13]MODEPAID!$A$1:$A$3</definedName>
    <definedName name="VALMODEPAID" localSheetId="10">[13]MODEPAID!$A$1:$A$3</definedName>
    <definedName name="VALMODEPAID" localSheetId="8">[13]MODEPAID!$A$1:$A$3</definedName>
    <definedName name="VALMODEPAID" localSheetId="16">[13]MODEPAID!$A$1:$A$3</definedName>
    <definedName name="VALMODEPAID" localSheetId="15">[13]MODEPAID!$A$1:$A$3</definedName>
    <definedName name="VALMODEPAID" localSheetId="18">[13]MODEPAID!$A$1:$A$3</definedName>
    <definedName name="VALMODEPAID" localSheetId="19">[13]MODEPAID!$A$1:$A$3</definedName>
    <definedName name="VALMODEPAID" localSheetId="14">[13]MODEPAID!$A$1:$A$3</definedName>
    <definedName name="VALMODEPAID">[14]MODEPAID!$A$1:$A$3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" i="163" l="1"/>
  <c r="AL6" i="163"/>
  <c r="D20" i="164" l="1"/>
  <c r="T20" i="164" l="1"/>
  <c r="T16" i="162" l="1"/>
  <c r="AN44" i="164" l="1"/>
  <c r="AN8" i="164"/>
  <c r="AN9" i="164"/>
  <c r="AN10" i="164"/>
  <c r="AN11" i="164"/>
  <c r="AN12" i="164"/>
  <c r="AN13" i="164"/>
  <c r="AN14" i="164"/>
  <c r="AN15" i="164"/>
  <c r="AN16" i="164"/>
  <c r="AN17" i="164"/>
  <c r="AN18" i="164"/>
  <c r="AN19" i="164"/>
  <c r="AN20" i="164"/>
  <c r="AN21" i="164"/>
  <c r="AN22" i="164"/>
  <c r="AN23" i="164"/>
  <c r="AN24" i="164"/>
  <c r="AN25" i="164"/>
  <c r="AN26" i="164"/>
  <c r="AN27" i="164"/>
  <c r="AN28" i="164"/>
  <c r="AN29" i="164"/>
  <c r="AN30" i="164"/>
  <c r="AN31" i="164"/>
  <c r="AN32" i="164"/>
  <c r="AN33" i="164"/>
  <c r="AN34" i="164"/>
  <c r="AN35" i="164"/>
  <c r="AN36" i="164"/>
  <c r="AN37" i="164"/>
  <c r="AN38" i="164"/>
  <c r="AN39" i="164"/>
  <c r="AN40" i="164"/>
  <c r="AN41" i="164"/>
  <c r="AL6" i="162"/>
  <c r="AL6" i="160"/>
  <c r="AL6" i="159"/>
  <c r="AL6" i="158"/>
  <c r="AL6" i="157"/>
  <c r="AL6" i="156"/>
  <c r="AL6" i="155"/>
  <c r="AL6" i="154"/>
  <c r="AL6" i="153"/>
  <c r="AL6" i="150"/>
  <c r="AL41" i="150" l="1"/>
  <c r="AL41" i="153"/>
  <c r="AL41" i="154"/>
  <c r="AL41" i="155"/>
  <c r="AL41" i="156"/>
  <c r="AL41" i="157"/>
  <c r="AL41" i="158"/>
  <c r="AL41" i="159"/>
  <c r="AL41" i="160"/>
  <c r="AL41" i="162"/>
  <c r="AQ42" i="164" l="1"/>
  <c r="AP42" i="164"/>
  <c r="AO42" i="164"/>
  <c r="Y42" i="164"/>
  <c r="X42" i="164"/>
  <c r="U42" i="164"/>
  <c r="W41" i="164"/>
  <c r="D41" i="164"/>
  <c r="C41" i="164"/>
  <c r="AA40" i="164"/>
  <c r="E40" i="164"/>
  <c r="B40" i="164"/>
  <c r="AA39" i="164"/>
  <c r="E39" i="164"/>
  <c r="D39" i="164"/>
  <c r="C39" i="164"/>
  <c r="B39" i="164"/>
  <c r="AA38" i="164"/>
  <c r="E38" i="164"/>
  <c r="B38" i="164"/>
  <c r="AA37" i="164"/>
  <c r="E37" i="164"/>
  <c r="B37" i="164"/>
  <c r="AA36" i="164"/>
  <c r="E36" i="164"/>
  <c r="B36" i="164"/>
  <c r="AA35" i="164"/>
  <c r="E35" i="164"/>
  <c r="D35" i="164"/>
  <c r="B35" i="164"/>
  <c r="AA34" i="164"/>
  <c r="E34" i="164"/>
  <c r="B34" i="164"/>
  <c r="AA33" i="164"/>
  <c r="E33" i="164"/>
  <c r="B33" i="164"/>
  <c r="AA32" i="164"/>
  <c r="E32" i="164"/>
  <c r="B32" i="164"/>
  <c r="AA31" i="164"/>
  <c r="E31" i="164"/>
  <c r="B31" i="164"/>
  <c r="AA30" i="164"/>
  <c r="E30" i="164"/>
  <c r="B30" i="164"/>
  <c r="AA29" i="164"/>
  <c r="E29" i="164"/>
  <c r="B29" i="164"/>
  <c r="AA28" i="164"/>
  <c r="E28" i="164"/>
  <c r="B28" i="164"/>
  <c r="AA27" i="164"/>
  <c r="E27" i="164"/>
  <c r="B27" i="164"/>
  <c r="AA26" i="164"/>
  <c r="E26" i="164"/>
  <c r="B26" i="164"/>
  <c r="AA25" i="164"/>
  <c r="E25" i="164"/>
  <c r="B25" i="164"/>
  <c r="AA24" i="164"/>
  <c r="E24" i="164"/>
  <c r="B24" i="164"/>
  <c r="AA23" i="164"/>
  <c r="E23" i="164"/>
  <c r="B23" i="164"/>
  <c r="AA22" i="164"/>
  <c r="E22" i="164"/>
  <c r="B22" i="164"/>
  <c r="AA21" i="164"/>
  <c r="E21" i="164"/>
  <c r="D21" i="164"/>
  <c r="C21" i="164"/>
  <c r="B21" i="164"/>
  <c r="AK20" i="164"/>
  <c r="AJ20" i="164"/>
  <c r="AI20" i="164"/>
  <c r="AH20" i="164"/>
  <c r="AG20" i="164"/>
  <c r="AF20" i="164"/>
  <c r="AE20" i="164"/>
  <c r="AD20" i="164"/>
  <c r="AC20" i="164"/>
  <c r="AB20" i="164"/>
  <c r="AA20" i="164"/>
  <c r="Z20" i="164"/>
  <c r="V20" i="164"/>
  <c r="AM20" i="164"/>
  <c r="S20" i="164"/>
  <c r="R20" i="164"/>
  <c r="J19" i="165" s="1"/>
  <c r="Q20" i="164"/>
  <c r="I19" i="165" s="1"/>
  <c r="P20" i="164"/>
  <c r="H19" i="165" s="1"/>
  <c r="O20" i="164"/>
  <c r="G19" i="165" s="1"/>
  <c r="N20" i="164"/>
  <c r="F19" i="165" s="1"/>
  <c r="M20" i="164"/>
  <c r="E19" i="165" s="1"/>
  <c r="L20" i="164"/>
  <c r="D19" i="165" s="1"/>
  <c r="K20" i="164"/>
  <c r="J20" i="164"/>
  <c r="B20" i="164"/>
  <c r="AA19" i="164"/>
  <c r="E19" i="164"/>
  <c r="B19" i="164"/>
  <c r="AA18" i="164"/>
  <c r="E18" i="164"/>
  <c r="B18" i="164"/>
  <c r="AA17" i="164"/>
  <c r="E17" i="164"/>
  <c r="B17" i="164"/>
  <c r="AA16" i="164"/>
  <c r="E16" i="164"/>
  <c r="B16" i="164"/>
  <c r="AA15" i="164"/>
  <c r="E15" i="164"/>
  <c r="B15" i="164"/>
  <c r="AA14" i="164"/>
  <c r="E14" i="164"/>
  <c r="B14" i="164"/>
  <c r="AA13" i="164"/>
  <c r="E13" i="164"/>
  <c r="B13" i="164"/>
  <c r="AA12" i="164"/>
  <c r="E12" i="164"/>
  <c r="B12" i="164"/>
  <c r="AA11" i="164"/>
  <c r="E11" i="164"/>
  <c r="B11" i="164"/>
  <c r="AA10" i="164"/>
  <c r="E10" i="164"/>
  <c r="B10" i="164"/>
  <c r="AA9" i="164"/>
  <c r="E9" i="164"/>
  <c r="B9" i="164"/>
  <c r="AA8" i="164"/>
  <c r="E8" i="164"/>
  <c r="B8" i="164"/>
  <c r="AA7" i="164"/>
  <c r="E7" i="164"/>
  <c r="C7" i="164"/>
  <c r="B7" i="164"/>
  <c r="B39" i="165"/>
  <c r="B38" i="165"/>
  <c r="B37" i="165"/>
  <c r="B36" i="165"/>
  <c r="B35" i="165"/>
  <c r="B34" i="165"/>
  <c r="B33" i="165"/>
  <c r="B32" i="165"/>
  <c r="B31" i="165"/>
  <c r="B30" i="165"/>
  <c r="B29" i="165"/>
  <c r="B28" i="165"/>
  <c r="B27" i="165"/>
  <c r="B26" i="165"/>
  <c r="B25" i="165"/>
  <c r="B24" i="165"/>
  <c r="B23" i="165"/>
  <c r="B22" i="165"/>
  <c r="B21" i="165"/>
  <c r="B20" i="165"/>
  <c r="B19" i="165"/>
  <c r="B18" i="165"/>
  <c r="B17" i="165"/>
  <c r="B16" i="165"/>
  <c r="B15" i="165"/>
  <c r="B14" i="165"/>
  <c r="B13" i="165"/>
  <c r="B12" i="165"/>
  <c r="B11" i="165"/>
  <c r="B10" i="165"/>
  <c r="B9" i="165"/>
  <c r="B8" i="165"/>
  <c r="B7" i="165"/>
  <c r="B6" i="165"/>
  <c r="L19" i="165" l="1"/>
  <c r="M19" i="165" s="1"/>
  <c r="C38" i="165"/>
  <c r="W20" i="164"/>
  <c r="K19" i="165" s="1"/>
  <c r="C20" i="165"/>
  <c r="AA42" i="164"/>
  <c r="E42" i="164"/>
  <c r="C31" i="92" l="1"/>
  <c r="V16" i="147" l="1"/>
  <c r="S16" i="147"/>
  <c r="T7" i="147" l="1"/>
  <c r="AK39" i="163" l="1"/>
  <c r="AJ39" i="163"/>
  <c r="AI39" i="163"/>
  <c r="AH39" i="163"/>
  <c r="AG39" i="163"/>
  <c r="AF39" i="163"/>
  <c r="AE39" i="163"/>
  <c r="AD39" i="163"/>
  <c r="Z39" i="163"/>
  <c r="Y39" i="163"/>
  <c r="X39" i="163"/>
  <c r="W39" i="163"/>
  <c r="V39" i="163"/>
  <c r="U39" i="163"/>
  <c r="S39" i="163"/>
  <c r="R39" i="163"/>
  <c r="Q39" i="163"/>
  <c r="J39" i="163"/>
  <c r="AK38" i="163"/>
  <c r="AJ38" i="163"/>
  <c r="AI38" i="163"/>
  <c r="AH38" i="163"/>
  <c r="AG38" i="163"/>
  <c r="AF38" i="163"/>
  <c r="AE38" i="163"/>
  <c r="AD38" i="163"/>
  <c r="Z38" i="163"/>
  <c r="Y38" i="163"/>
  <c r="X38" i="163"/>
  <c r="W38" i="163"/>
  <c r="V38" i="163"/>
  <c r="U38" i="163"/>
  <c r="S38" i="163"/>
  <c r="R38" i="163"/>
  <c r="Q38" i="163"/>
  <c r="J38" i="163"/>
  <c r="AK37" i="163"/>
  <c r="AJ37" i="163"/>
  <c r="AI37" i="163"/>
  <c r="AH37" i="163"/>
  <c r="AG37" i="163"/>
  <c r="AF37" i="163"/>
  <c r="AE37" i="163"/>
  <c r="AD37" i="163"/>
  <c r="Z37" i="163"/>
  <c r="Y37" i="163"/>
  <c r="X37" i="163"/>
  <c r="W37" i="163"/>
  <c r="V37" i="163"/>
  <c r="U37" i="163"/>
  <c r="S37" i="163"/>
  <c r="R37" i="163"/>
  <c r="Q37" i="163"/>
  <c r="J37" i="163"/>
  <c r="AK36" i="163"/>
  <c r="AJ36" i="163"/>
  <c r="AI36" i="163"/>
  <c r="AH36" i="163"/>
  <c r="AG36" i="163"/>
  <c r="AF36" i="163"/>
  <c r="AE36" i="163"/>
  <c r="AD36" i="163"/>
  <c r="Z36" i="163"/>
  <c r="Y36" i="163"/>
  <c r="X36" i="163"/>
  <c r="W36" i="163"/>
  <c r="V36" i="163"/>
  <c r="U36" i="163"/>
  <c r="S36" i="163"/>
  <c r="R36" i="163"/>
  <c r="Q36" i="163"/>
  <c r="J36" i="163"/>
  <c r="AK35" i="163"/>
  <c r="AJ35" i="163"/>
  <c r="AI35" i="163"/>
  <c r="AH35" i="163"/>
  <c r="AG35" i="163"/>
  <c r="AF35" i="163"/>
  <c r="AE35" i="163"/>
  <c r="AD35" i="163"/>
  <c r="Z35" i="163"/>
  <c r="Y35" i="163"/>
  <c r="X35" i="163"/>
  <c r="W35" i="163"/>
  <c r="V35" i="163"/>
  <c r="U35" i="163"/>
  <c r="S35" i="163"/>
  <c r="R35" i="163"/>
  <c r="Q35" i="163"/>
  <c r="J35" i="163"/>
  <c r="AK34" i="163"/>
  <c r="AJ34" i="163"/>
  <c r="AI34" i="163"/>
  <c r="AH34" i="163"/>
  <c r="AG34" i="163"/>
  <c r="AF34" i="163"/>
  <c r="AE34" i="163"/>
  <c r="AD34" i="163"/>
  <c r="Z34" i="163"/>
  <c r="Y34" i="163"/>
  <c r="X34" i="163"/>
  <c r="W34" i="163"/>
  <c r="V34" i="163"/>
  <c r="U34" i="163"/>
  <c r="S34" i="163"/>
  <c r="R34" i="163"/>
  <c r="Q34" i="163"/>
  <c r="J34" i="163"/>
  <c r="AK33" i="163"/>
  <c r="AJ33" i="163"/>
  <c r="AI33" i="163"/>
  <c r="AH33" i="163"/>
  <c r="AG33" i="163"/>
  <c r="AF33" i="163"/>
  <c r="AE33" i="163"/>
  <c r="AD33" i="163"/>
  <c r="Z33" i="163"/>
  <c r="Y33" i="163"/>
  <c r="X33" i="163"/>
  <c r="W33" i="163"/>
  <c r="V33" i="163"/>
  <c r="U33" i="163"/>
  <c r="S33" i="163"/>
  <c r="R33" i="163"/>
  <c r="Q33" i="163"/>
  <c r="J33" i="163"/>
  <c r="AK32" i="163"/>
  <c r="AJ32" i="163"/>
  <c r="AI32" i="163"/>
  <c r="AH32" i="163"/>
  <c r="AG32" i="163"/>
  <c r="AF32" i="163"/>
  <c r="AE32" i="163"/>
  <c r="AD32" i="163"/>
  <c r="Z32" i="163"/>
  <c r="Y32" i="163"/>
  <c r="X32" i="163"/>
  <c r="W32" i="163"/>
  <c r="V32" i="163"/>
  <c r="U32" i="163"/>
  <c r="S32" i="163"/>
  <c r="R32" i="163"/>
  <c r="Q32" i="163"/>
  <c r="J32" i="163"/>
  <c r="AK31" i="163"/>
  <c r="AJ31" i="163"/>
  <c r="AI31" i="163"/>
  <c r="AH31" i="163"/>
  <c r="AG31" i="163"/>
  <c r="AF31" i="163"/>
  <c r="AE31" i="163"/>
  <c r="AD31" i="163"/>
  <c r="Z31" i="163"/>
  <c r="Y31" i="163"/>
  <c r="X31" i="163"/>
  <c r="W31" i="163"/>
  <c r="V31" i="163"/>
  <c r="U31" i="163"/>
  <c r="S31" i="163"/>
  <c r="R31" i="163"/>
  <c r="Q31" i="163"/>
  <c r="J31" i="163"/>
  <c r="AK30" i="163"/>
  <c r="AJ30" i="163"/>
  <c r="AI30" i="163"/>
  <c r="AH30" i="163"/>
  <c r="AG30" i="163"/>
  <c r="AF30" i="163"/>
  <c r="AE30" i="163"/>
  <c r="AD30" i="163"/>
  <c r="Z30" i="163"/>
  <c r="Y30" i="163"/>
  <c r="X30" i="163"/>
  <c r="W30" i="163"/>
  <c r="V30" i="163"/>
  <c r="U30" i="163"/>
  <c r="S30" i="163"/>
  <c r="R30" i="163"/>
  <c r="Q30" i="163"/>
  <c r="J30" i="163"/>
  <c r="AK29" i="163"/>
  <c r="AJ29" i="163"/>
  <c r="AI29" i="163"/>
  <c r="AH29" i="163"/>
  <c r="AG29" i="163"/>
  <c r="AF29" i="163"/>
  <c r="AE29" i="163"/>
  <c r="AD29" i="163"/>
  <c r="Z29" i="163"/>
  <c r="Y29" i="163"/>
  <c r="X29" i="163"/>
  <c r="W29" i="163"/>
  <c r="V29" i="163"/>
  <c r="U29" i="163"/>
  <c r="S29" i="163"/>
  <c r="R29" i="163"/>
  <c r="Q29" i="163"/>
  <c r="J29" i="163"/>
  <c r="AK28" i="163"/>
  <c r="AJ28" i="163"/>
  <c r="AI28" i="163"/>
  <c r="AH28" i="163"/>
  <c r="AG28" i="163"/>
  <c r="AF28" i="163"/>
  <c r="AE28" i="163"/>
  <c r="AD28" i="163"/>
  <c r="Z28" i="163"/>
  <c r="Y28" i="163"/>
  <c r="X28" i="163"/>
  <c r="W28" i="163"/>
  <c r="V28" i="163"/>
  <c r="U28" i="163"/>
  <c r="S28" i="163"/>
  <c r="R28" i="163"/>
  <c r="Q28" i="163"/>
  <c r="J28" i="163"/>
  <c r="AK27" i="163"/>
  <c r="AJ27" i="163"/>
  <c r="AI27" i="163"/>
  <c r="AH27" i="163"/>
  <c r="AG27" i="163"/>
  <c r="AF27" i="163"/>
  <c r="AE27" i="163"/>
  <c r="AD27" i="163"/>
  <c r="Z27" i="163"/>
  <c r="Y27" i="163"/>
  <c r="X27" i="163"/>
  <c r="W27" i="163"/>
  <c r="V27" i="163"/>
  <c r="U27" i="163"/>
  <c r="S27" i="163"/>
  <c r="R27" i="163"/>
  <c r="Q27" i="163"/>
  <c r="J27" i="163"/>
  <c r="AK26" i="163"/>
  <c r="AJ26" i="163"/>
  <c r="AI26" i="163"/>
  <c r="AH26" i="163"/>
  <c r="AG26" i="163"/>
  <c r="AF26" i="163"/>
  <c r="AE26" i="163"/>
  <c r="AD26" i="163"/>
  <c r="Z26" i="163"/>
  <c r="Y26" i="163"/>
  <c r="X26" i="163"/>
  <c r="W26" i="163"/>
  <c r="V26" i="163"/>
  <c r="U26" i="163"/>
  <c r="S26" i="163"/>
  <c r="R26" i="163"/>
  <c r="Q26" i="163"/>
  <c r="J26" i="163"/>
  <c r="AK25" i="163"/>
  <c r="AJ25" i="163"/>
  <c r="AI25" i="163"/>
  <c r="AH25" i="163"/>
  <c r="AG25" i="163"/>
  <c r="AF25" i="163"/>
  <c r="AE25" i="163"/>
  <c r="AD25" i="163"/>
  <c r="Z25" i="163"/>
  <c r="Y25" i="163"/>
  <c r="X25" i="163"/>
  <c r="W25" i="163"/>
  <c r="V25" i="163"/>
  <c r="U25" i="163"/>
  <c r="S25" i="163"/>
  <c r="R25" i="163"/>
  <c r="Q25" i="163"/>
  <c r="J25" i="163"/>
  <c r="AK24" i="163"/>
  <c r="AJ24" i="163"/>
  <c r="AI24" i="163"/>
  <c r="AH24" i="163"/>
  <c r="AG24" i="163"/>
  <c r="AF24" i="163"/>
  <c r="AE24" i="163"/>
  <c r="AD24" i="163"/>
  <c r="Z24" i="163"/>
  <c r="Y24" i="163"/>
  <c r="X24" i="163"/>
  <c r="W24" i="163"/>
  <c r="V24" i="163"/>
  <c r="U24" i="163"/>
  <c r="S24" i="163"/>
  <c r="R24" i="163"/>
  <c r="Q24" i="163"/>
  <c r="J24" i="163"/>
  <c r="AK23" i="163"/>
  <c r="AJ23" i="163"/>
  <c r="AI23" i="163"/>
  <c r="AH23" i="163"/>
  <c r="AG23" i="163"/>
  <c r="AF23" i="163"/>
  <c r="AE23" i="163"/>
  <c r="AD23" i="163"/>
  <c r="Z23" i="163"/>
  <c r="Y23" i="163"/>
  <c r="X23" i="163"/>
  <c r="W23" i="163"/>
  <c r="V23" i="163"/>
  <c r="U23" i="163"/>
  <c r="S23" i="163"/>
  <c r="R23" i="163"/>
  <c r="Q23" i="163"/>
  <c r="J23" i="163"/>
  <c r="AK22" i="163"/>
  <c r="AJ22" i="163"/>
  <c r="AI22" i="163"/>
  <c r="AH22" i="163"/>
  <c r="AG22" i="163"/>
  <c r="AF22" i="163"/>
  <c r="AE22" i="163"/>
  <c r="AD22" i="163"/>
  <c r="Z22" i="163"/>
  <c r="Y22" i="163"/>
  <c r="X22" i="163"/>
  <c r="W22" i="163"/>
  <c r="V22" i="163"/>
  <c r="U22" i="163"/>
  <c r="S22" i="163"/>
  <c r="R22" i="163"/>
  <c r="Q22" i="163"/>
  <c r="J22" i="163"/>
  <c r="AK21" i="163"/>
  <c r="AJ21" i="163"/>
  <c r="AI21" i="163"/>
  <c r="AH21" i="163"/>
  <c r="AG21" i="163"/>
  <c r="AF21" i="163"/>
  <c r="AE21" i="163"/>
  <c r="AD21" i="163"/>
  <c r="Z21" i="163"/>
  <c r="Y21" i="163"/>
  <c r="X21" i="163"/>
  <c r="W21" i="163"/>
  <c r="V21" i="163"/>
  <c r="U21" i="163"/>
  <c r="S21" i="163"/>
  <c r="R21" i="163"/>
  <c r="Q21" i="163"/>
  <c r="J21" i="163"/>
  <c r="AK20" i="163"/>
  <c r="AJ20" i="163"/>
  <c r="AI20" i="163"/>
  <c r="AH20" i="163"/>
  <c r="AG20" i="163"/>
  <c r="AF20" i="163"/>
  <c r="AE20" i="163"/>
  <c r="AD20" i="163"/>
  <c r="Z20" i="163"/>
  <c r="Y20" i="163"/>
  <c r="X20" i="163"/>
  <c r="W20" i="163"/>
  <c r="V20" i="163"/>
  <c r="U20" i="163"/>
  <c r="S20" i="163"/>
  <c r="R20" i="163"/>
  <c r="Q20" i="163"/>
  <c r="J20" i="163"/>
  <c r="AK18" i="163"/>
  <c r="AJ18" i="163"/>
  <c r="AI18" i="163"/>
  <c r="AH18" i="163"/>
  <c r="AG18" i="163"/>
  <c r="AF18" i="163"/>
  <c r="AE18" i="163"/>
  <c r="AD18" i="163"/>
  <c r="Z18" i="163"/>
  <c r="Y18" i="163"/>
  <c r="X18" i="163"/>
  <c r="W18" i="163"/>
  <c r="V18" i="163"/>
  <c r="U18" i="163"/>
  <c r="S18" i="163"/>
  <c r="R18" i="163"/>
  <c r="Q18" i="163"/>
  <c r="J18" i="163"/>
  <c r="AK17" i="163"/>
  <c r="AJ17" i="163"/>
  <c r="AI17" i="163"/>
  <c r="AH17" i="163"/>
  <c r="AG17" i="163"/>
  <c r="AF17" i="163"/>
  <c r="AE17" i="163"/>
  <c r="AD17" i="163"/>
  <c r="Z17" i="163"/>
  <c r="Y17" i="163"/>
  <c r="X17" i="163"/>
  <c r="W17" i="163"/>
  <c r="V17" i="163"/>
  <c r="U17" i="163"/>
  <c r="S17" i="163"/>
  <c r="R17" i="163"/>
  <c r="Q17" i="163"/>
  <c r="J17" i="163"/>
  <c r="AK16" i="163"/>
  <c r="AJ16" i="163"/>
  <c r="AI16" i="163"/>
  <c r="AH16" i="163"/>
  <c r="AG16" i="163"/>
  <c r="AF16" i="163"/>
  <c r="AE16" i="163"/>
  <c r="AD16" i="163"/>
  <c r="Z16" i="163"/>
  <c r="Y16" i="163"/>
  <c r="X16" i="163"/>
  <c r="W16" i="163"/>
  <c r="V16" i="163"/>
  <c r="U16" i="163"/>
  <c r="S16" i="163"/>
  <c r="R16" i="163"/>
  <c r="Q16" i="163"/>
  <c r="J16" i="163"/>
  <c r="AK15" i="163"/>
  <c r="AJ15" i="163"/>
  <c r="AI15" i="163"/>
  <c r="AH15" i="163"/>
  <c r="AG15" i="163"/>
  <c r="AF15" i="163"/>
  <c r="AE15" i="163"/>
  <c r="AD15" i="163"/>
  <c r="Z15" i="163"/>
  <c r="Y15" i="163"/>
  <c r="X15" i="163"/>
  <c r="W15" i="163"/>
  <c r="V15" i="163"/>
  <c r="U15" i="163"/>
  <c r="S15" i="163"/>
  <c r="R15" i="163"/>
  <c r="Q15" i="163"/>
  <c r="J15" i="163"/>
  <c r="AK14" i="163"/>
  <c r="AJ14" i="163"/>
  <c r="AI14" i="163"/>
  <c r="AH14" i="163"/>
  <c r="AG14" i="163"/>
  <c r="AF14" i="163"/>
  <c r="AE14" i="163"/>
  <c r="AD14" i="163"/>
  <c r="Z14" i="163"/>
  <c r="Y14" i="163"/>
  <c r="X14" i="163"/>
  <c r="W14" i="163"/>
  <c r="V14" i="163"/>
  <c r="U14" i="163"/>
  <c r="S14" i="163"/>
  <c r="R14" i="163"/>
  <c r="Q14" i="163"/>
  <c r="J14" i="163"/>
  <c r="AK13" i="163"/>
  <c r="AJ13" i="163"/>
  <c r="AI13" i="163"/>
  <c r="AH13" i="163"/>
  <c r="AG13" i="163"/>
  <c r="AF13" i="163"/>
  <c r="AE13" i="163"/>
  <c r="AD13" i="163"/>
  <c r="Z13" i="163"/>
  <c r="Y13" i="163"/>
  <c r="X13" i="163"/>
  <c r="W13" i="163"/>
  <c r="V13" i="163"/>
  <c r="U13" i="163"/>
  <c r="S13" i="163"/>
  <c r="R13" i="163"/>
  <c r="Q13" i="163"/>
  <c r="J13" i="163"/>
  <c r="AK12" i="163"/>
  <c r="AJ12" i="163"/>
  <c r="AI12" i="163"/>
  <c r="AH12" i="163"/>
  <c r="AG12" i="163"/>
  <c r="AF12" i="163"/>
  <c r="AE12" i="163"/>
  <c r="AD12" i="163"/>
  <c r="Z12" i="163"/>
  <c r="Y12" i="163"/>
  <c r="X12" i="163"/>
  <c r="W12" i="163"/>
  <c r="V12" i="163"/>
  <c r="U12" i="163"/>
  <c r="S12" i="163"/>
  <c r="R12" i="163"/>
  <c r="Q12" i="163"/>
  <c r="J12" i="163"/>
  <c r="AK11" i="163"/>
  <c r="AJ11" i="163"/>
  <c r="AI11" i="163"/>
  <c r="AH11" i="163"/>
  <c r="AG11" i="163"/>
  <c r="AF11" i="163"/>
  <c r="AE11" i="163"/>
  <c r="AD11" i="163"/>
  <c r="Z11" i="163"/>
  <c r="Y11" i="163"/>
  <c r="X11" i="163"/>
  <c r="W11" i="163"/>
  <c r="V11" i="163"/>
  <c r="U11" i="163"/>
  <c r="S11" i="163"/>
  <c r="R11" i="163"/>
  <c r="Q11" i="163"/>
  <c r="J11" i="163"/>
  <c r="AK10" i="163"/>
  <c r="AJ10" i="163"/>
  <c r="AI10" i="163"/>
  <c r="AH10" i="163"/>
  <c r="AG10" i="163"/>
  <c r="AF10" i="163"/>
  <c r="AE10" i="163"/>
  <c r="AD10" i="163"/>
  <c r="Z10" i="163"/>
  <c r="Y10" i="163"/>
  <c r="X10" i="163"/>
  <c r="W10" i="163"/>
  <c r="V10" i="163"/>
  <c r="U10" i="163"/>
  <c r="S10" i="163"/>
  <c r="R10" i="163"/>
  <c r="Q10" i="163"/>
  <c r="J10" i="163"/>
  <c r="AK9" i="163"/>
  <c r="AJ9" i="163"/>
  <c r="AI9" i="163"/>
  <c r="AH9" i="163"/>
  <c r="AG9" i="163"/>
  <c r="AF9" i="163"/>
  <c r="AE9" i="163"/>
  <c r="AD9" i="163"/>
  <c r="Z9" i="163"/>
  <c r="Y9" i="163"/>
  <c r="X9" i="163"/>
  <c r="W9" i="163"/>
  <c r="V9" i="163"/>
  <c r="U9" i="163"/>
  <c r="S9" i="163"/>
  <c r="R9" i="163"/>
  <c r="Q9" i="163"/>
  <c r="J9" i="163"/>
  <c r="AK8" i="163"/>
  <c r="AJ8" i="163"/>
  <c r="AI8" i="163"/>
  <c r="AH8" i="163"/>
  <c r="AG8" i="163"/>
  <c r="AF8" i="163"/>
  <c r="AE8" i="163"/>
  <c r="AD8" i="163"/>
  <c r="Z8" i="163"/>
  <c r="Y8" i="163"/>
  <c r="X8" i="163"/>
  <c r="W8" i="163"/>
  <c r="V8" i="163"/>
  <c r="U8" i="163"/>
  <c r="S8" i="163"/>
  <c r="R8" i="163"/>
  <c r="Q8" i="163"/>
  <c r="J8" i="163"/>
  <c r="AK7" i="163"/>
  <c r="AJ7" i="163"/>
  <c r="AI7" i="163"/>
  <c r="AH7" i="163"/>
  <c r="AG7" i="163"/>
  <c r="AF7" i="163"/>
  <c r="AE7" i="163"/>
  <c r="AD7" i="163"/>
  <c r="Z7" i="163"/>
  <c r="Y7" i="163"/>
  <c r="X7" i="163"/>
  <c r="W7" i="163"/>
  <c r="V7" i="163"/>
  <c r="U7" i="163"/>
  <c r="S7" i="163"/>
  <c r="R7" i="163"/>
  <c r="Q7" i="163"/>
  <c r="J7" i="163"/>
  <c r="AK6" i="163"/>
  <c r="AJ6" i="163"/>
  <c r="AI6" i="163"/>
  <c r="AH6" i="163"/>
  <c r="AG6" i="163"/>
  <c r="AE6" i="163"/>
  <c r="AD6" i="163"/>
  <c r="Z6" i="163"/>
  <c r="Y6" i="163"/>
  <c r="X6" i="163"/>
  <c r="W6" i="163"/>
  <c r="V6" i="163"/>
  <c r="U6" i="163"/>
  <c r="S6" i="163"/>
  <c r="R6" i="163"/>
  <c r="Q6" i="163"/>
  <c r="K6" i="163"/>
  <c r="O6" i="163" s="1"/>
  <c r="J6" i="163"/>
  <c r="E7" i="163"/>
  <c r="E8" i="163"/>
  <c r="E9" i="163"/>
  <c r="E10" i="163"/>
  <c r="E11" i="163"/>
  <c r="E12" i="163"/>
  <c r="E13" i="163"/>
  <c r="E14" i="163"/>
  <c r="E15" i="163"/>
  <c r="E16" i="163"/>
  <c r="E17" i="163"/>
  <c r="E18" i="163"/>
  <c r="E6" i="163"/>
  <c r="AA41" i="163"/>
  <c r="D41" i="163"/>
  <c r="C41" i="163"/>
  <c r="E39" i="163"/>
  <c r="B39" i="163"/>
  <c r="E38" i="163"/>
  <c r="B38" i="163"/>
  <c r="E37" i="163"/>
  <c r="B37" i="163"/>
  <c r="E36" i="163"/>
  <c r="B36" i="163"/>
  <c r="E35" i="163"/>
  <c r="B35" i="163"/>
  <c r="E34" i="163"/>
  <c r="B34" i="163"/>
  <c r="E33" i="163"/>
  <c r="B33" i="163"/>
  <c r="E32" i="163"/>
  <c r="B32" i="163"/>
  <c r="E31" i="163"/>
  <c r="B31" i="163"/>
  <c r="E30" i="163"/>
  <c r="B30" i="163"/>
  <c r="E29" i="163"/>
  <c r="B29" i="163"/>
  <c r="E28" i="163"/>
  <c r="B28" i="163"/>
  <c r="E27" i="163"/>
  <c r="B27" i="163"/>
  <c r="E26" i="163"/>
  <c r="B26" i="163"/>
  <c r="E25" i="163"/>
  <c r="B25" i="163"/>
  <c r="E24" i="163"/>
  <c r="B24" i="163"/>
  <c r="E23" i="163"/>
  <c r="B23" i="163"/>
  <c r="E22" i="163"/>
  <c r="B22" i="163"/>
  <c r="E21" i="163"/>
  <c r="B21" i="163"/>
  <c r="E20" i="163"/>
  <c r="B20" i="163"/>
  <c r="B19" i="163"/>
  <c r="B18" i="163"/>
  <c r="B17" i="163"/>
  <c r="B16" i="163"/>
  <c r="B15" i="163"/>
  <c r="B14" i="163"/>
  <c r="B13" i="163"/>
  <c r="B12" i="163"/>
  <c r="B11" i="163"/>
  <c r="B10" i="163"/>
  <c r="B9" i="163"/>
  <c r="B8" i="163"/>
  <c r="B7" i="163"/>
  <c r="B6" i="163"/>
  <c r="E7" i="162"/>
  <c r="E8" i="162"/>
  <c r="E9" i="162"/>
  <c r="E10" i="162"/>
  <c r="E11" i="162"/>
  <c r="E12" i="162"/>
  <c r="E13" i="162"/>
  <c r="E14" i="162"/>
  <c r="E15" i="162"/>
  <c r="E16" i="162"/>
  <c r="E17" i="162"/>
  <c r="E18" i="162"/>
  <c r="E6" i="162"/>
  <c r="AK39" i="162"/>
  <c r="AJ39" i="162"/>
  <c r="AI39" i="162"/>
  <c r="AH39" i="162"/>
  <c r="AG39" i="162"/>
  <c r="AF39" i="162"/>
  <c r="AE39" i="162"/>
  <c r="AD39" i="162"/>
  <c r="Z39" i="162"/>
  <c r="Y39" i="162"/>
  <c r="X39" i="162"/>
  <c r="W39" i="162"/>
  <c r="V39" i="162"/>
  <c r="U39" i="162"/>
  <c r="T39" i="162"/>
  <c r="S39" i="162"/>
  <c r="R39" i="162"/>
  <c r="Q39" i="162"/>
  <c r="J39" i="162"/>
  <c r="AK38" i="162"/>
  <c r="AJ38" i="162"/>
  <c r="AI38" i="162"/>
  <c r="AH38" i="162"/>
  <c r="AG38" i="162"/>
  <c r="AF38" i="162"/>
  <c r="AE38" i="162"/>
  <c r="AD38" i="162"/>
  <c r="Z38" i="162"/>
  <c r="Y38" i="162"/>
  <c r="X38" i="162"/>
  <c r="W38" i="162"/>
  <c r="V38" i="162"/>
  <c r="U38" i="162"/>
  <c r="T38" i="162"/>
  <c r="S38" i="162"/>
  <c r="R38" i="162"/>
  <c r="Q38" i="162"/>
  <c r="J38" i="162"/>
  <c r="AK37" i="162"/>
  <c r="AJ37" i="162"/>
  <c r="AI37" i="162"/>
  <c r="AH37" i="162"/>
  <c r="AG37" i="162"/>
  <c r="AF37" i="162"/>
  <c r="AE37" i="162"/>
  <c r="AD37" i="162"/>
  <c r="Z37" i="162"/>
  <c r="Y37" i="162"/>
  <c r="X37" i="162"/>
  <c r="W37" i="162"/>
  <c r="V37" i="162"/>
  <c r="U37" i="162"/>
  <c r="T37" i="162"/>
  <c r="S37" i="162"/>
  <c r="R37" i="162"/>
  <c r="Q37" i="162"/>
  <c r="J37" i="162"/>
  <c r="AK36" i="162"/>
  <c r="AJ36" i="162"/>
  <c r="AI36" i="162"/>
  <c r="AH36" i="162"/>
  <c r="AG36" i="162"/>
  <c r="AF36" i="162"/>
  <c r="AE36" i="162"/>
  <c r="AD36" i="162"/>
  <c r="Z36" i="162"/>
  <c r="Y36" i="162"/>
  <c r="X36" i="162"/>
  <c r="W36" i="162"/>
  <c r="V36" i="162"/>
  <c r="U36" i="162"/>
  <c r="T36" i="162"/>
  <c r="S36" i="162"/>
  <c r="R36" i="162"/>
  <c r="Q36" i="162"/>
  <c r="J36" i="162"/>
  <c r="AK35" i="162"/>
  <c r="AJ35" i="162"/>
  <c r="AI35" i="162"/>
  <c r="AH35" i="162"/>
  <c r="AG35" i="162"/>
  <c r="AF35" i="162"/>
  <c r="AE35" i="162"/>
  <c r="AD35" i="162"/>
  <c r="Z35" i="162"/>
  <c r="Y35" i="162"/>
  <c r="X35" i="162"/>
  <c r="W35" i="162"/>
  <c r="V35" i="162"/>
  <c r="U35" i="162"/>
  <c r="T35" i="162"/>
  <c r="S35" i="162"/>
  <c r="R35" i="162"/>
  <c r="Q35" i="162"/>
  <c r="J35" i="162"/>
  <c r="AK34" i="162"/>
  <c r="AJ34" i="162"/>
  <c r="AI34" i="162"/>
  <c r="AH34" i="162"/>
  <c r="AG34" i="162"/>
  <c r="AF34" i="162"/>
  <c r="AE34" i="162"/>
  <c r="AD34" i="162"/>
  <c r="Z34" i="162"/>
  <c r="Y34" i="162"/>
  <c r="X34" i="162"/>
  <c r="W34" i="162"/>
  <c r="V34" i="162"/>
  <c r="U34" i="162"/>
  <c r="T34" i="162"/>
  <c r="S34" i="162"/>
  <c r="R34" i="162"/>
  <c r="Q34" i="162"/>
  <c r="J34" i="162"/>
  <c r="AK33" i="162"/>
  <c r="AJ33" i="162"/>
  <c r="AI33" i="162"/>
  <c r="AH33" i="162"/>
  <c r="AG33" i="162"/>
  <c r="AF33" i="162"/>
  <c r="AE33" i="162"/>
  <c r="AD33" i="162"/>
  <c r="Z33" i="162"/>
  <c r="Y33" i="162"/>
  <c r="X33" i="162"/>
  <c r="W33" i="162"/>
  <c r="V33" i="162"/>
  <c r="U33" i="162"/>
  <c r="T33" i="162"/>
  <c r="S33" i="162"/>
  <c r="R33" i="162"/>
  <c r="Q33" i="162"/>
  <c r="J33" i="162"/>
  <c r="AK32" i="162"/>
  <c r="AJ32" i="162"/>
  <c r="AI32" i="162"/>
  <c r="AH32" i="162"/>
  <c r="AG32" i="162"/>
  <c r="AF32" i="162"/>
  <c r="AE32" i="162"/>
  <c r="AD32" i="162"/>
  <c r="Z32" i="162"/>
  <c r="Y32" i="162"/>
  <c r="X32" i="162"/>
  <c r="W32" i="162"/>
  <c r="V32" i="162"/>
  <c r="U32" i="162"/>
  <c r="T32" i="162"/>
  <c r="S32" i="162"/>
  <c r="R32" i="162"/>
  <c r="Q32" i="162"/>
  <c r="J32" i="162"/>
  <c r="AK31" i="162"/>
  <c r="AJ31" i="162"/>
  <c r="AI31" i="162"/>
  <c r="AH31" i="162"/>
  <c r="AG31" i="162"/>
  <c r="AF31" i="162"/>
  <c r="AE31" i="162"/>
  <c r="AD31" i="162"/>
  <c r="Z31" i="162"/>
  <c r="Y31" i="162"/>
  <c r="X31" i="162"/>
  <c r="W31" i="162"/>
  <c r="V31" i="162"/>
  <c r="U31" i="162"/>
  <c r="T31" i="162"/>
  <c r="S31" i="162"/>
  <c r="R31" i="162"/>
  <c r="Q31" i="162"/>
  <c r="J31" i="162"/>
  <c r="AK30" i="162"/>
  <c r="AJ30" i="162"/>
  <c r="AI30" i="162"/>
  <c r="AH30" i="162"/>
  <c r="AG30" i="162"/>
  <c r="AF30" i="162"/>
  <c r="AE30" i="162"/>
  <c r="AD30" i="162"/>
  <c r="Z30" i="162"/>
  <c r="Y30" i="162"/>
  <c r="X30" i="162"/>
  <c r="W30" i="162"/>
  <c r="V30" i="162"/>
  <c r="U30" i="162"/>
  <c r="T30" i="162"/>
  <c r="S30" i="162"/>
  <c r="R30" i="162"/>
  <c r="Q30" i="162"/>
  <c r="J30" i="162"/>
  <c r="AK29" i="162"/>
  <c r="AJ29" i="162"/>
  <c r="AI29" i="162"/>
  <c r="AH29" i="162"/>
  <c r="AG29" i="162"/>
  <c r="AF29" i="162"/>
  <c r="AE29" i="162"/>
  <c r="AD29" i="162"/>
  <c r="Z29" i="162"/>
  <c r="Y29" i="162"/>
  <c r="X29" i="162"/>
  <c r="W29" i="162"/>
  <c r="V29" i="162"/>
  <c r="U29" i="162"/>
  <c r="T29" i="162"/>
  <c r="S29" i="162"/>
  <c r="R29" i="162"/>
  <c r="Q29" i="162"/>
  <c r="J29" i="162"/>
  <c r="AK28" i="162"/>
  <c r="AJ28" i="162"/>
  <c r="AI28" i="162"/>
  <c r="AH28" i="162"/>
  <c r="AG28" i="162"/>
  <c r="AF28" i="162"/>
  <c r="AE28" i="162"/>
  <c r="AD28" i="162"/>
  <c r="Z28" i="162"/>
  <c r="Y28" i="162"/>
  <c r="X28" i="162"/>
  <c r="W28" i="162"/>
  <c r="V28" i="162"/>
  <c r="U28" i="162"/>
  <c r="T28" i="162"/>
  <c r="S28" i="162"/>
  <c r="R28" i="162"/>
  <c r="Q28" i="162"/>
  <c r="J28" i="162"/>
  <c r="AK27" i="162"/>
  <c r="AJ27" i="162"/>
  <c r="AI27" i="162"/>
  <c r="AH27" i="162"/>
  <c r="AG27" i="162"/>
  <c r="AF27" i="162"/>
  <c r="AE27" i="162"/>
  <c r="AD27" i="162"/>
  <c r="Z27" i="162"/>
  <c r="Y27" i="162"/>
  <c r="X27" i="162"/>
  <c r="W27" i="162"/>
  <c r="V27" i="162"/>
  <c r="U27" i="162"/>
  <c r="T27" i="162"/>
  <c r="S27" i="162"/>
  <c r="R27" i="162"/>
  <c r="Q27" i="162"/>
  <c r="J27" i="162"/>
  <c r="AK26" i="162"/>
  <c r="AJ26" i="162"/>
  <c r="AI26" i="162"/>
  <c r="AH26" i="162"/>
  <c r="AG26" i="162"/>
  <c r="AF26" i="162"/>
  <c r="AE26" i="162"/>
  <c r="AD26" i="162"/>
  <c r="Z26" i="162"/>
  <c r="Y26" i="162"/>
  <c r="X26" i="162"/>
  <c r="W26" i="162"/>
  <c r="V26" i="162"/>
  <c r="U26" i="162"/>
  <c r="T26" i="162"/>
  <c r="S26" i="162"/>
  <c r="R26" i="162"/>
  <c r="Q26" i="162"/>
  <c r="J26" i="162"/>
  <c r="AK25" i="162"/>
  <c r="AJ25" i="162"/>
  <c r="AI25" i="162"/>
  <c r="AH25" i="162"/>
  <c r="AG25" i="162"/>
  <c r="AF25" i="162"/>
  <c r="AE25" i="162"/>
  <c r="AD25" i="162"/>
  <c r="Z25" i="162"/>
  <c r="Y25" i="162"/>
  <c r="X25" i="162"/>
  <c r="W25" i="162"/>
  <c r="V25" i="162"/>
  <c r="U25" i="162"/>
  <c r="T25" i="162"/>
  <c r="S25" i="162"/>
  <c r="R25" i="162"/>
  <c r="Q25" i="162"/>
  <c r="J25" i="162"/>
  <c r="AK24" i="162"/>
  <c r="AJ24" i="162"/>
  <c r="AI24" i="162"/>
  <c r="AH24" i="162"/>
  <c r="AG24" i="162"/>
  <c r="AF24" i="162"/>
  <c r="AE24" i="162"/>
  <c r="AD24" i="162"/>
  <c r="Z24" i="162"/>
  <c r="Y24" i="162"/>
  <c r="X24" i="162"/>
  <c r="W24" i="162"/>
  <c r="V24" i="162"/>
  <c r="U24" i="162"/>
  <c r="T24" i="162"/>
  <c r="S24" i="162"/>
  <c r="R24" i="162"/>
  <c r="Q24" i="162"/>
  <c r="J24" i="162"/>
  <c r="AK23" i="162"/>
  <c r="AJ23" i="162"/>
  <c r="AI23" i="162"/>
  <c r="AH23" i="162"/>
  <c r="AG23" i="162"/>
  <c r="AF23" i="162"/>
  <c r="AE23" i="162"/>
  <c r="AD23" i="162"/>
  <c r="Z23" i="162"/>
  <c r="Y23" i="162"/>
  <c r="X23" i="162"/>
  <c r="W23" i="162"/>
  <c r="V23" i="162"/>
  <c r="U23" i="162"/>
  <c r="T23" i="162"/>
  <c r="S23" i="162"/>
  <c r="R23" i="162"/>
  <c r="Q23" i="162"/>
  <c r="J23" i="162"/>
  <c r="AK22" i="162"/>
  <c r="AJ22" i="162"/>
  <c r="AI22" i="162"/>
  <c r="AH22" i="162"/>
  <c r="AG22" i="162"/>
  <c r="AF22" i="162"/>
  <c r="AE22" i="162"/>
  <c r="AD22" i="162"/>
  <c r="Z22" i="162"/>
  <c r="Y22" i="162"/>
  <c r="X22" i="162"/>
  <c r="W22" i="162"/>
  <c r="V22" i="162"/>
  <c r="U22" i="162"/>
  <c r="T22" i="162"/>
  <c r="S22" i="162"/>
  <c r="R22" i="162"/>
  <c r="Q22" i="162"/>
  <c r="J22" i="162"/>
  <c r="AK21" i="162"/>
  <c r="AJ21" i="162"/>
  <c r="AI21" i="162"/>
  <c r="AH21" i="162"/>
  <c r="AG21" i="162"/>
  <c r="AF21" i="162"/>
  <c r="AE21" i="162"/>
  <c r="AD21" i="162"/>
  <c r="Z21" i="162"/>
  <c r="Y21" i="162"/>
  <c r="X21" i="162"/>
  <c r="W21" i="162"/>
  <c r="V21" i="162"/>
  <c r="U21" i="162"/>
  <c r="T21" i="162"/>
  <c r="S21" i="162"/>
  <c r="R21" i="162"/>
  <c r="Q21" i="162"/>
  <c r="J21" i="162"/>
  <c r="AK20" i="162"/>
  <c r="AJ20" i="162"/>
  <c r="AI20" i="162"/>
  <c r="AH20" i="162"/>
  <c r="AG20" i="162"/>
  <c r="AF20" i="162"/>
  <c r="AE20" i="162"/>
  <c r="AD20" i="162"/>
  <c r="Z20" i="162"/>
  <c r="Y20" i="162"/>
  <c r="X20" i="162"/>
  <c r="W20" i="162"/>
  <c r="V20" i="162"/>
  <c r="U20" i="162"/>
  <c r="T20" i="162"/>
  <c r="S20" i="162"/>
  <c r="R20" i="162"/>
  <c r="Q20" i="162"/>
  <c r="J20" i="162"/>
  <c r="AK18" i="162"/>
  <c r="AJ18" i="162"/>
  <c r="AI18" i="162"/>
  <c r="AH18" i="162"/>
  <c r="AG18" i="162"/>
  <c r="AF18" i="162"/>
  <c r="AE18" i="162"/>
  <c r="AD18" i="162"/>
  <c r="Z18" i="162"/>
  <c r="Y18" i="162"/>
  <c r="X18" i="162"/>
  <c r="W18" i="162"/>
  <c r="V18" i="162"/>
  <c r="U18" i="162"/>
  <c r="T18" i="162"/>
  <c r="S18" i="162"/>
  <c r="R18" i="162"/>
  <c r="Q18" i="162"/>
  <c r="J18" i="162"/>
  <c r="AK17" i="162"/>
  <c r="AJ17" i="162"/>
  <c r="AI17" i="162"/>
  <c r="AH17" i="162"/>
  <c r="AG17" i="162"/>
  <c r="AF17" i="162"/>
  <c r="AE17" i="162"/>
  <c r="AD17" i="162"/>
  <c r="Z17" i="162"/>
  <c r="Y17" i="162"/>
  <c r="X17" i="162"/>
  <c r="W17" i="162"/>
  <c r="V17" i="162"/>
  <c r="U17" i="162"/>
  <c r="T17" i="162"/>
  <c r="S17" i="162"/>
  <c r="R17" i="162"/>
  <c r="Q17" i="162"/>
  <c r="J17" i="162"/>
  <c r="AK16" i="162"/>
  <c r="AJ16" i="162"/>
  <c r="AI16" i="162"/>
  <c r="AH16" i="162"/>
  <c r="AG16" i="162"/>
  <c r="AF16" i="162"/>
  <c r="AE16" i="162"/>
  <c r="AD16" i="162"/>
  <c r="Z16" i="162"/>
  <c r="Y16" i="162"/>
  <c r="X16" i="162"/>
  <c r="W16" i="162"/>
  <c r="V16" i="162"/>
  <c r="U16" i="162"/>
  <c r="S16" i="162"/>
  <c r="R16" i="162"/>
  <c r="Q16" i="162"/>
  <c r="J16" i="162"/>
  <c r="AK15" i="162"/>
  <c r="AJ15" i="162"/>
  <c r="AI15" i="162"/>
  <c r="AH15" i="162"/>
  <c r="AG15" i="162"/>
  <c r="AF15" i="162"/>
  <c r="AE15" i="162"/>
  <c r="AD15" i="162"/>
  <c r="Z15" i="162"/>
  <c r="Y15" i="162"/>
  <c r="X15" i="162"/>
  <c r="W15" i="162"/>
  <c r="V15" i="162"/>
  <c r="U15" i="162"/>
  <c r="T15" i="162"/>
  <c r="S15" i="162"/>
  <c r="R15" i="162"/>
  <c r="Q15" i="162"/>
  <c r="J15" i="162"/>
  <c r="AK14" i="162"/>
  <c r="AJ14" i="162"/>
  <c r="AI14" i="162"/>
  <c r="AH14" i="162"/>
  <c r="AG14" i="162"/>
  <c r="AF14" i="162"/>
  <c r="AE14" i="162"/>
  <c r="AD14" i="162"/>
  <c r="Z14" i="162"/>
  <c r="Y14" i="162"/>
  <c r="X14" i="162"/>
  <c r="W14" i="162"/>
  <c r="V14" i="162"/>
  <c r="U14" i="162"/>
  <c r="T14" i="162"/>
  <c r="S14" i="162"/>
  <c r="R14" i="162"/>
  <c r="Q14" i="162"/>
  <c r="J14" i="162"/>
  <c r="AK13" i="162"/>
  <c r="AJ13" i="162"/>
  <c r="AI13" i="162"/>
  <c r="AH13" i="162"/>
  <c r="AG13" i="162"/>
  <c r="AF13" i="162"/>
  <c r="AE13" i="162"/>
  <c r="AD13" i="162"/>
  <c r="Z13" i="162"/>
  <c r="Y13" i="162"/>
  <c r="X13" i="162"/>
  <c r="W13" i="162"/>
  <c r="V13" i="162"/>
  <c r="U13" i="162"/>
  <c r="T13" i="162"/>
  <c r="S13" i="162"/>
  <c r="R13" i="162"/>
  <c r="Q13" i="162"/>
  <c r="J13" i="162"/>
  <c r="AK12" i="162"/>
  <c r="AJ12" i="162"/>
  <c r="AI12" i="162"/>
  <c r="AH12" i="162"/>
  <c r="AG12" i="162"/>
  <c r="AF12" i="162"/>
  <c r="AE12" i="162"/>
  <c r="AD12" i="162"/>
  <c r="Z12" i="162"/>
  <c r="Y12" i="162"/>
  <c r="X12" i="162"/>
  <c r="W12" i="162"/>
  <c r="V12" i="162"/>
  <c r="U12" i="162"/>
  <c r="T12" i="162"/>
  <c r="S12" i="162"/>
  <c r="R12" i="162"/>
  <c r="Q12" i="162"/>
  <c r="J12" i="162"/>
  <c r="AK11" i="162"/>
  <c r="AJ11" i="162"/>
  <c r="AI11" i="162"/>
  <c r="AH11" i="162"/>
  <c r="AG11" i="162"/>
  <c r="AF11" i="162"/>
  <c r="AE11" i="162"/>
  <c r="AD11" i="162"/>
  <c r="Z11" i="162"/>
  <c r="Y11" i="162"/>
  <c r="X11" i="162"/>
  <c r="W11" i="162"/>
  <c r="V11" i="162"/>
  <c r="U11" i="162"/>
  <c r="T11" i="162"/>
  <c r="S11" i="162"/>
  <c r="R11" i="162"/>
  <c r="Q11" i="162"/>
  <c r="J11" i="162"/>
  <c r="AK10" i="162"/>
  <c r="AJ10" i="162"/>
  <c r="AI10" i="162"/>
  <c r="AH10" i="162"/>
  <c r="AG10" i="162"/>
  <c r="AF10" i="162"/>
  <c r="AE10" i="162"/>
  <c r="AD10" i="162"/>
  <c r="Z10" i="162"/>
  <c r="Y10" i="162"/>
  <c r="X10" i="162"/>
  <c r="W10" i="162"/>
  <c r="V10" i="162"/>
  <c r="U10" i="162"/>
  <c r="T10" i="162"/>
  <c r="S10" i="162"/>
  <c r="R10" i="162"/>
  <c r="Q10" i="162"/>
  <c r="J10" i="162"/>
  <c r="AK9" i="162"/>
  <c r="AJ9" i="162"/>
  <c r="AI9" i="162"/>
  <c r="AH9" i="162"/>
  <c r="AG9" i="162"/>
  <c r="AF9" i="162"/>
  <c r="AE9" i="162"/>
  <c r="AD9" i="162"/>
  <c r="Z9" i="162"/>
  <c r="Y9" i="162"/>
  <c r="X9" i="162"/>
  <c r="W9" i="162"/>
  <c r="V9" i="162"/>
  <c r="U9" i="162"/>
  <c r="T9" i="162"/>
  <c r="S9" i="162"/>
  <c r="R9" i="162"/>
  <c r="Q9" i="162"/>
  <c r="J9" i="162"/>
  <c r="AK8" i="162"/>
  <c r="AJ8" i="162"/>
  <c r="AI8" i="162"/>
  <c r="AH8" i="162"/>
  <c r="AG8" i="162"/>
  <c r="AF8" i="162"/>
  <c r="AE8" i="162"/>
  <c r="AD8" i="162"/>
  <c r="Z8" i="162"/>
  <c r="Y8" i="162"/>
  <c r="X8" i="162"/>
  <c r="W8" i="162"/>
  <c r="V8" i="162"/>
  <c r="U8" i="162"/>
  <c r="T8" i="162"/>
  <c r="S8" i="162"/>
  <c r="R8" i="162"/>
  <c r="Q8" i="162"/>
  <c r="J8" i="162"/>
  <c r="AK7" i="162"/>
  <c r="AJ7" i="162"/>
  <c r="AI7" i="162"/>
  <c r="AH7" i="162"/>
  <c r="AG7" i="162"/>
  <c r="AF7" i="162"/>
  <c r="AE7" i="162"/>
  <c r="AD7" i="162"/>
  <c r="Z7" i="162"/>
  <c r="Y7" i="162"/>
  <c r="X7" i="162"/>
  <c r="W7" i="162"/>
  <c r="V7" i="162"/>
  <c r="U7" i="162"/>
  <c r="T7" i="162"/>
  <c r="S7" i="162"/>
  <c r="R7" i="162"/>
  <c r="Q7" i="162"/>
  <c r="J7" i="162"/>
  <c r="AK6" i="162"/>
  <c r="AJ6" i="162"/>
  <c r="AI6" i="162"/>
  <c r="AH6" i="162"/>
  <c r="AG6" i="162"/>
  <c r="AF6" i="162"/>
  <c r="AE6" i="162"/>
  <c r="AD6" i="162"/>
  <c r="Z6" i="162"/>
  <c r="Y6" i="162"/>
  <c r="X6" i="162"/>
  <c r="W6" i="162"/>
  <c r="V6" i="162"/>
  <c r="U6" i="162"/>
  <c r="T6" i="162"/>
  <c r="S6" i="162"/>
  <c r="R6" i="162"/>
  <c r="Q6" i="162"/>
  <c r="K6" i="162"/>
  <c r="L6" i="162" s="1"/>
  <c r="J6" i="162"/>
  <c r="AA41" i="162"/>
  <c r="D41" i="162"/>
  <c r="C41" i="162"/>
  <c r="E39" i="162"/>
  <c r="B39" i="162"/>
  <c r="E38" i="162"/>
  <c r="B38" i="162"/>
  <c r="E37" i="162"/>
  <c r="B37" i="162"/>
  <c r="E36" i="162"/>
  <c r="B36" i="162"/>
  <c r="E35" i="162"/>
  <c r="B35" i="162"/>
  <c r="E34" i="162"/>
  <c r="B34" i="162"/>
  <c r="E33" i="162"/>
  <c r="B33" i="162"/>
  <c r="E32" i="162"/>
  <c r="B32" i="162"/>
  <c r="E31" i="162"/>
  <c r="B31" i="162"/>
  <c r="E30" i="162"/>
  <c r="B30" i="162"/>
  <c r="E29" i="162"/>
  <c r="B29" i="162"/>
  <c r="E28" i="162"/>
  <c r="B28" i="162"/>
  <c r="E27" i="162"/>
  <c r="B27" i="162"/>
  <c r="E26" i="162"/>
  <c r="B26" i="162"/>
  <c r="E25" i="162"/>
  <c r="B25" i="162"/>
  <c r="E24" i="162"/>
  <c r="B24" i="162"/>
  <c r="E23" i="162"/>
  <c r="B23" i="162"/>
  <c r="E22" i="162"/>
  <c r="B22" i="162"/>
  <c r="E21" i="162"/>
  <c r="B21" i="162"/>
  <c r="E20" i="162"/>
  <c r="B20" i="162"/>
  <c r="B19" i="162"/>
  <c r="B18" i="162"/>
  <c r="B17" i="162"/>
  <c r="B16" i="162"/>
  <c r="B15" i="162"/>
  <c r="B14" i="162"/>
  <c r="B13" i="162"/>
  <c r="B12" i="162"/>
  <c r="B11" i="162"/>
  <c r="B10" i="162"/>
  <c r="B9" i="162"/>
  <c r="B8" i="162"/>
  <c r="B7" i="162"/>
  <c r="B6" i="162"/>
  <c r="AK39" i="161"/>
  <c r="AJ39" i="161"/>
  <c r="AI39" i="161"/>
  <c r="AH39" i="161"/>
  <c r="AG39" i="161"/>
  <c r="AF39" i="161"/>
  <c r="AE39" i="161"/>
  <c r="AD39" i="161"/>
  <c r="Z39" i="161"/>
  <c r="Y39" i="161"/>
  <c r="X39" i="161"/>
  <c r="W39" i="161"/>
  <c r="V39" i="161"/>
  <c r="U39" i="161"/>
  <c r="S39" i="161"/>
  <c r="R39" i="161"/>
  <c r="Q39" i="161"/>
  <c r="J39" i="161"/>
  <c r="AK38" i="161"/>
  <c r="AJ38" i="161"/>
  <c r="AI38" i="161"/>
  <c r="AH38" i="161"/>
  <c r="AG38" i="161"/>
  <c r="AF38" i="161"/>
  <c r="AE38" i="161"/>
  <c r="AD38" i="161"/>
  <c r="Z38" i="161"/>
  <c r="Y38" i="161"/>
  <c r="X38" i="161"/>
  <c r="W38" i="161"/>
  <c r="V38" i="161"/>
  <c r="U38" i="161"/>
  <c r="S38" i="161"/>
  <c r="R38" i="161"/>
  <c r="Q38" i="161"/>
  <c r="J38" i="161"/>
  <c r="AK37" i="161"/>
  <c r="AJ37" i="161"/>
  <c r="AI37" i="161"/>
  <c r="AH37" i="161"/>
  <c r="AG37" i="161"/>
  <c r="AF37" i="161"/>
  <c r="AE37" i="161"/>
  <c r="AD37" i="161"/>
  <c r="Z37" i="161"/>
  <c r="Y37" i="161"/>
  <c r="X37" i="161"/>
  <c r="W37" i="161"/>
  <c r="V37" i="161"/>
  <c r="U37" i="161"/>
  <c r="S37" i="161"/>
  <c r="R37" i="161"/>
  <c r="Q37" i="161"/>
  <c r="J37" i="161"/>
  <c r="AK36" i="161"/>
  <c r="AJ36" i="161"/>
  <c r="AI36" i="161"/>
  <c r="AH36" i="161"/>
  <c r="AG36" i="161"/>
  <c r="AF36" i="161"/>
  <c r="AE36" i="161"/>
  <c r="AD36" i="161"/>
  <c r="Z36" i="161"/>
  <c r="Y36" i="161"/>
  <c r="X36" i="161"/>
  <c r="W36" i="161"/>
  <c r="V36" i="161"/>
  <c r="U36" i="161"/>
  <c r="S36" i="161"/>
  <c r="R36" i="161"/>
  <c r="Q36" i="161"/>
  <c r="J36" i="161"/>
  <c r="AK35" i="161"/>
  <c r="AJ35" i="161"/>
  <c r="AI35" i="161"/>
  <c r="AH35" i="161"/>
  <c r="AG35" i="161"/>
  <c r="AF35" i="161"/>
  <c r="AE35" i="161"/>
  <c r="AD35" i="161"/>
  <c r="Z35" i="161"/>
  <c r="Y35" i="161"/>
  <c r="X35" i="161"/>
  <c r="W35" i="161"/>
  <c r="V35" i="161"/>
  <c r="U35" i="161"/>
  <c r="S35" i="161"/>
  <c r="R35" i="161"/>
  <c r="Q35" i="161"/>
  <c r="J35" i="161"/>
  <c r="AK34" i="161"/>
  <c r="AJ34" i="161"/>
  <c r="AI34" i="161"/>
  <c r="AH34" i="161"/>
  <c r="AG34" i="161"/>
  <c r="AF34" i="161"/>
  <c r="AE34" i="161"/>
  <c r="AD34" i="161"/>
  <c r="Z34" i="161"/>
  <c r="Y34" i="161"/>
  <c r="X34" i="161"/>
  <c r="W34" i="161"/>
  <c r="V34" i="161"/>
  <c r="U34" i="161"/>
  <c r="S34" i="161"/>
  <c r="R34" i="161"/>
  <c r="Q34" i="161"/>
  <c r="J34" i="161"/>
  <c r="AK33" i="161"/>
  <c r="AJ33" i="161"/>
  <c r="AI33" i="161"/>
  <c r="AH33" i="161"/>
  <c r="AG33" i="161"/>
  <c r="AF33" i="161"/>
  <c r="AE33" i="161"/>
  <c r="AD33" i="161"/>
  <c r="Z33" i="161"/>
  <c r="Y33" i="161"/>
  <c r="X33" i="161"/>
  <c r="W33" i="161"/>
  <c r="V33" i="161"/>
  <c r="U33" i="161"/>
  <c r="S33" i="161"/>
  <c r="R33" i="161"/>
  <c r="Q33" i="161"/>
  <c r="J33" i="161"/>
  <c r="AK32" i="161"/>
  <c r="AJ32" i="161"/>
  <c r="AI32" i="161"/>
  <c r="AH32" i="161"/>
  <c r="AG32" i="161"/>
  <c r="AF32" i="161"/>
  <c r="AE32" i="161"/>
  <c r="AD32" i="161"/>
  <c r="Z32" i="161"/>
  <c r="Y32" i="161"/>
  <c r="X32" i="161"/>
  <c r="W32" i="161"/>
  <c r="V32" i="161"/>
  <c r="U32" i="161"/>
  <c r="S32" i="161"/>
  <c r="R32" i="161"/>
  <c r="Q32" i="161"/>
  <c r="J32" i="161"/>
  <c r="AK31" i="161"/>
  <c r="AJ31" i="161"/>
  <c r="AI31" i="161"/>
  <c r="AH31" i="161"/>
  <c r="AG31" i="161"/>
  <c r="AF31" i="161"/>
  <c r="AE31" i="161"/>
  <c r="AD31" i="161"/>
  <c r="Z31" i="161"/>
  <c r="Y31" i="161"/>
  <c r="X31" i="161"/>
  <c r="W31" i="161"/>
  <c r="V31" i="161"/>
  <c r="U31" i="161"/>
  <c r="S31" i="161"/>
  <c r="R31" i="161"/>
  <c r="Q31" i="161"/>
  <c r="J31" i="161"/>
  <c r="AK30" i="161"/>
  <c r="AJ30" i="161"/>
  <c r="AI30" i="161"/>
  <c r="AH30" i="161"/>
  <c r="AG30" i="161"/>
  <c r="AF30" i="161"/>
  <c r="AE30" i="161"/>
  <c r="AD30" i="161"/>
  <c r="Z30" i="161"/>
  <c r="Y30" i="161"/>
  <c r="X30" i="161"/>
  <c r="W30" i="161"/>
  <c r="V30" i="161"/>
  <c r="U30" i="161"/>
  <c r="S30" i="161"/>
  <c r="R30" i="161"/>
  <c r="Q30" i="161"/>
  <c r="J30" i="161"/>
  <c r="AK29" i="161"/>
  <c r="AJ29" i="161"/>
  <c r="AI29" i="161"/>
  <c r="AH29" i="161"/>
  <c r="AG29" i="161"/>
  <c r="AF29" i="161"/>
  <c r="AE29" i="161"/>
  <c r="AD29" i="161"/>
  <c r="Z29" i="161"/>
  <c r="Y29" i="161"/>
  <c r="X29" i="161"/>
  <c r="W29" i="161"/>
  <c r="V29" i="161"/>
  <c r="U29" i="161"/>
  <c r="S29" i="161"/>
  <c r="R29" i="161"/>
  <c r="Q29" i="161"/>
  <c r="J29" i="161"/>
  <c r="AK28" i="161"/>
  <c r="AJ28" i="161"/>
  <c r="AI28" i="161"/>
  <c r="AH28" i="161"/>
  <c r="AG28" i="161"/>
  <c r="AF28" i="161"/>
  <c r="AE28" i="161"/>
  <c r="AD28" i="161"/>
  <c r="Z28" i="161"/>
  <c r="Y28" i="161"/>
  <c r="X28" i="161"/>
  <c r="W28" i="161"/>
  <c r="V28" i="161"/>
  <c r="U28" i="161"/>
  <c r="S28" i="161"/>
  <c r="R28" i="161"/>
  <c r="Q28" i="161"/>
  <c r="J28" i="161"/>
  <c r="AK27" i="161"/>
  <c r="AJ27" i="161"/>
  <c r="AI27" i="161"/>
  <c r="AH27" i="161"/>
  <c r="AG27" i="161"/>
  <c r="AF27" i="161"/>
  <c r="AE27" i="161"/>
  <c r="AD27" i="161"/>
  <c r="Z27" i="161"/>
  <c r="Y27" i="161"/>
  <c r="X27" i="161"/>
  <c r="W27" i="161"/>
  <c r="V27" i="161"/>
  <c r="U27" i="161"/>
  <c r="S27" i="161"/>
  <c r="R27" i="161"/>
  <c r="Q27" i="161"/>
  <c r="J27" i="161"/>
  <c r="AK26" i="161"/>
  <c r="AJ26" i="161"/>
  <c r="AI26" i="161"/>
  <c r="AH26" i="161"/>
  <c r="AG26" i="161"/>
  <c r="AF26" i="161"/>
  <c r="AE26" i="161"/>
  <c r="AD26" i="161"/>
  <c r="Z26" i="161"/>
  <c r="Y26" i="161"/>
  <c r="X26" i="161"/>
  <c r="W26" i="161"/>
  <c r="V26" i="161"/>
  <c r="U26" i="161"/>
  <c r="S26" i="161"/>
  <c r="R26" i="161"/>
  <c r="Q26" i="161"/>
  <c r="J26" i="161"/>
  <c r="AK25" i="161"/>
  <c r="AJ25" i="161"/>
  <c r="AI25" i="161"/>
  <c r="AH25" i="161"/>
  <c r="AG25" i="161"/>
  <c r="AF25" i="161"/>
  <c r="AE25" i="161"/>
  <c r="AD25" i="161"/>
  <c r="Z25" i="161"/>
  <c r="Y25" i="161"/>
  <c r="X25" i="161"/>
  <c r="W25" i="161"/>
  <c r="V25" i="161"/>
  <c r="U25" i="161"/>
  <c r="S25" i="161"/>
  <c r="R25" i="161"/>
  <c r="Q25" i="161"/>
  <c r="J25" i="161"/>
  <c r="AK24" i="161"/>
  <c r="AJ24" i="161"/>
  <c r="AI24" i="161"/>
  <c r="AH24" i="161"/>
  <c r="AG24" i="161"/>
  <c r="AF24" i="161"/>
  <c r="AE24" i="161"/>
  <c r="AD24" i="161"/>
  <c r="Z24" i="161"/>
  <c r="Y24" i="161"/>
  <c r="X24" i="161"/>
  <c r="W24" i="161"/>
  <c r="V24" i="161"/>
  <c r="U24" i="161"/>
  <c r="S24" i="161"/>
  <c r="R24" i="161"/>
  <c r="Q24" i="161"/>
  <c r="J24" i="161"/>
  <c r="AK23" i="161"/>
  <c r="AJ23" i="161"/>
  <c r="AI23" i="161"/>
  <c r="AH23" i="161"/>
  <c r="AG23" i="161"/>
  <c r="AF23" i="161"/>
  <c r="AE23" i="161"/>
  <c r="AD23" i="161"/>
  <c r="Z23" i="161"/>
  <c r="Y23" i="161"/>
  <c r="X23" i="161"/>
  <c r="W23" i="161"/>
  <c r="V23" i="161"/>
  <c r="U23" i="161"/>
  <c r="S23" i="161"/>
  <c r="R23" i="161"/>
  <c r="Q23" i="161"/>
  <c r="J23" i="161"/>
  <c r="AK22" i="161"/>
  <c r="AJ22" i="161"/>
  <c r="AI22" i="161"/>
  <c r="AH22" i="161"/>
  <c r="AG22" i="161"/>
  <c r="AF22" i="161"/>
  <c r="AE22" i="161"/>
  <c r="AD22" i="161"/>
  <c r="Z22" i="161"/>
  <c r="Y22" i="161"/>
  <c r="X22" i="161"/>
  <c r="W22" i="161"/>
  <c r="V22" i="161"/>
  <c r="U22" i="161"/>
  <c r="S22" i="161"/>
  <c r="R22" i="161"/>
  <c r="Q22" i="161"/>
  <c r="J22" i="161"/>
  <c r="AK21" i="161"/>
  <c r="AJ21" i="161"/>
  <c r="AI21" i="161"/>
  <c r="AH21" i="161"/>
  <c r="AG21" i="161"/>
  <c r="AF21" i="161"/>
  <c r="AE21" i="161"/>
  <c r="AD21" i="161"/>
  <c r="Z21" i="161"/>
  <c r="Y21" i="161"/>
  <c r="X21" i="161"/>
  <c r="W21" i="161"/>
  <c r="V21" i="161"/>
  <c r="U21" i="161"/>
  <c r="S21" i="161"/>
  <c r="R21" i="161"/>
  <c r="Q21" i="161"/>
  <c r="J21" i="161"/>
  <c r="AK20" i="161"/>
  <c r="AJ20" i="161"/>
  <c r="AI20" i="161"/>
  <c r="AH20" i="161"/>
  <c r="AG20" i="161"/>
  <c r="AF20" i="161"/>
  <c r="AE20" i="161"/>
  <c r="AD20" i="161"/>
  <c r="Z20" i="161"/>
  <c r="Y20" i="161"/>
  <c r="X20" i="161"/>
  <c r="W20" i="161"/>
  <c r="V20" i="161"/>
  <c r="U20" i="161"/>
  <c r="S20" i="161"/>
  <c r="R20" i="161"/>
  <c r="Q20" i="161"/>
  <c r="J20" i="161"/>
  <c r="AK18" i="161"/>
  <c r="AJ18" i="161"/>
  <c r="AI18" i="161"/>
  <c r="AH18" i="161"/>
  <c r="AG18" i="161"/>
  <c r="AF18" i="161"/>
  <c r="AE18" i="161"/>
  <c r="AD18" i="161"/>
  <c r="Z18" i="161"/>
  <c r="Y18" i="161"/>
  <c r="X18" i="161"/>
  <c r="W18" i="161"/>
  <c r="V18" i="161"/>
  <c r="U18" i="161"/>
  <c r="S18" i="161"/>
  <c r="R18" i="161"/>
  <c r="Q18" i="161"/>
  <c r="J18" i="161"/>
  <c r="AK17" i="161"/>
  <c r="AJ17" i="161"/>
  <c r="AI17" i="161"/>
  <c r="AH17" i="161"/>
  <c r="AG17" i="161"/>
  <c r="AF17" i="161"/>
  <c r="AE17" i="161"/>
  <c r="AD17" i="161"/>
  <c r="Z17" i="161"/>
  <c r="Y17" i="161"/>
  <c r="X17" i="161"/>
  <c r="W17" i="161"/>
  <c r="V17" i="161"/>
  <c r="U17" i="161"/>
  <c r="S17" i="161"/>
  <c r="R17" i="161"/>
  <c r="Q17" i="161"/>
  <c r="J17" i="161"/>
  <c r="AK16" i="161"/>
  <c r="AJ16" i="161"/>
  <c r="AI16" i="161"/>
  <c r="AH16" i="161"/>
  <c r="AG16" i="161"/>
  <c r="AF16" i="161"/>
  <c r="AE16" i="161"/>
  <c r="AD16" i="161"/>
  <c r="Z16" i="161"/>
  <c r="Y16" i="161"/>
  <c r="X16" i="161"/>
  <c r="W16" i="161"/>
  <c r="V16" i="161"/>
  <c r="U16" i="161"/>
  <c r="S16" i="161"/>
  <c r="R16" i="161"/>
  <c r="Q16" i="161"/>
  <c r="J16" i="161"/>
  <c r="AK15" i="161"/>
  <c r="AJ15" i="161"/>
  <c r="AI15" i="161"/>
  <c r="AH15" i="161"/>
  <c r="AG15" i="161"/>
  <c r="AF15" i="161"/>
  <c r="AE15" i="161"/>
  <c r="AD15" i="161"/>
  <c r="Z15" i="161"/>
  <c r="Y15" i="161"/>
  <c r="X15" i="161"/>
  <c r="W15" i="161"/>
  <c r="V15" i="161"/>
  <c r="U15" i="161"/>
  <c r="S15" i="161"/>
  <c r="R15" i="161"/>
  <c r="Q15" i="161"/>
  <c r="J15" i="161"/>
  <c r="AK14" i="161"/>
  <c r="AJ14" i="161"/>
  <c r="AI14" i="161"/>
  <c r="AH14" i="161"/>
  <c r="AG14" i="161"/>
  <c r="AF14" i="161"/>
  <c r="AE14" i="161"/>
  <c r="AD14" i="161"/>
  <c r="Z14" i="161"/>
  <c r="Y14" i="161"/>
  <c r="X14" i="161"/>
  <c r="W14" i="161"/>
  <c r="V14" i="161"/>
  <c r="U14" i="161"/>
  <c r="S14" i="161"/>
  <c r="R14" i="161"/>
  <c r="Q14" i="161"/>
  <c r="J14" i="161"/>
  <c r="AK13" i="161"/>
  <c r="AJ13" i="161"/>
  <c r="AI13" i="161"/>
  <c r="AH13" i="161"/>
  <c r="AG13" i="161"/>
  <c r="AF13" i="161"/>
  <c r="AE13" i="161"/>
  <c r="AD13" i="161"/>
  <c r="Z13" i="161"/>
  <c r="Y13" i="161"/>
  <c r="X13" i="161"/>
  <c r="W13" i="161"/>
  <c r="V13" i="161"/>
  <c r="U13" i="161"/>
  <c r="S13" i="161"/>
  <c r="R13" i="161"/>
  <c r="Q13" i="161"/>
  <c r="J13" i="161"/>
  <c r="AK12" i="161"/>
  <c r="AJ12" i="161"/>
  <c r="AI12" i="161"/>
  <c r="AH12" i="161"/>
  <c r="AG12" i="161"/>
  <c r="AF12" i="161"/>
  <c r="AE12" i="161"/>
  <c r="AD12" i="161"/>
  <c r="Z12" i="161"/>
  <c r="Y12" i="161"/>
  <c r="X12" i="161"/>
  <c r="W12" i="161"/>
  <c r="V12" i="161"/>
  <c r="U12" i="161"/>
  <c r="S12" i="161"/>
  <c r="R12" i="161"/>
  <c r="Q12" i="161"/>
  <c r="J12" i="161"/>
  <c r="AK11" i="161"/>
  <c r="AJ11" i="161"/>
  <c r="AI11" i="161"/>
  <c r="AH11" i="161"/>
  <c r="AG11" i="161"/>
  <c r="AF11" i="161"/>
  <c r="AE11" i="161"/>
  <c r="AD11" i="161"/>
  <c r="Z11" i="161"/>
  <c r="Y11" i="161"/>
  <c r="X11" i="161"/>
  <c r="W11" i="161"/>
  <c r="V11" i="161"/>
  <c r="U11" i="161"/>
  <c r="S11" i="161"/>
  <c r="R11" i="161"/>
  <c r="Q11" i="161"/>
  <c r="J11" i="161"/>
  <c r="AK10" i="161"/>
  <c r="AJ10" i="161"/>
  <c r="AI10" i="161"/>
  <c r="AH10" i="161"/>
  <c r="AG10" i="161"/>
  <c r="AF10" i="161"/>
  <c r="AE10" i="161"/>
  <c r="AD10" i="161"/>
  <c r="Z10" i="161"/>
  <c r="Y10" i="161"/>
  <c r="X10" i="161"/>
  <c r="W10" i="161"/>
  <c r="V10" i="161"/>
  <c r="U10" i="161"/>
  <c r="S10" i="161"/>
  <c r="R10" i="161"/>
  <c r="Q10" i="161"/>
  <c r="J10" i="161"/>
  <c r="AK9" i="161"/>
  <c r="AJ9" i="161"/>
  <c r="AI9" i="161"/>
  <c r="AH9" i="161"/>
  <c r="AG9" i="161"/>
  <c r="AF9" i="161"/>
  <c r="AE9" i="161"/>
  <c r="AD9" i="161"/>
  <c r="Z9" i="161"/>
  <c r="Y9" i="161"/>
  <c r="X9" i="161"/>
  <c r="W9" i="161"/>
  <c r="V9" i="161"/>
  <c r="U9" i="161"/>
  <c r="S9" i="161"/>
  <c r="R9" i="161"/>
  <c r="Q9" i="161"/>
  <c r="J9" i="161"/>
  <c r="AK8" i="161"/>
  <c r="AJ8" i="161"/>
  <c r="AI8" i="161"/>
  <c r="AH8" i="161"/>
  <c r="AG8" i="161"/>
  <c r="AF8" i="161"/>
  <c r="AE8" i="161"/>
  <c r="AD8" i="161"/>
  <c r="Z8" i="161"/>
  <c r="Y8" i="161"/>
  <c r="X8" i="161"/>
  <c r="W8" i="161"/>
  <c r="V8" i="161"/>
  <c r="U8" i="161"/>
  <c r="S8" i="161"/>
  <c r="R8" i="161"/>
  <c r="Q8" i="161"/>
  <c r="J8" i="161"/>
  <c r="AK7" i="161"/>
  <c r="AJ7" i="161"/>
  <c r="AI7" i="161"/>
  <c r="AH7" i="161"/>
  <c r="AG7" i="161"/>
  <c r="AF7" i="161"/>
  <c r="AE7" i="161"/>
  <c r="AD7" i="161"/>
  <c r="Z7" i="161"/>
  <c r="Y7" i="161"/>
  <c r="X7" i="161"/>
  <c r="W7" i="161"/>
  <c r="V7" i="161"/>
  <c r="U7" i="161"/>
  <c r="S7" i="161"/>
  <c r="R7" i="161"/>
  <c r="Q7" i="161"/>
  <c r="J7" i="161"/>
  <c r="AK6" i="161"/>
  <c r="AJ6" i="161"/>
  <c r="AE6" i="161"/>
  <c r="AD6" i="161"/>
  <c r="Z6" i="161"/>
  <c r="Y6" i="161"/>
  <c r="X6" i="161"/>
  <c r="W6" i="161"/>
  <c r="V6" i="161"/>
  <c r="U6" i="161"/>
  <c r="S6" i="161"/>
  <c r="R6" i="161"/>
  <c r="Q6" i="161"/>
  <c r="K6" i="161"/>
  <c r="N6" i="161" s="1"/>
  <c r="J6" i="161"/>
  <c r="E7" i="161"/>
  <c r="E8" i="161"/>
  <c r="E9" i="161"/>
  <c r="E10" i="161"/>
  <c r="E11" i="161"/>
  <c r="E12" i="161"/>
  <c r="E13" i="161"/>
  <c r="E14" i="161"/>
  <c r="E15" i="161"/>
  <c r="E16" i="161"/>
  <c r="E17" i="161"/>
  <c r="E18" i="161"/>
  <c r="E6" i="161"/>
  <c r="AA41" i="161"/>
  <c r="D41" i="161"/>
  <c r="C41" i="161"/>
  <c r="E39" i="161"/>
  <c r="B39" i="161"/>
  <c r="E38" i="161"/>
  <c r="B38" i="161"/>
  <c r="E37" i="161"/>
  <c r="B37" i="161"/>
  <c r="E36" i="161"/>
  <c r="B36" i="161"/>
  <c r="E35" i="161"/>
  <c r="B35" i="161"/>
  <c r="E34" i="161"/>
  <c r="B34" i="161"/>
  <c r="E33" i="161"/>
  <c r="B33" i="161"/>
  <c r="E32" i="161"/>
  <c r="B32" i="161"/>
  <c r="E31" i="161"/>
  <c r="B31" i="161"/>
  <c r="E30" i="161"/>
  <c r="B30" i="161"/>
  <c r="E29" i="161"/>
  <c r="B29" i="161"/>
  <c r="E28" i="161"/>
  <c r="B28" i="161"/>
  <c r="E27" i="161"/>
  <c r="B27" i="161"/>
  <c r="E26" i="161"/>
  <c r="B26" i="161"/>
  <c r="E25" i="161"/>
  <c r="B25" i="161"/>
  <c r="E24" i="161"/>
  <c r="B24" i="161"/>
  <c r="E23" i="161"/>
  <c r="B23" i="161"/>
  <c r="E22" i="161"/>
  <c r="B22" i="161"/>
  <c r="E21" i="161"/>
  <c r="B21" i="161"/>
  <c r="E20" i="161"/>
  <c r="B20" i="161"/>
  <c r="B19" i="161"/>
  <c r="B18" i="161"/>
  <c r="B17" i="161"/>
  <c r="B16" i="161"/>
  <c r="B15" i="161"/>
  <c r="B14" i="161"/>
  <c r="B13" i="161"/>
  <c r="B12" i="161"/>
  <c r="B11" i="161"/>
  <c r="B10" i="161"/>
  <c r="B9" i="161"/>
  <c r="B8" i="161"/>
  <c r="B7" i="161"/>
  <c r="B6" i="161"/>
  <c r="AK39" i="160"/>
  <c r="AJ39" i="160"/>
  <c r="AI39" i="160"/>
  <c r="AH39" i="160"/>
  <c r="AG39" i="160"/>
  <c r="AF39" i="160"/>
  <c r="AE39" i="160"/>
  <c r="AD39" i="160"/>
  <c r="Z39" i="160"/>
  <c r="Y39" i="160"/>
  <c r="X39" i="160"/>
  <c r="W39" i="160"/>
  <c r="V39" i="160"/>
  <c r="U39" i="160"/>
  <c r="T39" i="160"/>
  <c r="S39" i="160"/>
  <c r="R39" i="160"/>
  <c r="Q39" i="160"/>
  <c r="J39" i="160"/>
  <c r="AK38" i="160"/>
  <c r="AJ38" i="160"/>
  <c r="AI38" i="160"/>
  <c r="AH38" i="160"/>
  <c r="AG38" i="160"/>
  <c r="AF38" i="160"/>
  <c r="AE38" i="160"/>
  <c r="AD38" i="160"/>
  <c r="Z38" i="160"/>
  <c r="Y38" i="160"/>
  <c r="X38" i="160"/>
  <c r="W38" i="160"/>
  <c r="V38" i="160"/>
  <c r="U38" i="160"/>
  <c r="T38" i="160"/>
  <c r="S38" i="160"/>
  <c r="R38" i="160"/>
  <c r="Q38" i="160"/>
  <c r="J38" i="160"/>
  <c r="AK37" i="160"/>
  <c r="AJ37" i="160"/>
  <c r="AI37" i="160"/>
  <c r="AH37" i="160"/>
  <c r="AG37" i="160"/>
  <c r="AF37" i="160"/>
  <c r="AE37" i="160"/>
  <c r="AD37" i="160"/>
  <c r="Z37" i="160"/>
  <c r="Y37" i="160"/>
  <c r="X37" i="160"/>
  <c r="W37" i="160"/>
  <c r="V37" i="160"/>
  <c r="U37" i="160"/>
  <c r="T37" i="160"/>
  <c r="S37" i="160"/>
  <c r="R37" i="160"/>
  <c r="Q37" i="160"/>
  <c r="J37" i="160"/>
  <c r="AK36" i="160"/>
  <c r="AJ36" i="160"/>
  <c r="AI36" i="160"/>
  <c r="AH36" i="160"/>
  <c r="AG36" i="160"/>
  <c r="AF36" i="160"/>
  <c r="AE36" i="160"/>
  <c r="AD36" i="160"/>
  <c r="Z36" i="160"/>
  <c r="Y36" i="160"/>
  <c r="X36" i="160"/>
  <c r="W36" i="160"/>
  <c r="V36" i="160"/>
  <c r="U36" i="160"/>
  <c r="T36" i="160"/>
  <c r="S36" i="160"/>
  <c r="R36" i="160"/>
  <c r="Q36" i="160"/>
  <c r="J36" i="160"/>
  <c r="AK35" i="160"/>
  <c r="AJ35" i="160"/>
  <c r="AI35" i="160"/>
  <c r="AH35" i="160"/>
  <c r="AG35" i="160"/>
  <c r="AF35" i="160"/>
  <c r="AE35" i="160"/>
  <c r="AD35" i="160"/>
  <c r="Z35" i="160"/>
  <c r="Y35" i="160"/>
  <c r="X35" i="160"/>
  <c r="W35" i="160"/>
  <c r="V35" i="160"/>
  <c r="U35" i="160"/>
  <c r="T35" i="160"/>
  <c r="S35" i="160"/>
  <c r="R35" i="160"/>
  <c r="Q35" i="160"/>
  <c r="J35" i="160"/>
  <c r="AK34" i="160"/>
  <c r="AJ34" i="160"/>
  <c r="AI34" i="160"/>
  <c r="AH34" i="160"/>
  <c r="AG34" i="160"/>
  <c r="AF34" i="160"/>
  <c r="AE34" i="160"/>
  <c r="AD34" i="160"/>
  <c r="Z34" i="160"/>
  <c r="Y34" i="160"/>
  <c r="X34" i="160"/>
  <c r="W34" i="160"/>
  <c r="V34" i="160"/>
  <c r="U34" i="160"/>
  <c r="T34" i="160"/>
  <c r="S34" i="160"/>
  <c r="R34" i="160"/>
  <c r="Q34" i="160"/>
  <c r="J34" i="160"/>
  <c r="AK33" i="160"/>
  <c r="AJ33" i="160"/>
  <c r="AI33" i="160"/>
  <c r="AH33" i="160"/>
  <c r="AG33" i="160"/>
  <c r="AF33" i="160"/>
  <c r="AE33" i="160"/>
  <c r="AD33" i="160"/>
  <c r="Z33" i="160"/>
  <c r="Y33" i="160"/>
  <c r="X33" i="160"/>
  <c r="W33" i="160"/>
  <c r="V33" i="160"/>
  <c r="U33" i="160"/>
  <c r="T33" i="160"/>
  <c r="S33" i="160"/>
  <c r="R33" i="160"/>
  <c r="Q33" i="160"/>
  <c r="J33" i="160"/>
  <c r="AK32" i="160"/>
  <c r="AJ32" i="160"/>
  <c r="AI32" i="160"/>
  <c r="AH32" i="160"/>
  <c r="AG32" i="160"/>
  <c r="AF32" i="160"/>
  <c r="AE32" i="160"/>
  <c r="AD32" i="160"/>
  <c r="Z32" i="160"/>
  <c r="Y32" i="160"/>
  <c r="X32" i="160"/>
  <c r="W32" i="160"/>
  <c r="V32" i="160"/>
  <c r="U32" i="160"/>
  <c r="T32" i="160"/>
  <c r="S32" i="160"/>
  <c r="R32" i="160"/>
  <c r="Q32" i="160"/>
  <c r="J32" i="160"/>
  <c r="AK31" i="160"/>
  <c r="AJ31" i="160"/>
  <c r="AI31" i="160"/>
  <c r="AH31" i="160"/>
  <c r="AG31" i="160"/>
  <c r="AF31" i="160"/>
  <c r="AE31" i="160"/>
  <c r="AD31" i="160"/>
  <c r="Z31" i="160"/>
  <c r="Y31" i="160"/>
  <c r="X31" i="160"/>
  <c r="W31" i="160"/>
  <c r="V31" i="160"/>
  <c r="U31" i="160"/>
  <c r="T31" i="160"/>
  <c r="S31" i="160"/>
  <c r="R31" i="160"/>
  <c r="Q31" i="160"/>
  <c r="J31" i="160"/>
  <c r="AK30" i="160"/>
  <c r="AJ30" i="160"/>
  <c r="AI30" i="160"/>
  <c r="AH30" i="160"/>
  <c r="AG30" i="160"/>
  <c r="AF30" i="160"/>
  <c r="AE30" i="160"/>
  <c r="AD30" i="160"/>
  <c r="Z30" i="160"/>
  <c r="Y30" i="160"/>
  <c r="X30" i="160"/>
  <c r="W30" i="160"/>
  <c r="V30" i="160"/>
  <c r="U30" i="160"/>
  <c r="T30" i="160"/>
  <c r="S30" i="160"/>
  <c r="R30" i="160"/>
  <c r="Q30" i="160"/>
  <c r="J30" i="160"/>
  <c r="AK29" i="160"/>
  <c r="AJ29" i="160"/>
  <c r="AI29" i="160"/>
  <c r="AH29" i="160"/>
  <c r="AG29" i="160"/>
  <c r="AF29" i="160"/>
  <c r="AE29" i="160"/>
  <c r="AD29" i="160"/>
  <c r="Z29" i="160"/>
  <c r="Y29" i="160"/>
  <c r="X29" i="160"/>
  <c r="W29" i="160"/>
  <c r="V29" i="160"/>
  <c r="U29" i="160"/>
  <c r="T29" i="160"/>
  <c r="S29" i="160"/>
  <c r="R29" i="160"/>
  <c r="Q29" i="160"/>
  <c r="J29" i="160"/>
  <c r="AK28" i="160"/>
  <c r="AJ28" i="160"/>
  <c r="AI28" i="160"/>
  <c r="AH28" i="160"/>
  <c r="AG28" i="160"/>
  <c r="AF28" i="160"/>
  <c r="AE28" i="160"/>
  <c r="AD28" i="160"/>
  <c r="Z28" i="160"/>
  <c r="Y28" i="160"/>
  <c r="X28" i="160"/>
  <c r="W28" i="160"/>
  <c r="V28" i="160"/>
  <c r="U28" i="160"/>
  <c r="T28" i="160"/>
  <c r="S28" i="160"/>
  <c r="R28" i="160"/>
  <c r="Q28" i="160"/>
  <c r="J28" i="160"/>
  <c r="AK27" i="160"/>
  <c r="AJ27" i="160"/>
  <c r="AI27" i="160"/>
  <c r="AH27" i="160"/>
  <c r="AG27" i="160"/>
  <c r="AF27" i="160"/>
  <c r="AE27" i="160"/>
  <c r="AD27" i="160"/>
  <c r="Z27" i="160"/>
  <c r="Y27" i="160"/>
  <c r="X27" i="160"/>
  <c r="W27" i="160"/>
  <c r="V27" i="160"/>
  <c r="U27" i="160"/>
  <c r="T27" i="160"/>
  <c r="S27" i="160"/>
  <c r="R27" i="160"/>
  <c r="Q27" i="160"/>
  <c r="J27" i="160"/>
  <c r="AK26" i="160"/>
  <c r="AJ26" i="160"/>
  <c r="AI26" i="160"/>
  <c r="AH26" i="160"/>
  <c r="AG26" i="160"/>
  <c r="AF26" i="160"/>
  <c r="AE26" i="160"/>
  <c r="AD26" i="160"/>
  <c r="Z26" i="160"/>
  <c r="Y26" i="160"/>
  <c r="X26" i="160"/>
  <c r="W26" i="160"/>
  <c r="V26" i="160"/>
  <c r="U26" i="160"/>
  <c r="T26" i="160"/>
  <c r="S26" i="160"/>
  <c r="R26" i="160"/>
  <c r="Q26" i="160"/>
  <c r="J26" i="160"/>
  <c r="AK25" i="160"/>
  <c r="AJ25" i="160"/>
  <c r="AI25" i="160"/>
  <c r="AH25" i="160"/>
  <c r="AG25" i="160"/>
  <c r="AF25" i="160"/>
  <c r="AE25" i="160"/>
  <c r="AD25" i="160"/>
  <c r="Z25" i="160"/>
  <c r="Y25" i="160"/>
  <c r="X25" i="160"/>
  <c r="W25" i="160"/>
  <c r="V25" i="160"/>
  <c r="U25" i="160"/>
  <c r="T25" i="160"/>
  <c r="S25" i="160"/>
  <c r="R25" i="160"/>
  <c r="Q25" i="160"/>
  <c r="J25" i="160"/>
  <c r="AK24" i="160"/>
  <c r="AJ24" i="160"/>
  <c r="AI24" i="160"/>
  <c r="AH24" i="160"/>
  <c r="AG24" i="160"/>
  <c r="AF24" i="160"/>
  <c r="AE24" i="160"/>
  <c r="AD24" i="160"/>
  <c r="Z24" i="160"/>
  <c r="Y24" i="160"/>
  <c r="X24" i="160"/>
  <c r="W24" i="160"/>
  <c r="V24" i="160"/>
  <c r="U24" i="160"/>
  <c r="T24" i="160"/>
  <c r="S24" i="160"/>
  <c r="R24" i="160"/>
  <c r="Q24" i="160"/>
  <c r="J24" i="160"/>
  <c r="AK23" i="160"/>
  <c r="AJ23" i="160"/>
  <c r="AI23" i="160"/>
  <c r="AH23" i="160"/>
  <c r="AG23" i="160"/>
  <c r="AF23" i="160"/>
  <c r="AE23" i="160"/>
  <c r="AD23" i="160"/>
  <c r="Z23" i="160"/>
  <c r="Y23" i="160"/>
  <c r="X23" i="160"/>
  <c r="W23" i="160"/>
  <c r="V23" i="160"/>
  <c r="U23" i="160"/>
  <c r="T23" i="160"/>
  <c r="S23" i="160"/>
  <c r="R23" i="160"/>
  <c r="Q23" i="160"/>
  <c r="J23" i="160"/>
  <c r="AK22" i="160"/>
  <c r="AJ22" i="160"/>
  <c r="AI22" i="160"/>
  <c r="AH22" i="160"/>
  <c r="AG22" i="160"/>
  <c r="AF22" i="160"/>
  <c r="AE22" i="160"/>
  <c r="AD22" i="160"/>
  <c r="Z22" i="160"/>
  <c r="Y22" i="160"/>
  <c r="X22" i="160"/>
  <c r="W22" i="160"/>
  <c r="V22" i="160"/>
  <c r="U22" i="160"/>
  <c r="T22" i="160"/>
  <c r="S22" i="160"/>
  <c r="R22" i="160"/>
  <c r="Q22" i="160"/>
  <c r="J22" i="160"/>
  <c r="AK21" i="160"/>
  <c r="AJ21" i="160"/>
  <c r="AI21" i="160"/>
  <c r="AH21" i="160"/>
  <c r="AG21" i="160"/>
  <c r="AF21" i="160"/>
  <c r="AE21" i="160"/>
  <c r="AD21" i="160"/>
  <c r="Z21" i="160"/>
  <c r="Y21" i="160"/>
  <c r="X21" i="160"/>
  <c r="W21" i="160"/>
  <c r="V21" i="160"/>
  <c r="U21" i="160"/>
  <c r="T21" i="160"/>
  <c r="S21" i="160"/>
  <c r="R21" i="160"/>
  <c r="Q21" i="160"/>
  <c r="J21" i="160"/>
  <c r="AK20" i="160"/>
  <c r="AJ20" i="160"/>
  <c r="AI20" i="160"/>
  <c r="AH20" i="160"/>
  <c r="AG20" i="160"/>
  <c r="AF20" i="160"/>
  <c r="AE20" i="160"/>
  <c r="AD20" i="160"/>
  <c r="Z20" i="160"/>
  <c r="Y20" i="160"/>
  <c r="X20" i="160"/>
  <c r="W20" i="160"/>
  <c r="V20" i="160"/>
  <c r="U20" i="160"/>
  <c r="T20" i="160"/>
  <c r="S20" i="160"/>
  <c r="R20" i="160"/>
  <c r="Q20" i="160"/>
  <c r="J20" i="160"/>
  <c r="AK18" i="160"/>
  <c r="AJ18" i="160"/>
  <c r="AI18" i="160"/>
  <c r="AH18" i="160"/>
  <c r="AG18" i="160"/>
  <c r="AF18" i="160"/>
  <c r="AE18" i="160"/>
  <c r="AD18" i="160"/>
  <c r="Z18" i="160"/>
  <c r="Y18" i="160"/>
  <c r="X18" i="160"/>
  <c r="W18" i="160"/>
  <c r="V18" i="160"/>
  <c r="U18" i="160"/>
  <c r="T18" i="160"/>
  <c r="S18" i="160"/>
  <c r="R18" i="160"/>
  <c r="Q18" i="160"/>
  <c r="J18" i="160"/>
  <c r="AK17" i="160"/>
  <c r="AJ17" i="160"/>
  <c r="AI17" i="160"/>
  <c r="AH17" i="160"/>
  <c r="AG17" i="160"/>
  <c r="AF17" i="160"/>
  <c r="AE17" i="160"/>
  <c r="AD17" i="160"/>
  <c r="Z17" i="160"/>
  <c r="Y17" i="160"/>
  <c r="X17" i="160"/>
  <c r="W17" i="160"/>
  <c r="V17" i="160"/>
  <c r="U17" i="160"/>
  <c r="T17" i="160"/>
  <c r="S17" i="160"/>
  <c r="R17" i="160"/>
  <c r="Q17" i="160"/>
  <c r="J17" i="160"/>
  <c r="AK16" i="160"/>
  <c r="AJ16" i="160"/>
  <c r="AI16" i="160"/>
  <c r="AH16" i="160"/>
  <c r="AG16" i="160"/>
  <c r="AF16" i="160"/>
  <c r="AE16" i="160"/>
  <c r="AD16" i="160"/>
  <c r="Z16" i="160"/>
  <c r="Y16" i="160"/>
  <c r="X16" i="160"/>
  <c r="W16" i="160"/>
  <c r="V16" i="160"/>
  <c r="U16" i="160"/>
  <c r="S16" i="160"/>
  <c r="R16" i="160"/>
  <c r="Q16" i="160"/>
  <c r="J16" i="160"/>
  <c r="AK15" i="160"/>
  <c r="AJ15" i="160"/>
  <c r="AI15" i="160"/>
  <c r="AH15" i="160"/>
  <c r="AG15" i="160"/>
  <c r="AF15" i="160"/>
  <c r="AE15" i="160"/>
  <c r="AD15" i="160"/>
  <c r="Z15" i="160"/>
  <c r="Y15" i="160"/>
  <c r="X15" i="160"/>
  <c r="W15" i="160"/>
  <c r="V15" i="160"/>
  <c r="U15" i="160"/>
  <c r="T15" i="160"/>
  <c r="S15" i="160"/>
  <c r="R15" i="160"/>
  <c r="Q15" i="160"/>
  <c r="J15" i="160"/>
  <c r="AK14" i="160"/>
  <c r="AJ14" i="160"/>
  <c r="AI14" i="160"/>
  <c r="AH14" i="160"/>
  <c r="AG14" i="160"/>
  <c r="AF14" i="160"/>
  <c r="AE14" i="160"/>
  <c r="AD14" i="160"/>
  <c r="Z14" i="160"/>
  <c r="Y14" i="160"/>
  <c r="X14" i="160"/>
  <c r="W14" i="160"/>
  <c r="V14" i="160"/>
  <c r="U14" i="160"/>
  <c r="T14" i="160"/>
  <c r="S14" i="160"/>
  <c r="R14" i="160"/>
  <c r="Q14" i="160"/>
  <c r="J14" i="160"/>
  <c r="AK13" i="160"/>
  <c r="AJ13" i="160"/>
  <c r="AI13" i="160"/>
  <c r="AH13" i="160"/>
  <c r="AG13" i="160"/>
  <c r="AF13" i="160"/>
  <c r="AE13" i="160"/>
  <c r="AD13" i="160"/>
  <c r="Z13" i="160"/>
  <c r="Y13" i="160"/>
  <c r="X13" i="160"/>
  <c r="W13" i="160"/>
  <c r="V13" i="160"/>
  <c r="U13" i="160"/>
  <c r="T13" i="160"/>
  <c r="S13" i="160"/>
  <c r="R13" i="160"/>
  <c r="Q13" i="160"/>
  <c r="J13" i="160"/>
  <c r="AK12" i="160"/>
  <c r="AJ12" i="160"/>
  <c r="AI12" i="160"/>
  <c r="AH12" i="160"/>
  <c r="AG12" i="160"/>
  <c r="AF12" i="160"/>
  <c r="AE12" i="160"/>
  <c r="AD12" i="160"/>
  <c r="Z12" i="160"/>
  <c r="Y12" i="160"/>
  <c r="X12" i="160"/>
  <c r="W12" i="160"/>
  <c r="V12" i="160"/>
  <c r="U12" i="160"/>
  <c r="T12" i="160"/>
  <c r="S12" i="160"/>
  <c r="R12" i="160"/>
  <c r="Q12" i="160"/>
  <c r="J12" i="160"/>
  <c r="AK11" i="160"/>
  <c r="AJ11" i="160"/>
  <c r="AI11" i="160"/>
  <c r="AH11" i="160"/>
  <c r="AG11" i="160"/>
  <c r="AF11" i="160"/>
  <c r="AE11" i="160"/>
  <c r="AD11" i="160"/>
  <c r="Z11" i="160"/>
  <c r="Y11" i="160"/>
  <c r="X11" i="160"/>
  <c r="W11" i="160"/>
  <c r="V11" i="160"/>
  <c r="U11" i="160"/>
  <c r="T11" i="160"/>
  <c r="S11" i="160"/>
  <c r="R11" i="160"/>
  <c r="Q11" i="160"/>
  <c r="J11" i="160"/>
  <c r="AK10" i="160"/>
  <c r="AJ10" i="160"/>
  <c r="AI10" i="160"/>
  <c r="AH10" i="160"/>
  <c r="AG10" i="160"/>
  <c r="AF10" i="160"/>
  <c r="AE10" i="160"/>
  <c r="AD10" i="160"/>
  <c r="Z10" i="160"/>
  <c r="Y10" i="160"/>
  <c r="X10" i="160"/>
  <c r="W10" i="160"/>
  <c r="V10" i="160"/>
  <c r="U10" i="160"/>
  <c r="T10" i="160"/>
  <c r="S10" i="160"/>
  <c r="R10" i="160"/>
  <c r="Q10" i="160"/>
  <c r="J10" i="160"/>
  <c r="AK9" i="160"/>
  <c r="AJ9" i="160"/>
  <c r="AI9" i="160"/>
  <c r="AH9" i="160"/>
  <c r="AG9" i="160"/>
  <c r="AF9" i="160"/>
  <c r="AE9" i="160"/>
  <c r="AD9" i="160"/>
  <c r="Z9" i="160"/>
  <c r="Y9" i="160"/>
  <c r="X9" i="160"/>
  <c r="W9" i="160"/>
  <c r="V9" i="160"/>
  <c r="U9" i="160"/>
  <c r="T9" i="160"/>
  <c r="S9" i="160"/>
  <c r="R9" i="160"/>
  <c r="Q9" i="160"/>
  <c r="J9" i="160"/>
  <c r="AK8" i="160"/>
  <c r="AJ8" i="160"/>
  <c r="AI8" i="160"/>
  <c r="AH8" i="160"/>
  <c r="AG8" i="160"/>
  <c r="AF8" i="160"/>
  <c r="AE8" i="160"/>
  <c r="AD8" i="160"/>
  <c r="Z8" i="160"/>
  <c r="Y8" i="160"/>
  <c r="X8" i="160"/>
  <c r="W8" i="160"/>
  <c r="V8" i="160"/>
  <c r="U8" i="160"/>
  <c r="T8" i="160"/>
  <c r="S8" i="160"/>
  <c r="R8" i="160"/>
  <c r="Q8" i="160"/>
  <c r="J8" i="160"/>
  <c r="AK7" i="160"/>
  <c r="AJ7" i="160"/>
  <c r="AI7" i="160"/>
  <c r="AH7" i="160"/>
  <c r="AG7" i="160"/>
  <c r="AF7" i="160"/>
  <c r="AE7" i="160"/>
  <c r="AD7" i="160"/>
  <c r="Z7" i="160"/>
  <c r="Y7" i="160"/>
  <c r="X7" i="160"/>
  <c r="W7" i="160"/>
  <c r="V7" i="160"/>
  <c r="U7" i="160"/>
  <c r="T7" i="160"/>
  <c r="S7" i="160"/>
  <c r="R7" i="160"/>
  <c r="Q7" i="160"/>
  <c r="J7" i="160"/>
  <c r="AK6" i="160"/>
  <c r="AJ6" i="160"/>
  <c r="AI6" i="160"/>
  <c r="AH6" i="160"/>
  <c r="AG6" i="160"/>
  <c r="AE6" i="160"/>
  <c r="AD6" i="160"/>
  <c r="Z6" i="160"/>
  <c r="Y6" i="160"/>
  <c r="X6" i="160"/>
  <c r="W6" i="160"/>
  <c r="V6" i="160"/>
  <c r="U6" i="160"/>
  <c r="T6" i="160"/>
  <c r="S6" i="160"/>
  <c r="R6" i="160"/>
  <c r="Q6" i="160"/>
  <c r="K6" i="160"/>
  <c r="M6" i="160" s="1"/>
  <c r="J6" i="160"/>
  <c r="E7" i="160"/>
  <c r="E8" i="160"/>
  <c r="E9" i="160"/>
  <c r="E10" i="160"/>
  <c r="E11" i="160"/>
  <c r="E12" i="160"/>
  <c r="E13" i="160"/>
  <c r="E14" i="160"/>
  <c r="E15" i="160"/>
  <c r="E16" i="160"/>
  <c r="E17" i="160"/>
  <c r="E18" i="160"/>
  <c r="E6" i="160"/>
  <c r="AA41" i="160"/>
  <c r="D41" i="160"/>
  <c r="C41" i="160"/>
  <c r="E39" i="160"/>
  <c r="B39" i="160"/>
  <c r="E38" i="160"/>
  <c r="B38" i="160"/>
  <c r="E37" i="160"/>
  <c r="B37" i="160"/>
  <c r="E36" i="160"/>
  <c r="B36" i="160"/>
  <c r="E35" i="160"/>
  <c r="B35" i="160"/>
  <c r="E34" i="160"/>
  <c r="B34" i="160"/>
  <c r="E33" i="160"/>
  <c r="B33" i="160"/>
  <c r="E32" i="160"/>
  <c r="B32" i="160"/>
  <c r="E31" i="160"/>
  <c r="B31" i="160"/>
  <c r="E30" i="160"/>
  <c r="B30" i="160"/>
  <c r="E29" i="160"/>
  <c r="B29" i="160"/>
  <c r="E28" i="160"/>
  <c r="B28" i="160"/>
  <c r="E27" i="160"/>
  <c r="B27" i="160"/>
  <c r="E26" i="160"/>
  <c r="B26" i="160"/>
  <c r="E25" i="160"/>
  <c r="B25" i="160"/>
  <c r="E24" i="160"/>
  <c r="B24" i="160"/>
  <c r="E23" i="160"/>
  <c r="B23" i="160"/>
  <c r="E22" i="160"/>
  <c r="B22" i="160"/>
  <c r="E21" i="160"/>
  <c r="B21" i="160"/>
  <c r="E20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E7" i="159"/>
  <c r="E8" i="159"/>
  <c r="E9" i="159"/>
  <c r="E10" i="159"/>
  <c r="E11" i="159"/>
  <c r="E12" i="159"/>
  <c r="E13" i="159"/>
  <c r="E14" i="159"/>
  <c r="E15" i="159"/>
  <c r="E16" i="159"/>
  <c r="E17" i="159"/>
  <c r="E18" i="159"/>
  <c r="E6" i="159"/>
  <c r="AK39" i="159"/>
  <c r="AJ39" i="159"/>
  <c r="AI39" i="159"/>
  <c r="AH39" i="159"/>
  <c r="AG39" i="159"/>
  <c r="AF39" i="159"/>
  <c r="AE39" i="159"/>
  <c r="AD39" i="159"/>
  <c r="Z39" i="159"/>
  <c r="Y39" i="159"/>
  <c r="X39" i="159"/>
  <c r="W39" i="159"/>
  <c r="V39" i="159"/>
  <c r="U39" i="159"/>
  <c r="T39" i="159"/>
  <c r="S39" i="159"/>
  <c r="R39" i="159"/>
  <c r="Q39" i="159"/>
  <c r="J39" i="159"/>
  <c r="AK38" i="159"/>
  <c r="AJ38" i="159"/>
  <c r="AI38" i="159"/>
  <c r="AH38" i="159"/>
  <c r="AG38" i="159"/>
  <c r="AF38" i="159"/>
  <c r="AE38" i="159"/>
  <c r="AD38" i="159"/>
  <c r="Z38" i="159"/>
  <c r="Y38" i="159"/>
  <c r="X38" i="159"/>
  <c r="W38" i="159"/>
  <c r="V38" i="159"/>
  <c r="U38" i="159"/>
  <c r="T38" i="159"/>
  <c r="S38" i="159"/>
  <c r="R38" i="159"/>
  <c r="Q38" i="159"/>
  <c r="J38" i="159"/>
  <c r="AK37" i="159"/>
  <c r="AJ37" i="159"/>
  <c r="AI37" i="159"/>
  <c r="AH37" i="159"/>
  <c r="AG37" i="159"/>
  <c r="AF37" i="159"/>
  <c r="AE37" i="159"/>
  <c r="AD37" i="159"/>
  <c r="Z37" i="159"/>
  <c r="Y37" i="159"/>
  <c r="X37" i="159"/>
  <c r="W37" i="159"/>
  <c r="V37" i="159"/>
  <c r="U37" i="159"/>
  <c r="T37" i="159"/>
  <c r="S37" i="159"/>
  <c r="R37" i="159"/>
  <c r="Q37" i="159"/>
  <c r="J37" i="159"/>
  <c r="AK36" i="159"/>
  <c r="AJ36" i="159"/>
  <c r="AI36" i="159"/>
  <c r="AH36" i="159"/>
  <c r="AG36" i="159"/>
  <c r="AF36" i="159"/>
  <c r="AE36" i="159"/>
  <c r="AD36" i="159"/>
  <c r="Z36" i="159"/>
  <c r="Y36" i="159"/>
  <c r="X36" i="159"/>
  <c r="W36" i="159"/>
  <c r="V36" i="159"/>
  <c r="U36" i="159"/>
  <c r="T36" i="159"/>
  <c r="S36" i="159"/>
  <c r="R36" i="159"/>
  <c r="Q36" i="159"/>
  <c r="J36" i="159"/>
  <c r="AK35" i="159"/>
  <c r="AJ35" i="159"/>
  <c r="AI35" i="159"/>
  <c r="AH35" i="159"/>
  <c r="AG35" i="159"/>
  <c r="AF35" i="159"/>
  <c r="AE35" i="159"/>
  <c r="AD35" i="159"/>
  <c r="Z35" i="159"/>
  <c r="Y35" i="159"/>
  <c r="X35" i="159"/>
  <c r="W35" i="159"/>
  <c r="V35" i="159"/>
  <c r="U35" i="159"/>
  <c r="T35" i="159"/>
  <c r="S35" i="159"/>
  <c r="R35" i="159"/>
  <c r="Q35" i="159"/>
  <c r="J35" i="159"/>
  <c r="AK34" i="159"/>
  <c r="AJ34" i="159"/>
  <c r="AI34" i="159"/>
  <c r="AH34" i="159"/>
  <c r="AG34" i="159"/>
  <c r="AF34" i="159"/>
  <c r="AE34" i="159"/>
  <c r="AD34" i="159"/>
  <c r="Z34" i="159"/>
  <c r="Y34" i="159"/>
  <c r="X34" i="159"/>
  <c r="W34" i="159"/>
  <c r="V34" i="159"/>
  <c r="U34" i="159"/>
  <c r="T34" i="159"/>
  <c r="S34" i="159"/>
  <c r="R34" i="159"/>
  <c r="Q34" i="159"/>
  <c r="J34" i="159"/>
  <c r="AK33" i="159"/>
  <c r="AJ33" i="159"/>
  <c r="AI33" i="159"/>
  <c r="AH33" i="159"/>
  <c r="AG33" i="159"/>
  <c r="AF33" i="159"/>
  <c r="AE33" i="159"/>
  <c r="AD33" i="159"/>
  <c r="Z33" i="159"/>
  <c r="Y33" i="159"/>
  <c r="X33" i="159"/>
  <c r="W33" i="159"/>
  <c r="V33" i="159"/>
  <c r="U33" i="159"/>
  <c r="T33" i="159"/>
  <c r="S33" i="159"/>
  <c r="R33" i="159"/>
  <c r="Q33" i="159"/>
  <c r="J33" i="159"/>
  <c r="AK32" i="159"/>
  <c r="AJ32" i="159"/>
  <c r="AI32" i="159"/>
  <c r="AH32" i="159"/>
  <c r="AG32" i="159"/>
  <c r="AF32" i="159"/>
  <c r="AE32" i="159"/>
  <c r="AD32" i="159"/>
  <c r="Z32" i="159"/>
  <c r="Y32" i="159"/>
  <c r="X32" i="159"/>
  <c r="W32" i="159"/>
  <c r="V32" i="159"/>
  <c r="U32" i="159"/>
  <c r="T32" i="159"/>
  <c r="S32" i="159"/>
  <c r="R32" i="159"/>
  <c r="Q32" i="159"/>
  <c r="J32" i="159"/>
  <c r="AK31" i="159"/>
  <c r="AJ31" i="159"/>
  <c r="AI31" i="159"/>
  <c r="AH31" i="159"/>
  <c r="AG31" i="159"/>
  <c r="AF31" i="159"/>
  <c r="AE31" i="159"/>
  <c r="AD31" i="159"/>
  <c r="Z31" i="159"/>
  <c r="Y31" i="159"/>
  <c r="X31" i="159"/>
  <c r="W31" i="159"/>
  <c r="V31" i="159"/>
  <c r="U31" i="159"/>
  <c r="T31" i="159"/>
  <c r="S31" i="159"/>
  <c r="R31" i="159"/>
  <c r="Q31" i="159"/>
  <c r="J31" i="159"/>
  <c r="AK30" i="159"/>
  <c r="AJ30" i="159"/>
  <c r="AI30" i="159"/>
  <c r="AH30" i="159"/>
  <c r="AG30" i="159"/>
  <c r="AF30" i="159"/>
  <c r="AE30" i="159"/>
  <c r="AD30" i="159"/>
  <c r="Z30" i="159"/>
  <c r="Y30" i="159"/>
  <c r="X30" i="159"/>
  <c r="W30" i="159"/>
  <c r="V30" i="159"/>
  <c r="U30" i="159"/>
  <c r="T30" i="159"/>
  <c r="S30" i="159"/>
  <c r="R30" i="159"/>
  <c r="Q30" i="159"/>
  <c r="J30" i="159"/>
  <c r="AK29" i="159"/>
  <c r="AJ29" i="159"/>
  <c r="AI29" i="159"/>
  <c r="AH29" i="159"/>
  <c r="AG29" i="159"/>
  <c r="AF29" i="159"/>
  <c r="AE29" i="159"/>
  <c r="AD29" i="159"/>
  <c r="Z29" i="159"/>
  <c r="Y29" i="159"/>
  <c r="X29" i="159"/>
  <c r="W29" i="159"/>
  <c r="V29" i="159"/>
  <c r="U29" i="159"/>
  <c r="T29" i="159"/>
  <c r="S29" i="159"/>
  <c r="R29" i="159"/>
  <c r="Q29" i="159"/>
  <c r="J29" i="159"/>
  <c r="AK28" i="159"/>
  <c r="AJ28" i="159"/>
  <c r="AI28" i="159"/>
  <c r="AH28" i="159"/>
  <c r="AG28" i="159"/>
  <c r="AF28" i="159"/>
  <c r="AE28" i="159"/>
  <c r="AD28" i="159"/>
  <c r="Z28" i="159"/>
  <c r="Y28" i="159"/>
  <c r="X28" i="159"/>
  <c r="W28" i="159"/>
  <c r="V28" i="159"/>
  <c r="U28" i="159"/>
  <c r="T28" i="159"/>
  <c r="S28" i="159"/>
  <c r="R28" i="159"/>
  <c r="Q28" i="159"/>
  <c r="J28" i="159"/>
  <c r="AK27" i="159"/>
  <c r="AJ27" i="159"/>
  <c r="AI27" i="159"/>
  <c r="AH27" i="159"/>
  <c r="AG27" i="159"/>
  <c r="AF27" i="159"/>
  <c r="AE27" i="159"/>
  <c r="AD27" i="159"/>
  <c r="Z27" i="159"/>
  <c r="Y27" i="159"/>
  <c r="X27" i="159"/>
  <c r="W27" i="159"/>
  <c r="V27" i="159"/>
  <c r="U27" i="159"/>
  <c r="T27" i="159"/>
  <c r="S27" i="159"/>
  <c r="R27" i="159"/>
  <c r="Q27" i="159"/>
  <c r="J27" i="159"/>
  <c r="AK26" i="159"/>
  <c r="AJ26" i="159"/>
  <c r="AI26" i="159"/>
  <c r="AH26" i="159"/>
  <c r="AG26" i="159"/>
  <c r="AF26" i="159"/>
  <c r="AE26" i="159"/>
  <c r="AD26" i="159"/>
  <c r="Z26" i="159"/>
  <c r="Y26" i="159"/>
  <c r="X26" i="159"/>
  <c r="W26" i="159"/>
  <c r="V26" i="159"/>
  <c r="U26" i="159"/>
  <c r="T26" i="159"/>
  <c r="S26" i="159"/>
  <c r="R26" i="159"/>
  <c r="Q26" i="159"/>
  <c r="J26" i="159"/>
  <c r="AK25" i="159"/>
  <c r="AJ25" i="159"/>
  <c r="AI25" i="159"/>
  <c r="AH25" i="159"/>
  <c r="AG25" i="159"/>
  <c r="AF25" i="159"/>
  <c r="AE25" i="159"/>
  <c r="AD25" i="159"/>
  <c r="Z25" i="159"/>
  <c r="Y25" i="159"/>
  <c r="X25" i="159"/>
  <c r="W25" i="159"/>
  <c r="V25" i="159"/>
  <c r="U25" i="159"/>
  <c r="T25" i="159"/>
  <c r="S25" i="159"/>
  <c r="R25" i="159"/>
  <c r="Q25" i="159"/>
  <c r="J25" i="159"/>
  <c r="AK24" i="159"/>
  <c r="AJ24" i="159"/>
  <c r="AI24" i="159"/>
  <c r="AH24" i="159"/>
  <c r="AG24" i="159"/>
  <c r="AF24" i="159"/>
  <c r="AE24" i="159"/>
  <c r="AD24" i="159"/>
  <c r="Z24" i="159"/>
  <c r="Y24" i="159"/>
  <c r="X24" i="159"/>
  <c r="W24" i="159"/>
  <c r="V24" i="159"/>
  <c r="U24" i="159"/>
  <c r="T24" i="159"/>
  <c r="S24" i="159"/>
  <c r="R24" i="159"/>
  <c r="Q24" i="159"/>
  <c r="J24" i="159"/>
  <c r="AK23" i="159"/>
  <c r="AJ23" i="159"/>
  <c r="AI23" i="159"/>
  <c r="AH23" i="159"/>
  <c r="AG23" i="159"/>
  <c r="AF23" i="159"/>
  <c r="AE23" i="159"/>
  <c r="AD23" i="159"/>
  <c r="Z23" i="159"/>
  <c r="Y23" i="159"/>
  <c r="X23" i="159"/>
  <c r="W23" i="159"/>
  <c r="V23" i="159"/>
  <c r="U23" i="159"/>
  <c r="T23" i="159"/>
  <c r="S23" i="159"/>
  <c r="R23" i="159"/>
  <c r="Q23" i="159"/>
  <c r="J23" i="159"/>
  <c r="AK22" i="159"/>
  <c r="AJ22" i="159"/>
  <c r="AI22" i="159"/>
  <c r="AH22" i="159"/>
  <c r="AG22" i="159"/>
  <c r="AF22" i="159"/>
  <c r="AE22" i="159"/>
  <c r="AD22" i="159"/>
  <c r="Z22" i="159"/>
  <c r="Y22" i="159"/>
  <c r="X22" i="159"/>
  <c r="W22" i="159"/>
  <c r="V22" i="159"/>
  <c r="U22" i="159"/>
  <c r="T22" i="159"/>
  <c r="S22" i="159"/>
  <c r="R22" i="159"/>
  <c r="Q22" i="159"/>
  <c r="J22" i="159"/>
  <c r="AK21" i="159"/>
  <c r="AJ21" i="159"/>
  <c r="AI21" i="159"/>
  <c r="AH21" i="159"/>
  <c r="AG21" i="159"/>
  <c r="AF21" i="159"/>
  <c r="AE21" i="159"/>
  <c r="AD21" i="159"/>
  <c r="Z21" i="159"/>
  <c r="Y21" i="159"/>
  <c r="X21" i="159"/>
  <c r="W21" i="159"/>
  <c r="V21" i="159"/>
  <c r="U21" i="159"/>
  <c r="T21" i="159"/>
  <c r="S21" i="159"/>
  <c r="R21" i="159"/>
  <c r="Q21" i="159"/>
  <c r="J21" i="159"/>
  <c r="AK20" i="159"/>
  <c r="AJ20" i="159"/>
  <c r="AI20" i="159"/>
  <c r="AH20" i="159"/>
  <c r="AG20" i="159"/>
  <c r="AF20" i="159"/>
  <c r="AE20" i="159"/>
  <c r="AD20" i="159"/>
  <c r="Z20" i="159"/>
  <c r="Y20" i="159"/>
  <c r="X20" i="159"/>
  <c r="W20" i="159"/>
  <c r="V20" i="159"/>
  <c r="U20" i="159"/>
  <c r="T20" i="159"/>
  <c r="S20" i="159"/>
  <c r="R20" i="159"/>
  <c r="Q20" i="159"/>
  <c r="J20" i="159"/>
  <c r="AK18" i="159"/>
  <c r="AJ18" i="159"/>
  <c r="AI18" i="159"/>
  <c r="AH18" i="159"/>
  <c r="AG18" i="159"/>
  <c r="AF18" i="159"/>
  <c r="AE18" i="159"/>
  <c r="AD18" i="159"/>
  <c r="Z18" i="159"/>
  <c r="Y18" i="159"/>
  <c r="X18" i="159"/>
  <c r="W18" i="159"/>
  <c r="V18" i="159"/>
  <c r="U18" i="159"/>
  <c r="T18" i="159"/>
  <c r="S18" i="159"/>
  <c r="R18" i="159"/>
  <c r="Q18" i="159"/>
  <c r="J18" i="159"/>
  <c r="AK17" i="159"/>
  <c r="AJ17" i="159"/>
  <c r="AI17" i="159"/>
  <c r="AH17" i="159"/>
  <c r="AG17" i="159"/>
  <c r="AF17" i="159"/>
  <c r="AE17" i="159"/>
  <c r="AD17" i="159"/>
  <c r="Z17" i="159"/>
  <c r="Y17" i="159"/>
  <c r="X17" i="159"/>
  <c r="W17" i="159"/>
  <c r="V17" i="159"/>
  <c r="U17" i="159"/>
  <c r="T17" i="159"/>
  <c r="S17" i="159"/>
  <c r="R17" i="159"/>
  <c r="Q17" i="159"/>
  <c r="J17" i="159"/>
  <c r="AK16" i="159"/>
  <c r="AJ16" i="159"/>
  <c r="AI16" i="159"/>
  <c r="AH16" i="159"/>
  <c r="AG16" i="159"/>
  <c r="AF16" i="159"/>
  <c r="AE16" i="159"/>
  <c r="AD16" i="159"/>
  <c r="Z16" i="159"/>
  <c r="Y16" i="159"/>
  <c r="X16" i="159"/>
  <c r="W16" i="159"/>
  <c r="V16" i="159"/>
  <c r="U16" i="159"/>
  <c r="T16" i="159"/>
  <c r="S16" i="159"/>
  <c r="R16" i="159"/>
  <c r="Q16" i="159"/>
  <c r="J16" i="159"/>
  <c r="AK15" i="159"/>
  <c r="AJ15" i="159"/>
  <c r="AI15" i="159"/>
  <c r="AH15" i="159"/>
  <c r="AG15" i="159"/>
  <c r="AF15" i="159"/>
  <c r="AE15" i="159"/>
  <c r="AD15" i="159"/>
  <c r="Z15" i="159"/>
  <c r="Y15" i="159"/>
  <c r="X15" i="159"/>
  <c r="W15" i="159"/>
  <c r="V15" i="159"/>
  <c r="U15" i="159"/>
  <c r="T15" i="159"/>
  <c r="S15" i="159"/>
  <c r="R15" i="159"/>
  <c r="Q15" i="159"/>
  <c r="J15" i="159"/>
  <c r="AK14" i="159"/>
  <c r="AJ14" i="159"/>
  <c r="AI14" i="159"/>
  <c r="AH14" i="159"/>
  <c r="AG14" i="159"/>
  <c r="AF14" i="159"/>
  <c r="AE14" i="159"/>
  <c r="AD14" i="159"/>
  <c r="Z14" i="159"/>
  <c r="Y14" i="159"/>
  <c r="X14" i="159"/>
  <c r="W14" i="159"/>
  <c r="V14" i="159"/>
  <c r="U14" i="159"/>
  <c r="T14" i="159"/>
  <c r="S14" i="159"/>
  <c r="R14" i="159"/>
  <c r="Q14" i="159"/>
  <c r="J14" i="159"/>
  <c r="AK13" i="159"/>
  <c r="AJ13" i="159"/>
  <c r="AI13" i="159"/>
  <c r="AH13" i="159"/>
  <c r="AG13" i="159"/>
  <c r="AF13" i="159"/>
  <c r="AE13" i="159"/>
  <c r="AD13" i="159"/>
  <c r="Z13" i="159"/>
  <c r="Y13" i="159"/>
  <c r="X13" i="159"/>
  <c r="W13" i="159"/>
  <c r="V13" i="159"/>
  <c r="U13" i="159"/>
  <c r="T13" i="159"/>
  <c r="S13" i="159"/>
  <c r="R13" i="159"/>
  <c r="Q13" i="159"/>
  <c r="J13" i="159"/>
  <c r="AK12" i="159"/>
  <c r="AJ12" i="159"/>
  <c r="AI12" i="159"/>
  <c r="AH12" i="159"/>
  <c r="AG12" i="159"/>
  <c r="AF12" i="159"/>
  <c r="AE12" i="159"/>
  <c r="AD12" i="159"/>
  <c r="Z12" i="159"/>
  <c r="Y12" i="159"/>
  <c r="X12" i="159"/>
  <c r="W12" i="159"/>
  <c r="V12" i="159"/>
  <c r="U12" i="159"/>
  <c r="T12" i="159"/>
  <c r="S12" i="159"/>
  <c r="R12" i="159"/>
  <c r="Q12" i="159"/>
  <c r="J12" i="159"/>
  <c r="AK11" i="159"/>
  <c r="AJ11" i="159"/>
  <c r="AI11" i="159"/>
  <c r="AH11" i="159"/>
  <c r="AG11" i="159"/>
  <c r="AF11" i="159"/>
  <c r="AE11" i="159"/>
  <c r="AD11" i="159"/>
  <c r="Z11" i="159"/>
  <c r="Y11" i="159"/>
  <c r="X11" i="159"/>
  <c r="W11" i="159"/>
  <c r="V11" i="159"/>
  <c r="U11" i="159"/>
  <c r="T11" i="159"/>
  <c r="S11" i="159"/>
  <c r="R11" i="159"/>
  <c r="Q11" i="159"/>
  <c r="J11" i="159"/>
  <c r="AK10" i="159"/>
  <c r="AJ10" i="159"/>
  <c r="AI10" i="159"/>
  <c r="AH10" i="159"/>
  <c r="AG10" i="159"/>
  <c r="AF10" i="159"/>
  <c r="AE10" i="159"/>
  <c r="AD10" i="159"/>
  <c r="Z10" i="159"/>
  <c r="Y10" i="159"/>
  <c r="X10" i="159"/>
  <c r="W10" i="159"/>
  <c r="V10" i="159"/>
  <c r="U10" i="159"/>
  <c r="T10" i="159"/>
  <c r="S10" i="159"/>
  <c r="R10" i="159"/>
  <c r="Q10" i="159"/>
  <c r="J10" i="159"/>
  <c r="AK9" i="159"/>
  <c r="AJ9" i="159"/>
  <c r="AI9" i="159"/>
  <c r="AH9" i="159"/>
  <c r="AG9" i="159"/>
  <c r="AF9" i="159"/>
  <c r="AE9" i="159"/>
  <c r="AD9" i="159"/>
  <c r="Z9" i="159"/>
  <c r="Y9" i="159"/>
  <c r="X9" i="159"/>
  <c r="W9" i="159"/>
  <c r="V9" i="159"/>
  <c r="U9" i="159"/>
  <c r="T9" i="159"/>
  <c r="S9" i="159"/>
  <c r="R9" i="159"/>
  <c r="Q9" i="159"/>
  <c r="J9" i="159"/>
  <c r="AK8" i="159"/>
  <c r="AJ8" i="159"/>
  <c r="AI8" i="159"/>
  <c r="AH8" i="159"/>
  <c r="AG8" i="159"/>
  <c r="AF8" i="159"/>
  <c r="AE8" i="159"/>
  <c r="AD8" i="159"/>
  <c r="Z8" i="159"/>
  <c r="Y8" i="159"/>
  <c r="X8" i="159"/>
  <c r="W8" i="159"/>
  <c r="V8" i="159"/>
  <c r="U8" i="159"/>
  <c r="T8" i="159"/>
  <c r="S8" i="159"/>
  <c r="R8" i="159"/>
  <c r="Q8" i="159"/>
  <c r="J8" i="159"/>
  <c r="AK7" i="159"/>
  <c r="AJ7" i="159"/>
  <c r="AI7" i="159"/>
  <c r="AH7" i="159"/>
  <c r="AG7" i="159"/>
  <c r="AF7" i="159"/>
  <c r="AE7" i="159"/>
  <c r="AD7" i="159"/>
  <c r="Z7" i="159"/>
  <c r="Y7" i="159"/>
  <c r="X7" i="159"/>
  <c r="W7" i="159"/>
  <c r="V7" i="159"/>
  <c r="U7" i="159"/>
  <c r="T7" i="159"/>
  <c r="S7" i="159"/>
  <c r="R7" i="159"/>
  <c r="Q7" i="159"/>
  <c r="J7" i="159"/>
  <c r="AK6" i="159"/>
  <c r="AJ6" i="159"/>
  <c r="AI6" i="159"/>
  <c r="AH6" i="159"/>
  <c r="AG6" i="159"/>
  <c r="AF6" i="159"/>
  <c r="AE6" i="159"/>
  <c r="AD6" i="159"/>
  <c r="Z6" i="159"/>
  <c r="Y6" i="159"/>
  <c r="X6" i="159"/>
  <c r="W6" i="159"/>
  <c r="V6" i="159"/>
  <c r="U6" i="159"/>
  <c r="T6" i="159"/>
  <c r="S6" i="159"/>
  <c r="R6" i="159"/>
  <c r="Q6" i="159"/>
  <c r="K6" i="159"/>
  <c r="O6" i="159" s="1"/>
  <c r="J6" i="159"/>
  <c r="AA41" i="159"/>
  <c r="D41" i="159"/>
  <c r="C41" i="159"/>
  <c r="E39" i="159"/>
  <c r="B39" i="159"/>
  <c r="E38" i="159"/>
  <c r="B38" i="159"/>
  <c r="E37" i="159"/>
  <c r="B37" i="159"/>
  <c r="E36" i="159"/>
  <c r="B36" i="159"/>
  <c r="E35" i="159"/>
  <c r="B35" i="159"/>
  <c r="E34" i="159"/>
  <c r="B34" i="159"/>
  <c r="E33" i="159"/>
  <c r="B33" i="159"/>
  <c r="E32" i="159"/>
  <c r="B32" i="159"/>
  <c r="E31" i="159"/>
  <c r="B31" i="159"/>
  <c r="E30" i="159"/>
  <c r="B30" i="159"/>
  <c r="E29" i="159"/>
  <c r="B29" i="159"/>
  <c r="E28" i="159"/>
  <c r="B28" i="159"/>
  <c r="E27" i="159"/>
  <c r="B27" i="159"/>
  <c r="E26" i="159"/>
  <c r="B26" i="159"/>
  <c r="E25" i="159"/>
  <c r="B25" i="159"/>
  <c r="E24" i="159"/>
  <c r="B24" i="159"/>
  <c r="E23" i="159"/>
  <c r="B23" i="159"/>
  <c r="E22" i="159"/>
  <c r="B22" i="159"/>
  <c r="E21" i="159"/>
  <c r="B21" i="159"/>
  <c r="E20" i="159"/>
  <c r="B20" i="159"/>
  <c r="B19" i="159"/>
  <c r="B18" i="159"/>
  <c r="B17" i="159"/>
  <c r="B16" i="159"/>
  <c r="B15" i="159"/>
  <c r="B14" i="159"/>
  <c r="B13" i="159"/>
  <c r="B12" i="159"/>
  <c r="B11" i="159"/>
  <c r="B10" i="159"/>
  <c r="B9" i="159"/>
  <c r="B8" i="159"/>
  <c r="B7" i="159"/>
  <c r="B6" i="159"/>
  <c r="AK39" i="158"/>
  <c r="AJ39" i="158"/>
  <c r="AI39" i="158"/>
  <c r="AH39" i="158"/>
  <c r="AG39" i="158"/>
  <c r="AF39" i="158"/>
  <c r="AE39" i="158"/>
  <c r="AD39" i="158"/>
  <c r="Z39" i="158"/>
  <c r="Y39" i="158"/>
  <c r="X39" i="158"/>
  <c r="W39" i="158"/>
  <c r="V39" i="158"/>
  <c r="U39" i="158"/>
  <c r="T39" i="158"/>
  <c r="S39" i="158"/>
  <c r="R39" i="158"/>
  <c r="Q39" i="158"/>
  <c r="J39" i="158"/>
  <c r="AK38" i="158"/>
  <c r="AJ38" i="158"/>
  <c r="AI38" i="158"/>
  <c r="AH38" i="158"/>
  <c r="AG38" i="158"/>
  <c r="AF38" i="158"/>
  <c r="AE38" i="158"/>
  <c r="AD38" i="158"/>
  <c r="Z38" i="158"/>
  <c r="Y38" i="158"/>
  <c r="X38" i="158"/>
  <c r="W38" i="158"/>
  <c r="V38" i="158"/>
  <c r="U38" i="158"/>
  <c r="T38" i="158"/>
  <c r="S38" i="158"/>
  <c r="R38" i="158"/>
  <c r="Q38" i="158"/>
  <c r="J38" i="158"/>
  <c r="AK37" i="158"/>
  <c r="AJ37" i="158"/>
  <c r="AI37" i="158"/>
  <c r="AH37" i="158"/>
  <c r="AG37" i="158"/>
  <c r="AF37" i="158"/>
  <c r="AE37" i="158"/>
  <c r="AD37" i="158"/>
  <c r="Z37" i="158"/>
  <c r="Y37" i="158"/>
  <c r="X37" i="158"/>
  <c r="W37" i="158"/>
  <c r="V37" i="158"/>
  <c r="U37" i="158"/>
  <c r="T37" i="158"/>
  <c r="S37" i="158"/>
  <c r="R37" i="158"/>
  <c r="Q37" i="158"/>
  <c r="J37" i="158"/>
  <c r="AK36" i="158"/>
  <c r="AJ36" i="158"/>
  <c r="AI36" i="158"/>
  <c r="AH36" i="158"/>
  <c r="AG36" i="158"/>
  <c r="AF36" i="158"/>
  <c r="AE36" i="158"/>
  <c r="AD36" i="158"/>
  <c r="Z36" i="158"/>
  <c r="Y36" i="158"/>
  <c r="X36" i="158"/>
  <c r="W36" i="158"/>
  <c r="V36" i="158"/>
  <c r="U36" i="158"/>
  <c r="T36" i="158"/>
  <c r="S36" i="158"/>
  <c r="R36" i="158"/>
  <c r="Q36" i="158"/>
  <c r="J36" i="158"/>
  <c r="AK35" i="158"/>
  <c r="AJ35" i="158"/>
  <c r="AI35" i="158"/>
  <c r="AH35" i="158"/>
  <c r="AG35" i="158"/>
  <c r="AF35" i="158"/>
  <c r="AE35" i="158"/>
  <c r="AD35" i="158"/>
  <c r="Z35" i="158"/>
  <c r="Y35" i="158"/>
  <c r="X35" i="158"/>
  <c r="W35" i="158"/>
  <c r="V35" i="158"/>
  <c r="U35" i="158"/>
  <c r="T35" i="158"/>
  <c r="S35" i="158"/>
  <c r="R35" i="158"/>
  <c r="Q35" i="158"/>
  <c r="J35" i="158"/>
  <c r="AK34" i="158"/>
  <c r="AJ34" i="158"/>
  <c r="AI34" i="158"/>
  <c r="AH34" i="158"/>
  <c r="AG34" i="158"/>
  <c r="AF34" i="158"/>
  <c r="AE34" i="158"/>
  <c r="AD34" i="158"/>
  <c r="Z34" i="158"/>
  <c r="Y34" i="158"/>
  <c r="X34" i="158"/>
  <c r="W34" i="158"/>
  <c r="V34" i="158"/>
  <c r="U34" i="158"/>
  <c r="T34" i="158"/>
  <c r="S34" i="158"/>
  <c r="R34" i="158"/>
  <c r="Q34" i="158"/>
  <c r="J34" i="158"/>
  <c r="AK33" i="158"/>
  <c r="AJ33" i="158"/>
  <c r="AI33" i="158"/>
  <c r="AH33" i="158"/>
  <c r="AG33" i="158"/>
  <c r="AF33" i="158"/>
  <c r="AE33" i="158"/>
  <c r="AD33" i="158"/>
  <c r="Z33" i="158"/>
  <c r="Y33" i="158"/>
  <c r="X33" i="158"/>
  <c r="W33" i="158"/>
  <c r="V33" i="158"/>
  <c r="U33" i="158"/>
  <c r="T33" i="158"/>
  <c r="S33" i="158"/>
  <c r="R33" i="158"/>
  <c r="Q33" i="158"/>
  <c r="J33" i="158"/>
  <c r="AK32" i="158"/>
  <c r="AJ32" i="158"/>
  <c r="AI32" i="158"/>
  <c r="AH32" i="158"/>
  <c r="AG32" i="158"/>
  <c r="AF32" i="158"/>
  <c r="AE32" i="158"/>
  <c r="AD32" i="158"/>
  <c r="Z32" i="158"/>
  <c r="Y32" i="158"/>
  <c r="X32" i="158"/>
  <c r="W32" i="158"/>
  <c r="V32" i="158"/>
  <c r="U32" i="158"/>
  <c r="T32" i="158"/>
  <c r="S32" i="158"/>
  <c r="R32" i="158"/>
  <c r="Q32" i="158"/>
  <c r="J32" i="158"/>
  <c r="AK31" i="158"/>
  <c r="AJ31" i="158"/>
  <c r="AI31" i="158"/>
  <c r="AH31" i="158"/>
  <c r="AG31" i="158"/>
  <c r="AF31" i="158"/>
  <c r="AE31" i="158"/>
  <c r="AD31" i="158"/>
  <c r="Z31" i="158"/>
  <c r="Y31" i="158"/>
  <c r="X31" i="158"/>
  <c r="W31" i="158"/>
  <c r="V31" i="158"/>
  <c r="U31" i="158"/>
  <c r="T31" i="158"/>
  <c r="S31" i="158"/>
  <c r="R31" i="158"/>
  <c r="Q31" i="158"/>
  <c r="J31" i="158"/>
  <c r="AK30" i="158"/>
  <c r="AJ30" i="158"/>
  <c r="AI30" i="158"/>
  <c r="AH30" i="158"/>
  <c r="AG30" i="158"/>
  <c r="AF30" i="158"/>
  <c r="AE30" i="158"/>
  <c r="AD30" i="158"/>
  <c r="Z30" i="158"/>
  <c r="Y30" i="158"/>
  <c r="X30" i="158"/>
  <c r="W30" i="158"/>
  <c r="V30" i="158"/>
  <c r="U30" i="158"/>
  <c r="T30" i="158"/>
  <c r="S30" i="158"/>
  <c r="R30" i="158"/>
  <c r="Q30" i="158"/>
  <c r="J30" i="158"/>
  <c r="AK29" i="158"/>
  <c r="AJ29" i="158"/>
  <c r="AI29" i="158"/>
  <c r="AH29" i="158"/>
  <c r="AG29" i="158"/>
  <c r="AF29" i="158"/>
  <c r="AE29" i="158"/>
  <c r="AD29" i="158"/>
  <c r="Z29" i="158"/>
  <c r="Y29" i="158"/>
  <c r="X29" i="158"/>
  <c r="W29" i="158"/>
  <c r="V29" i="158"/>
  <c r="U29" i="158"/>
  <c r="T29" i="158"/>
  <c r="S29" i="158"/>
  <c r="R29" i="158"/>
  <c r="Q29" i="158"/>
  <c r="J29" i="158"/>
  <c r="AK28" i="158"/>
  <c r="AJ28" i="158"/>
  <c r="AI28" i="158"/>
  <c r="AH28" i="158"/>
  <c r="AG28" i="158"/>
  <c r="AF28" i="158"/>
  <c r="AE28" i="158"/>
  <c r="AD28" i="158"/>
  <c r="Z28" i="158"/>
  <c r="Y28" i="158"/>
  <c r="X28" i="158"/>
  <c r="W28" i="158"/>
  <c r="V28" i="158"/>
  <c r="U28" i="158"/>
  <c r="T28" i="158"/>
  <c r="S28" i="158"/>
  <c r="R28" i="158"/>
  <c r="Q28" i="158"/>
  <c r="J28" i="158"/>
  <c r="AK27" i="158"/>
  <c r="AJ27" i="158"/>
  <c r="AI27" i="158"/>
  <c r="AH27" i="158"/>
  <c r="AG27" i="158"/>
  <c r="AF27" i="158"/>
  <c r="AE27" i="158"/>
  <c r="AD27" i="158"/>
  <c r="Z27" i="158"/>
  <c r="Y27" i="158"/>
  <c r="X27" i="158"/>
  <c r="W27" i="158"/>
  <c r="V27" i="158"/>
  <c r="U27" i="158"/>
  <c r="T27" i="158"/>
  <c r="S27" i="158"/>
  <c r="R27" i="158"/>
  <c r="Q27" i="158"/>
  <c r="J27" i="158"/>
  <c r="AK26" i="158"/>
  <c r="AJ26" i="158"/>
  <c r="AI26" i="158"/>
  <c r="AH26" i="158"/>
  <c r="AG26" i="158"/>
  <c r="AF26" i="158"/>
  <c r="AE26" i="158"/>
  <c r="AD26" i="158"/>
  <c r="Z26" i="158"/>
  <c r="Y26" i="158"/>
  <c r="X26" i="158"/>
  <c r="W26" i="158"/>
  <c r="V26" i="158"/>
  <c r="U26" i="158"/>
  <c r="T26" i="158"/>
  <c r="S26" i="158"/>
  <c r="R26" i="158"/>
  <c r="Q26" i="158"/>
  <c r="J26" i="158"/>
  <c r="AK25" i="158"/>
  <c r="AJ25" i="158"/>
  <c r="AI25" i="158"/>
  <c r="AH25" i="158"/>
  <c r="AG25" i="158"/>
  <c r="AF25" i="158"/>
  <c r="AE25" i="158"/>
  <c r="AD25" i="158"/>
  <c r="Z25" i="158"/>
  <c r="Y25" i="158"/>
  <c r="X25" i="158"/>
  <c r="W25" i="158"/>
  <c r="V25" i="158"/>
  <c r="U25" i="158"/>
  <c r="T25" i="158"/>
  <c r="S25" i="158"/>
  <c r="R25" i="158"/>
  <c r="Q25" i="158"/>
  <c r="J25" i="158"/>
  <c r="AK24" i="158"/>
  <c r="AJ24" i="158"/>
  <c r="AI24" i="158"/>
  <c r="AH24" i="158"/>
  <c r="AG24" i="158"/>
  <c r="AF24" i="158"/>
  <c r="AE24" i="158"/>
  <c r="AD24" i="158"/>
  <c r="Z24" i="158"/>
  <c r="Y24" i="158"/>
  <c r="X24" i="158"/>
  <c r="W24" i="158"/>
  <c r="V24" i="158"/>
  <c r="U24" i="158"/>
  <c r="T24" i="158"/>
  <c r="S24" i="158"/>
  <c r="R24" i="158"/>
  <c r="Q24" i="158"/>
  <c r="J24" i="158"/>
  <c r="AK23" i="158"/>
  <c r="AJ23" i="158"/>
  <c r="AI23" i="158"/>
  <c r="AH23" i="158"/>
  <c r="AG23" i="158"/>
  <c r="AF23" i="158"/>
  <c r="AE23" i="158"/>
  <c r="AD23" i="158"/>
  <c r="Z23" i="158"/>
  <c r="Y23" i="158"/>
  <c r="X23" i="158"/>
  <c r="W23" i="158"/>
  <c r="V23" i="158"/>
  <c r="U23" i="158"/>
  <c r="T23" i="158"/>
  <c r="S23" i="158"/>
  <c r="R23" i="158"/>
  <c r="Q23" i="158"/>
  <c r="J23" i="158"/>
  <c r="AK22" i="158"/>
  <c r="AJ22" i="158"/>
  <c r="AI22" i="158"/>
  <c r="AH22" i="158"/>
  <c r="AG22" i="158"/>
  <c r="AF22" i="158"/>
  <c r="AE22" i="158"/>
  <c r="AD22" i="158"/>
  <c r="Z22" i="158"/>
  <c r="Y22" i="158"/>
  <c r="X22" i="158"/>
  <c r="W22" i="158"/>
  <c r="V22" i="158"/>
  <c r="U22" i="158"/>
  <c r="T22" i="158"/>
  <c r="S22" i="158"/>
  <c r="R22" i="158"/>
  <c r="Q22" i="158"/>
  <c r="J22" i="158"/>
  <c r="AK21" i="158"/>
  <c r="AJ21" i="158"/>
  <c r="AI21" i="158"/>
  <c r="AH21" i="158"/>
  <c r="AG21" i="158"/>
  <c r="AF21" i="158"/>
  <c r="AE21" i="158"/>
  <c r="AD21" i="158"/>
  <c r="Z21" i="158"/>
  <c r="Y21" i="158"/>
  <c r="X21" i="158"/>
  <c r="W21" i="158"/>
  <c r="V21" i="158"/>
  <c r="U21" i="158"/>
  <c r="T21" i="158"/>
  <c r="S21" i="158"/>
  <c r="R21" i="158"/>
  <c r="Q21" i="158"/>
  <c r="J21" i="158"/>
  <c r="AK20" i="158"/>
  <c r="AJ20" i="158"/>
  <c r="AI20" i="158"/>
  <c r="AH20" i="158"/>
  <c r="AG20" i="158"/>
  <c r="AF20" i="158"/>
  <c r="AE20" i="158"/>
  <c r="AD20" i="158"/>
  <c r="Z20" i="158"/>
  <c r="Y20" i="158"/>
  <c r="X20" i="158"/>
  <c r="W20" i="158"/>
  <c r="V20" i="158"/>
  <c r="U20" i="158"/>
  <c r="T20" i="158"/>
  <c r="S20" i="158"/>
  <c r="R20" i="158"/>
  <c r="Q20" i="158"/>
  <c r="J20" i="158"/>
  <c r="AK18" i="158"/>
  <c r="AJ18" i="158"/>
  <c r="AI18" i="158"/>
  <c r="AH18" i="158"/>
  <c r="AG18" i="158"/>
  <c r="AF18" i="158"/>
  <c r="AE18" i="158"/>
  <c r="AD18" i="158"/>
  <c r="Z18" i="158"/>
  <c r="Y18" i="158"/>
  <c r="X18" i="158"/>
  <c r="W18" i="158"/>
  <c r="V18" i="158"/>
  <c r="U18" i="158"/>
  <c r="T18" i="158"/>
  <c r="S18" i="158"/>
  <c r="R18" i="158"/>
  <c r="Q18" i="158"/>
  <c r="J18" i="158"/>
  <c r="AK17" i="158"/>
  <c r="AJ17" i="158"/>
  <c r="AI17" i="158"/>
  <c r="AH17" i="158"/>
  <c r="AG17" i="158"/>
  <c r="AF17" i="158"/>
  <c r="AE17" i="158"/>
  <c r="AD17" i="158"/>
  <c r="Z17" i="158"/>
  <c r="Y17" i="158"/>
  <c r="X17" i="158"/>
  <c r="W17" i="158"/>
  <c r="V17" i="158"/>
  <c r="U17" i="158"/>
  <c r="T17" i="158"/>
  <c r="S17" i="158"/>
  <c r="R17" i="158"/>
  <c r="Q17" i="158"/>
  <c r="J17" i="158"/>
  <c r="AK16" i="158"/>
  <c r="AJ16" i="158"/>
  <c r="AI16" i="158"/>
  <c r="AH16" i="158"/>
  <c r="AG16" i="158"/>
  <c r="AF16" i="158"/>
  <c r="AE16" i="158"/>
  <c r="AD16" i="158"/>
  <c r="Z16" i="158"/>
  <c r="Y16" i="158"/>
  <c r="X16" i="158"/>
  <c r="W16" i="158"/>
  <c r="V16" i="158"/>
  <c r="U16" i="158"/>
  <c r="T16" i="158"/>
  <c r="S16" i="158"/>
  <c r="R16" i="158"/>
  <c r="Q16" i="158"/>
  <c r="J16" i="158"/>
  <c r="AK15" i="158"/>
  <c r="AJ15" i="158"/>
  <c r="AI15" i="158"/>
  <c r="AH15" i="158"/>
  <c r="AG15" i="158"/>
  <c r="AF15" i="158"/>
  <c r="AE15" i="158"/>
  <c r="AD15" i="158"/>
  <c r="Z15" i="158"/>
  <c r="Y15" i="158"/>
  <c r="X15" i="158"/>
  <c r="W15" i="158"/>
  <c r="V15" i="158"/>
  <c r="U15" i="158"/>
  <c r="T15" i="158"/>
  <c r="S15" i="158"/>
  <c r="R15" i="158"/>
  <c r="Q15" i="158"/>
  <c r="J15" i="158"/>
  <c r="AK14" i="158"/>
  <c r="AJ14" i="158"/>
  <c r="AI14" i="158"/>
  <c r="AH14" i="158"/>
  <c r="AG14" i="158"/>
  <c r="AF14" i="158"/>
  <c r="AE14" i="158"/>
  <c r="AD14" i="158"/>
  <c r="Z14" i="158"/>
  <c r="Y14" i="158"/>
  <c r="X14" i="158"/>
  <c r="W14" i="158"/>
  <c r="V14" i="158"/>
  <c r="U14" i="158"/>
  <c r="T14" i="158"/>
  <c r="S14" i="158"/>
  <c r="R14" i="158"/>
  <c r="Q14" i="158"/>
  <c r="J14" i="158"/>
  <c r="AK13" i="158"/>
  <c r="AJ13" i="158"/>
  <c r="AI13" i="158"/>
  <c r="AH13" i="158"/>
  <c r="AG13" i="158"/>
  <c r="AF13" i="158"/>
  <c r="AE13" i="158"/>
  <c r="AD13" i="158"/>
  <c r="Z13" i="158"/>
  <c r="Y13" i="158"/>
  <c r="X13" i="158"/>
  <c r="W13" i="158"/>
  <c r="V13" i="158"/>
  <c r="U13" i="158"/>
  <c r="T13" i="158"/>
  <c r="S13" i="158"/>
  <c r="R13" i="158"/>
  <c r="Q13" i="158"/>
  <c r="J13" i="158"/>
  <c r="AK12" i="158"/>
  <c r="AJ12" i="158"/>
  <c r="AI12" i="158"/>
  <c r="AH12" i="158"/>
  <c r="AG12" i="158"/>
  <c r="AF12" i="158"/>
  <c r="AE12" i="158"/>
  <c r="AD12" i="158"/>
  <c r="Z12" i="158"/>
  <c r="Y12" i="158"/>
  <c r="X12" i="158"/>
  <c r="W12" i="158"/>
  <c r="V12" i="158"/>
  <c r="U12" i="158"/>
  <c r="T12" i="158"/>
  <c r="S12" i="158"/>
  <c r="R12" i="158"/>
  <c r="Q12" i="158"/>
  <c r="J12" i="158"/>
  <c r="AK11" i="158"/>
  <c r="AJ11" i="158"/>
  <c r="AI11" i="158"/>
  <c r="AH11" i="158"/>
  <c r="AG11" i="158"/>
  <c r="AF11" i="158"/>
  <c r="AE11" i="158"/>
  <c r="AD11" i="158"/>
  <c r="Z11" i="158"/>
  <c r="Y11" i="158"/>
  <c r="X11" i="158"/>
  <c r="W11" i="158"/>
  <c r="V11" i="158"/>
  <c r="U11" i="158"/>
  <c r="T11" i="158"/>
  <c r="S11" i="158"/>
  <c r="R11" i="158"/>
  <c r="Q11" i="158"/>
  <c r="J11" i="158"/>
  <c r="AK10" i="158"/>
  <c r="AJ10" i="158"/>
  <c r="AI10" i="158"/>
  <c r="AH10" i="158"/>
  <c r="AG10" i="158"/>
  <c r="AF10" i="158"/>
  <c r="AE10" i="158"/>
  <c r="AD10" i="158"/>
  <c r="Z10" i="158"/>
  <c r="Y10" i="158"/>
  <c r="X10" i="158"/>
  <c r="W10" i="158"/>
  <c r="V10" i="158"/>
  <c r="U10" i="158"/>
  <c r="T10" i="158"/>
  <c r="S10" i="158"/>
  <c r="R10" i="158"/>
  <c r="Q10" i="158"/>
  <c r="J10" i="158"/>
  <c r="AK9" i="158"/>
  <c r="AJ9" i="158"/>
  <c r="AI9" i="158"/>
  <c r="AH9" i="158"/>
  <c r="AG9" i="158"/>
  <c r="AF9" i="158"/>
  <c r="AE9" i="158"/>
  <c r="AD9" i="158"/>
  <c r="Z9" i="158"/>
  <c r="Y9" i="158"/>
  <c r="X9" i="158"/>
  <c r="W9" i="158"/>
  <c r="V9" i="158"/>
  <c r="U9" i="158"/>
  <c r="T9" i="158"/>
  <c r="S9" i="158"/>
  <c r="R9" i="158"/>
  <c r="Q9" i="158"/>
  <c r="J9" i="158"/>
  <c r="AK8" i="158"/>
  <c r="AJ8" i="158"/>
  <c r="AI8" i="158"/>
  <c r="AH8" i="158"/>
  <c r="AG8" i="158"/>
  <c r="AF8" i="158"/>
  <c r="AE8" i="158"/>
  <c r="AD8" i="158"/>
  <c r="Z8" i="158"/>
  <c r="Y8" i="158"/>
  <c r="X8" i="158"/>
  <c r="W8" i="158"/>
  <c r="V8" i="158"/>
  <c r="U8" i="158"/>
  <c r="T8" i="158"/>
  <c r="S8" i="158"/>
  <c r="R8" i="158"/>
  <c r="Q8" i="158"/>
  <c r="J8" i="158"/>
  <c r="AK7" i="158"/>
  <c r="AJ7" i="158"/>
  <c r="AI7" i="158"/>
  <c r="AH7" i="158"/>
  <c r="AG7" i="158"/>
  <c r="AF7" i="158"/>
  <c r="AE7" i="158"/>
  <c r="AD7" i="158"/>
  <c r="Z7" i="158"/>
  <c r="Y7" i="158"/>
  <c r="X7" i="158"/>
  <c r="W7" i="158"/>
  <c r="V7" i="158"/>
  <c r="U7" i="158"/>
  <c r="T7" i="158"/>
  <c r="S7" i="158"/>
  <c r="R7" i="158"/>
  <c r="Q7" i="158"/>
  <c r="J7" i="158"/>
  <c r="AK6" i="158"/>
  <c r="AJ6" i="158"/>
  <c r="AH6" i="158"/>
  <c r="AF6" i="158"/>
  <c r="AE6" i="158"/>
  <c r="AD6" i="158"/>
  <c r="Z6" i="158"/>
  <c r="Y6" i="158"/>
  <c r="X6" i="158"/>
  <c r="W6" i="158"/>
  <c r="V6" i="158"/>
  <c r="U6" i="158"/>
  <c r="T6" i="158"/>
  <c r="S6" i="158"/>
  <c r="R6" i="158"/>
  <c r="Q6" i="158"/>
  <c r="K6" i="158"/>
  <c r="J6" i="158"/>
  <c r="E7" i="158"/>
  <c r="E8" i="158"/>
  <c r="E9" i="158"/>
  <c r="E10" i="158"/>
  <c r="E11" i="158"/>
  <c r="E12" i="158"/>
  <c r="E13" i="158"/>
  <c r="E14" i="158"/>
  <c r="E15" i="158"/>
  <c r="E16" i="158"/>
  <c r="E17" i="158"/>
  <c r="E18" i="158"/>
  <c r="E6" i="158"/>
  <c r="AA41" i="158"/>
  <c r="D41" i="158"/>
  <c r="C41" i="158"/>
  <c r="E39" i="158"/>
  <c r="B39" i="158"/>
  <c r="E38" i="158"/>
  <c r="B38" i="158"/>
  <c r="E37" i="158"/>
  <c r="B37" i="158"/>
  <c r="E36" i="158"/>
  <c r="B36" i="158"/>
  <c r="E35" i="158"/>
  <c r="B35" i="158"/>
  <c r="E34" i="158"/>
  <c r="B34" i="158"/>
  <c r="E33" i="158"/>
  <c r="B33" i="158"/>
  <c r="E32" i="158"/>
  <c r="B32" i="158"/>
  <c r="E31" i="158"/>
  <c r="B31" i="158"/>
  <c r="E30" i="158"/>
  <c r="B30" i="158"/>
  <c r="E29" i="158"/>
  <c r="B29" i="158"/>
  <c r="E28" i="158"/>
  <c r="B28" i="158"/>
  <c r="E27" i="158"/>
  <c r="B27" i="158"/>
  <c r="E26" i="158"/>
  <c r="B26" i="158"/>
  <c r="E25" i="158"/>
  <c r="B25" i="158"/>
  <c r="E24" i="158"/>
  <c r="B24" i="158"/>
  <c r="E23" i="158"/>
  <c r="B23" i="158"/>
  <c r="E22" i="158"/>
  <c r="B22" i="158"/>
  <c r="E21" i="158"/>
  <c r="B21" i="158"/>
  <c r="E20" i="158"/>
  <c r="B20" i="158"/>
  <c r="B19" i="158"/>
  <c r="B18" i="158"/>
  <c r="B17" i="158"/>
  <c r="B16" i="158"/>
  <c r="B15" i="158"/>
  <c r="B14" i="158"/>
  <c r="B13" i="158"/>
  <c r="B12" i="158"/>
  <c r="B11" i="158"/>
  <c r="B10" i="158"/>
  <c r="B9" i="158"/>
  <c r="B8" i="158"/>
  <c r="B7" i="158"/>
  <c r="B6" i="158"/>
  <c r="M6" i="159" l="1"/>
  <c r="O6" i="161"/>
  <c r="L6" i="161"/>
  <c r="O6" i="162"/>
  <c r="N6" i="163"/>
  <c r="M6" i="162"/>
  <c r="AJ41" i="159"/>
  <c r="L6" i="159"/>
  <c r="M6" i="163"/>
  <c r="R41" i="159"/>
  <c r="Z41" i="159"/>
  <c r="AE41" i="159"/>
  <c r="AI41" i="159"/>
  <c r="S41" i="159"/>
  <c r="R41" i="163"/>
  <c r="T41" i="158"/>
  <c r="X41" i="158"/>
  <c r="AK41" i="158"/>
  <c r="Q41" i="158"/>
  <c r="R41" i="158"/>
  <c r="V41" i="158"/>
  <c r="Y41" i="158"/>
  <c r="Z41" i="158"/>
  <c r="M6" i="161"/>
  <c r="AD41" i="161"/>
  <c r="W41" i="159"/>
  <c r="O6" i="160"/>
  <c r="Y41" i="162"/>
  <c r="O6" i="158"/>
  <c r="L6" i="158"/>
  <c r="AJ41" i="161"/>
  <c r="AE41" i="158"/>
  <c r="E41" i="161"/>
  <c r="AE41" i="160"/>
  <c r="R41" i="161"/>
  <c r="V41" i="161"/>
  <c r="Z41" i="161"/>
  <c r="Q41" i="162"/>
  <c r="U41" i="162"/>
  <c r="AD41" i="162"/>
  <c r="AH41" i="162"/>
  <c r="R41" i="162"/>
  <c r="Q41" i="163"/>
  <c r="U41" i="163"/>
  <c r="Y41" i="163"/>
  <c r="AD41" i="163"/>
  <c r="AH41" i="163"/>
  <c r="J41" i="163"/>
  <c r="U41" i="158"/>
  <c r="V41" i="162"/>
  <c r="Z41" i="162"/>
  <c r="AI41" i="160"/>
  <c r="Q41" i="159"/>
  <c r="U41" i="159"/>
  <c r="Y41" i="159"/>
  <c r="AD41" i="159"/>
  <c r="AH41" i="159"/>
  <c r="J41" i="159"/>
  <c r="V41" i="159"/>
  <c r="AF41" i="159"/>
  <c r="V41" i="163"/>
  <c r="Z41" i="163"/>
  <c r="AE41" i="163"/>
  <c r="AI41" i="163"/>
  <c r="E41" i="163"/>
  <c r="S41" i="163"/>
  <c r="X41" i="163"/>
  <c r="W41" i="163"/>
  <c r="AJ41" i="163"/>
  <c r="L6" i="163"/>
  <c r="AG41" i="163"/>
  <c r="AK41" i="163"/>
  <c r="E41" i="162"/>
  <c r="AE41" i="162"/>
  <c r="AI41" i="162"/>
  <c r="J41" i="162"/>
  <c r="S41" i="162"/>
  <c r="W41" i="162"/>
  <c r="AF41" i="162"/>
  <c r="AJ41" i="162"/>
  <c r="T41" i="162"/>
  <c r="X41" i="162"/>
  <c r="AG41" i="162"/>
  <c r="AK41" i="162"/>
  <c r="N6" i="162"/>
  <c r="J41" i="161"/>
  <c r="X41" i="161"/>
  <c r="AK41" i="161"/>
  <c r="Q41" i="161"/>
  <c r="U41" i="161"/>
  <c r="Y41" i="161"/>
  <c r="AE41" i="161"/>
  <c r="S41" i="161"/>
  <c r="W41" i="161"/>
  <c r="S41" i="160"/>
  <c r="R41" i="160"/>
  <c r="Z41" i="160"/>
  <c r="AK41" i="160"/>
  <c r="W41" i="160"/>
  <c r="AJ41" i="160"/>
  <c r="V41" i="160"/>
  <c r="AG41" i="160"/>
  <c r="E41" i="160"/>
  <c r="L6" i="160"/>
  <c r="N6" i="160"/>
  <c r="Q41" i="160"/>
  <c r="U41" i="160"/>
  <c r="Y41" i="160"/>
  <c r="AD41" i="160"/>
  <c r="AH41" i="160"/>
  <c r="J41" i="160"/>
  <c r="X41" i="160"/>
  <c r="T41" i="159"/>
  <c r="X41" i="159"/>
  <c r="AG41" i="159"/>
  <c r="AK41" i="159"/>
  <c r="E41" i="159"/>
  <c r="N6" i="159"/>
  <c r="J41" i="158"/>
  <c r="AD41" i="158"/>
  <c r="AH41" i="158"/>
  <c r="E41" i="158"/>
  <c r="S41" i="158"/>
  <c r="W41" i="158"/>
  <c r="AF41" i="158"/>
  <c r="AJ41" i="158"/>
  <c r="M6" i="158"/>
  <c r="N6" i="158"/>
  <c r="AK39" i="157"/>
  <c r="AJ39" i="157"/>
  <c r="AI39" i="157"/>
  <c r="AH39" i="157"/>
  <c r="AG39" i="157"/>
  <c r="AF39" i="157"/>
  <c r="AE39" i="157"/>
  <c r="AD39" i="157"/>
  <c r="Z39" i="157"/>
  <c r="Y39" i="157"/>
  <c r="X39" i="157"/>
  <c r="W39" i="157"/>
  <c r="V39" i="157"/>
  <c r="U39" i="157"/>
  <c r="T39" i="157"/>
  <c r="S39" i="157"/>
  <c r="R39" i="157"/>
  <c r="Q39" i="157"/>
  <c r="J39" i="157"/>
  <c r="AK38" i="157"/>
  <c r="AJ38" i="157"/>
  <c r="AI38" i="157"/>
  <c r="AH38" i="157"/>
  <c r="AG38" i="157"/>
  <c r="AF38" i="157"/>
  <c r="AE38" i="157"/>
  <c r="AD38" i="157"/>
  <c r="Z38" i="157"/>
  <c r="Y38" i="157"/>
  <c r="X38" i="157"/>
  <c r="W38" i="157"/>
  <c r="V38" i="157"/>
  <c r="U38" i="157"/>
  <c r="T38" i="157"/>
  <c r="S38" i="157"/>
  <c r="R38" i="157"/>
  <c r="Q38" i="157"/>
  <c r="J38" i="157"/>
  <c r="AK37" i="157"/>
  <c r="AJ37" i="157"/>
  <c r="AI37" i="157"/>
  <c r="AH37" i="157"/>
  <c r="AG37" i="157"/>
  <c r="AF37" i="157"/>
  <c r="AE37" i="157"/>
  <c r="AD37" i="157"/>
  <c r="Z37" i="157"/>
  <c r="Y37" i="157"/>
  <c r="X37" i="157"/>
  <c r="W37" i="157"/>
  <c r="V37" i="157"/>
  <c r="U37" i="157"/>
  <c r="T37" i="157"/>
  <c r="S37" i="157"/>
  <c r="R37" i="157"/>
  <c r="Q37" i="157"/>
  <c r="J37" i="157"/>
  <c r="AK36" i="157"/>
  <c r="AJ36" i="157"/>
  <c r="AI36" i="157"/>
  <c r="AH36" i="157"/>
  <c r="AG36" i="157"/>
  <c r="AF36" i="157"/>
  <c r="AE36" i="157"/>
  <c r="AD36" i="157"/>
  <c r="Z36" i="157"/>
  <c r="Y36" i="157"/>
  <c r="X36" i="157"/>
  <c r="W36" i="157"/>
  <c r="V36" i="157"/>
  <c r="U36" i="157"/>
  <c r="T36" i="157"/>
  <c r="S36" i="157"/>
  <c r="R36" i="157"/>
  <c r="Q36" i="157"/>
  <c r="J36" i="157"/>
  <c r="AK35" i="157"/>
  <c r="AJ35" i="157"/>
  <c r="AI35" i="157"/>
  <c r="AH35" i="157"/>
  <c r="AG35" i="157"/>
  <c r="AF35" i="157"/>
  <c r="AE35" i="157"/>
  <c r="AD35" i="157"/>
  <c r="Z35" i="157"/>
  <c r="Y35" i="157"/>
  <c r="X35" i="157"/>
  <c r="W35" i="157"/>
  <c r="V35" i="157"/>
  <c r="U35" i="157"/>
  <c r="T35" i="157"/>
  <c r="S35" i="157"/>
  <c r="R35" i="157"/>
  <c r="Q35" i="157"/>
  <c r="J35" i="157"/>
  <c r="AK34" i="157"/>
  <c r="AJ34" i="157"/>
  <c r="AI34" i="157"/>
  <c r="AH34" i="157"/>
  <c r="AG34" i="157"/>
  <c r="AF34" i="157"/>
  <c r="AE34" i="157"/>
  <c r="AD34" i="157"/>
  <c r="Z34" i="157"/>
  <c r="Y34" i="157"/>
  <c r="X34" i="157"/>
  <c r="W34" i="157"/>
  <c r="V34" i="157"/>
  <c r="U34" i="157"/>
  <c r="T34" i="157"/>
  <c r="S34" i="157"/>
  <c r="R34" i="157"/>
  <c r="Q34" i="157"/>
  <c r="J34" i="157"/>
  <c r="AK33" i="157"/>
  <c r="AJ33" i="157"/>
  <c r="AI33" i="157"/>
  <c r="AH33" i="157"/>
  <c r="AG33" i="157"/>
  <c r="AF33" i="157"/>
  <c r="AE33" i="157"/>
  <c r="AD33" i="157"/>
  <c r="Z33" i="157"/>
  <c r="Y33" i="157"/>
  <c r="X33" i="157"/>
  <c r="W33" i="157"/>
  <c r="V33" i="157"/>
  <c r="U33" i="157"/>
  <c r="T33" i="157"/>
  <c r="S33" i="157"/>
  <c r="R33" i="157"/>
  <c r="Q33" i="157"/>
  <c r="J33" i="157"/>
  <c r="AK32" i="157"/>
  <c r="AJ32" i="157"/>
  <c r="AI32" i="157"/>
  <c r="AH32" i="157"/>
  <c r="AG32" i="157"/>
  <c r="AF32" i="157"/>
  <c r="AE32" i="157"/>
  <c r="AD32" i="157"/>
  <c r="Z32" i="157"/>
  <c r="Y32" i="157"/>
  <c r="X32" i="157"/>
  <c r="W32" i="157"/>
  <c r="V32" i="157"/>
  <c r="U32" i="157"/>
  <c r="T32" i="157"/>
  <c r="S32" i="157"/>
  <c r="R32" i="157"/>
  <c r="Q32" i="157"/>
  <c r="J32" i="157"/>
  <c r="AK31" i="157"/>
  <c r="AJ31" i="157"/>
  <c r="AI31" i="157"/>
  <c r="AH31" i="157"/>
  <c r="AG31" i="157"/>
  <c r="AF31" i="157"/>
  <c r="AE31" i="157"/>
  <c r="AD31" i="157"/>
  <c r="Z31" i="157"/>
  <c r="Y31" i="157"/>
  <c r="X31" i="157"/>
  <c r="W31" i="157"/>
  <c r="V31" i="157"/>
  <c r="U31" i="157"/>
  <c r="T31" i="157"/>
  <c r="S31" i="157"/>
  <c r="R31" i="157"/>
  <c r="Q31" i="157"/>
  <c r="J31" i="157"/>
  <c r="AK30" i="157"/>
  <c r="AJ30" i="157"/>
  <c r="AI30" i="157"/>
  <c r="AH30" i="157"/>
  <c r="AG30" i="157"/>
  <c r="AF30" i="157"/>
  <c r="AE30" i="157"/>
  <c r="AD30" i="157"/>
  <c r="Z30" i="157"/>
  <c r="Y30" i="157"/>
  <c r="X30" i="157"/>
  <c r="W30" i="157"/>
  <c r="V30" i="157"/>
  <c r="U30" i="157"/>
  <c r="T30" i="157"/>
  <c r="S30" i="157"/>
  <c r="R30" i="157"/>
  <c r="Q30" i="157"/>
  <c r="J30" i="157"/>
  <c r="AK29" i="157"/>
  <c r="AJ29" i="157"/>
  <c r="AI29" i="157"/>
  <c r="AH29" i="157"/>
  <c r="AG29" i="157"/>
  <c r="AF29" i="157"/>
  <c r="AE29" i="157"/>
  <c r="AD29" i="157"/>
  <c r="Z29" i="157"/>
  <c r="Y29" i="157"/>
  <c r="X29" i="157"/>
  <c r="W29" i="157"/>
  <c r="V29" i="157"/>
  <c r="U29" i="157"/>
  <c r="T29" i="157"/>
  <c r="S29" i="157"/>
  <c r="R29" i="157"/>
  <c r="Q29" i="157"/>
  <c r="J29" i="157"/>
  <c r="AK28" i="157"/>
  <c r="AJ28" i="157"/>
  <c r="AI28" i="157"/>
  <c r="AH28" i="157"/>
  <c r="AG28" i="157"/>
  <c r="AF28" i="157"/>
  <c r="AE28" i="157"/>
  <c r="AD28" i="157"/>
  <c r="Z28" i="157"/>
  <c r="Y28" i="157"/>
  <c r="X28" i="157"/>
  <c r="W28" i="157"/>
  <c r="V28" i="157"/>
  <c r="U28" i="157"/>
  <c r="T28" i="157"/>
  <c r="S28" i="157"/>
  <c r="R28" i="157"/>
  <c r="Q28" i="157"/>
  <c r="J28" i="157"/>
  <c r="AK27" i="157"/>
  <c r="AJ27" i="157"/>
  <c r="AI27" i="157"/>
  <c r="AH27" i="157"/>
  <c r="AG27" i="157"/>
  <c r="AF27" i="157"/>
  <c r="AE27" i="157"/>
  <c r="AD27" i="157"/>
  <c r="Z27" i="157"/>
  <c r="Y27" i="157"/>
  <c r="X27" i="157"/>
  <c r="W27" i="157"/>
  <c r="V27" i="157"/>
  <c r="U27" i="157"/>
  <c r="T27" i="157"/>
  <c r="S27" i="157"/>
  <c r="R27" i="157"/>
  <c r="Q27" i="157"/>
  <c r="J27" i="157"/>
  <c r="AK26" i="157"/>
  <c r="AJ26" i="157"/>
  <c r="AI26" i="157"/>
  <c r="AH26" i="157"/>
  <c r="AG26" i="157"/>
  <c r="AF26" i="157"/>
  <c r="AE26" i="157"/>
  <c r="AD26" i="157"/>
  <c r="Z26" i="157"/>
  <c r="Y26" i="157"/>
  <c r="X26" i="157"/>
  <c r="W26" i="157"/>
  <c r="V26" i="157"/>
  <c r="U26" i="157"/>
  <c r="T26" i="157"/>
  <c r="S26" i="157"/>
  <c r="R26" i="157"/>
  <c r="Q26" i="157"/>
  <c r="J26" i="157"/>
  <c r="AK25" i="157"/>
  <c r="AJ25" i="157"/>
  <c r="AI25" i="157"/>
  <c r="AH25" i="157"/>
  <c r="AG25" i="157"/>
  <c r="AF25" i="157"/>
  <c r="AE25" i="157"/>
  <c r="AD25" i="157"/>
  <c r="Z25" i="157"/>
  <c r="Y25" i="157"/>
  <c r="X25" i="157"/>
  <c r="W25" i="157"/>
  <c r="V25" i="157"/>
  <c r="U25" i="157"/>
  <c r="T25" i="157"/>
  <c r="S25" i="157"/>
  <c r="R25" i="157"/>
  <c r="Q25" i="157"/>
  <c r="J25" i="157"/>
  <c r="AK24" i="157"/>
  <c r="AJ24" i="157"/>
  <c r="AI24" i="157"/>
  <c r="AH24" i="157"/>
  <c r="AG24" i="157"/>
  <c r="AF24" i="157"/>
  <c r="AE24" i="157"/>
  <c r="AD24" i="157"/>
  <c r="Z24" i="157"/>
  <c r="Y24" i="157"/>
  <c r="X24" i="157"/>
  <c r="W24" i="157"/>
  <c r="V24" i="157"/>
  <c r="U24" i="157"/>
  <c r="T24" i="157"/>
  <c r="S24" i="157"/>
  <c r="R24" i="157"/>
  <c r="Q24" i="157"/>
  <c r="J24" i="157"/>
  <c r="AK23" i="157"/>
  <c r="AJ23" i="157"/>
  <c r="AI23" i="157"/>
  <c r="AH23" i="157"/>
  <c r="AG23" i="157"/>
  <c r="AF23" i="157"/>
  <c r="AE23" i="157"/>
  <c r="AD23" i="157"/>
  <c r="Z23" i="157"/>
  <c r="Y23" i="157"/>
  <c r="X23" i="157"/>
  <c r="W23" i="157"/>
  <c r="V23" i="157"/>
  <c r="U23" i="157"/>
  <c r="T23" i="157"/>
  <c r="S23" i="157"/>
  <c r="R23" i="157"/>
  <c r="Q23" i="157"/>
  <c r="J23" i="157"/>
  <c r="AK22" i="157"/>
  <c r="AJ22" i="157"/>
  <c r="AI22" i="157"/>
  <c r="AH22" i="157"/>
  <c r="AG22" i="157"/>
  <c r="AF22" i="157"/>
  <c r="AE22" i="157"/>
  <c r="AD22" i="157"/>
  <c r="Z22" i="157"/>
  <c r="Y22" i="157"/>
  <c r="X22" i="157"/>
  <c r="W22" i="157"/>
  <c r="V22" i="157"/>
  <c r="U22" i="157"/>
  <c r="T22" i="157"/>
  <c r="S22" i="157"/>
  <c r="R22" i="157"/>
  <c r="Q22" i="157"/>
  <c r="J22" i="157"/>
  <c r="AK21" i="157"/>
  <c r="AJ21" i="157"/>
  <c r="AI21" i="157"/>
  <c r="AH21" i="157"/>
  <c r="AG21" i="157"/>
  <c r="AF21" i="157"/>
  <c r="AE21" i="157"/>
  <c r="AD21" i="157"/>
  <c r="Z21" i="157"/>
  <c r="Y21" i="157"/>
  <c r="X21" i="157"/>
  <c r="W21" i="157"/>
  <c r="V21" i="157"/>
  <c r="U21" i="157"/>
  <c r="T21" i="157"/>
  <c r="S21" i="157"/>
  <c r="R21" i="157"/>
  <c r="Q21" i="157"/>
  <c r="J21" i="157"/>
  <c r="AK20" i="157"/>
  <c r="AJ20" i="157"/>
  <c r="AI20" i="157"/>
  <c r="AH20" i="157"/>
  <c r="AG20" i="157"/>
  <c r="AF20" i="157"/>
  <c r="AE20" i="157"/>
  <c r="AD20" i="157"/>
  <c r="Z20" i="157"/>
  <c r="Y20" i="157"/>
  <c r="X20" i="157"/>
  <c r="W20" i="157"/>
  <c r="V20" i="157"/>
  <c r="U20" i="157"/>
  <c r="T20" i="157"/>
  <c r="S20" i="157"/>
  <c r="R20" i="157"/>
  <c r="Q20" i="157"/>
  <c r="J20" i="157"/>
  <c r="AK18" i="157"/>
  <c r="AJ18" i="157"/>
  <c r="AI18" i="157"/>
  <c r="AH18" i="157"/>
  <c r="AG18" i="157"/>
  <c r="AF18" i="157"/>
  <c r="AE18" i="157"/>
  <c r="AD18" i="157"/>
  <c r="Z18" i="157"/>
  <c r="Y18" i="157"/>
  <c r="X18" i="157"/>
  <c r="W18" i="157"/>
  <c r="V18" i="157"/>
  <c r="U18" i="157"/>
  <c r="T18" i="157"/>
  <c r="S18" i="157"/>
  <c r="R18" i="157"/>
  <c r="Q18" i="157"/>
  <c r="J18" i="157"/>
  <c r="AK17" i="157"/>
  <c r="AJ17" i="157"/>
  <c r="AI17" i="157"/>
  <c r="AH17" i="157"/>
  <c r="AG17" i="157"/>
  <c r="AF17" i="157"/>
  <c r="AE17" i="157"/>
  <c r="AD17" i="157"/>
  <c r="Z17" i="157"/>
  <c r="Y17" i="157"/>
  <c r="X17" i="157"/>
  <c r="W17" i="157"/>
  <c r="V17" i="157"/>
  <c r="U17" i="157"/>
  <c r="T17" i="157"/>
  <c r="S17" i="157"/>
  <c r="R17" i="157"/>
  <c r="Q17" i="157"/>
  <c r="J17" i="157"/>
  <c r="AK16" i="157"/>
  <c r="AJ16" i="157"/>
  <c r="AI16" i="157"/>
  <c r="AH16" i="157"/>
  <c r="AG16" i="157"/>
  <c r="AF16" i="157"/>
  <c r="AE16" i="157"/>
  <c r="AD16" i="157"/>
  <c r="Z16" i="157"/>
  <c r="Y16" i="157"/>
  <c r="X16" i="157"/>
  <c r="W16" i="157"/>
  <c r="V16" i="157"/>
  <c r="U16" i="157"/>
  <c r="T16" i="157"/>
  <c r="S16" i="157"/>
  <c r="R16" i="157"/>
  <c r="Q16" i="157"/>
  <c r="J16" i="157"/>
  <c r="AK15" i="157"/>
  <c r="AJ15" i="157"/>
  <c r="AI15" i="157"/>
  <c r="AH15" i="157"/>
  <c r="AG15" i="157"/>
  <c r="AF15" i="157"/>
  <c r="AE15" i="157"/>
  <c r="AD15" i="157"/>
  <c r="Z15" i="157"/>
  <c r="Y15" i="157"/>
  <c r="X15" i="157"/>
  <c r="W15" i="157"/>
  <c r="V15" i="157"/>
  <c r="U15" i="157"/>
  <c r="T15" i="157"/>
  <c r="S15" i="157"/>
  <c r="R15" i="157"/>
  <c r="Q15" i="157"/>
  <c r="J15" i="157"/>
  <c r="AK14" i="157"/>
  <c r="AJ14" i="157"/>
  <c r="AI14" i="157"/>
  <c r="AH14" i="157"/>
  <c r="AG14" i="157"/>
  <c r="AF14" i="157"/>
  <c r="AE14" i="157"/>
  <c r="AD14" i="157"/>
  <c r="Z14" i="157"/>
  <c r="Y14" i="157"/>
  <c r="X14" i="157"/>
  <c r="W14" i="157"/>
  <c r="V14" i="157"/>
  <c r="U14" i="157"/>
  <c r="T14" i="157"/>
  <c r="S14" i="157"/>
  <c r="R14" i="157"/>
  <c r="Q14" i="157"/>
  <c r="J14" i="157"/>
  <c r="AK13" i="157"/>
  <c r="AJ13" i="157"/>
  <c r="AI13" i="157"/>
  <c r="AH13" i="157"/>
  <c r="AG13" i="157"/>
  <c r="AF13" i="157"/>
  <c r="AE13" i="157"/>
  <c r="AD13" i="157"/>
  <c r="Z13" i="157"/>
  <c r="Y13" i="157"/>
  <c r="X13" i="157"/>
  <c r="W13" i="157"/>
  <c r="V13" i="157"/>
  <c r="U13" i="157"/>
  <c r="T13" i="157"/>
  <c r="S13" i="157"/>
  <c r="R13" i="157"/>
  <c r="Q13" i="157"/>
  <c r="J13" i="157"/>
  <c r="AK12" i="157"/>
  <c r="AJ12" i="157"/>
  <c r="AI12" i="157"/>
  <c r="AH12" i="157"/>
  <c r="AG12" i="157"/>
  <c r="AF12" i="157"/>
  <c r="AE12" i="157"/>
  <c r="AD12" i="157"/>
  <c r="Z12" i="157"/>
  <c r="Y12" i="157"/>
  <c r="X12" i="157"/>
  <c r="W12" i="157"/>
  <c r="V12" i="157"/>
  <c r="U12" i="157"/>
  <c r="T12" i="157"/>
  <c r="S12" i="157"/>
  <c r="R12" i="157"/>
  <c r="Q12" i="157"/>
  <c r="J12" i="157"/>
  <c r="AK11" i="157"/>
  <c r="AJ11" i="157"/>
  <c r="AI11" i="157"/>
  <c r="AH11" i="157"/>
  <c r="AG11" i="157"/>
  <c r="AF11" i="157"/>
  <c r="AE11" i="157"/>
  <c r="AD11" i="157"/>
  <c r="Z11" i="157"/>
  <c r="Y11" i="157"/>
  <c r="X11" i="157"/>
  <c r="W11" i="157"/>
  <c r="V11" i="157"/>
  <c r="U11" i="157"/>
  <c r="T11" i="157"/>
  <c r="S11" i="157"/>
  <c r="R11" i="157"/>
  <c r="Q11" i="157"/>
  <c r="J11" i="157"/>
  <c r="AK10" i="157"/>
  <c r="AJ10" i="157"/>
  <c r="AI10" i="157"/>
  <c r="AH10" i="157"/>
  <c r="AG10" i="157"/>
  <c r="AF10" i="157"/>
  <c r="AE10" i="157"/>
  <c r="AD10" i="157"/>
  <c r="Z10" i="157"/>
  <c r="Y10" i="157"/>
  <c r="X10" i="157"/>
  <c r="W10" i="157"/>
  <c r="V10" i="157"/>
  <c r="U10" i="157"/>
  <c r="T10" i="157"/>
  <c r="S10" i="157"/>
  <c r="R10" i="157"/>
  <c r="Q10" i="157"/>
  <c r="J10" i="157"/>
  <c r="AK9" i="157"/>
  <c r="AJ9" i="157"/>
  <c r="AI9" i="157"/>
  <c r="AH9" i="157"/>
  <c r="AG9" i="157"/>
  <c r="AF9" i="157"/>
  <c r="AE9" i="157"/>
  <c r="AD9" i="157"/>
  <c r="Z9" i="157"/>
  <c r="Y9" i="157"/>
  <c r="X9" i="157"/>
  <c r="W9" i="157"/>
  <c r="V9" i="157"/>
  <c r="U9" i="157"/>
  <c r="T9" i="157"/>
  <c r="S9" i="157"/>
  <c r="R9" i="157"/>
  <c r="Q9" i="157"/>
  <c r="J9" i="157"/>
  <c r="AK8" i="157"/>
  <c r="AJ8" i="157"/>
  <c r="AI8" i="157"/>
  <c r="AH8" i="157"/>
  <c r="AG8" i="157"/>
  <c r="AF8" i="157"/>
  <c r="AE8" i="157"/>
  <c r="AD8" i="157"/>
  <c r="Z8" i="157"/>
  <c r="Y8" i="157"/>
  <c r="X8" i="157"/>
  <c r="W8" i="157"/>
  <c r="V8" i="157"/>
  <c r="U8" i="157"/>
  <c r="T8" i="157"/>
  <c r="S8" i="157"/>
  <c r="R8" i="157"/>
  <c r="Q8" i="157"/>
  <c r="J8" i="157"/>
  <c r="AK7" i="157"/>
  <c r="AJ7" i="157"/>
  <c r="AI7" i="157"/>
  <c r="AH7" i="157"/>
  <c r="AG7" i="157"/>
  <c r="AF7" i="157"/>
  <c r="AE7" i="157"/>
  <c r="AD7" i="157"/>
  <c r="Z7" i="157"/>
  <c r="Y7" i="157"/>
  <c r="X7" i="157"/>
  <c r="W7" i="157"/>
  <c r="V7" i="157"/>
  <c r="U7" i="157"/>
  <c r="T7" i="157"/>
  <c r="S7" i="157"/>
  <c r="R7" i="157"/>
  <c r="Q7" i="157"/>
  <c r="J7" i="157"/>
  <c r="AK6" i="157"/>
  <c r="AJ6" i="157"/>
  <c r="AI6" i="157"/>
  <c r="AH6" i="157"/>
  <c r="AG6" i="157"/>
  <c r="AF6" i="157"/>
  <c r="AE6" i="157"/>
  <c r="AD6" i="157"/>
  <c r="Z6" i="157"/>
  <c r="Y6" i="157"/>
  <c r="X6" i="157"/>
  <c r="W6" i="157"/>
  <c r="V6" i="157"/>
  <c r="U6" i="157"/>
  <c r="T6" i="157"/>
  <c r="S6" i="157"/>
  <c r="R6" i="157"/>
  <c r="Q6" i="157"/>
  <c r="K6" i="157"/>
  <c r="N6" i="157" s="1"/>
  <c r="J6" i="157"/>
  <c r="E7" i="157"/>
  <c r="E8" i="157"/>
  <c r="E9" i="157"/>
  <c r="E10" i="157"/>
  <c r="E11" i="157"/>
  <c r="E12" i="157"/>
  <c r="E13" i="157"/>
  <c r="E14" i="157"/>
  <c r="E15" i="157"/>
  <c r="E16" i="157"/>
  <c r="E17" i="157"/>
  <c r="E18" i="157"/>
  <c r="E6" i="157"/>
  <c r="AA41" i="157"/>
  <c r="D41" i="157"/>
  <c r="C41" i="157"/>
  <c r="E39" i="157"/>
  <c r="B39" i="157"/>
  <c r="E38" i="157"/>
  <c r="B38" i="157"/>
  <c r="E37" i="157"/>
  <c r="B37" i="157"/>
  <c r="E36" i="157"/>
  <c r="B36" i="157"/>
  <c r="E35" i="157"/>
  <c r="B35" i="157"/>
  <c r="E34" i="157"/>
  <c r="B34" i="157"/>
  <c r="E33" i="157"/>
  <c r="B33" i="157"/>
  <c r="E32" i="157"/>
  <c r="B32" i="157"/>
  <c r="E31" i="157"/>
  <c r="B31" i="157"/>
  <c r="E30" i="157"/>
  <c r="B30" i="157"/>
  <c r="E29" i="157"/>
  <c r="B29" i="157"/>
  <c r="E28" i="157"/>
  <c r="B28" i="157"/>
  <c r="E27" i="157"/>
  <c r="B27" i="157"/>
  <c r="E26" i="157"/>
  <c r="B26" i="157"/>
  <c r="E25" i="157"/>
  <c r="B25" i="157"/>
  <c r="E24" i="157"/>
  <c r="B24" i="157"/>
  <c r="E23" i="157"/>
  <c r="B23" i="157"/>
  <c r="E22" i="157"/>
  <c r="B22" i="157"/>
  <c r="E21" i="157"/>
  <c r="B21" i="157"/>
  <c r="E20" i="157"/>
  <c r="B20" i="157"/>
  <c r="B19" i="157"/>
  <c r="B18" i="157"/>
  <c r="B17" i="157"/>
  <c r="B16" i="157"/>
  <c r="B15" i="157"/>
  <c r="B14" i="157"/>
  <c r="B13" i="157"/>
  <c r="B12" i="157"/>
  <c r="B11" i="157"/>
  <c r="B10" i="157"/>
  <c r="B9" i="157"/>
  <c r="B8" i="157"/>
  <c r="B7" i="157"/>
  <c r="B6" i="157"/>
  <c r="AK39" i="156"/>
  <c r="AJ39" i="156"/>
  <c r="AI39" i="156"/>
  <c r="AH39" i="156"/>
  <c r="AG39" i="156"/>
  <c r="AF39" i="156"/>
  <c r="AE39" i="156"/>
  <c r="AD39" i="156"/>
  <c r="Z39" i="156"/>
  <c r="Y39" i="156"/>
  <c r="X39" i="156"/>
  <c r="W39" i="156"/>
  <c r="V39" i="156"/>
  <c r="U39" i="156"/>
  <c r="T39" i="156"/>
  <c r="S39" i="156"/>
  <c r="R39" i="156"/>
  <c r="Q39" i="156"/>
  <c r="J39" i="156"/>
  <c r="AK38" i="156"/>
  <c r="AJ38" i="156"/>
  <c r="AI38" i="156"/>
  <c r="AH38" i="156"/>
  <c r="AG38" i="156"/>
  <c r="AF38" i="156"/>
  <c r="AE38" i="156"/>
  <c r="AD38" i="156"/>
  <c r="Z38" i="156"/>
  <c r="Y38" i="156"/>
  <c r="X38" i="156"/>
  <c r="W38" i="156"/>
  <c r="V38" i="156"/>
  <c r="U38" i="156"/>
  <c r="T38" i="156"/>
  <c r="S38" i="156"/>
  <c r="R38" i="156"/>
  <c r="Q38" i="156"/>
  <c r="J38" i="156"/>
  <c r="AK37" i="156"/>
  <c r="AJ37" i="156"/>
  <c r="AI37" i="156"/>
  <c r="AH37" i="156"/>
  <c r="AG37" i="156"/>
  <c r="AF37" i="156"/>
  <c r="AE37" i="156"/>
  <c r="AD37" i="156"/>
  <c r="Z37" i="156"/>
  <c r="Y37" i="156"/>
  <c r="X37" i="156"/>
  <c r="W37" i="156"/>
  <c r="V37" i="156"/>
  <c r="U37" i="156"/>
  <c r="T37" i="156"/>
  <c r="S37" i="156"/>
  <c r="R37" i="156"/>
  <c r="Q37" i="156"/>
  <c r="J37" i="156"/>
  <c r="AK36" i="156"/>
  <c r="AJ36" i="156"/>
  <c r="AI36" i="156"/>
  <c r="AH36" i="156"/>
  <c r="AG36" i="156"/>
  <c r="AF36" i="156"/>
  <c r="AE36" i="156"/>
  <c r="AD36" i="156"/>
  <c r="Z36" i="156"/>
  <c r="Y36" i="156"/>
  <c r="X36" i="156"/>
  <c r="W36" i="156"/>
  <c r="V36" i="156"/>
  <c r="U36" i="156"/>
  <c r="T36" i="156"/>
  <c r="S36" i="156"/>
  <c r="R36" i="156"/>
  <c r="Q36" i="156"/>
  <c r="J36" i="156"/>
  <c r="AK35" i="156"/>
  <c r="AJ35" i="156"/>
  <c r="AI35" i="156"/>
  <c r="AH35" i="156"/>
  <c r="AG35" i="156"/>
  <c r="AF35" i="156"/>
  <c r="AE35" i="156"/>
  <c r="AD35" i="156"/>
  <c r="Z35" i="156"/>
  <c r="Y35" i="156"/>
  <c r="X35" i="156"/>
  <c r="W35" i="156"/>
  <c r="V35" i="156"/>
  <c r="U35" i="156"/>
  <c r="T35" i="156"/>
  <c r="S35" i="156"/>
  <c r="R35" i="156"/>
  <c r="Q35" i="156"/>
  <c r="J35" i="156"/>
  <c r="AK34" i="156"/>
  <c r="AJ34" i="156"/>
  <c r="AI34" i="156"/>
  <c r="AH34" i="156"/>
  <c r="AG34" i="156"/>
  <c r="AF34" i="156"/>
  <c r="AE34" i="156"/>
  <c r="AD34" i="156"/>
  <c r="Z34" i="156"/>
  <c r="Y34" i="156"/>
  <c r="X34" i="156"/>
  <c r="W34" i="156"/>
  <c r="V34" i="156"/>
  <c r="U34" i="156"/>
  <c r="T34" i="156"/>
  <c r="S34" i="156"/>
  <c r="R34" i="156"/>
  <c r="Q34" i="156"/>
  <c r="J34" i="156"/>
  <c r="AK33" i="156"/>
  <c r="AJ33" i="156"/>
  <c r="AI33" i="156"/>
  <c r="AH33" i="156"/>
  <c r="AG33" i="156"/>
  <c r="AF33" i="156"/>
  <c r="AE33" i="156"/>
  <c r="AD33" i="156"/>
  <c r="Z33" i="156"/>
  <c r="Y33" i="156"/>
  <c r="X33" i="156"/>
  <c r="W33" i="156"/>
  <c r="V33" i="156"/>
  <c r="U33" i="156"/>
  <c r="T33" i="156"/>
  <c r="S33" i="156"/>
  <c r="R33" i="156"/>
  <c r="Q33" i="156"/>
  <c r="J33" i="156"/>
  <c r="AK32" i="156"/>
  <c r="AJ32" i="156"/>
  <c r="AI32" i="156"/>
  <c r="AH32" i="156"/>
  <c r="AG32" i="156"/>
  <c r="AF32" i="156"/>
  <c r="AE32" i="156"/>
  <c r="AD32" i="156"/>
  <c r="Z32" i="156"/>
  <c r="Y32" i="156"/>
  <c r="X32" i="156"/>
  <c r="W32" i="156"/>
  <c r="V32" i="156"/>
  <c r="U32" i="156"/>
  <c r="T32" i="156"/>
  <c r="S32" i="156"/>
  <c r="R32" i="156"/>
  <c r="Q32" i="156"/>
  <c r="J32" i="156"/>
  <c r="AK31" i="156"/>
  <c r="AJ31" i="156"/>
  <c r="AI31" i="156"/>
  <c r="AH31" i="156"/>
  <c r="AG31" i="156"/>
  <c r="AF31" i="156"/>
  <c r="AE31" i="156"/>
  <c r="AD31" i="156"/>
  <c r="Z31" i="156"/>
  <c r="Y31" i="156"/>
  <c r="X31" i="156"/>
  <c r="W31" i="156"/>
  <c r="V31" i="156"/>
  <c r="U31" i="156"/>
  <c r="T31" i="156"/>
  <c r="S31" i="156"/>
  <c r="R31" i="156"/>
  <c r="Q31" i="156"/>
  <c r="J31" i="156"/>
  <c r="AK30" i="156"/>
  <c r="AJ30" i="156"/>
  <c r="AI30" i="156"/>
  <c r="AH30" i="156"/>
  <c r="AG30" i="156"/>
  <c r="AF30" i="156"/>
  <c r="AE30" i="156"/>
  <c r="AD30" i="156"/>
  <c r="Z30" i="156"/>
  <c r="Y30" i="156"/>
  <c r="X30" i="156"/>
  <c r="W30" i="156"/>
  <c r="V30" i="156"/>
  <c r="U30" i="156"/>
  <c r="T30" i="156"/>
  <c r="S30" i="156"/>
  <c r="R30" i="156"/>
  <c r="Q30" i="156"/>
  <c r="J30" i="156"/>
  <c r="AK29" i="156"/>
  <c r="AJ29" i="156"/>
  <c r="AI29" i="156"/>
  <c r="AH29" i="156"/>
  <c r="AG29" i="156"/>
  <c r="AF29" i="156"/>
  <c r="AE29" i="156"/>
  <c r="AD29" i="156"/>
  <c r="Z29" i="156"/>
  <c r="Y29" i="156"/>
  <c r="X29" i="156"/>
  <c r="W29" i="156"/>
  <c r="V29" i="156"/>
  <c r="U29" i="156"/>
  <c r="T29" i="156"/>
  <c r="S29" i="156"/>
  <c r="R29" i="156"/>
  <c r="Q29" i="156"/>
  <c r="J29" i="156"/>
  <c r="AK28" i="156"/>
  <c r="AJ28" i="156"/>
  <c r="AI28" i="156"/>
  <c r="AH28" i="156"/>
  <c r="AG28" i="156"/>
  <c r="AF28" i="156"/>
  <c r="AE28" i="156"/>
  <c r="AD28" i="156"/>
  <c r="Z28" i="156"/>
  <c r="Y28" i="156"/>
  <c r="X28" i="156"/>
  <c r="W28" i="156"/>
  <c r="V28" i="156"/>
  <c r="U28" i="156"/>
  <c r="T28" i="156"/>
  <c r="S28" i="156"/>
  <c r="R28" i="156"/>
  <c r="Q28" i="156"/>
  <c r="J28" i="156"/>
  <c r="AK27" i="156"/>
  <c r="AJ27" i="156"/>
  <c r="AI27" i="156"/>
  <c r="AH27" i="156"/>
  <c r="AG27" i="156"/>
  <c r="AF27" i="156"/>
  <c r="AE27" i="156"/>
  <c r="AD27" i="156"/>
  <c r="Z27" i="156"/>
  <c r="Y27" i="156"/>
  <c r="X27" i="156"/>
  <c r="W27" i="156"/>
  <c r="V27" i="156"/>
  <c r="U27" i="156"/>
  <c r="T27" i="156"/>
  <c r="S27" i="156"/>
  <c r="R27" i="156"/>
  <c r="Q27" i="156"/>
  <c r="J27" i="156"/>
  <c r="AK26" i="156"/>
  <c r="AJ26" i="156"/>
  <c r="AI26" i="156"/>
  <c r="AH26" i="156"/>
  <c r="AG26" i="156"/>
  <c r="AF26" i="156"/>
  <c r="AE26" i="156"/>
  <c r="AD26" i="156"/>
  <c r="Z26" i="156"/>
  <c r="Y26" i="156"/>
  <c r="X26" i="156"/>
  <c r="W26" i="156"/>
  <c r="V26" i="156"/>
  <c r="U26" i="156"/>
  <c r="T26" i="156"/>
  <c r="S26" i="156"/>
  <c r="R26" i="156"/>
  <c r="Q26" i="156"/>
  <c r="J26" i="156"/>
  <c r="AK25" i="156"/>
  <c r="AJ25" i="156"/>
  <c r="AI25" i="156"/>
  <c r="AH25" i="156"/>
  <c r="AG25" i="156"/>
  <c r="AF25" i="156"/>
  <c r="AE25" i="156"/>
  <c r="AD25" i="156"/>
  <c r="Z25" i="156"/>
  <c r="Y25" i="156"/>
  <c r="X25" i="156"/>
  <c r="W25" i="156"/>
  <c r="V25" i="156"/>
  <c r="U25" i="156"/>
  <c r="T25" i="156"/>
  <c r="S25" i="156"/>
  <c r="R25" i="156"/>
  <c r="Q25" i="156"/>
  <c r="J25" i="156"/>
  <c r="AK24" i="156"/>
  <c r="AJ24" i="156"/>
  <c r="AI24" i="156"/>
  <c r="AH24" i="156"/>
  <c r="AG24" i="156"/>
  <c r="AF24" i="156"/>
  <c r="AE24" i="156"/>
  <c r="AD24" i="156"/>
  <c r="Z24" i="156"/>
  <c r="Y24" i="156"/>
  <c r="X24" i="156"/>
  <c r="W24" i="156"/>
  <c r="V24" i="156"/>
  <c r="U24" i="156"/>
  <c r="T24" i="156"/>
  <c r="S24" i="156"/>
  <c r="R24" i="156"/>
  <c r="Q24" i="156"/>
  <c r="J24" i="156"/>
  <c r="AK23" i="156"/>
  <c r="AJ23" i="156"/>
  <c r="AI23" i="156"/>
  <c r="AH23" i="156"/>
  <c r="AG23" i="156"/>
  <c r="AF23" i="156"/>
  <c r="AE23" i="156"/>
  <c r="AD23" i="156"/>
  <c r="Z23" i="156"/>
  <c r="Y23" i="156"/>
  <c r="X23" i="156"/>
  <c r="W23" i="156"/>
  <c r="V23" i="156"/>
  <c r="U23" i="156"/>
  <c r="T23" i="156"/>
  <c r="S23" i="156"/>
  <c r="R23" i="156"/>
  <c r="Q23" i="156"/>
  <c r="J23" i="156"/>
  <c r="AK22" i="156"/>
  <c r="AJ22" i="156"/>
  <c r="AI22" i="156"/>
  <c r="AH22" i="156"/>
  <c r="AG22" i="156"/>
  <c r="AF22" i="156"/>
  <c r="AE22" i="156"/>
  <c r="AD22" i="156"/>
  <c r="Z22" i="156"/>
  <c r="Y22" i="156"/>
  <c r="X22" i="156"/>
  <c r="W22" i="156"/>
  <c r="V22" i="156"/>
  <c r="U22" i="156"/>
  <c r="T22" i="156"/>
  <c r="S22" i="156"/>
  <c r="R22" i="156"/>
  <c r="Q22" i="156"/>
  <c r="J22" i="156"/>
  <c r="AK21" i="156"/>
  <c r="AJ21" i="156"/>
  <c r="AI21" i="156"/>
  <c r="AH21" i="156"/>
  <c r="AG21" i="156"/>
  <c r="AF21" i="156"/>
  <c r="AE21" i="156"/>
  <c r="AD21" i="156"/>
  <c r="Z21" i="156"/>
  <c r="Y21" i="156"/>
  <c r="X21" i="156"/>
  <c r="W21" i="156"/>
  <c r="V21" i="156"/>
  <c r="U21" i="156"/>
  <c r="T21" i="156"/>
  <c r="S21" i="156"/>
  <c r="R21" i="156"/>
  <c r="Q21" i="156"/>
  <c r="J21" i="156"/>
  <c r="AK20" i="156"/>
  <c r="AJ20" i="156"/>
  <c r="AI20" i="156"/>
  <c r="AH20" i="156"/>
  <c r="AG20" i="156"/>
  <c r="AF20" i="156"/>
  <c r="AE20" i="156"/>
  <c r="AD20" i="156"/>
  <c r="Z20" i="156"/>
  <c r="Y20" i="156"/>
  <c r="X20" i="156"/>
  <c r="W20" i="156"/>
  <c r="V20" i="156"/>
  <c r="U20" i="156"/>
  <c r="T20" i="156"/>
  <c r="S20" i="156"/>
  <c r="R20" i="156"/>
  <c r="Q20" i="156"/>
  <c r="J20" i="156"/>
  <c r="AK18" i="156"/>
  <c r="AJ18" i="156"/>
  <c r="AI18" i="156"/>
  <c r="AH18" i="156"/>
  <c r="AG18" i="156"/>
  <c r="AF18" i="156"/>
  <c r="AE18" i="156"/>
  <c r="AD18" i="156"/>
  <c r="Z18" i="156"/>
  <c r="Y18" i="156"/>
  <c r="X18" i="156"/>
  <c r="W18" i="156"/>
  <c r="V18" i="156"/>
  <c r="U18" i="156"/>
  <c r="T18" i="156"/>
  <c r="S18" i="156"/>
  <c r="R18" i="156"/>
  <c r="Q18" i="156"/>
  <c r="J18" i="156"/>
  <c r="AK17" i="156"/>
  <c r="AJ17" i="156"/>
  <c r="AI17" i="156"/>
  <c r="AH17" i="156"/>
  <c r="AG17" i="156"/>
  <c r="AF17" i="156"/>
  <c r="AE17" i="156"/>
  <c r="AD17" i="156"/>
  <c r="Z17" i="156"/>
  <c r="Y17" i="156"/>
  <c r="X17" i="156"/>
  <c r="W17" i="156"/>
  <c r="V17" i="156"/>
  <c r="U17" i="156"/>
  <c r="T17" i="156"/>
  <c r="S17" i="156"/>
  <c r="R17" i="156"/>
  <c r="Q17" i="156"/>
  <c r="J17" i="156"/>
  <c r="AK16" i="156"/>
  <c r="AJ16" i="156"/>
  <c r="AI16" i="156"/>
  <c r="AH16" i="156"/>
  <c r="AG16" i="156"/>
  <c r="AF16" i="156"/>
  <c r="AE16" i="156"/>
  <c r="AD16" i="156"/>
  <c r="Z16" i="156"/>
  <c r="Y16" i="156"/>
  <c r="X16" i="156"/>
  <c r="W16" i="156"/>
  <c r="V16" i="156"/>
  <c r="U16" i="156"/>
  <c r="T16" i="156"/>
  <c r="S16" i="156"/>
  <c r="R16" i="156"/>
  <c r="Q16" i="156"/>
  <c r="J16" i="156"/>
  <c r="AK15" i="156"/>
  <c r="AJ15" i="156"/>
  <c r="AI15" i="156"/>
  <c r="AH15" i="156"/>
  <c r="AG15" i="156"/>
  <c r="AF15" i="156"/>
  <c r="AE15" i="156"/>
  <c r="AD15" i="156"/>
  <c r="Z15" i="156"/>
  <c r="Y15" i="156"/>
  <c r="X15" i="156"/>
  <c r="W15" i="156"/>
  <c r="V15" i="156"/>
  <c r="U15" i="156"/>
  <c r="T15" i="156"/>
  <c r="S15" i="156"/>
  <c r="R15" i="156"/>
  <c r="Q15" i="156"/>
  <c r="J15" i="156"/>
  <c r="AK14" i="156"/>
  <c r="AJ14" i="156"/>
  <c r="AI14" i="156"/>
  <c r="AH14" i="156"/>
  <c r="AG14" i="156"/>
  <c r="AF14" i="156"/>
  <c r="AE14" i="156"/>
  <c r="AD14" i="156"/>
  <c r="Z14" i="156"/>
  <c r="Y14" i="156"/>
  <c r="X14" i="156"/>
  <c r="W14" i="156"/>
  <c r="V14" i="156"/>
  <c r="U14" i="156"/>
  <c r="T14" i="156"/>
  <c r="S14" i="156"/>
  <c r="R14" i="156"/>
  <c r="Q14" i="156"/>
  <c r="J14" i="156"/>
  <c r="AK13" i="156"/>
  <c r="AJ13" i="156"/>
  <c r="AI13" i="156"/>
  <c r="AH13" i="156"/>
  <c r="AG13" i="156"/>
  <c r="AF13" i="156"/>
  <c r="AE13" i="156"/>
  <c r="AD13" i="156"/>
  <c r="Z13" i="156"/>
  <c r="Y13" i="156"/>
  <c r="X13" i="156"/>
  <c r="W13" i="156"/>
  <c r="V13" i="156"/>
  <c r="U13" i="156"/>
  <c r="T13" i="156"/>
  <c r="S13" i="156"/>
  <c r="R13" i="156"/>
  <c r="Q13" i="156"/>
  <c r="J13" i="156"/>
  <c r="AK12" i="156"/>
  <c r="AJ12" i="156"/>
  <c r="AI12" i="156"/>
  <c r="AH12" i="156"/>
  <c r="AG12" i="156"/>
  <c r="AF12" i="156"/>
  <c r="AE12" i="156"/>
  <c r="AD12" i="156"/>
  <c r="Z12" i="156"/>
  <c r="Y12" i="156"/>
  <c r="X12" i="156"/>
  <c r="W12" i="156"/>
  <c r="V12" i="156"/>
  <c r="U12" i="156"/>
  <c r="T12" i="156"/>
  <c r="S12" i="156"/>
  <c r="R12" i="156"/>
  <c r="Q12" i="156"/>
  <c r="J12" i="156"/>
  <c r="AK11" i="156"/>
  <c r="AJ11" i="156"/>
  <c r="AI11" i="156"/>
  <c r="AH11" i="156"/>
  <c r="AG11" i="156"/>
  <c r="AF11" i="156"/>
  <c r="AE11" i="156"/>
  <c r="AD11" i="156"/>
  <c r="Z11" i="156"/>
  <c r="Y11" i="156"/>
  <c r="X11" i="156"/>
  <c r="W11" i="156"/>
  <c r="V11" i="156"/>
  <c r="U11" i="156"/>
  <c r="T11" i="156"/>
  <c r="S11" i="156"/>
  <c r="R11" i="156"/>
  <c r="Q11" i="156"/>
  <c r="J11" i="156"/>
  <c r="AK10" i="156"/>
  <c r="AJ10" i="156"/>
  <c r="AI10" i="156"/>
  <c r="AH10" i="156"/>
  <c r="AG10" i="156"/>
  <c r="AF10" i="156"/>
  <c r="AE10" i="156"/>
  <c r="AD10" i="156"/>
  <c r="Z10" i="156"/>
  <c r="Y10" i="156"/>
  <c r="X10" i="156"/>
  <c r="W10" i="156"/>
  <c r="V10" i="156"/>
  <c r="U10" i="156"/>
  <c r="T10" i="156"/>
  <c r="S10" i="156"/>
  <c r="R10" i="156"/>
  <c r="Q10" i="156"/>
  <c r="J10" i="156"/>
  <c r="AK9" i="156"/>
  <c r="AJ9" i="156"/>
  <c r="AI9" i="156"/>
  <c r="AH9" i="156"/>
  <c r="AG9" i="156"/>
  <c r="AF9" i="156"/>
  <c r="AE9" i="156"/>
  <c r="AD9" i="156"/>
  <c r="Z9" i="156"/>
  <c r="Y9" i="156"/>
  <c r="X9" i="156"/>
  <c r="W9" i="156"/>
  <c r="V9" i="156"/>
  <c r="U9" i="156"/>
  <c r="T9" i="156"/>
  <c r="S9" i="156"/>
  <c r="R9" i="156"/>
  <c r="Q9" i="156"/>
  <c r="J9" i="156"/>
  <c r="AK8" i="156"/>
  <c r="AJ8" i="156"/>
  <c r="AI8" i="156"/>
  <c r="AH8" i="156"/>
  <c r="AG8" i="156"/>
  <c r="AF8" i="156"/>
  <c r="AE8" i="156"/>
  <c r="AD8" i="156"/>
  <c r="Z8" i="156"/>
  <c r="Y8" i="156"/>
  <c r="X8" i="156"/>
  <c r="W8" i="156"/>
  <c r="V8" i="156"/>
  <c r="U8" i="156"/>
  <c r="T8" i="156"/>
  <c r="S8" i="156"/>
  <c r="R8" i="156"/>
  <c r="Q8" i="156"/>
  <c r="J8" i="156"/>
  <c r="AK7" i="156"/>
  <c r="AJ7" i="156"/>
  <c r="AI7" i="156"/>
  <c r="AH7" i="156"/>
  <c r="AG7" i="156"/>
  <c r="AF7" i="156"/>
  <c r="AE7" i="156"/>
  <c r="AD7" i="156"/>
  <c r="Z7" i="156"/>
  <c r="Y7" i="156"/>
  <c r="X7" i="156"/>
  <c r="W7" i="156"/>
  <c r="V7" i="156"/>
  <c r="U7" i="156"/>
  <c r="T7" i="156"/>
  <c r="S7" i="156"/>
  <c r="R7" i="156"/>
  <c r="Q7" i="156"/>
  <c r="J7" i="156"/>
  <c r="AK6" i="156"/>
  <c r="AJ6" i="156"/>
  <c r="AI6" i="156"/>
  <c r="AH6" i="156"/>
  <c r="AG6" i="156"/>
  <c r="AF6" i="156"/>
  <c r="AE6" i="156"/>
  <c r="AD6" i="156"/>
  <c r="Z6" i="156"/>
  <c r="Y6" i="156"/>
  <c r="X6" i="156"/>
  <c r="W6" i="156"/>
  <c r="V6" i="156"/>
  <c r="U6" i="156"/>
  <c r="T6" i="156"/>
  <c r="S6" i="156"/>
  <c r="R6" i="156"/>
  <c r="Q6" i="156"/>
  <c r="K6" i="156"/>
  <c r="L6" i="156" s="1"/>
  <c r="J6" i="156"/>
  <c r="E7" i="156"/>
  <c r="E8" i="156"/>
  <c r="E9" i="156"/>
  <c r="E10" i="156"/>
  <c r="E11" i="156"/>
  <c r="E12" i="156"/>
  <c r="E13" i="156"/>
  <c r="E14" i="156"/>
  <c r="E15" i="156"/>
  <c r="E16" i="156"/>
  <c r="E17" i="156"/>
  <c r="E18" i="156"/>
  <c r="E6" i="156"/>
  <c r="AA41" i="156"/>
  <c r="D41" i="156"/>
  <c r="C41" i="156"/>
  <c r="E39" i="156"/>
  <c r="B39" i="156"/>
  <c r="E38" i="156"/>
  <c r="B38" i="156"/>
  <c r="E37" i="156"/>
  <c r="B37" i="156"/>
  <c r="E36" i="156"/>
  <c r="B36" i="156"/>
  <c r="E35" i="156"/>
  <c r="B35" i="156"/>
  <c r="E34" i="156"/>
  <c r="B34" i="156"/>
  <c r="E33" i="156"/>
  <c r="B33" i="156"/>
  <c r="E32" i="156"/>
  <c r="B32" i="156"/>
  <c r="E31" i="156"/>
  <c r="B31" i="156"/>
  <c r="E30" i="156"/>
  <c r="B30" i="156"/>
  <c r="E29" i="156"/>
  <c r="B29" i="156"/>
  <c r="E28" i="156"/>
  <c r="B28" i="156"/>
  <c r="E27" i="156"/>
  <c r="B27" i="156"/>
  <c r="E26" i="156"/>
  <c r="B26" i="156"/>
  <c r="E25" i="156"/>
  <c r="B25" i="156"/>
  <c r="E24" i="156"/>
  <c r="B24" i="156"/>
  <c r="E23" i="156"/>
  <c r="B23" i="156"/>
  <c r="E22" i="156"/>
  <c r="B22" i="156"/>
  <c r="E21" i="156"/>
  <c r="B21" i="156"/>
  <c r="E20" i="156"/>
  <c r="B20" i="156"/>
  <c r="B19" i="156"/>
  <c r="B18" i="156"/>
  <c r="B17" i="156"/>
  <c r="B16" i="156"/>
  <c r="B15" i="156"/>
  <c r="B14" i="156"/>
  <c r="B13" i="156"/>
  <c r="B12" i="156"/>
  <c r="B11" i="156"/>
  <c r="B10" i="156"/>
  <c r="B9" i="156"/>
  <c r="B8" i="156"/>
  <c r="B7" i="156"/>
  <c r="B6" i="156"/>
  <c r="T8" i="155"/>
  <c r="T12" i="155"/>
  <c r="T16" i="155"/>
  <c r="T21" i="155"/>
  <c r="T25" i="155"/>
  <c r="T29" i="155"/>
  <c r="T33" i="155"/>
  <c r="T37" i="155"/>
  <c r="T7" i="155"/>
  <c r="AK39" i="155"/>
  <c r="AJ39" i="155"/>
  <c r="AI39" i="155"/>
  <c r="AH39" i="155"/>
  <c r="AG39" i="155"/>
  <c r="AF39" i="155"/>
  <c r="AE39" i="155"/>
  <c r="AD39" i="155"/>
  <c r="Z39" i="155"/>
  <c r="Y39" i="155"/>
  <c r="X39" i="155"/>
  <c r="W39" i="155"/>
  <c r="V39" i="155"/>
  <c r="U39" i="155"/>
  <c r="T39" i="155"/>
  <c r="S39" i="155"/>
  <c r="R39" i="155"/>
  <c r="Q39" i="155"/>
  <c r="J39" i="155"/>
  <c r="AK38" i="155"/>
  <c r="AJ38" i="155"/>
  <c r="AI38" i="155"/>
  <c r="AH38" i="155"/>
  <c r="AG38" i="155"/>
  <c r="AF38" i="155"/>
  <c r="AE38" i="155"/>
  <c r="AD38" i="155"/>
  <c r="Z38" i="155"/>
  <c r="Y38" i="155"/>
  <c r="X38" i="155"/>
  <c r="W38" i="155"/>
  <c r="V38" i="155"/>
  <c r="U38" i="155"/>
  <c r="T38" i="155"/>
  <c r="S38" i="155"/>
  <c r="R38" i="155"/>
  <c r="Q38" i="155"/>
  <c r="J38" i="155"/>
  <c r="AK37" i="155"/>
  <c r="AJ37" i="155"/>
  <c r="AI37" i="155"/>
  <c r="AH37" i="155"/>
  <c r="AG37" i="155"/>
  <c r="AF37" i="155"/>
  <c r="AE37" i="155"/>
  <c r="AD37" i="155"/>
  <c r="Z37" i="155"/>
  <c r="Y37" i="155"/>
  <c r="X37" i="155"/>
  <c r="W37" i="155"/>
  <c r="V37" i="155"/>
  <c r="U37" i="155"/>
  <c r="S37" i="155"/>
  <c r="R37" i="155"/>
  <c r="Q37" i="155"/>
  <c r="J37" i="155"/>
  <c r="AK36" i="155"/>
  <c r="AJ36" i="155"/>
  <c r="AI36" i="155"/>
  <c r="AH36" i="155"/>
  <c r="AG36" i="155"/>
  <c r="AF36" i="155"/>
  <c r="AE36" i="155"/>
  <c r="AD36" i="155"/>
  <c r="Z36" i="155"/>
  <c r="Y36" i="155"/>
  <c r="X36" i="155"/>
  <c r="W36" i="155"/>
  <c r="V36" i="155"/>
  <c r="U36" i="155"/>
  <c r="T36" i="155"/>
  <c r="S36" i="155"/>
  <c r="R36" i="155"/>
  <c r="Q36" i="155"/>
  <c r="J36" i="155"/>
  <c r="AK35" i="155"/>
  <c r="AJ35" i="155"/>
  <c r="AI35" i="155"/>
  <c r="AH35" i="155"/>
  <c r="AG35" i="155"/>
  <c r="AF35" i="155"/>
  <c r="AE35" i="155"/>
  <c r="AD35" i="155"/>
  <c r="Z35" i="155"/>
  <c r="Y35" i="155"/>
  <c r="X35" i="155"/>
  <c r="W35" i="155"/>
  <c r="V35" i="155"/>
  <c r="U35" i="155"/>
  <c r="T35" i="155"/>
  <c r="S35" i="155"/>
  <c r="R35" i="155"/>
  <c r="Q35" i="155"/>
  <c r="J35" i="155"/>
  <c r="AK34" i="155"/>
  <c r="AJ34" i="155"/>
  <c r="AI34" i="155"/>
  <c r="AH34" i="155"/>
  <c r="AG34" i="155"/>
  <c r="AF34" i="155"/>
  <c r="AE34" i="155"/>
  <c r="AD34" i="155"/>
  <c r="Z34" i="155"/>
  <c r="Y34" i="155"/>
  <c r="X34" i="155"/>
  <c r="W34" i="155"/>
  <c r="V34" i="155"/>
  <c r="U34" i="155"/>
  <c r="T34" i="155"/>
  <c r="S34" i="155"/>
  <c r="R34" i="155"/>
  <c r="Q34" i="155"/>
  <c r="J34" i="155"/>
  <c r="AK33" i="155"/>
  <c r="AJ33" i="155"/>
  <c r="AI33" i="155"/>
  <c r="AH33" i="155"/>
  <c r="AG33" i="155"/>
  <c r="AF33" i="155"/>
  <c r="AE33" i="155"/>
  <c r="AD33" i="155"/>
  <c r="Z33" i="155"/>
  <c r="Y33" i="155"/>
  <c r="X33" i="155"/>
  <c r="W33" i="155"/>
  <c r="V33" i="155"/>
  <c r="U33" i="155"/>
  <c r="S33" i="155"/>
  <c r="R33" i="155"/>
  <c r="Q33" i="155"/>
  <c r="J33" i="155"/>
  <c r="AK32" i="155"/>
  <c r="AJ32" i="155"/>
  <c r="AI32" i="155"/>
  <c r="AH32" i="155"/>
  <c r="AG32" i="155"/>
  <c r="AF32" i="155"/>
  <c r="AE32" i="155"/>
  <c r="AD32" i="155"/>
  <c r="Z32" i="155"/>
  <c r="Y32" i="155"/>
  <c r="X32" i="155"/>
  <c r="W32" i="155"/>
  <c r="V32" i="155"/>
  <c r="U32" i="155"/>
  <c r="T32" i="155"/>
  <c r="S32" i="155"/>
  <c r="R32" i="155"/>
  <c r="Q32" i="155"/>
  <c r="J32" i="155"/>
  <c r="AK31" i="155"/>
  <c r="AJ31" i="155"/>
  <c r="AI31" i="155"/>
  <c r="AH31" i="155"/>
  <c r="AG31" i="155"/>
  <c r="AF31" i="155"/>
  <c r="AE31" i="155"/>
  <c r="AD31" i="155"/>
  <c r="Z31" i="155"/>
  <c r="Y31" i="155"/>
  <c r="X31" i="155"/>
  <c r="W31" i="155"/>
  <c r="V31" i="155"/>
  <c r="U31" i="155"/>
  <c r="T31" i="155"/>
  <c r="S31" i="155"/>
  <c r="R31" i="155"/>
  <c r="Q31" i="155"/>
  <c r="J31" i="155"/>
  <c r="AK30" i="155"/>
  <c r="AJ30" i="155"/>
  <c r="AI30" i="155"/>
  <c r="AH30" i="155"/>
  <c r="AG30" i="155"/>
  <c r="AF30" i="155"/>
  <c r="AE30" i="155"/>
  <c r="AD30" i="155"/>
  <c r="Z30" i="155"/>
  <c r="Y30" i="155"/>
  <c r="X30" i="155"/>
  <c r="W30" i="155"/>
  <c r="V30" i="155"/>
  <c r="U30" i="155"/>
  <c r="T30" i="155"/>
  <c r="S30" i="155"/>
  <c r="R30" i="155"/>
  <c r="Q30" i="155"/>
  <c r="J30" i="155"/>
  <c r="AK29" i="155"/>
  <c r="AJ29" i="155"/>
  <c r="AI29" i="155"/>
  <c r="AH29" i="155"/>
  <c r="AG29" i="155"/>
  <c r="AF29" i="155"/>
  <c r="AE29" i="155"/>
  <c r="AD29" i="155"/>
  <c r="Z29" i="155"/>
  <c r="Y29" i="155"/>
  <c r="X29" i="155"/>
  <c r="W29" i="155"/>
  <c r="V29" i="155"/>
  <c r="U29" i="155"/>
  <c r="S29" i="155"/>
  <c r="R29" i="155"/>
  <c r="Q29" i="155"/>
  <c r="J29" i="155"/>
  <c r="AK28" i="155"/>
  <c r="AJ28" i="155"/>
  <c r="AI28" i="155"/>
  <c r="AH28" i="155"/>
  <c r="AG28" i="155"/>
  <c r="AF28" i="155"/>
  <c r="AE28" i="155"/>
  <c r="AD28" i="155"/>
  <c r="Z28" i="155"/>
  <c r="Y28" i="155"/>
  <c r="X28" i="155"/>
  <c r="W28" i="155"/>
  <c r="V28" i="155"/>
  <c r="U28" i="155"/>
  <c r="T28" i="155"/>
  <c r="S28" i="155"/>
  <c r="R28" i="155"/>
  <c r="Q28" i="155"/>
  <c r="J28" i="155"/>
  <c r="AK27" i="155"/>
  <c r="AJ27" i="155"/>
  <c r="AI27" i="155"/>
  <c r="AH27" i="155"/>
  <c r="AG27" i="155"/>
  <c r="AF27" i="155"/>
  <c r="AE27" i="155"/>
  <c r="AD27" i="155"/>
  <c r="Z27" i="155"/>
  <c r="Y27" i="155"/>
  <c r="X27" i="155"/>
  <c r="W27" i="155"/>
  <c r="V27" i="155"/>
  <c r="U27" i="155"/>
  <c r="T27" i="155"/>
  <c r="S27" i="155"/>
  <c r="R27" i="155"/>
  <c r="Q27" i="155"/>
  <c r="J27" i="155"/>
  <c r="AK26" i="155"/>
  <c r="AJ26" i="155"/>
  <c r="AI26" i="155"/>
  <c r="AH26" i="155"/>
  <c r="AG26" i="155"/>
  <c r="AF26" i="155"/>
  <c r="AE26" i="155"/>
  <c r="AD26" i="155"/>
  <c r="Z26" i="155"/>
  <c r="Y26" i="155"/>
  <c r="X26" i="155"/>
  <c r="W26" i="155"/>
  <c r="V26" i="155"/>
  <c r="U26" i="155"/>
  <c r="T26" i="155"/>
  <c r="S26" i="155"/>
  <c r="R26" i="155"/>
  <c r="Q26" i="155"/>
  <c r="J26" i="155"/>
  <c r="AK25" i="155"/>
  <c r="AJ25" i="155"/>
  <c r="AI25" i="155"/>
  <c r="AH25" i="155"/>
  <c r="AG25" i="155"/>
  <c r="AF25" i="155"/>
  <c r="AE25" i="155"/>
  <c r="AD25" i="155"/>
  <c r="Z25" i="155"/>
  <c r="Y25" i="155"/>
  <c r="X25" i="155"/>
  <c r="W25" i="155"/>
  <c r="V25" i="155"/>
  <c r="U25" i="155"/>
  <c r="S25" i="155"/>
  <c r="R25" i="155"/>
  <c r="Q25" i="155"/>
  <c r="J25" i="155"/>
  <c r="AK24" i="155"/>
  <c r="AJ24" i="155"/>
  <c r="AI24" i="155"/>
  <c r="AH24" i="155"/>
  <c r="AG24" i="155"/>
  <c r="AF24" i="155"/>
  <c r="AE24" i="155"/>
  <c r="AD24" i="155"/>
  <c r="Z24" i="155"/>
  <c r="Y24" i="155"/>
  <c r="X24" i="155"/>
  <c r="W24" i="155"/>
  <c r="V24" i="155"/>
  <c r="U24" i="155"/>
  <c r="T24" i="155"/>
  <c r="S24" i="155"/>
  <c r="R24" i="155"/>
  <c r="Q24" i="155"/>
  <c r="J24" i="155"/>
  <c r="AK23" i="155"/>
  <c r="AJ23" i="155"/>
  <c r="AI23" i="155"/>
  <c r="AH23" i="155"/>
  <c r="AG23" i="155"/>
  <c r="AF23" i="155"/>
  <c r="AE23" i="155"/>
  <c r="AD23" i="155"/>
  <c r="Z23" i="155"/>
  <c r="Y23" i="155"/>
  <c r="X23" i="155"/>
  <c r="W23" i="155"/>
  <c r="V23" i="155"/>
  <c r="U23" i="155"/>
  <c r="T23" i="155"/>
  <c r="S23" i="155"/>
  <c r="R23" i="155"/>
  <c r="Q23" i="155"/>
  <c r="J23" i="155"/>
  <c r="AK22" i="155"/>
  <c r="AJ22" i="155"/>
  <c r="AI22" i="155"/>
  <c r="AH22" i="155"/>
  <c r="AG22" i="155"/>
  <c r="AF22" i="155"/>
  <c r="AE22" i="155"/>
  <c r="AD22" i="155"/>
  <c r="Z22" i="155"/>
  <c r="Y22" i="155"/>
  <c r="X22" i="155"/>
  <c r="W22" i="155"/>
  <c r="V22" i="155"/>
  <c r="U22" i="155"/>
  <c r="T22" i="155"/>
  <c r="S22" i="155"/>
  <c r="R22" i="155"/>
  <c r="Q22" i="155"/>
  <c r="J22" i="155"/>
  <c r="AK21" i="155"/>
  <c r="AJ21" i="155"/>
  <c r="AI21" i="155"/>
  <c r="AH21" i="155"/>
  <c r="AG21" i="155"/>
  <c r="AF21" i="155"/>
  <c r="AE21" i="155"/>
  <c r="AD21" i="155"/>
  <c r="Z21" i="155"/>
  <c r="Y21" i="155"/>
  <c r="X21" i="155"/>
  <c r="W21" i="155"/>
  <c r="V21" i="155"/>
  <c r="U21" i="155"/>
  <c r="S21" i="155"/>
  <c r="R21" i="155"/>
  <c r="Q21" i="155"/>
  <c r="J21" i="155"/>
  <c r="AK20" i="155"/>
  <c r="AJ20" i="155"/>
  <c r="AI20" i="155"/>
  <c r="AH20" i="155"/>
  <c r="AG20" i="155"/>
  <c r="AF20" i="155"/>
  <c r="AE20" i="155"/>
  <c r="AD20" i="155"/>
  <c r="Z20" i="155"/>
  <c r="Y20" i="155"/>
  <c r="X20" i="155"/>
  <c r="W20" i="155"/>
  <c r="V20" i="155"/>
  <c r="U20" i="155"/>
  <c r="T20" i="155"/>
  <c r="S20" i="155"/>
  <c r="R20" i="155"/>
  <c r="Q20" i="155"/>
  <c r="J20" i="155"/>
  <c r="AK18" i="155"/>
  <c r="AJ18" i="155"/>
  <c r="AI18" i="155"/>
  <c r="AH18" i="155"/>
  <c r="AG18" i="155"/>
  <c r="AF18" i="155"/>
  <c r="AE18" i="155"/>
  <c r="AD18" i="155"/>
  <c r="Z18" i="155"/>
  <c r="Y18" i="155"/>
  <c r="X18" i="155"/>
  <c r="W18" i="155"/>
  <c r="V18" i="155"/>
  <c r="U18" i="155"/>
  <c r="T18" i="155"/>
  <c r="S18" i="155"/>
  <c r="R18" i="155"/>
  <c r="Q18" i="155"/>
  <c r="J18" i="155"/>
  <c r="AK17" i="155"/>
  <c r="AJ17" i="155"/>
  <c r="AI17" i="155"/>
  <c r="AH17" i="155"/>
  <c r="AG17" i="155"/>
  <c r="AF17" i="155"/>
  <c r="AE17" i="155"/>
  <c r="AD17" i="155"/>
  <c r="Z17" i="155"/>
  <c r="Y17" i="155"/>
  <c r="X17" i="155"/>
  <c r="W17" i="155"/>
  <c r="V17" i="155"/>
  <c r="U17" i="155"/>
  <c r="T17" i="155"/>
  <c r="S17" i="155"/>
  <c r="R17" i="155"/>
  <c r="Q17" i="155"/>
  <c r="J17" i="155"/>
  <c r="AK16" i="155"/>
  <c r="AJ16" i="155"/>
  <c r="AI16" i="155"/>
  <c r="AH16" i="155"/>
  <c r="AG16" i="155"/>
  <c r="AF16" i="155"/>
  <c r="AE16" i="155"/>
  <c r="AD16" i="155"/>
  <c r="Z16" i="155"/>
  <c r="Y16" i="155"/>
  <c r="X16" i="155"/>
  <c r="W16" i="155"/>
  <c r="V16" i="155"/>
  <c r="U16" i="155"/>
  <c r="S16" i="155"/>
  <c r="R16" i="155"/>
  <c r="Q16" i="155"/>
  <c r="J16" i="155"/>
  <c r="AK15" i="155"/>
  <c r="AJ15" i="155"/>
  <c r="AI15" i="155"/>
  <c r="AH15" i="155"/>
  <c r="AG15" i="155"/>
  <c r="AF15" i="155"/>
  <c r="AE15" i="155"/>
  <c r="AD15" i="155"/>
  <c r="Z15" i="155"/>
  <c r="Y15" i="155"/>
  <c r="X15" i="155"/>
  <c r="W15" i="155"/>
  <c r="V15" i="155"/>
  <c r="U15" i="155"/>
  <c r="T15" i="155"/>
  <c r="S15" i="155"/>
  <c r="R15" i="155"/>
  <c r="Q15" i="155"/>
  <c r="J15" i="155"/>
  <c r="AK14" i="155"/>
  <c r="AJ14" i="155"/>
  <c r="AI14" i="155"/>
  <c r="AH14" i="155"/>
  <c r="AG14" i="155"/>
  <c r="AF14" i="155"/>
  <c r="AE14" i="155"/>
  <c r="AD14" i="155"/>
  <c r="Z14" i="155"/>
  <c r="Y14" i="155"/>
  <c r="X14" i="155"/>
  <c r="W14" i="155"/>
  <c r="V14" i="155"/>
  <c r="U14" i="155"/>
  <c r="T14" i="155"/>
  <c r="S14" i="155"/>
  <c r="R14" i="155"/>
  <c r="Q14" i="155"/>
  <c r="J14" i="155"/>
  <c r="AK13" i="155"/>
  <c r="AJ13" i="155"/>
  <c r="AI13" i="155"/>
  <c r="AH13" i="155"/>
  <c r="AG13" i="155"/>
  <c r="AF13" i="155"/>
  <c r="AE13" i="155"/>
  <c r="AD13" i="155"/>
  <c r="Z13" i="155"/>
  <c r="Y13" i="155"/>
  <c r="X13" i="155"/>
  <c r="W13" i="155"/>
  <c r="V13" i="155"/>
  <c r="U13" i="155"/>
  <c r="T13" i="155"/>
  <c r="S13" i="155"/>
  <c r="R13" i="155"/>
  <c r="Q13" i="155"/>
  <c r="J13" i="155"/>
  <c r="AK12" i="155"/>
  <c r="AJ12" i="155"/>
  <c r="AI12" i="155"/>
  <c r="AH12" i="155"/>
  <c r="AG12" i="155"/>
  <c r="AF12" i="155"/>
  <c r="AE12" i="155"/>
  <c r="AD12" i="155"/>
  <c r="Z12" i="155"/>
  <c r="Y12" i="155"/>
  <c r="X12" i="155"/>
  <c r="W12" i="155"/>
  <c r="V12" i="155"/>
  <c r="U12" i="155"/>
  <c r="S12" i="155"/>
  <c r="R12" i="155"/>
  <c r="Q12" i="155"/>
  <c r="J12" i="155"/>
  <c r="AK11" i="155"/>
  <c r="AJ11" i="155"/>
  <c r="AI11" i="155"/>
  <c r="AH11" i="155"/>
  <c r="AG11" i="155"/>
  <c r="AF11" i="155"/>
  <c r="AE11" i="155"/>
  <c r="AD11" i="155"/>
  <c r="Z11" i="155"/>
  <c r="Y11" i="155"/>
  <c r="X11" i="155"/>
  <c r="W11" i="155"/>
  <c r="V11" i="155"/>
  <c r="U11" i="155"/>
  <c r="T11" i="155"/>
  <c r="S11" i="155"/>
  <c r="R11" i="155"/>
  <c r="Q11" i="155"/>
  <c r="J11" i="155"/>
  <c r="AK10" i="155"/>
  <c r="AJ10" i="155"/>
  <c r="AI10" i="155"/>
  <c r="AH10" i="155"/>
  <c r="AG10" i="155"/>
  <c r="AF10" i="155"/>
  <c r="AE10" i="155"/>
  <c r="AD10" i="155"/>
  <c r="Z10" i="155"/>
  <c r="Y10" i="155"/>
  <c r="X10" i="155"/>
  <c r="W10" i="155"/>
  <c r="V10" i="155"/>
  <c r="U10" i="155"/>
  <c r="T10" i="155"/>
  <c r="S10" i="155"/>
  <c r="R10" i="155"/>
  <c r="Q10" i="155"/>
  <c r="J10" i="155"/>
  <c r="AK9" i="155"/>
  <c r="AJ9" i="155"/>
  <c r="AI9" i="155"/>
  <c r="AH9" i="155"/>
  <c r="AG9" i="155"/>
  <c r="AF9" i="155"/>
  <c r="AE9" i="155"/>
  <c r="AD9" i="155"/>
  <c r="Z9" i="155"/>
  <c r="Y9" i="155"/>
  <c r="X9" i="155"/>
  <c r="W9" i="155"/>
  <c r="V9" i="155"/>
  <c r="U9" i="155"/>
  <c r="T9" i="155"/>
  <c r="S9" i="155"/>
  <c r="R9" i="155"/>
  <c r="Q9" i="155"/>
  <c r="J9" i="155"/>
  <c r="AK8" i="155"/>
  <c r="AJ8" i="155"/>
  <c r="AI8" i="155"/>
  <c r="AH8" i="155"/>
  <c r="AG8" i="155"/>
  <c r="AF8" i="155"/>
  <c r="AE8" i="155"/>
  <c r="AD8" i="155"/>
  <c r="Z8" i="155"/>
  <c r="Y8" i="155"/>
  <c r="X8" i="155"/>
  <c r="W8" i="155"/>
  <c r="V8" i="155"/>
  <c r="U8" i="155"/>
  <c r="S8" i="155"/>
  <c r="R8" i="155"/>
  <c r="Q8" i="155"/>
  <c r="J8" i="155"/>
  <c r="AK7" i="155"/>
  <c r="AJ7" i="155"/>
  <c r="AI7" i="155"/>
  <c r="AH7" i="155"/>
  <c r="AG7" i="155"/>
  <c r="AF7" i="155"/>
  <c r="AE7" i="155"/>
  <c r="AD7" i="155"/>
  <c r="Z7" i="155"/>
  <c r="Y7" i="155"/>
  <c r="X7" i="155"/>
  <c r="W7" i="155"/>
  <c r="V7" i="155"/>
  <c r="U7" i="155"/>
  <c r="S7" i="155"/>
  <c r="R7" i="155"/>
  <c r="Q7" i="155"/>
  <c r="J7" i="155"/>
  <c r="AK6" i="155"/>
  <c r="AJ6" i="155"/>
  <c r="AI6" i="155"/>
  <c r="AH6" i="155"/>
  <c r="AG6" i="155"/>
  <c r="AF6" i="155"/>
  <c r="AE6" i="155"/>
  <c r="AD6" i="155"/>
  <c r="Z6" i="155"/>
  <c r="Y6" i="155"/>
  <c r="X6" i="155"/>
  <c r="W6" i="155"/>
  <c r="V6" i="155"/>
  <c r="U6" i="155"/>
  <c r="S6" i="155"/>
  <c r="R6" i="155"/>
  <c r="Q6" i="155"/>
  <c r="K6" i="155"/>
  <c r="O6" i="155" s="1"/>
  <c r="J6" i="155"/>
  <c r="E7" i="155"/>
  <c r="E8" i="155"/>
  <c r="E9" i="155"/>
  <c r="E10" i="155"/>
  <c r="E11" i="155"/>
  <c r="E12" i="155"/>
  <c r="E13" i="155"/>
  <c r="E14" i="155"/>
  <c r="E15" i="155"/>
  <c r="E16" i="155"/>
  <c r="E17" i="155"/>
  <c r="E18" i="155"/>
  <c r="E6" i="155"/>
  <c r="AA41" i="155"/>
  <c r="D41" i="155"/>
  <c r="C41" i="155"/>
  <c r="E39" i="155"/>
  <c r="B39" i="155"/>
  <c r="E38" i="155"/>
  <c r="B38" i="155"/>
  <c r="E37" i="155"/>
  <c r="B37" i="155"/>
  <c r="E36" i="155"/>
  <c r="B36" i="155"/>
  <c r="E35" i="155"/>
  <c r="B35" i="155"/>
  <c r="E34" i="155"/>
  <c r="B34" i="155"/>
  <c r="E33" i="155"/>
  <c r="B33" i="155"/>
  <c r="E32" i="155"/>
  <c r="B32" i="155"/>
  <c r="E31" i="155"/>
  <c r="B31" i="155"/>
  <c r="E30" i="155"/>
  <c r="B30" i="155"/>
  <c r="E29" i="155"/>
  <c r="B29" i="155"/>
  <c r="E28" i="155"/>
  <c r="B28" i="155"/>
  <c r="E27" i="155"/>
  <c r="B27" i="155"/>
  <c r="E26" i="155"/>
  <c r="B26" i="155"/>
  <c r="E25" i="155"/>
  <c r="B25" i="155"/>
  <c r="E24" i="155"/>
  <c r="B24" i="155"/>
  <c r="E23" i="155"/>
  <c r="B23" i="155"/>
  <c r="E22" i="155"/>
  <c r="B22" i="155"/>
  <c r="E21" i="155"/>
  <c r="B21" i="155"/>
  <c r="E20" i="155"/>
  <c r="B20" i="155"/>
  <c r="B19" i="155"/>
  <c r="B18" i="155"/>
  <c r="B17" i="155"/>
  <c r="B16" i="155"/>
  <c r="B15" i="155"/>
  <c r="B14" i="155"/>
  <c r="B13" i="155"/>
  <c r="B12" i="155"/>
  <c r="B11" i="155"/>
  <c r="B10" i="155"/>
  <c r="B9" i="155"/>
  <c r="B8" i="155"/>
  <c r="B7" i="155"/>
  <c r="B6" i="155"/>
  <c r="AK39" i="154"/>
  <c r="AJ39" i="154"/>
  <c r="AI39" i="154"/>
  <c r="AH39" i="154"/>
  <c r="AG39" i="154"/>
  <c r="AF39" i="154"/>
  <c r="AE39" i="154"/>
  <c r="AD39" i="154"/>
  <c r="Z39" i="154"/>
  <c r="Y39" i="154"/>
  <c r="X39" i="154"/>
  <c r="W39" i="154"/>
  <c r="V39" i="154"/>
  <c r="U39" i="154"/>
  <c r="S39" i="154"/>
  <c r="R39" i="154"/>
  <c r="Q39" i="154"/>
  <c r="J39" i="154"/>
  <c r="AK38" i="154"/>
  <c r="AJ38" i="154"/>
  <c r="AI38" i="154"/>
  <c r="AH38" i="154"/>
  <c r="AG38" i="154"/>
  <c r="AF38" i="154"/>
  <c r="AE38" i="154"/>
  <c r="AD38" i="154"/>
  <c r="Z38" i="154"/>
  <c r="Y38" i="154"/>
  <c r="X38" i="154"/>
  <c r="W38" i="154"/>
  <c r="V38" i="154"/>
  <c r="U38" i="154"/>
  <c r="S38" i="154"/>
  <c r="R38" i="154"/>
  <c r="Q38" i="154"/>
  <c r="J38" i="154"/>
  <c r="AK37" i="154"/>
  <c r="AJ37" i="154"/>
  <c r="AI37" i="154"/>
  <c r="AH37" i="154"/>
  <c r="AG37" i="154"/>
  <c r="AF37" i="154"/>
  <c r="AE37" i="154"/>
  <c r="AD37" i="154"/>
  <c r="Z37" i="154"/>
  <c r="Y37" i="154"/>
  <c r="X37" i="154"/>
  <c r="W37" i="154"/>
  <c r="V37" i="154"/>
  <c r="U37" i="154"/>
  <c r="S37" i="154"/>
  <c r="R37" i="154"/>
  <c r="Q37" i="154"/>
  <c r="J37" i="154"/>
  <c r="AK36" i="154"/>
  <c r="AJ36" i="154"/>
  <c r="AI36" i="154"/>
  <c r="AH36" i="154"/>
  <c r="AG36" i="154"/>
  <c r="AF36" i="154"/>
  <c r="AE36" i="154"/>
  <c r="AD36" i="154"/>
  <c r="Z36" i="154"/>
  <c r="Y36" i="154"/>
  <c r="X36" i="154"/>
  <c r="W36" i="154"/>
  <c r="V36" i="154"/>
  <c r="U36" i="154"/>
  <c r="S36" i="154"/>
  <c r="R36" i="154"/>
  <c r="Q36" i="154"/>
  <c r="J36" i="154"/>
  <c r="AK35" i="154"/>
  <c r="AJ35" i="154"/>
  <c r="AI35" i="154"/>
  <c r="AH35" i="154"/>
  <c r="AG35" i="154"/>
  <c r="AF35" i="154"/>
  <c r="AE35" i="154"/>
  <c r="AD35" i="154"/>
  <c r="Z35" i="154"/>
  <c r="Y35" i="154"/>
  <c r="X35" i="154"/>
  <c r="W35" i="154"/>
  <c r="V35" i="154"/>
  <c r="U35" i="154"/>
  <c r="S35" i="154"/>
  <c r="R35" i="154"/>
  <c r="Q35" i="154"/>
  <c r="J35" i="154"/>
  <c r="AK34" i="154"/>
  <c r="AJ34" i="154"/>
  <c r="AI34" i="154"/>
  <c r="AH34" i="154"/>
  <c r="AG34" i="154"/>
  <c r="AF34" i="154"/>
  <c r="AE34" i="154"/>
  <c r="AD34" i="154"/>
  <c r="Z34" i="154"/>
  <c r="Y34" i="154"/>
  <c r="X34" i="154"/>
  <c r="W34" i="154"/>
  <c r="V34" i="154"/>
  <c r="U34" i="154"/>
  <c r="S34" i="154"/>
  <c r="R34" i="154"/>
  <c r="Q34" i="154"/>
  <c r="J34" i="154"/>
  <c r="AK33" i="154"/>
  <c r="AJ33" i="154"/>
  <c r="AI33" i="154"/>
  <c r="AH33" i="154"/>
  <c r="AG33" i="154"/>
  <c r="AF33" i="154"/>
  <c r="AE33" i="154"/>
  <c r="AD33" i="154"/>
  <c r="Z33" i="154"/>
  <c r="Y33" i="154"/>
  <c r="X33" i="154"/>
  <c r="W33" i="154"/>
  <c r="V33" i="154"/>
  <c r="U33" i="154"/>
  <c r="S33" i="154"/>
  <c r="R33" i="154"/>
  <c r="Q33" i="154"/>
  <c r="J33" i="154"/>
  <c r="AK32" i="154"/>
  <c r="AJ32" i="154"/>
  <c r="AI32" i="154"/>
  <c r="AH32" i="154"/>
  <c r="AG32" i="154"/>
  <c r="AF32" i="154"/>
  <c r="AE32" i="154"/>
  <c r="AD32" i="154"/>
  <c r="Z32" i="154"/>
  <c r="Y32" i="154"/>
  <c r="X32" i="154"/>
  <c r="W32" i="154"/>
  <c r="V32" i="154"/>
  <c r="U32" i="154"/>
  <c r="T32" i="154"/>
  <c r="S32" i="154"/>
  <c r="R32" i="154"/>
  <c r="Q32" i="154"/>
  <c r="J32" i="154"/>
  <c r="AK31" i="154"/>
  <c r="AJ31" i="154"/>
  <c r="AI31" i="154"/>
  <c r="AH31" i="154"/>
  <c r="AG31" i="154"/>
  <c r="AF31" i="154"/>
  <c r="AE31" i="154"/>
  <c r="AD31" i="154"/>
  <c r="Z31" i="154"/>
  <c r="Y31" i="154"/>
  <c r="X31" i="154"/>
  <c r="W31" i="154"/>
  <c r="V31" i="154"/>
  <c r="U31" i="154"/>
  <c r="S31" i="154"/>
  <c r="R31" i="154"/>
  <c r="Q31" i="154"/>
  <c r="J31" i="154"/>
  <c r="AK30" i="154"/>
  <c r="AJ30" i="154"/>
  <c r="AI30" i="154"/>
  <c r="AH30" i="154"/>
  <c r="AG30" i="154"/>
  <c r="AF30" i="154"/>
  <c r="AE30" i="154"/>
  <c r="AD30" i="154"/>
  <c r="Z30" i="154"/>
  <c r="Y30" i="154"/>
  <c r="X30" i="154"/>
  <c r="W30" i="154"/>
  <c r="V30" i="154"/>
  <c r="U30" i="154"/>
  <c r="S30" i="154"/>
  <c r="R30" i="154"/>
  <c r="Q30" i="154"/>
  <c r="J30" i="154"/>
  <c r="AK29" i="154"/>
  <c r="AJ29" i="154"/>
  <c r="AI29" i="154"/>
  <c r="AH29" i="154"/>
  <c r="AG29" i="154"/>
  <c r="AF29" i="154"/>
  <c r="AE29" i="154"/>
  <c r="AD29" i="154"/>
  <c r="Z29" i="154"/>
  <c r="Y29" i="154"/>
  <c r="X29" i="154"/>
  <c r="W29" i="154"/>
  <c r="V29" i="154"/>
  <c r="U29" i="154"/>
  <c r="S29" i="154"/>
  <c r="R29" i="154"/>
  <c r="Q29" i="154"/>
  <c r="J29" i="154"/>
  <c r="AK28" i="154"/>
  <c r="AJ28" i="154"/>
  <c r="AI28" i="154"/>
  <c r="AH28" i="154"/>
  <c r="AG28" i="154"/>
  <c r="AF28" i="154"/>
  <c r="AE28" i="154"/>
  <c r="AD28" i="154"/>
  <c r="Z28" i="154"/>
  <c r="Y28" i="154"/>
  <c r="X28" i="154"/>
  <c r="W28" i="154"/>
  <c r="V28" i="154"/>
  <c r="U28" i="154"/>
  <c r="T28" i="154"/>
  <c r="S28" i="154"/>
  <c r="R28" i="154"/>
  <c r="Q28" i="154"/>
  <c r="J28" i="154"/>
  <c r="AK27" i="154"/>
  <c r="AJ27" i="154"/>
  <c r="AI27" i="154"/>
  <c r="AH27" i="154"/>
  <c r="AG27" i="154"/>
  <c r="AF27" i="154"/>
  <c r="AE27" i="154"/>
  <c r="AD27" i="154"/>
  <c r="Z27" i="154"/>
  <c r="Y27" i="154"/>
  <c r="X27" i="154"/>
  <c r="W27" i="154"/>
  <c r="V27" i="154"/>
  <c r="U27" i="154"/>
  <c r="S27" i="154"/>
  <c r="R27" i="154"/>
  <c r="Q27" i="154"/>
  <c r="J27" i="154"/>
  <c r="AK26" i="154"/>
  <c r="AJ26" i="154"/>
  <c r="AI26" i="154"/>
  <c r="AH26" i="154"/>
  <c r="AG26" i="154"/>
  <c r="AF26" i="154"/>
  <c r="AE26" i="154"/>
  <c r="AD26" i="154"/>
  <c r="Z26" i="154"/>
  <c r="Y26" i="154"/>
  <c r="X26" i="154"/>
  <c r="W26" i="154"/>
  <c r="V26" i="154"/>
  <c r="U26" i="154"/>
  <c r="S26" i="154"/>
  <c r="R26" i="154"/>
  <c r="Q26" i="154"/>
  <c r="J26" i="154"/>
  <c r="AK25" i="154"/>
  <c r="AJ25" i="154"/>
  <c r="AI25" i="154"/>
  <c r="AH25" i="154"/>
  <c r="AG25" i="154"/>
  <c r="AF25" i="154"/>
  <c r="AE25" i="154"/>
  <c r="AD25" i="154"/>
  <c r="Z25" i="154"/>
  <c r="Y25" i="154"/>
  <c r="X25" i="154"/>
  <c r="W25" i="154"/>
  <c r="V25" i="154"/>
  <c r="U25" i="154"/>
  <c r="S25" i="154"/>
  <c r="R25" i="154"/>
  <c r="Q25" i="154"/>
  <c r="J25" i="154"/>
  <c r="AK24" i="154"/>
  <c r="AJ24" i="154"/>
  <c r="AI24" i="154"/>
  <c r="AH24" i="154"/>
  <c r="AG24" i="154"/>
  <c r="AF24" i="154"/>
  <c r="AE24" i="154"/>
  <c r="AD24" i="154"/>
  <c r="Z24" i="154"/>
  <c r="Y24" i="154"/>
  <c r="X24" i="154"/>
  <c r="W24" i="154"/>
  <c r="V24" i="154"/>
  <c r="U24" i="154"/>
  <c r="S24" i="154"/>
  <c r="R24" i="154"/>
  <c r="Q24" i="154"/>
  <c r="J24" i="154"/>
  <c r="AK23" i="154"/>
  <c r="AJ23" i="154"/>
  <c r="AI23" i="154"/>
  <c r="AH23" i="154"/>
  <c r="AG23" i="154"/>
  <c r="AF23" i="154"/>
  <c r="AE23" i="154"/>
  <c r="AD23" i="154"/>
  <c r="Z23" i="154"/>
  <c r="Y23" i="154"/>
  <c r="X23" i="154"/>
  <c r="W23" i="154"/>
  <c r="V23" i="154"/>
  <c r="U23" i="154"/>
  <c r="S23" i="154"/>
  <c r="R23" i="154"/>
  <c r="Q23" i="154"/>
  <c r="J23" i="154"/>
  <c r="AK22" i="154"/>
  <c r="AJ22" i="154"/>
  <c r="AI22" i="154"/>
  <c r="AH22" i="154"/>
  <c r="AG22" i="154"/>
  <c r="AF22" i="154"/>
  <c r="AE22" i="154"/>
  <c r="AD22" i="154"/>
  <c r="Z22" i="154"/>
  <c r="Y22" i="154"/>
  <c r="X22" i="154"/>
  <c r="W22" i="154"/>
  <c r="V22" i="154"/>
  <c r="U22" i="154"/>
  <c r="S22" i="154"/>
  <c r="R22" i="154"/>
  <c r="Q22" i="154"/>
  <c r="J22" i="154"/>
  <c r="AK21" i="154"/>
  <c r="AJ21" i="154"/>
  <c r="AI21" i="154"/>
  <c r="AH21" i="154"/>
  <c r="AG21" i="154"/>
  <c r="AF21" i="154"/>
  <c r="AE21" i="154"/>
  <c r="AD21" i="154"/>
  <c r="Z21" i="154"/>
  <c r="Y21" i="154"/>
  <c r="X21" i="154"/>
  <c r="W21" i="154"/>
  <c r="V21" i="154"/>
  <c r="U21" i="154"/>
  <c r="S21" i="154"/>
  <c r="R21" i="154"/>
  <c r="Q21" i="154"/>
  <c r="J21" i="154"/>
  <c r="AK20" i="154"/>
  <c r="AJ20" i="154"/>
  <c r="AI20" i="154"/>
  <c r="AH20" i="154"/>
  <c r="AG20" i="154"/>
  <c r="AF20" i="154"/>
  <c r="AE20" i="154"/>
  <c r="AD20" i="154"/>
  <c r="Z20" i="154"/>
  <c r="Y20" i="154"/>
  <c r="X20" i="154"/>
  <c r="W20" i="154"/>
  <c r="V20" i="154"/>
  <c r="U20" i="154"/>
  <c r="S20" i="154"/>
  <c r="R20" i="154"/>
  <c r="Q20" i="154"/>
  <c r="J20" i="154"/>
  <c r="AK18" i="154"/>
  <c r="AJ18" i="154"/>
  <c r="AI18" i="154"/>
  <c r="AH18" i="154"/>
  <c r="AG18" i="154"/>
  <c r="AF18" i="154"/>
  <c r="AE18" i="154"/>
  <c r="AD18" i="154"/>
  <c r="Z18" i="154"/>
  <c r="Y18" i="154"/>
  <c r="X18" i="154"/>
  <c r="W18" i="154"/>
  <c r="V18" i="154"/>
  <c r="U18" i="154"/>
  <c r="S18" i="154"/>
  <c r="R18" i="154"/>
  <c r="Q18" i="154"/>
  <c r="J18" i="154"/>
  <c r="AK17" i="154"/>
  <c r="AJ17" i="154"/>
  <c r="AI17" i="154"/>
  <c r="AH17" i="154"/>
  <c r="AG17" i="154"/>
  <c r="AF17" i="154"/>
  <c r="AE17" i="154"/>
  <c r="AD17" i="154"/>
  <c r="Z17" i="154"/>
  <c r="Y17" i="154"/>
  <c r="X17" i="154"/>
  <c r="W17" i="154"/>
  <c r="V17" i="154"/>
  <c r="U17" i="154"/>
  <c r="S17" i="154"/>
  <c r="R17" i="154"/>
  <c r="Q17" i="154"/>
  <c r="J17" i="154"/>
  <c r="AK16" i="154"/>
  <c r="AJ16" i="154"/>
  <c r="AI16" i="154"/>
  <c r="AH16" i="154"/>
  <c r="AG16" i="154"/>
  <c r="AF16" i="154"/>
  <c r="AE16" i="154"/>
  <c r="AD16" i="154"/>
  <c r="Z16" i="154"/>
  <c r="Y16" i="154"/>
  <c r="X16" i="154"/>
  <c r="W16" i="154"/>
  <c r="V16" i="154"/>
  <c r="U16" i="154"/>
  <c r="S16" i="154"/>
  <c r="R16" i="154"/>
  <c r="Q16" i="154"/>
  <c r="J16" i="154"/>
  <c r="AK15" i="154"/>
  <c r="AJ15" i="154"/>
  <c r="AI15" i="154"/>
  <c r="AH15" i="154"/>
  <c r="AG15" i="154"/>
  <c r="AF15" i="154"/>
  <c r="AE15" i="154"/>
  <c r="AD15" i="154"/>
  <c r="Z15" i="154"/>
  <c r="Y15" i="154"/>
  <c r="X15" i="154"/>
  <c r="W15" i="154"/>
  <c r="V15" i="154"/>
  <c r="U15" i="154"/>
  <c r="S15" i="154"/>
  <c r="R15" i="154"/>
  <c r="Q15" i="154"/>
  <c r="J15" i="154"/>
  <c r="AK14" i="154"/>
  <c r="AJ14" i="154"/>
  <c r="AI14" i="154"/>
  <c r="AH14" i="154"/>
  <c r="AG14" i="154"/>
  <c r="AF14" i="154"/>
  <c r="AE14" i="154"/>
  <c r="AD14" i="154"/>
  <c r="Z14" i="154"/>
  <c r="Y14" i="154"/>
  <c r="X14" i="154"/>
  <c r="W14" i="154"/>
  <c r="V14" i="154"/>
  <c r="U14" i="154"/>
  <c r="S14" i="154"/>
  <c r="R14" i="154"/>
  <c r="Q14" i="154"/>
  <c r="J14" i="154"/>
  <c r="AK13" i="154"/>
  <c r="AJ13" i="154"/>
  <c r="AI13" i="154"/>
  <c r="AH13" i="154"/>
  <c r="AG13" i="154"/>
  <c r="AF13" i="154"/>
  <c r="AE13" i="154"/>
  <c r="AD13" i="154"/>
  <c r="Z13" i="154"/>
  <c r="Y13" i="154"/>
  <c r="X13" i="154"/>
  <c r="W13" i="154"/>
  <c r="V13" i="154"/>
  <c r="U13" i="154"/>
  <c r="S13" i="154"/>
  <c r="R13" i="154"/>
  <c r="Q13" i="154"/>
  <c r="J13" i="154"/>
  <c r="AK12" i="154"/>
  <c r="AJ12" i="154"/>
  <c r="AI12" i="154"/>
  <c r="AH12" i="154"/>
  <c r="AG12" i="154"/>
  <c r="AF12" i="154"/>
  <c r="AE12" i="154"/>
  <c r="AD12" i="154"/>
  <c r="Z12" i="154"/>
  <c r="Y12" i="154"/>
  <c r="X12" i="154"/>
  <c r="W12" i="154"/>
  <c r="V12" i="154"/>
  <c r="U12" i="154"/>
  <c r="S12" i="154"/>
  <c r="R12" i="154"/>
  <c r="Q12" i="154"/>
  <c r="J12" i="154"/>
  <c r="AK11" i="154"/>
  <c r="AJ11" i="154"/>
  <c r="AI11" i="154"/>
  <c r="AH11" i="154"/>
  <c r="AG11" i="154"/>
  <c r="AF11" i="154"/>
  <c r="AE11" i="154"/>
  <c r="AD11" i="154"/>
  <c r="Z11" i="154"/>
  <c r="Y11" i="154"/>
  <c r="X11" i="154"/>
  <c r="W11" i="154"/>
  <c r="V11" i="154"/>
  <c r="U11" i="154"/>
  <c r="S11" i="154"/>
  <c r="R11" i="154"/>
  <c r="Q11" i="154"/>
  <c r="J11" i="154"/>
  <c r="AK10" i="154"/>
  <c r="AJ10" i="154"/>
  <c r="AI10" i="154"/>
  <c r="AH10" i="154"/>
  <c r="AG10" i="154"/>
  <c r="AF10" i="154"/>
  <c r="AE10" i="154"/>
  <c r="AD10" i="154"/>
  <c r="Z10" i="154"/>
  <c r="Y10" i="154"/>
  <c r="X10" i="154"/>
  <c r="W10" i="154"/>
  <c r="V10" i="154"/>
  <c r="U10" i="154"/>
  <c r="S10" i="154"/>
  <c r="R10" i="154"/>
  <c r="Q10" i="154"/>
  <c r="J10" i="154"/>
  <c r="AK9" i="154"/>
  <c r="AJ9" i="154"/>
  <c r="AI9" i="154"/>
  <c r="AH9" i="154"/>
  <c r="AG9" i="154"/>
  <c r="AF9" i="154"/>
  <c r="AE9" i="154"/>
  <c r="AD9" i="154"/>
  <c r="Z9" i="154"/>
  <c r="Y9" i="154"/>
  <c r="X9" i="154"/>
  <c r="W9" i="154"/>
  <c r="V9" i="154"/>
  <c r="U9" i="154"/>
  <c r="S9" i="154"/>
  <c r="R9" i="154"/>
  <c r="Q9" i="154"/>
  <c r="J9" i="154"/>
  <c r="AK8" i="154"/>
  <c r="AJ8" i="154"/>
  <c r="AI8" i="154"/>
  <c r="AH8" i="154"/>
  <c r="AG8" i="154"/>
  <c r="AF8" i="154"/>
  <c r="AE8" i="154"/>
  <c r="AD8" i="154"/>
  <c r="Z8" i="154"/>
  <c r="Y8" i="154"/>
  <c r="X8" i="154"/>
  <c r="W8" i="154"/>
  <c r="V8" i="154"/>
  <c r="U8" i="154"/>
  <c r="S8" i="154"/>
  <c r="R8" i="154"/>
  <c r="Q8" i="154"/>
  <c r="J8" i="154"/>
  <c r="AK7" i="154"/>
  <c r="AJ7" i="154"/>
  <c r="AI7" i="154"/>
  <c r="AH7" i="154"/>
  <c r="AG7" i="154"/>
  <c r="AF7" i="154"/>
  <c r="AE7" i="154"/>
  <c r="AD7" i="154"/>
  <c r="Z7" i="154"/>
  <c r="Y7" i="154"/>
  <c r="X7" i="154"/>
  <c r="W7" i="154"/>
  <c r="V7" i="154"/>
  <c r="U7" i="154"/>
  <c r="S7" i="154"/>
  <c r="R7" i="154"/>
  <c r="Q7" i="154"/>
  <c r="J7" i="154"/>
  <c r="AK6" i="154"/>
  <c r="AJ6" i="154"/>
  <c r="AI6" i="154"/>
  <c r="AH6" i="154"/>
  <c r="AG6" i="154"/>
  <c r="AF6" i="154"/>
  <c r="AE6" i="154"/>
  <c r="AD6" i="154"/>
  <c r="Z6" i="154"/>
  <c r="Y6" i="154"/>
  <c r="X6" i="154"/>
  <c r="W6" i="154"/>
  <c r="V6" i="154"/>
  <c r="U6" i="154"/>
  <c r="S6" i="154"/>
  <c r="R6" i="154"/>
  <c r="Q6" i="154"/>
  <c r="K6" i="154"/>
  <c r="M6" i="154" s="1"/>
  <c r="J6" i="154"/>
  <c r="E7" i="154"/>
  <c r="E8" i="154"/>
  <c r="E9" i="154"/>
  <c r="E10" i="154"/>
  <c r="E11" i="154"/>
  <c r="E12" i="154"/>
  <c r="E13" i="154"/>
  <c r="E14" i="154"/>
  <c r="E15" i="154"/>
  <c r="E16" i="154"/>
  <c r="E17" i="154"/>
  <c r="E18" i="154"/>
  <c r="E6" i="154"/>
  <c r="AA41" i="154"/>
  <c r="D41" i="154"/>
  <c r="C41" i="154"/>
  <c r="E39" i="154"/>
  <c r="B39" i="154"/>
  <c r="E38" i="154"/>
  <c r="B38" i="154"/>
  <c r="E37" i="154"/>
  <c r="B37" i="154"/>
  <c r="E36" i="154"/>
  <c r="B36" i="154"/>
  <c r="E35" i="154"/>
  <c r="B35" i="154"/>
  <c r="E34" i="154"/>
  <c r="B34" i="154"/>
  <c r="E33" i="154"/>
  <c r="B33" i="154"/>
  <c r="E32" i="154"/>
  <c r="B32" i="154"/>
  <c r="E31" i="154"/>
  <c r="B31" i="154"/>
  <c r="E30" i="154"/>
  <c r="B30" i="154"/>
  <c r="E29" i="154"/>
  <c r="B29" i="154"/>
  <c r="E28" i="154"/>
  <c r="B28" i="154"/>
  <c r="E27" i="154"/>
  <c r="B27" i="154"/>
  <c r="E26" i="154"/>
  <c r="B26" i="154"/>
  <c r="E25" i="154"/>
  <c r="B25" i="154"/>
  <c r="E24" i="154"/>
  <c r="B24" i="154"/>
  <c r="E23" i="154"/>
  <c r="B23" i="154"/>
  <c r="E22" i="154"/>
  <c r="B22" i="154"/>
  <c r="E21" i="154"/>
  <c r="B21" i="154"/>
  <c r="E20" i="154"/>
  <c r="B20" i="154"/>
  <c r="B19" i="154"/>
  <c r="B18" i="154"/>
  <c r="B17" i="154"/>
  <c r="B16" i="154"/>
  <c r="B15" i="154"/>
  <c r="B14" i="154"/>
  <c r="B13" i="154"/>
  <c r="B12" i="154"/>
  <c r="B11" i="154"/>
  <c r="B10" i="154"/>
  <c r="B9" i="154"/>
  <c r="B8" i="154"/>
  <c r="B7" i="154"/>
  <c r="B6" i="154"/>
  <c r="AK6" i="150"/>
  <c r="AJ6" i="150"/>
  <c r="AI6" i="150"/>
  <c r="AH6" i="150"/>
  <c r="AF6" i="150"/>
  <c r="AE6" i="150"/>
  <c r="AD6" i="150"/>
  <c r="Z6" i="150"/>
  <c r="Y6" i="150"/>
  <c r="X6" i="150"/>
  <c r="W6" i="150"/>
  <c r="V6" i="150"/>
  <c r="U6" i="150"/>
  <c r="T6" i="150"/>
  <c r="S6" i="150"/>
  <c r="R6" i="150"/>
  <c r="Q6" i="150"/>
  <c r="K6" i="150"/>
  <c r="J6" i="150"/>
  <c r="AK39" i="153"/>
  <c r="AJ39" i="153"/>
  <c r="AI39" i="153"/>
  <c r="AH39" i="153"/>
  <c r="AG39" i="153"/>
  <c r="AF39" i="153"/>
  <c r="AE39" i="153"/>
  <c r="AD39" i="153"/>
  <c r="Z39" i="153"/>
  <c r="Y39" i="153"/>
  <c r="X39" i="153"/>
  <c r="W39" i="153"/>
  <c r="V39" i="153"/>
  <c r="U39" i="153"/>
  <c r="S39" i="153"/>
  <c r="R39" i="153"/>
  <c r="Q39" i="153"/>
  <c r="J39" i="153"/>
  <c r="AK38" i="153"/>
  <c r="AJ38" i="153"/>
  <c r="AI38" i="153"/>
  <c r="AH38" i="153"/>
  <c r="AG38" i="153"/>
  <c r="AF38" i="153"/>
  <c r="AE38" i="153"/>
  <c r="AD38" i="153"/>
  <c r="Z38" i="153"/>
  <c r="Y38" i="153"/>
  <c r="X38" i="153"/>
  <c r="W38" i="153"/>
  <c r="V38" i="153"/>
  <c r="U38" i="153"/>
  <c r="S38" i="153"/>
  <c r="R38" i="153"/>
  <c r="Q38" i="153"/>
  <c r="J38" i="153"/>
  <c r="AK37" i="153"/>
  <c r="AJ37" i="153"/>
  <c r="AI37" i="153"/>
  <c r="AH37" i="153"/>
  <c r="AG37" i="153"/>
  <c r="AF37" i="153"/>
  <c r="AE37" i="153"/>
  <c r="AD37" i="153"/>
  <c r="Z37" i="153"/>
  <c r="Y37" i="153"/>
  <c r="X37" i="153"/>
  <c r="W37" i="153"/>
  <c r="V37" i="153"/>
  <c r="U37" i="153"/>
  <c r="S37" i="153"/>
  <c r="R37" i="153"/>
  <c r="Q37" i="153"/>
  <c r="J37" i="153"/>
  <c r="AK36" i="153"/>
  <c r="AJ36" i="153"/>
  <c r="AI36" i="153"/>
  <c r="AH36" i="153"/>
  <c r="AG36" i="153"/>
  <c r="AF36" i="153"/>
  <c r="AE36" i="153"/>
  <c r="AD36" i="153"/>
  <c r="Z36" i="153"/>
  <c r="Y36" i="153"/>
  <c r="X36" i="153"/>
  <c r="W36" i="153"/>
  <c r="V36" i="153"/>
  <c r="U36" i="153"/>
  <c r="S36" i="153"/>
  <c r="R36" i="153"/>
  <c r="Q36" i="153"/>
  <c r="J36" i="153"/>
  <c r="AK35" i="153"/>
  <c r="AJ35" i="153"/>
  <c r="AI35" i="153"/>
  <c r="AH35" i="153"/>
  <c r="AG35" i="153"/>
  <c r="AF35" i="153"/>
  <c r="AE35" i="153"/>
  <c r="AD35" i="153"/>
  <c r="Z35" i="153"/>
  <c r="Y35" i="153"/>
  <c r="X35" i="153"/>
  <c r="W35" i="153"/>
  <c r="V35" i="153"/>
  <c r="U35" i="153"/>
  <c r="S35" i="153"/>
  <c r="R35" i="153"/>
  <c r="Q35" i="153"/>
  <c r="J35" i="153"/>
  <c r="AK34" i="153"/>
  <c r="AJ34" i="153"/>
  <c r="AI34" i="153"/>
  <c r="AH34" i="153"/>
  <c r="AG34" i="153"/>
  <c r="AF34" i="153"/>
  <c r="AE34" i="153"/>
  <c r="AD34" i="153"/>
  <c r="Z34" i="153"/>
  <c r="Y34" i="153"/>
  <c r="X34" i="153"/>
  <c r="W34" i="153"/>
  <c r="V34" i="153"/>
  <c r="U34" i="153"/>
  <c r="S34" i="153"/>
  <c r="R34" i="153"/>
  <c r="Q34" i="153"/>
  <c r="J34" i="153"/>
  <c r="AK33" i="153"/>
  <c r="AJ33" i="153"/>
  <c r="AI33" i="153"/>
  <c r="AH33" i="153"/>
  <c r="AG33" i="153"/>
  <c r="AF33" i="153"/>
  <c r="AE33" i="153"/>
  <c r="AD33" i="153"/>
  <c r="Z33" i="153"/>
  <c r="Y33" i="153"/>
  <c r="X33" i="153"/>
  <c r="W33" i="153"/>
  <c r="V33" i="153"/>
  <c r="U33" i="153"/>
  <c r="S33" i="153"/>
  <c r="R33" i="153"/>
  <c r="Q33" i="153"/>
  <c r="J33" i="153"/>
  <c r="AK32" i="153"/>
  <c r="AJ32" i="153"/>
  <c r="AI32" i="153"/>
  <c r="AH32" i="153"/>
  <c r="AG32" i="153"/>
  <c r="AF32" i="153"/>
  <c r="AE32" i="153"/>
  <c r="AD32" i="153"/>
  <c r="Z32" i="153"/>
  <c r="Y32" i="153"/>
  <c r="X32" i="153"/>
  <c r="W32" i="153"/>
  <c r="V32" i="153"/>
  <c r="U32" i="153"/>
  <c r="S32" i="153"/>
  <c r="R32" i="153"/>
  <c r="Q32" i="153"/>
  <c r="J32" i="153"/>
  <c r="AK31" i="153"/>
  <c r="AJ31" i="153"/>
  <c r="AI31" i="153"/>
  <c r="AH31" i="153"/>
  <c r="AG31" i="153"/>
  <c r="AF31" i="153"/>
  <c r="AE31" i="153"/>
  <c r="AD31" i="153"/>
  <c r="Z31" i="153"/>
  <c r="Y31" i="153"/>
  <c r="X31" i="153"/>
  <c r="W31" i="153"/>
  <c r="V31" i="153"/>
  <c r="U31" i="153"/>
  <c r="S31" i="153"/>
  <c r="R31" i="153"/>
  <c r="Q31" i="153"/>
  <c r="J31" i="153"/>
  <c r="AK30" i="153"/>
  <c r="AJ30" i="153"/>
  <c r="AI30" i="153"/>
  <c r="AH30" i="153"/>
  <c r="AG30" i="153"/>
  <c r="AF30" i="153"/>
  <c r="AE30" i="153"/>
  <c r="AD30" i="153"/>
  <c r="Z30" i="153"/>
  <c r="Y30" i="153"/>
  <c r="X30" i="153"/>
  <c r="W30" i="153"/>
  <c r="V30" i="153"/>
  <c r="U30" i="153"/>
  <c r="S30" i="153"/>
  <c r="R30" i="153"/>
  <c r="Q30" i="153"/>
  <c r="J30" i="153"/>
  <c r="AK29" i="153"/>
  <c r="AJ29" i="153"/>
  <c r="AI29" i="153"/>
  <c r="AH29" i="153"/>
  <c r="AG29" i="153"/>
  <c r="AF29" i="153"/>
  <c r="AE29" i="153"/>
  <c r="AD29" i="153"/>
  <c r="Z29" i="153"/>
  <c r="Y29" i="153"/>
  <c r="X29" i="153"/>
  <c r="W29" i="153"/>
  <c r="V29" i="153"/>
  <c r="U29" i="153"/>
  <c r="S29" i="153"/>
  <c r="R29" i="153"/>
  <c r="Q29" i="153"/>
  <c r="J29" i="153"/>
  <c r="AK28" i="153"/>
  <c r="AJ28" i="153"/>
  <c r="AI28" i="153"/>
  <c r="AH28" i="153"/>
  <c r="AG28" i="153"/>
  <c r="AF28" i="153"/>
  <c r="AE28" i="153"/>
  <c r="AD28" i="153"/>
  <c r="Z28" i="153"/>
  <c r="Y28" i="153"/>
  <c r="X28" i="153"/>
  <c r="W28" i="153"/>
  <c r="V28" i="153"/>
  <c r="U28" i="153"/>
  <c r="S28" i="153"/>
  <c r="R28" i="153"/>
  <c r="Q28" i="153"/>
  <c r="J28" i="153"/>
  <c r="AK27" i="153"/>
  <c r="AJ27" i="153"/>
  <c r="AI27" i="153"/>
  <c r="AH27" i="153"/>
  <c r="AG27" i="153"/>
  <c r="AF27" i="153"/>
  <c r="AE27" i="153"/>
  <c r="AD27" i="153"/>
  <c r="Z27" i="153"/>
  <c r="Y27" i="153"/>
  <c r="X27" i="153"/>
  <c r="W27" i="153"/>
  <c r="V27" i="153"/>
  <c r="U27" i="153"/>
  <c r="S27" i="153"/>
  <c r="R27" i="153"/>
  <c r="Q27" i="153"/>
  <c r="J27" i="153"/>
  <c r="AK26" i="153"/>
  <c r="AJ26" i="153"/>
  <c r="AI26" i="153"/>
  <c r="AH26" i="153"/>
  <c r="AG26" i="153"/>
  <c r="AF26" i="153"/>
  <c r="AE26" i="153"/>
  <c r="AD26" i="153"/>
  <c r="Z26" i="153"/>
  <c r="Y26" i="153"/>
  <c r="X26" i="153"/>
  <c r="W26" i="153"/>
  <c r="V26" i="153"/>
  <c r="U26" i="153"/>
  <c r="S26" i="153"/>
  <c r="R26" i="153"/>
  <c r="Q26" i="153"/>
  <c r="J26" i="153"/>
  <c r="AK25" i="153"/>
  <c r="AJ25" i="153"/>
  <c r="AI25" i="153"/>
  <c r="AH25" i="153"/>
  <c r="AG25" i="153"/>
  <c r="AF25" i="153"/>
  <c r="AE25" i="153"/>
  <c r="AD25" i="153"/>
  <c r="Z25" i="153"/>
  <c r="Y25" i="153"/>
  <c r="X25" i="153"/>
  <c r="W25" i="153"/>
  <c r="V25" i="153"/>
  <c r="U25" i="153"/>
  <c r="S25" i="153"/>
  <c r="R25" i="153"/>
  <c r="Q25" i="153"/>
  <c r="J25" i="153"/>
  <c r="AK24" i="153"/>
  <c r="AJ24" i="153"/>
  <c r="AI24" i="153"/>
  <c r="AH24" i="153"/>
  <c r="AG24" i="153"/>
  <c r="AF24" i="153"/>
  <c r="AE24" i="153"/>
  <c r="AD24" i="153"/>
  <c r="Z24" i="153"/>
  <c r="Y24" i="153"/>
  <c r="X24" i="153"/>
  <c r="W24" i="153"/>
  <c r="V24" i="153"/>
  <c r="U24" i="153"/>
  <c r="S24" i="153"/>
  <c r="R24" i="153"/>
  <c r="Q24" i="153"/>
  <c r="J24" i="153"/>
  <c r="AK23" i="153"/>
  <c r="AJ23" i="153"/>
  <c r="AI23" i="153"/>
  <c r="AH23" i="153"/>
  <c r="AG23" i="153"/>
  <c r="AF23" i="153"/>
  <c r="AE23" i="153"/>
  <c r="AD23" i="153"/>
  <c r="Z23" i="153"/>
  <c r="Y23" i="153"/>
  <c r="X23" i="153"/>
  <c r="W23" i="153"/>
  <c r="V23" i="153"/>
  <c r="U23" i="153"/>
  <c r="S23" i="153"/>
  <c r="R23" i="153"/>
  <c r="Q23" i="153"/>
  <c r="J23" i="153"/>
  <c r="AK22" i="153"/>
  <c r="AJ22" i="153"/>
  <c r="AI22" i="153"/>
  <c r="AH22" i="153"/>
  <c r="AG22" i="153"/>
  <c r="AF22" i="153"/>
  <c r="AE22" i="153"/>
  <c r="AD22" i="153"/>
  <c r="Z22" i="153"/>
  <c r="Y22" i="153"/>
  <c r="X22" i="153"/>
  <c r="W22" i="153"/>
  <c r="V22" i="153"/>
  <c r="U22" i="153"/>
  <c r="S22" i="153"/>
  <c r="R22" i="153"/>
  <c r="Q22" i="153"/>
  <c r="J22" i="153"/>
  <c r="AK21" i="153"/>
  <c r="AJ21" i="153"/>
  <c r="AI21" i="153"/>
  <c r="AH21" i="153"/>
  <c r="AG21" i="153"/>
  <c r="AF21" i="153"/>
  <c r="AE21" i="153"/>
  <c r="AD21" i="153"/>
  <c r="Z21" i="153"/>
  <c r="Y21" i="153"/>
  <c r="X21" i="153"/>
  <c r="W21" i="153"/>
  <c r="V21" i="153"/>
  <c r="U21" i="153"/>
  <c r="S21" i="153"/>
  <c r="R21" i="153"/>
  <c r="Q21" i="153"/>
  <c r="J21" i="153"/>
  <c r="AK20" i="153"/>
  <c r="AJ20" i="153"/>
  <c r="AI20" i="153"/>
  <c r="AH20" i="153"/>
  <c r="AG20" i="153"/>
  <c r="AF20" i="153"/>
  <c r="AE20" i="153"/>
  <c r="AD20" i="153"/>
  <c r="Z20" i="153"/>
  <c r="Y20" i="153"/>
  <c r="X20" i="153"/>
  <c r="W20" i="153"/>
  <c r="V20" i="153"/>
  <c r="U20" i="153"/>
  <c r="S20" i="153"/>
  <c r="R20" i="153"/>
  <c r="Q20" i="153"/>
  <c r="J20" i="153"/>
  <c r="AK18" i="153"/>
  <c r="AJ18" i="153"/>
  <c r="AI18" i="153"/>
  <c r="AH18" i="153"/>
  <c r="AG18" i="153"/>
  <c r="AF18" i="153"/>
  <c r="AE18" i="153"/>
  <c r="AD18" i="153"/>
  <c r="Z18" i="153"/>
  <c r="Y18" i="153"/>
  <c r="X18" i="153"/>
  <c r="W18" i="153"/>
  <c r="V18" i="153"/>
  <c r="U18" i="153"/>
  <c r="S18" i="153"/>
  <c r="R18" i="153"/>
  <c r="Q18" i="153"/>
  <c r="J18" i="153"/>
  <c r="AK17" i="153"/>
  <c r="AJ17" i="153"/>
  <c r="AI17" i="153"/>
  <c r="AH17" i="153"/>
  <c r="AG17" i="153"/>
  <c r="AF17" i="153"/>
  <c r="AE17" i="153"/>
  <c r="AD17" i="153"/>
  <c r="Z17" i="153"/>
  <c r="Y17" i="153"/>
  <c r="X17" i="153"/>
  <c r="W17" i="153"/>
  <c r="V17" i="153"/>
  <c r="U17" i="153"/>
  <c r="S17" i="153"/>
  <c r="R17" i="153"/>
  <c r="Q17" i="153"/>
  <c r="J17" i="153"/>
  <c r="AK16" i="153"/>
  <c r="AJ16" i="153"/>
  <c r="AI16" i="153"/>
  <c r="AH16" i="153"/>
  <c r="AG16" i="153"/>
  <c r="AF16" i="153"/>
  <c r="AE16" i="153"/>
  <c r="AD16" i="153"/>
  <c r="Z16" i="153"/>
  <c r="Y16" i="153"/>
  <c r="X16" i="153"/>
  <c r="W16" i="153"/>
  <c r="V16" i="153"/>
  <c r="U16" i="153"/>
  <c r="S16" i="153"/>
  <c r="R16" i="153"/>
  <c r="Q16" i="153"/>
  <c r="J16" i="153"/>
  <c r="AK15" i="153"/>
  <c r="AJ15" i="153"/>
  <c r="AI15" i="153"/>
  <c r="AH15" i="153"/>
  <c r="AG15" i="153"/>
  <c r="AF15" i="153"/>
  <c r="AE15" i="153"/>
  <c r="AD15" i="153"/>
  <c r="Z15" i="153"/>
  <c r="Y15" i="153"/>
  <c r="X15" i="153"/>
  <c r="W15" i="153"/>
  <c r="V15" i="153"/>
  <c r="U15" i="153"/>
  <c r="S15" i="153"/>
  <c r="R15" i="153"/>
  <c r="Q15" i="153"/>
  <c r="J15" i="153"/>
  <c r="AK14" i="153"/>
  <c r="AJ14" i="153"/>
  <c r="AI14" i="153"/>
  <c r="AH14" i="153"/>
  <c r="AG14" i="153"/>
  <c r="AF14" i="153"/>
  <c r="AE14" i="153"/>
  <c r="AD14" i="153"/>
  <c r="Z14" i="153"/>
  <c r="Y14" i="153"/>
  <c r="X14" i="153"/>
  <c r="W14" i="153"/>
  <c r="V14" i="153"/>
  <c r="U14" i="153"/>
  <c r="S14" i="153"/>
  <c r="R14" i="153"/>
  <c r="Q14" i="153"/>
  <c r="J14" i="153"/>
  <c r="AK13" i="153"/>
  <c r="AJ13" i="153"/>
  <c r="AI13" i="153"/>
  <c r="AH13" i="153"/>
  <c r="AG13" i="153"/>
  <c r="AF13" i="153"/>
  <c r="AE13" i="153"/>
  <c r="AD13" i="153"/>
  <c r="Z13" i="153"/>
  <c r="Y13" i="153"/>
  <c r="X13" i="153"/>
  <c r="W13" i="153"/>
  <c r="V13" i="153"/>
  <c r="U13" i="153"/>
  <c r="S13" i="153"/>
  <c r="R13" i="153"/>
  <c r="Q13" i="153"/>
  <c r="J13" i="153"/>
  <c r="AK12" i="153"/>
  <c r="AJ12" i="153"/>
  <c r="AI12" i="153"/>
  <c r="AH12" i="153"/>
  <c r="AG12" i="153"/>
  <c r="AF12" i="153"/>
  <c r="AE12" i="153"/>
  <c r="AD12" i="153"/>
  <c r="Z12" i="153"/>
  <c r="Y12" i="153"/>
  <c r="X12" i="153"/>
  <c r="W12" i="153"/>
  <c r="V12" i="153"/>
  <c r="U12" i="153"/>
  <c r="S12" i="153"/>
  <c r="R12" i="153"/>
  <c r="Q12" i="153"/>
  <c r="J12" i="153"/>
  <c r="AK11" i="153"/>
  <c r="AJ11" i="153"/>
  <c r="AI11" i="153"/>
  <c r="AH11" i="153"/>
  <c r="AG11" i="153"/>
  <c r="AF11" i="153"/>
  <c r="AE11" i="153"/>
  <c r="AD11" i="153"/>
  <c r="Z11" i="153"/>
  <c r="Y11" i="153"/>
  <c r="X11" i="153"/>
  <c r="W11" i="153"/>
  <c r="V11" i="153"/>
  <c r="U11" i="153"/>
  <c r="T11" i="153"/>
  <c r="S11" i="153"/>
  <c r="R11" i="153"/>
  <c r="Q11" i="153"/>
  <c r="J11" i="153"/>
  <c r="AK10" i="153"/>
  <c r="AJ10" i="153"/>
  <c r="AI10" i="153"/>
  <c r="AH10" i="153"/>
  <c r="AG10" i="153"/>
  <c r="AF10" i="153"/>
  <c r="AE10" i="153"/>
  <c r="AD10" i="153"/>
  <c r="Z10" i="153"/>
  <c r="Y10" i="153"/>
  <c r="X10" i="153"/>
  <c r="W10" i="153"/>
  <c r="V10" i="153"/>
  <c r="U10" i="153"/>
  <c r="S10" i="153"/>
  <c r="R10" i="153"/>
  <c r="Q10" i="153"/>
  <c r="J10" i="153"/>
  <c r="AK9" i="153"/>
  <c r="AJ9" i="153"/>
  <c r="AI9" i="153"/>
  <c r="AH9" i="153"/>
  <c r="AG9" i="153"/>
  <c r="AF9" i="153"/>
  <c r="AE9" i="153"/>
  <c r="AD9" i="153"/>
  <c r="Z9" i="153"/>
  <c r="Y9" i="153"/>
  <c r="X9" i="153"/>
  <c r="W9" i="153"/>
  <c r="V9" i="153"/>
  <c r="U9" i="153"/>
  <c r="S9" i="153"/>
  <c r="R9" i="153"/>
  <c r="Q9" i="153"/>
  <c r="J9" i="153"/>
  <c r="AK8" i="153"/>
  <c r="AJ8" i="153"/>
  <c r="AI8" i="153"/>
  <c r="AH8" i="153"/>
  <c r="AG8" i="153"/>
  <c r="AF8" i="153"/>
  <c r="AE8" i="153"/>
  <c r="AD8" i="153"/>
  <c r="Z8" i="153"/>
  <c r="Y8" i="153"/>
  <c r="X8" i="153"/>
  <c r="W8" i="153"/>
  <c r="V8" i="153"/>
  <c r="U8" i="153"/>
  <c r="S8" i="153"/>
  <c r="R8" i="153"/>
  <c r="Q8" i="153"/>
  <c r="J8" i="153"/>
  <c r="AK7" i="153"/>
  <c r="AJ7" i="153"/>
  <c r="AI7" i="153"/>
  <c r="AH7" i="153"/>
  <c r="AG7" i="153"/>
  <c r="AF7" i="153"/>
  <c r="AE7" i="153"/>
  <c r="AD7" i="153"/>
  <c r="Z7" i="153"/>
  <c r="Y7" i="153"/>
  <c r="X7" i="153"/>
  <c r="W7" i="153"/>
  <c r="V7" i="153"/>
  <c r="U7" i="153"/>
  <c r="S7" i="153"/>
  <c r="R7" i="153"/>
  <c r="Q7" i="153"/>
  <c r="J7" i="153"/>
  <c r="AK6" i="153"/>
  <c r="AJ6" i="153"/>
  <c r="AI6" i="153"/>
  <c r="AH6" i="153"/>
  <c r="AG6" i="153"/>
  <c r="AF6" i="153"/>
  <c r="AE6" i="153"/>
  <c r="AD6" i="153"/>
  <c r="Z6" i="153"/>
  <c r="Y6" i="153"/>
  <c r="X6" i="153"/>
  <c r="W6" i="153"/>
  <c r="V6" i="153"/>
  <c r="U6" i="153"/>
  <c r="S6" i="153"/>
  <c r="R6" i="153"/>
  <c r="Q6" i="153"/>
  <c r="K6" i="153"/>
  <c r="J6" i="153"/>
  <c r="E6" i="153"/>
  <c r="E8" i="153"/>
  <c r="E9" i="153"/>
  <c r="E10" i="153"/>
  <c r="E11" i="153"/>
  <c r="E12" i="153"/>
  <c r="E13" i="153"/>
  <c r="E14" i="153"/>
  <c r="E15" i="153"/>
  <c r="E16" i="153"/>
  <c r="E17" i="153"/>
  <c r="E18" i="153"/>
  <c r="E7" i="153"/>
  <c r="AA41" i="153"/>
  <c r="D41" i="153"/>
  <c r="C41" i="153"/>
  <c r="E39" i="153"/>
  <c r="B39" i="153"/>
  <c r="E38" i="153"/>
  <c r="B38" i="153"/>
  <c r="E37" i="153"/>
  <c r="B37" i="153"/>
  <c r="E36" i="153"/>
  <c r="B36" i="153"/>
  <c r="E35" i="153"/>
  <c r="B35" i="153"/>
  <c r="E34" i="153"/>
  <c r="B34" i="153"/>
  <c r="E33" i="153"/>
  <c r="B33" i="153"/>
  <c r="E32" i="153"/>
  <c r="B32" i="153"/>
  <c r="E31" i="153"/>
  <c r="B31" i="153"/>
  <c r="E30" i="153"/>
  <c r="B30" i="153"/>
  <c r="E29" i="153"/>
  <c r="B29" i="153"/>
  <c r="E28" i="153"/>
  <c r="B28" i="153"/>
  <c r="E27" i="153"/>
  <c r="B27" i="153"/>
  <c r="E26" i="153"/>
  <c r="B26" i="153"/>
  <c r="E25" i="153"/>
  <c r="B25" i="153"/>
  <c r="E24" i="153"/>
  <c r="B24" i="153"/>
  <c r="E23" i="153"/>
  <c r="B23" i="153"/>
  <c r="E22" i="153"/>
  <c r="B22" i="153"/>
  <c r="E21" i="153"/>
  <c r="B21" i="153"/>
  <c r="E20" i="153"/>
  <c r="B20" i="153"/>
  <c r="B19" i="153"/>
  <c r="B18" i="153"/>
  <c r="B17" i="153"/>
  <c r="B16" i="153"/>
  <c r="B15" i="153"/>
  <c r="B14" i="153"/>
  <c r="B13" i="153"/>
  <c r="B12" i="153"/>
  <c r="B11" i="153"/>
  <c r="B10" i="153"/>
  <c r="B9" i="153"/>
  <c r="B8" i="153"/>
  <c r="B7" i="153"/>
  <c r="B6" i="153"/>
  <c r="F20" i="147"/>
  <c r="F38" i="147"/>
  <c r="E41" i="147"/>
  <c r="G20" i="147"/>
  <c r="G38" i="147"/>
  <c r="I2" i="147"/>
  <c r="K7" i="164" l="1"/>
  <c r="V7" i="164"/>
  <c r="J7" i="164"/>
  <c r="O6" i="150"/>
  <c r="AJ7" i="164"/>
  <c r="Q7" i="164"/>
  <c r="AK7" i="164"/>
  <c r="R7" i="164"/>
  <c r="Z7" i="164"/>
  <c r="S7" i="164"/>
  <c r="AD7" i="164"/>
  <c r="AE7" i="164"/>
  <c r="AJ41" i="156"/>
  <c r="X41" i="156"/>
  <c r="AK41" i="156"/>
  <c r="Q41" i="156"/>
  <c r="L6" i="153"/>
  <c r="AI41" i="157"/>
  <c r="S41" i="157"/>
  <c r="AF41" i="156"/>
  <c r="W41" i="157"/>
  <c r="AK41" i="157"/>
  <c r="U41" i="156"/>
  <c r="Y41" i="156"/>
  <c r="T41" i="156"/>
  <c r="AG41" i="156"/>
  <c r="AG41" i="157"/>
  <c r="J41" i="157"/>
  <c r="AE41" i="157"/>
  <c r="E41" i="157"/>
  <c r="L6" i="157"/>
  <c r="M6" i="157"/>
  <c r="Q41" i="157"/>
  <c r="U41" i="157"/>
  <c r="Y41" i="157"/>
  <c r="AD41" i="157"/>
  <c r="AH41" i="157"/>
  <c r="R41" i="157"/>
  <c r="V41" i="157"/>
  <c r="Z41" i="157"/>
  <c r="O6" i="157"/>
  <c r="AF41" i="157"/>
  <c r="AJ41" i="157"/>
  <c r="T41" i="157"/>
  <c r="X41" i="157"/>
  <c r="J41" i="156"/>
  <c r="R41" i="156"/>
  <c r="V41" i="156"/>
  <c r="Z41" i="156"/>
  <c r="AE41" i="156"/>
  <c r="AI41" i="156"/>
  <c r="N6" i="156"/>
  <c r="M6" i="156"/>
  <c r="AD41" i="156"/>
  <c r="AH41" i="156"/>
  <c r="O6" i="156"/>
  <c r="S41" i="156"/>
  <c r="W41" i="156"/>
  <c r="E41" i="156"/>
  <c r="L6" i="154"/>
  <c r="N6" i="153"/>
  <c r="X41" i="153"/>
  <c r="N6" i="154"/>
  <c r="AH41" i="154"/>
  <c r="V41" i="154"/>
  <c r="O6" i="154"/>
  <c r="AF41" i="154"/>
  <c r="AI41" i="153"/>
  <c r="AD41" i="154"/>
  <c r="J41" i="154"/>
  <c r="R41" i="154"/>
  <c r="AJ41" i="154"/>
  <c r="Z41" i="154"/>
  <c r="Y41" i="155"/>
  <c r="Q41" i="155"/>
  <c r="U41" i="155"/>
  <c r="AD41" i="155"/>
  <c r="AH41" i="155"/>
  <c r="J41" i="155"/>
  <c r="L6" i="155"/>
  <c r="N6" i="155"/>
  <c r="M6" i="155"/>
  <c r="R41" i="155"/>
  <c r="V41" i="155"/>
  <c r="Z41" i="155"/>
  <c r="AE41" i="155"/>
  <c r="AI41" i="155"/>
  <c r="E41" i="155"/>
  <c r="W41" i="155"/>
  <c r="AF41" i="155"/>
  <c r="X41" i="155"/>
  <c r="S41" i="155"/>
  <c r="AJ41" i="155"/>
  <c r="AG41" i="155"/>
  <c r="AK41" i="155"/>
  <c r="E41" i="154"/>
  <c r="X41" i="154"/>
  <c r="AG41" i="154"/>
  <c r="U41" i="154"/>
  <c r="AK41" i="154"/>
  <c r="Q41" i="154"/>
  <c r="Y41" i="154"/>
  <c r="AE41" i="154"/>
  <c r="AI41" i="154"/>
  <c r="S41" i="154"/>
  <c r="W41" i="154"/>
  <c r="L6" i="150"/>
  <c r="M6" i="150"/>
  <c r="N6" i="150"/>
  <c r="AJ41" i="153"/>
  <c r="E41" i="153"/>
  <c r="AF41" i="153"/>
  <c r="M6" i="153"/>
  <c r="O6" i="153"/>
  <c r="J41" i="153"/>
  <c r="S41" i="153"/>
  <c r="W41" i="153"/>
  <c r="AK41" i="153"/>
  <c r="U41" i="153"/>
  <c r="AD41" i="153"/>
  <c r="AG41" i="153"/>
  <c r="Q41" i="153"/>
  <c r="Y41" i="153"/>
  <c r="AH41" i="153"/>
  <c r="R41" i="153"/>
  <c r="V41" i="153"/>
  <c r="Z41" i="153"/>
  <c r="AE41" i="153"/>
  <c r="L7" i="164" l="1"/>
  <c r="J6" i="165"/>
  <c r="I6" i="165"/>
  <c r="N7" i="164"/>
  <c r="M7" i="164"/>
  <c r="W7" i="164"/>
  <c r="O7" i="164"/>
  <c r="K6" i="165" l="1"/>
  <c r="F6" i="165"/>
  <c r="D6" i="165"/>
  <c r="G6" i="165"/>
  <c r="E6" i="165"/>
  <c r="T6" i="155"/>
  <c r="T41" i="155" s="1"/>
  <c r="T27" i="154" l="1"/>
  <c r="T8" i="154"/>
  <c r="T7" i="154" l="1"/>
  <c r="T9" i="154" l="1"/>
  <c r="T10" i="154"/>
  <c r="T12" i="154"/>
  <c r="T13" i="154"/>
  <c r="T14" i="154"/>
  <c r="T15" i="154"/>
  <c r="T16" i="154"/>
  <c r="T17" i="154"/>
  <c r="T18" i="154"/>
  <c r="T20" i="154"/>
  <c r="T21" i="154"/>
  <c r="T22" i="154"/>
  <c r="T23" i="154"/>
  <c r="T24" i="154"/>
  <c r="T25" i="154"/>
  <c r="T26" i="154"/>
  <c r="T29" i="154"/>
  <c r="T30" i="154"/>
  <c r="T31" i="154"/>
  <c r="T33" i="154"/>
  <c r="T34" i="154"/>
  <c r="T35" i="154"/>
  <c r="T36" i="154"/>
  <c r="T37" i="154"/>
  <c r="T38" i="154"/>
  <c r="T39" i="154"/>
  <c r="T11" i="154" l="1"/>
  <c r="T6" i="154"/>
  <c r="T41" i="154" l="1"/>
  <c r="T7" i="153"/>
  <c r="T14" i="153" l="1"/>
  <c r="T29" i="153"/>
  <c r="T15" i="153"/>
  <c r="T18" i="153"/>
  <c r="T23" i="153"/>
  <c r="T26" i="153"/>
  <c r="T33" i="153"/>
  <c r="T36" i="153"/>
  <c r="T25" i="153"/>
  <c r="T39" i="153"/>
  <c r="T12" i="153"/>
  <c r="T16" i="153"/>
  <c r="T20" i="153"/>
  <c r="T27" i="153"/>
  <c r="T30" i="153"/>
  <c r="T34" i="153"/>
  <c r="T37" i="153"/>
  <c r="T17" i="153"/>
  <c r="T22" i="153"/>
  <c r="T32" i="153"/>
  <c r="T35" i="153"/>
  <c r="T13" i="153"/>
  <c r="T21" i="153"/>
  <c r="T24" i="153"/>
  <c r="T28" i="153"/>
  <c r="T31" i="153"/>
  <c r="T38" i="153"/>
  <c r="T8" i="153"/>
  <c r="T10" i="153"/>
  <c r="T9" i="153"/>
  <c r="T6" i="153"/>
  <c r="T41" i="153" l="1"/>
  <c r="C34" i="147" l="1"/>
  <c r="C35" i="164" l="1"/>
  <c r="G34" i="147"/>
  <c r="F34" i="147"/>
  <c r="C34" i="165" l="1"/>
  <c r="J37" i="147"/>
  <c r="K37" i="147"/>
  <c r="O37" i="147" s="1"/>
  <c r="P37" i="147"/>
  <c r="Q37" i="147"/>
  <c r="R37" i="147"/>
  <c r="S37" i="147"/>
  <c r="T37" i="147"/>
  <c r="U37" i="147"/>
  <c r="V37" i="147"/>
  <c r="W37" i="147"/>
  <c r="X37" i="147"/>
  <c r="Y37" i="147"/>
  <c r="Z37" i="147"/>
  <c r="AB37" i="147"/>
  <c r="AC37" i="147"/>
  <c r="AD37" i="147"/>
  <c r="AE37" i="147"/>
  <c r="AF37" i="147"/>
  <c r="AG37" i="147"/>
  <c r="AH37" i="147"/>
  <c r="AI37" i="147"/>
  <c r="AJ37" i="147"/>
  <c r="AK37" i="147"/>
  <c r="AL37" i="147"/>
  <c r="J39" i="147"/>
  <c r="K39" i="147"/>
  <c r="O39" i="147" s="1"/>
  <c r="P39" i="147"/>
  <c r="Q39" i="147"/>
  <c r="R39" i="147"/>
  <c r="S39" i="147"/>
  <c r="T39" i="147"/>
  <c r="U39" i="147"/>
  <c r="V39" i="147"/>
  <c r="W39" i="147"/>
  <c r="X39" i="147"/>
  <c r="Y39" i="147"/>
  <c r="Z39" i="147"/>
  <c r="AB39" i="147"/>
  <c r="AC39" i="147"/>
  <c r="AD39" i="147"/>
  <c r="AE39" i="147"/>
  <c r="AF39" i="147"/>
  <c r="AG39" i="147"/>
  <c r="AH39" i="147"/>
  <c r="AI39" i="147"/>
  <c r="AJ39" i="147"/>
  <c r="AK39" i="147"/>
  <c r="AL39" i="147"/>
  <c r="B7" i="147"/>
  <c r="B8" i="147"/>
  <c r="B9" i="147"/>
  <c r="B10" i="147"/>
  <c r="B11" i="147"/>
  <c r="B12" i="147"/>
  <c r="B13" i="147"/>
  <c r="B14" i="147"/>
  <c r="B15" i="147"/>
  <c r="B16" i="147"/>
  <c r="B17" i="147"/>
  <c r="B18" i="147"/>
  <c r="B19" i="147"/>
  <c r="B20" i="147"/>
  <c r="B21" i="147"/>
  <c r="B22" i="147"/>
  <c r="B23" i="147"/>
  <c r="B24" i="147"/>
  <c r="B25" i="147"/>
  <c r="B26" i="147"/>
  <c r="B27" i="147"/>
  <c r="B28" i="147"/>
  <c r="B29" i="147"/>
  <c r="B30" i="147"/>
  <c r="B31" i="147"/>
  <c r="B32" i="147"/>
  <c r="B33" i="147"/>
  <c r="B34" i="147"/>
  <c r="B35" i="147"/>
  <c r="B36" i="147"/>
  <c r="B37" i="147"/>
  <c r="B38" i="147"/>
  <c r="B39" i="147"/>
  <c r="B6" i="147"/>
  <c r="N39" i="147" l="1"/>
  <c r="N37" i="147"/>
  <c r="M39" i="147"/>
  <c r="M37" i="147"/>
  <c r="L39" i="147" l="1"/>
  <c r="L37" i="147"/>
  <c r="AG7" i="147" l="1"/>
  <c r="AG8" i="147"/>
  <c r="AG9" i="147"/>
  <c r="AG10" i="147"/>
  <c r="AG11" i="147"/>
  <c r="AG12" i="147"/>
  <c r="AG13" i="147"/>
  <c r="AG14" i="147"/>
  <c r="AG15" i="147"/>
  <c r="AG16" i="147"/>
  <c r="AG17" i="147"/>
  <c r="AG18" i="147"/>
  <c r="AG21" i="147"/>
  <c r="AG22" i="147"/>
  <c r="AG23" i="147"/>
  <c r="AG24" i="147"/>
  <c r="AG25" i="147"/>
  <c r="AG26" i="147"/>
  <c r="AG27" i="147"/>
  <c r="AG28" i="147"/>
  <c r="AG29" i="147"/>
  <c r="AG30" i="147"/>
  <c r="AG31" i="147"/>
  <c r="AG32" i="147"/>
  <c r="AG33" i="147"/>
  <c r="AG35" i="147"/>
  <c r="AG36" i="147"/>
  <c r="AG6" i="147"/>
  <c r="G6" i="147" l="1"/>
  <c r="D37" i="147" l="1"/>
  <c r="D38" i="164" s="1"/>
  <c r="D39" i="147"/>
  <c r="D40" i="164" s="1"/>
  <c r="AL7" i="147" l="1"/>
  <c r="AL8" i="147"/>
  <c r="AL9" i="147"/>
  <c r="AL10" i="147"/>
  <c r="AL11" i="147"/>
  <c r="AL12" i="147"/>
  <c r="AL13" i="147"/>
  <c r="AL14" i="147"/>
  <c r="AL15" i="147"/>
  <c r="AL16" i="147"/>
  <c r="AL17" i="147"/>
  <c r="AL18" i="147"/>
  <c r="AL21" i="147"/>
  <c r="AL22" i="147"/>
  <c r="AL23" i="147"/>
  <c r="AL24" i="147"/>
  <c r="AL25" i="147"/>
  <c r="AL26" i="147"/>
  <c r="AL27" i="147"/>
  <c r="AL28" i="147"/>
  <c r="AL29" i="147"/>
  <c r="AL30" i="147"/>
  <c r="AL31" i="147"/>
  <c r="AL32" i="147"/>
  <c r="AL33" i="147"/>
  <c r="AL35" i="147"/>
  <c r="AL36" i="147"/>
  <c r="AL6" i="147"/>
  <c r="AK7" i="147"/>
  <c r="AK8" i="147"/>
  <c r="AK9" i="147"/>
  <c r="AK10" i="147"/>
  <c r="AK11" i="147"/>
  <c r="AK12" i="147"/>
  <c r="AK13" i="147"/>
  <c r="AK14" i="147"/>
  <c r="AK15" i="147"/>
  <c r="AK16" i="147"/>
  <c r="AK17" i="147"/>
  <c r="AK18" i="147"/>
  <c r="AK21" i="147"/>
  <c r="AK22" i="147"/>
  <c r="AK23" i="147"/>
  <c r="AK24" i="147"/>
  <c r="AK25" i="147"/>
  <c r="AK26" i="147"/>
  <c r="AK27" i="147"/>
  <c r="AK28" i="147"/>
  <c r="AK29" i="147"/>
  <c r="AK30" i="147"/>
  <c r="AK31" i="147"/>
  <c r="AK32" i="147"/>
  <c r="AK33" i="147"/>
  <c r="AK35" i="147"/>
  <c r="AK36" i="147"/>
  <c r="AK6" i="147"/>
  <c r="AJ7" i="147"/>
  <c r="AJ8" i="147"/>
  <c r="AJ9" i="147"/>
  <c r="AJ10" i="147"/>
  <c r="AJ11" i="147"/>
  <c r="AJ12" i="147"/>
  <c r="AJ13" i="147"/>
  <c r="AJ14" i="147"/>
  <c r="AJ15" i="147"/>
  <c r="AJ16" i="147"/>
  <c r="AJ17" i="147"/>
  <c r="AJ18" i="147"/>
  <c r="AJ21" i="147"/>
  <c r="AJ22" i="147"/>
  <c r="AJ23" i="147"/>
  <c r="AJ24" i="147"/>
  <c r="AJ25" i="147"/>
  <c r="AJ26" i="147"/>
  <c r="AJ27" i="147"/>
  <c r="AJ28" i="147"/>
  <c r="AJ29" i="147"/>
  <c r="AJ30" i="147"/>
  <c r="AJ31" i="147"/>
  <c r="AJ32" i="147"/>
  <c r="AJ33" i="147"/>
  <c r="AJ35" i="147"/>
  <c r="AJ36" i="147"/>
  <c r="AJ6" i="147"/>
  <c r="AI7" i="147"/>
  <c r="AI8" i="147"/>
  <c r="AI9" i="147"/>
  <c r="AI10" i="147"/>
  <c r="AI11" i="147"/>
  <c r="AI12" i="147"/>
  <c r="AI13" i="147"/>
  <c r="AI14" i="147"/>
  <c r="AI15" i="147"/>
  <c r="AI16" i="147"/>
  <c r="AI17" i="147"/>
  <c r="AI18" i="147"/>
  <c r="AI21" i="147"/>
  <c r="AI22" i="147"/>
  <c r="AI23" i="147"/>
  <c r="AI24" i="147"/>
  <c r="AI25" i="147"/>
  <c r="AI26" i="147"/>
  <c r="AI27" i="147"/>
  <c r="AI28" i="147"/>
  <c r="AI29" i="147"/>
  <c r="AI30" i="147"/>
  <c r="AI31" i="147"/>
  <c r="AI32" i="147"/>
  <c r="AI33" i="147"/>
  <c r="AI35" i="147"/>
  <c r="AI36" i="147"/>
  <c r="AI6" i="147"/>
  <c r="AH7" i="147"/>
  <c r="AH8" i="147"/>
  <c r="AH9" i="147"/>
  <c r="AH10" i="147"/>
  <c r="AH11" i="147"/>
  <c r="AH12" i="147"/>
  <c r="AH13" i="147"/>
  <c r="AH14" i="147"/>
  <c r="AH15" i="147"/>
  <c r="AH16" i="147"/>
  <c r="AH17" i="147"/>
  <c r="AH18" i="147"/>
  <c r="AH21" i="147"/>
  <c r="AH22" i="147"/>
  <c r="AH23" i="147"/>
  <c r="AH24" i="147"/>
  <c r="AH25" i="147"/>
  <c r="AH26" i="147"/>
  <c r="AH27" i="147"/>
  <c r="AH28" i="147"/>
  <c r="AH29" i="147"/>
  <c r="AH30" i="147"/>
  <c r="AH31" i="147"/>
  <c r="AH32" i="147"/>
  <c r="AH33" i="147"/>
  <c r="AH35" i="147"/>
  <c r="AH36" i="147"/>
  <c r="AH6" i="147"/>
  <c r="AF7" i="147"/>
  <c r="AF8" i="147"/>
  <c r="AF9" i="147"/>
  <c r="AF10" i="147"/>
  <c r="AF11" i="147"/>
  <c r="AF12" i="147"/>
  <c r="AF13" i="147"/>
  <c r="AF14" i="147"/>
  <c r="AF15" i="147"/>
  <c r="AF16" i="147"/>
  <c r="AF17" i="147"/>
  <c r="AF18" i="147"/>
  <c r="AF21" i="147"/>
  <c r="AF22" i="147"/>
  <c r="AF23" i="147"/>
  <c r="AF24" i="147"/>
  <c r="AF25" i="147"/>
  <c r="AF26" i="147"/>
  <c r="AF27" i="147"/>
  <c r="AF28" i="147"/>
  <c r="AF29" i="147"/>
  <c r="AF30" i="147"/>
  <c r="AF31" i="147"/>
  <c r="AF32" i="147"/>
  <c r="AF33" i="147"/>
  <c r="AF35" i="147"/>
  <c r="AF36" i="147"/>
  <c r="AF6" i="147"/>
  <c r="AE8" i="147"/>
  <c r="AE9" i="147"/>
  <c r="AE10" i="147"/>
  <c r="AE11" i="147"/>
  <c r="AE12" i="147"/>
  <c r="AE13" i="147"/>
  <c r="AE14" i="147"/>
  <c r="AE15" i="147"/>
  <c r="AE16" i="147"/>
  <c r="AE17" i="147"/>
  <c r="AE18" i="147"/>
  <c r="AE21" i="147"/>
  <c r="AE22" i="147"/>
  <c r="AE23" i="147"/>
  <c r="AE24" i="147"/>
  <c r="AE25" i="147"/>
  <c r="AE26" i="147"/>
  <c r="AE27" i="147"/>
  <c r="AE28" i="147"/>
  <c r="AE29" i="147"/>
  <c r="AE30" i="147"/>
  <c r="AE31" i="147"/>
  <c r="AE32" i="147"/>
  <c r="AE33" i="147"/>
  <c r="AE35" i="147"/>
  <c r="AE36" i="147"/>
  <c r="AE7" i="147"/>
  <c r="AD8" i="147"/>
  <c r="AD9" i="147"/>
  <c r="AD10" i="147"/>
  <c r="AD11" i="147"/>
  <c r="AD12" i="147"/>
  <c r="AD13" i="147"/>
  <c r="AD14" i="147"/>
  <c r="AD15" i="147"/>
  <c r="AD16" i="147"/>
  <c r="AD17" i="147"/>
  <c r="AD18" i="147"/>
  <c r="AD21" i="147"/>
  <c r="AD22" i="147"/>
  <c r="AD23" i="147"/>
  <c r="AD24" i="147"/>
  <c r="AD25" i="147"/>
  <c r="AD26" i="147"/>
  <c r="AD27" i="147"/>
  <c r="AD28" i="147"/>
  <c r="AD29" i="147"/>
  <c r="AD30" i="147"/>
  <c r="AD31" i="147"/>
  <c r="AD32" i="147"/>
  <c r="AD33" i="147"/>
  <c r="AD35" i="147"/>
  <c r="AD36" i="147"/>
  <c r="AC8" i="147"/>
  <c r="AC9" i="147"/>
  <c r="AC10" i="147"/>
  <c r="AC11" i="147"/>
  <c r="AC12" i="147"/>
  <c r="AC13" i="147"/>
  <c r="AC14" i="147"/>
  <c r="AC15" i="147"/>
  <c r="AC16" i="147"/>
  <c r="AC17" i="147"/>
  <c r="AC18" i="147"/>
  <c r="AC21" i="147"/>
  <c r="AC22" i="147"/>
  <c r="AC23" i="147"/>
  <c r="AC24" i="147"/>
  <c r="AC25" i="147"/>
  <c r="AC26" i="147"/>
  <c r="AC27" i="147"/>
  <c r="AC28" i="147"/>
  <c r="AC29" i="147"/>
  <c r="AC30" i="147"/>
  <c r="AC31" i="147"/>
  <c r="AC32" i="147"/>
  <c r="AC33" i="147"/>
  <c r="AC35" i="147"/>
  <c r="AC36" i="147"/>
  <c r="AC7" i="147"/>
  <c r="AB8" i="147"/>
  <c r="AB9" i="147"/>
  <c r="AB10" i="147"/>
  <c r="AB11" i="147"/>
  <c r="AB12" i="147"/>
  <c r="AB13" i="147"/>
  <c r="AB14" i="147"/>
  <c r="AB15" i="147"/>
  <c r="AB16" i="147"/>
  <c r="AB17" i="147"/>
  <c r="AB18" i="147"/>
  <c r="AB21" i="147"/>
  <c r="AB22" i="147"/>
  <c r="AB23" i="147"/>
  <c r="AB24" i="147"/>
  <c r="AB25" i="147"/>
  <c r="AB26" i="147"/>
  <c r="AB27" i="147"/>
  <c r="AB28" i="147"/>
  <c r="AB29" i="147"/>
  <c r="AB30" i="147"/>
  <c r="AB31" i="147"/>
  <c r="AB32" i="147"/>
  <c r="AB33" i="147"/>
  <c r="AB35" i="147"/>
  <c r="AB36" i="147"/>
  <c r="AB7" i="147"/>
  <c r="Z8" i="147"/>
  <c r="Z9" i="147"/>
  <c r="Z10" i="147"/>
  <c r="Z11" i="147"/>
  <c r="Z12" i="147"/>
  <c r="Z13" i="147"/>
  <c r="Z14" i="147"/>
  <c r="Z15" i="147"/>
  <c r="Z16" i="147"/>
  <c r="Z17" i="147"/>
  <c r="Z18" i="147"/>
  <c r="Z21" i="147"/>
  <c r="Z22" i="147"/>
  <c r="Z23" i="147"/>
  <c r="Z24" i="147"/>
  <c r="Z25" i="147"/>
  <c r="Z26" i="147"/>
  <c r="Z27" i="147"/>
  <c r="Z28" i="147"/>
  <c r="Z29" i="147"/>
  <c r="Z30" i="147"/>
  <c r="Z31" i="147"/>
  <c r="Z32" i="147"/>
  <c r="Z33" i="147"/>
  <c r="Z35" i="147"/>
  <c r="Z36" i="147"/>
  <c r="Z7" i="147"/>
  <c r="Y8" i="147"/>
  <c r="Y9" i="147"/>
  <c r="Y10" i="147"/>
  <c r="Y11" i="147"/>
  <c r="Y12" i="147"/>
  <c r="Y13" i="147"/>
  <c r="Y14" i="147"/>
  <c r="Y15" i="147"/>
  <c r="Y16" i="147"/>
  <c r="Y17" i="147"/>
  <c r="Y18" i="147"/>
  <c r="Y21" i="147"/>
  <c r="Y22" i="147"/>
  <c r="Y23" i="147"/>
  <c r="Y24" i="147"/>
  <c r="Y25" i="147"/>
  <c r="Y26" i="147"/>
  <c r="Y27" i="147"/>
  <c r="Y28" i="147"/>
  <c r="Y29" i="147"/>
  <c r="Y30" i="147"/>
  <c r="Y31" i="147"/>
  <c r="Y32" i="147"/>
  <c r="Y33" i="147"/>
  <c r="Y35" i="147"/>
  <c r="Y36" i="147"/>
  <c r="Y7" i="147"/>
  <c r="X8" i="147"/>
  <c r="X9" i="147"/>
  <c r="X10" i="147"/>
  <c r="X11" i="147"/>
  <c r="X12" i="147"/>
  <c r="X13" i="147"/>
  <c r="X14" i="147"/>
  <c r="X15" i="147"/>
  <c r="X16" i="147"/>
  <c r="X17" i="147"/>
  <c r="X18" i="147"/>
  <c r="X21" i="147"/>
  <c r="X22" i="147"/>
  <c r="X23" i="147"/>
  <c r="X24" i="147"/>
  <c r="X25" i="147"/>
  <c r="X26" i="147"/>
  <c r="X27" i="147"/>
  <c r="X28" i="147"/>
  <c r="X29" i="147"/>
  <c r="X30" i="147"/>
  <c r="X31" i="147"/>
  <c r="X32" i="147"/>
  <c r="X33" i="147"/>
  <c r="X35" i="147"/>
  <c r="X36" i="147"/>
  <c r="X7" i="147"/>
  <c r="W8" i="147"/>
  <c r="W9" i="147"/>
  <c r="W10" i="147"/>
  <c r="W11" i="147"/>
  <c r="W12" i="147"/>
  <c r="W13" i="147"/>
  <c r="W14" i="147"/>
  <c r="W15" i="147"/>
  <c r="W16" i="147"/>
  <c r="W17" i="147"/>
  <c r="W18" i="147"/>
  <c r="W21" i="147"/>
  <c r="W22" i="147"/>
  <c r="W23" i="147"/>
  <c r="W24" i="147"/>
  <c r="W25" i="147"/>
  <c r="W26" i="147"/>
  <c r="W27" i="147"/>
  <c r="W28" i="147"/>
  <c r="W29" i="147"/>
  <c r="W30" i="147"/>
  <c r="W31" i="147"/>
  <c r="W32" i="147"/>
  <c r="W33" i="147"/>
  <c r="W35" i="147"/>
  <c r="W36" i="147"/>
  <c r="W7" i="147"/>
  <c r="V8" i="147"/>
  <c r="V9" i="147"/>
  <c r="V10" i="147"/>
  <c r="V11" i="147"/>
  <c r="V12" i="147"/>
  <c r="V13" i="147"/>
  <c r="V14" i="147"/>
  <c r="V15" i="147"/>
  <c r="V17" i="147"/>
  <c r="V18" i="147"/>
  <c r="V21" i="147"/>
  <c r="V22" i="147"/>
  <c r="V23" i="147"/>
  <c r="V24" i="147"/>
  <c r="V25" i="147"/>
  <c r="V26" i="147"/>
  <c r="V27" i="147"/>
  <c r="V28" i="147"/>
  <c r="V29" i="147"/>
  <c r="V30" i="147"/>
  <c r="V31" i="147"/>
  <c r="V32" i="147"/>
  <c r="V33" i="147"/>
  <c r="V35" i="147"/>
  <c r="V36" i="147"/>
  <c r="V7" i="147"/>
  <c r="U8" i="147"/>
  <c r="U9" i="147"/>
  <c r="U10" i="147"/>
  <c r="U11" i="147"/>
  <c r="U12" i="147"/>
  <c r="U13" i="147"/>
  <c r="U14" i="147"/>
  <c r="U15" i="147"/>
  <c r="U16" i="147"/>
  <c r="U17" i="147"/>
  <c r="U18" i="147"/>
  <c r="U21" i="147"/>
  <c r="U22" i="147"/>
  <c r="U23" i="147"/>
  <c r="U24" i="147"/>
  <c r="U25" i="147"/>
  <c r="U26" i="147"/>
  <c r="U27" i="147"/>
  <c r="U28" i="147"/>
  <c r="U29" i="147"/>
  <c r="U30" i="147"/>
  <c r="U31" i="147"/>
  <c r="U32" i="147"/>
  <c r="U33" i="147"/>
  <c r="U35" i="147"/>
  <c r="U36" i="147"/>
  <c r="U7" i="147"/>
  <c r="T8" i="147"/>
  <c r="T9" i="147"/>
  <c r="T10" i="147"/>
  <c r="T11" i="147"/>
  <c r="T12" i="147"/>
  <c r="T13" i="147"/>
  <c r="T14" i="147"/>
  <c r="T15" i="147"/>
  <c r="T16" i="147"/>
  <c r="T17" i="147"/>
  <c r="T18" i="147"/>
  <c r="T21" i="147"/>
  <c r="T22" i="147"/>
  <c r="T23" i="147"/>
  <c r="T24" i="147"/>
  <c r="T25" i="147"/>
  <c r="T26" i="147"/>
  <c r="T27" i="147"/>
  <c r="T28" i="147"/>
  <c r="T29" i="147"/>
  <c r="T30" i="147"/>
  <c r="T31" i="147"/>
  <c r="T32" i="147"/>
  <c r="T33" i="147"/>
  <c r="T35" i="147"/>
  <c r="T36" i="147"/>
  <c r="S8" i="147"/>
  <c r="S9" i="147"/>
  <c r="S10" i="147"/>
  <c r="S11" i="147"/>
  <c r="S12" i="147"/>
  <c r="S13" i="147"/>
  <c r="S14" i="147"/>
  <c r="S15" i="147"/>
  <c r="S17" i="147"/>
  <c r="S18" i="147"/>
  <c r="S21" i="147"/>
  <c r="S22" i="147"/>
  <c r="S23" i="147"/>
  <c r="S24" i="147"/>
  <c r="S25" i="147"/>
  <c r="S26" i="147"/>
  <c r="S27" i="147"/>
  <c r="S28" i="147"/>
  <c r="S29" i="147"/>
  <c r="S30" i="147"/>
  <c r="S31" i="147"/>
  <c r="S32" i="147"/>
  <c r="S33" i="147"/>
  <c r="S35" i="147"/>
  <c r="S36" i="147"/>
  <c r="S7" i="147"/>
  <c r="R8" i="147"/>
  <c r="R9" i="147"/>
  <c r="R10" i="147"/>
  <c r="R11" i="147"/>
  <c r="R12" i="147"/>
  <c r="R13" i="147"/>
  <c r="R14" i="147"/>
  <c r="R15" i="147"/>
  <c r="R16" i="147"/>
  <c r="R17" i="147"/>
  <c r="R18" i="147"/>
  <c r="R21" i="147"/>
  <c r="R22" i="147"/>
  <c r="R23" i="147"/>
  <c r="R24" i="147"/>
  <c r="R25" i="147"/>
  <c r="R26" i="147"/>
  <c r="R27" i="147"/>
  <c r="R28" i="147"/>
  <c r="R29" i="147"/>
  <c r="R30" i="147"/>
  <c r="R31" i="147"/>
  <c r="R32" i="147"/>
  <c r="R33" i="147"/>
  <c r="R35" i="147"/>
  <c r="R36" i="147"/>
  <c r="R7" i="147"/>
  <c r="Q8" i="147"/>
  <c r="Q9" i="147"/>
  <c r="Q10" i="147"/>
  <c r="Q11" i="147"/>
  <c r="Q12" i="147"/>
  <c r="Q13" i="147"/>
  <c r="Q14" i="147"/>
  <c r="Q15" i="147"/>
  <c r="Q16" i="147"/>
  <c r="Q17" i="147"/>
  <c r="Q18" i="147"/>
  <c r="Q21" i="147"/>
  <c r="Q22" i="147"/>
  <c r="Q23" i="147"/>
  <c r="Q24" i="147"/>
  <c r="Q25" i="147"/>
  <c r="Q26" i="147"/>
  <c r="Q27" i="147"/>
  <c r="Q28" i="147"/>
  <c r="Q29" i="147"/>
  <c r="Q30" i="147"/>
  <c r="Q31" i="147"/>
  <c r="Q32" i="147"/>
  <c r="Q33" i="147"/>
  <c r="Q35" i="147"/>
  <c r="Q36" i="147"/>
  <c r="Q7" i="147"/>
  <c r="P8" i="147"/>
  <c r="P9" i="147"/>
  <c r="P10" i="147"/>
  <c r="P11" i="147"/>
  <c r="P12" i="147"/>
  <c r="P13" i="147"/>
  <c r="P14" i="147"/>
  <c r="P15" i="147"/>
  <c r="P16" i="147"/>
  <c r="P17" i="147"/>
  <c r="P18" i="147"/>
  <c r="P21" i="147"/>
  <c r="P22" i="147"/>
  <c r="P23" i="147"/>
  <c r="P24" i="147"/>
  <c r="P25" i="147"/>
  <c r="P26" i="147"/>
  <c r="P27" i="147"/>
  <c r="P28" i="147"/>
  <c r="P29" i="147"/>
  <c r="P30" i="147"/>
  <c r="P31" i="147"/>
  <c r="P32" i="147"/>
  <c r="P33" i="147"/>
  <c r="P35" i="147"/>
  <c r="P36" i="147"/>
  <c r="P7" i="147"/>
  <c r="K8" i="147"/>
  <c r="K9" i="147"/>
  <c r="K10" i="147"/>
  <c r="K11" i="147"/>
  <c r="K12" i="147"/>
  <c r="K13" i="147"/>
  <c r="K14" i="147"/>
  <c r="K15" i="147"/>
  <c r="K16" i="147"/>
  <c r="K17" i="147"/>
  <c r="K18" i="147"/>
  <c r="K21" i="147"/>
  <c r="K22" i="147"/>
  <c r="K23" i="147"/>
  <c r="K24" i="147"/>
  <c r="K25" i="147"/>
  <c r="K26" i="147"/>
  <c r="K27" i="147"/>
  <c r="K28" i="147"/>
  <c r="K29" i="147"/>
  <c r="K30" i="147"/>
  <c r="K31" i="147"/>
  <c r="K32" i="147"/>
  <c r="K33" i="147"/>
  <c r="K35" i="147"/>
  <c r="K36" i="147"/>
  <c r="K7" i="147"/>
  <c r="J8" i="147"/>
  <c r="J9" i="147"/>
  <c r="J10" i="147"/>
  <c r="J11" i="147"/>
  <c r="J12" i="147"/>
  <c r="J13" i="147"/>
  <c r="J14" i="147"/>
  <c r="J15" i="147"/>
  <c r="J16" i="147"/>
  <c r="J17" i="147"/>
  <c r="J18" i="147"/>
  <c r="J21" i="147"/>
  <c r="J22" i="147"/>
  <c r="J23" i="147"/>
  <c r="J24" i="147"/>
  <c r="J25" i="147"/>
  <c r="J26" i="147"/>
  <c r="J27" i="147"/>
  <c r="J28" i="147"/>
  <c r="J29" i="147"/>
  <c r="J30" i="147"/>
  <c r="J31" i="147"/>
  <c r="J32" i="147"/>
  <c r="J33" i="147"/>
  <c r="J35" i="147"/>
  <c r="J36" i="147"/>
  <c r="J7" i="147"/>
  <c r="AD7" i="147"/>
  <c r="AL41" i="147" l="1"/>
  <c r="D8" i="147" l="1"/>
  <c r="D9" i="164" s="1"/>
  <c r="D9" i="147"/>
  <c r="D10" i="164" s="1"/>
  <c r="D10" i="147"/>
  <c r="D11" i="164" s="1"/>
  <c r="D11" i="147"/>
  <c r="D12" i="164" s="1"/>
  <c r="D12" i="147"/>
  <c r="D13" i="164" s="1"/>
  <c r="D13" i="147"/>
  <c r="D14" i="164" s="1"/>
  <c r="D14" i="147"/>
  <c r="D15" i="164" s="1"/>
  <c r="D15" i="147"/>
  <c r="D16" i="164" s="1"/>
  <c r="D16" i="147"/>
  <c r="D17" i="164" s="1"/>
  <c r="D17" i="147"/>
  <c r="D18" i="164" s="1"/>
  <c r="D18" i="147"/>
  <c r="D19" i="164" s="1"/>
  <c r="D21" i="147"/>
  <c r="D22" i="164" s="1"/>
  <c r="D22" i="147"/>
  <c r="D23" i="164" s="1"/>
  <c r="D23" i="147"/>
  <c r="D24" i="164" s="1"/>
  <c r="D24" i="147"/>
  <c r="D25" i="164" s="1"/>
  <c r="D25" i="147"/>
  <c r="D26" i="164" s="1"/>
  <c r="D26" i="147"/>
  <c r="D27" i="164" s="1"/>
  <c r="D27" i="147"/>
  <c r="D28" i="164" s="1"/>
  <c r="D29" i="164"/>
  <c r="D29" i="147"/>
  <c r="D30" i="164" s="1"/>
  <c r="D30" i="147"/>
  <c r="D31" i="164" s="1"/>
  <c r="D31" i="147"/>
  <c r="D32" i="164" s="1"/>
  <c r="D32" i="147"/>
  <c r="D33" i="164" s="1"/>
  <c r="D33" i="147"/>
  <c r="D34" i="164" s="1"/>
  <c r="D35" i="147"/>
  <c r="D36" i="164" s="1"/>
  <c r="D37" i="164"/>
  <c r="D8" i="164"/>
  <c r="D6" i="147"/>
  <c r="D7" i="164" s="1"/>
  <c r="C6" i="165" l="1"/>
  <c r="D42" i="164"/>
  <c r="E44" i="164" s="1"/>
  <c r="F6" i="147"/>
  <c r="AK20" i="150"/>
  <c r="AK21" i="164" s="1"/>
  <c r="AJ20" i="150"/>
  <c r="AJ21" i="164" s="1"/>
  <c r="AI20" i="150"/>
  <c r="AI21" i="164" s="1"/>
  <c r="AH20" i="150"/>
  <c r="AH21" i="164" s="1"/>
  <c r="AG20" i="150"/>
  <c r="AG21" i="164" s="1"/>
  <c r="AF20" i="150"/>
  <c r="AF21" i="164" s="1"/>
  <c r="AE20" i="150"/>
  <c r="AD20" i="150"/>
  <c r="AD21" i="164" s="1"/>
  <c r="Z20" i="150"/>
  <c r="Z21" i="164" s="1"/>
  <c r="Y20" i="150"/>
  <c r="X20" i="150"/>
  <c r="W20" i="150"/>
  <c r="V20" i="150"/>
  <c r="V21" i="164" s="1"/>
  <c r="U20" i="150"/>
  <c r="T20" i="150"/>
  <c r="S20" i="150"/>
  <c r="S21" i="164" s="1"/>
  <c r="R20" i="150"/>
  <c r="Q20" i="150"/>
  <c r="J20" i="150"/>
  <c r="J21" i="164" s="1"/>
  <c r="E20" i="150"/>
  <c r="B20" i="150"/>
  <c r="W21" i="164" l="1"/>
  <c r="Q21" i="164"/>
  <c r="R21" i="164"/>
  <c r="AE21" i="164"/>
  <c r="Q8" i="150"/>
  <c r="Q9" i="150"/>
  <c r="Q10" i="150"/>
  <c r="Q11" i="150"/>
  <c r="Q12" i="150"/>
  <c r="Q13" i="150"/>
  <c r="Q14" i="150"/>
  <c r="Q15" i="150"/>
  <c r="Q16" i="150"/>
  <c r="Q17" i="150"/>
  <c r="Q18" i="150"/>
  <c r="Q21" i="150"/>
  <c r="Q22" i="150"/>
  <c r="Q23" i="150"/>
  <c r="Q24" i="150"/>
  <c r="Q25" i="150"/>
  <c r="Q26" i="150"/>
  <c r="Q27" i="150"/>
  <c r="Q28" i="150"/>
  <c r="Q29" i="150"/>
  <c r="Q30" i="150"/>
  <c r="Q31" i="150"/>
  <c r="Q32" i="150"/>
  <c r="Q33" i="150"/>
  <c r="Q34" i="150"/>
  <c r="Q35" i="150"/>
  <c r="Q36" i="150"/>
  <c r="Q37" i="150"/>
  <c r="Q38" i="150"/>
  <c r="Q39" i="150"/>
  <c r="Q7" i="150"/>
  <c r="R8" i="150"/>
  <c r="R9" i="150"/>
  <c r="R10" i="150"/>
  <c r="R11" i="150"/>
  <c r="R12" i="150"/>
  <c r="R13" i="150"/>
  <c r="R14" i="150"/>
  <c r="R15" i="150"/>
  <c r="R16" i="150"/>
  <c r="R17" i="150"/>
  <c r="R18" i="150"/>
  <c r="R21" i="150"/>
  <c r="R22" i="150"/>
  <c r="R23" i="150"/>
  <c r="R24" i="150"/>
  <c r="R25" i="150"/>
  <c r="R26" i="150"/>
  <c r="R27" i="150"/>
  <c r="R28" i="150"/>
  <c r="R29" i="150"/>
  <c r="R30" i="150"/>
  <c r="R31" i="150"/>
  <c r="R32" i="150"/>
  <c r="R33" i="150"/>
  <c r="R34" i="150"/>
  <c r="R35" i="150"/>
  <c r="R36" i="150"/>
  <c r="R37" i="150"/>
  <c r="R38" i="150"/>
  <c r="R39" i="150"/>
  <c r="AK38" i="150"/>
  <c r="AK39" i="164" s="1"/>
  <c r="AJ38" i="150"/>
  <c r="AJ39" i="164" s="1"/>
  <c r="AI38" i="150"/>
  <c r="AI39" i="164" s="1"/>
  <c r="AH38" i="150"/>
  <c r="AH39" i="164" s="1"/>
  <c r="AG38" i="150"/>
  <c r="AG39" i="164" s="1"/>
  <c r="AF38" i="150"/>
  <c r="AF39" i="164" s="1"/>
  <c r="AE38" i="150"/>
  <c r="AD38" i="150"/>
  <c r="AD39" i="164" s="1"/>
  <c r="Z38" i="150"/>
  <c r="Z39" i="164" s="1"/>
  <c r="Y38" i="150"/>
  <c r="X38" i="150"/>
  <c r="W38" i="150"/>
  <c r="V38" i="150"/>
  <c r="V39" i="164" s="1"/>
  <c r="U38" i="150"/>
  <c r="T38" i="150"/>
  <c r="S38" i="150"/>
  <c r="S39" i="164" s="1"/>
  <c r="J38" i="150"/>
  <c r="E38" i="150"/>
  <c r="B38" i="150"/>
  <c r="B7" i="150"/>
  <c r="B8" i="150"/>
  <c r="B9" i="150"/>
  <c r="B10" i="150"/>
  <c r="B11" i="150"/>
  <c r="B12" i="150"/>
  <c r="B13" i="150"/>
  <c r="B14" i="150"/>
  <c r="B15" i="150"/>
  <c r="B16" i="150"/>
  <c r="B17" i="150"/>
  <c r="B18" i="150"/>
  <c r="B19" i="150"/>
  <c r="B21" i="150"/>
  <c r="B22" i="150"/>
  <c r="B23" i="150"/>
  <c r="B24" i="150"/>
  <c r="B25" i="150"/>
  <c r="B26" i="150"/>
  <c r="B27" i="150"/>
  <c r="B28" i="150"/>
  <c r="B29" i="150"/>
  <c r="B30" i="150"/>
  <c r="B31" i="150"/>
  <c r="B32" i="150"/>
  <c r="B33" i="150"/>
  <c r="B34" i="150"/>
  <c r="B35" i="150"/>
  <c r="B36" i="150"/>
  <c r="B37" i="150"/>
  <c r="B39" i="150"/>
  <c r="B6" i="150"/>
  <c r="AK34" i="150"/>
  <c r="AK35" i="164" s="1"/>
  <c r="AJ34" i="150"/>
  <c r="AJ35" i="164" s="1"/>
  <c r="AI34" i="150"/>
  <c r="AI35" i="164" s="1"/>
  <c r="AH34" i="150"/>
  <c r="AH35" i="164" s="1"/>
  <c r="AG34" i="150"/>
  <c r="AG35" i="164" s="1"/>
  <c r="AF34" i="150"/>
  <c r="AF35" i="164" s="1"/>
  <c r="AE34" i="150"/>
  <c r="AD34" i="150"/>
  <c r="AD35" i="164" s="1"/>
  <c r="Z34" i="150"/>
  <c r="Z35" i="164" s="1"/>
  <c r="Y34" i="150"/>
  <c r="X34" i="150"/>
  <c r="W34" i="150"/>
  <c r="V34" i="150"/>
  <c r="V35" i="164" s="1"/>
  <c r="U34" i="150"/>
  <c r="T34" i="150"/>
  <c r="S34" i="150"/>
  <c r="S35" i="164" s="1"/>
  <c r="J34" i="150"/>
  <c r="J35" i="164" s="1"/>
  <c r="E34" i="150"/>
  <c r="J20" i="165" l="1"/>
  <c r="K20" i="165"/>
  <c r="I20" i="165"/>
  <c r="W35" i="164"/>
  <c r="W39" i="164"/>
  <c r="R40" i="164"/>
  <c r="R32" i="164"/>
  <c r="R24" i="164"/>
  <c r="R14" i="164"/>
  <c r="Q39" i="164"/>
  <c r="Q31" i="164"/>
  <c r="Q23" i="164"/>
  <c r="Q13" i="164"/>
  <c r="AE39" i="164"/>
  <c r="R39" i="164"/>
  <c r="R31" i="164"/>
  <c r="R23" i="164"/>
  <c r="R13" i="164"/>
  <c r="Q38" i="164"/>
  <c r="Q30" i="164"/>
  <c r="Q22" i="164"/>
  <c r="Q12" i="164"/>
  <c r="R38" i="164"/>
  <c r="R30" i="164"/>
  <c r="R22" i="164"/>
  <c r="R12" i="164"/>
  <c r="Q37" i="164"/>
  <c r="Q29" i="164"/>
  <c r="Q19" i="164"/>
  <c r="Q11" i="164"/>
  <c r="R37" i="164"/>
  <c r="R29" i="164"/>
  <c r="R19" i="164"/>
  <c r="R11" i="164"/>
  <c r="Q36" i="164"/>
  <c r="Q28" i="164"/>
  <c r="Q18" i="164"/>
  <c r="Q10" i="164"/>
  <c r="R36" i="164"/>
  <c r="R28" i="164"/>
  <c r="R18" i="164"/>
  <c r="R10" i="164"/>
  <c r="Q35" i="164"/>
  <c r="Q27" i="164"/>
  <c r="Q17" i="164"/>
  <c r="Q9" i="164"/>
  <c r="R35" i="164"/>
  <c r="R27" i="164"/>
  <c r="R17" i="164"/>
  <c r="R9" i="164"/>
  <c r="Q34" i="164"/>
  <c r="Q26" i="164"/>
  <c r="Q16" i="164"/>
  <c r="AE35" i="164"/>
  <c r="R34" i="164"/>
  <c r="R26" i="164"/>
  <c r="R16" i="164"/>
  <c r="Q8" i="164"/>
  <c r="Q33" i="164"/>
  <c r="Q25" i="164"/>
  <c r="Q15" i="164"/>
  <c r="J39" i="164"/>
  <c r="R33" i="164"/>
  <c r="R25" i="164"/>
  <c r="R15" i="164"/>
  <c r="Q40" i="164"/>
  <c r="Q32" i="164"/>
  <c r="Q24" i="164"/>
  <c r="Q14" i="164"/>
  <c r="E8" i="150"/>
  <c r="E9" i="150"/>
  <c r="E10" i="150"/>
  <c r="E11" i="150"/>
  <c r="E12" i="150"/>
  <c r="E13" i="150"/>
  <c r="E14" i="150"/>
  <c r="E15" i="150"/>
  <c r="E16" i="150"/>
  <c r="E17" i="150"/>
  <c r="E18" i="150"/>
  <c r="E21" i="150"/>
  <c r="E22" i="150"/>
  <c r="E23" i="150"/>
  <c r="E24" i="150"/>
  <c r="E25" i="150"/>
  <c r="E26" i="150"/>
  <c r="E27" i="150"/>
  <c r="E28" i="150"/>
  <c r="E29" i="150"/>
  <c r="E30" i="150"/>
  <c r="E31" i="150"/>
  <c r="E32" i="150"/>
  <c r="E33" i="150"/>
  <c r="E35" i="150"/>
  <c r="E36" i="150"/>
  <c r="E37" i="150"/>
  <c r="E39" i="150"/>
  <c r="E7" i="150"/>
  <c r="J8" i="150"/>
  <c r="J9" i="164" s="1"/>
  <c r="S8" i="150"/>
  <c r="S9" i="164" s="1"/>
  <c r="T8" i="150"/>
  <c r="U8" i="150"/>
  <c r="V8" i="150"/>
  <c r="V9" i="164" s="1"/>
  <c r="W8" i="150"/>
  <c r="X8" i="150"/>
  <c r="Y8" i="150"/>
  <c r="Z8" i="150"/>
  <c r="Z9" i="164" s="1"/>
  <c r="AD8" i="150"/>
  <c r="AD9" i="164" s="1"/>
  <c r="AE8" i="150"/>
  <c r="J9" i="150"/>
  <c r="J10" i="164" s="1"/>
  <c r="S9" i="150"/>
  <c r="S10" i="164" s="1"/>
  <c r="T9" i="150"/>
  <c r="U9" i="150"/>
  <c r="V9" i="150"/>
  <c r="V10" i="164" s="1"/>
  <c r="W9" i="150"/>
  <c r="X9" i="150"/>
  <c r="Y9" i="150"/>
  <c r="Z9" i="150"/>
  <c r="Z10" i="164" s="1"/>
  <c r="AD9" i="150"/>
  <c r="AD10" i="164" s="1"/>
  <c r="AE9" i="150"/>
  <c r="J10" i="150"/>
  <c r="J11" i="164" s="1"/>
  <c r="S10" i="150"/>
  <c r="S11" i="164" s="1"/>
  <c r="T10" i="150"/>
  <c r="U10" i="150"/>
  <c r="V10" i="150"/>
  <c r="V11" i="164" s="1"/>
  <c r="W10" i="150"/>
  <c r="X10" i="150"/>
  <c r="Y10" i="150"/>
  <c r="Z10" i="150"/>
  <c r="Z11" i="164" s="1"/>
  <c r="AD10" i="150"/>
  <c r="AD11" i="164" s="1"/>
  <c r="AE10" i="150"/>
  <c r="J11" i="150"/>
  <c r="J12" i="164" s="1"/>
  <c r="S11" i="150"/>
  <c r="S12" i="164" s="1"/>
  <c r="T11" i="150"/>
  <c r="U11" i="150"/>
  <c r="V11" i="150"/>
  <c r="V12" i="164" s="1"/>
  <c r="W11" i="150"/>
  <c r="X11" i="150"/>
  <c r="Y11" i="150"/>
  <c r="Z11" i="150"/>
  <c r="Z12" i="164" s="1"/>
  <c r="AD11" i="150"/>
  <c r="AD12" i="164" s="1"/>
  <c r="AE11" i="150"/>
  <c r="J12" i="150"/>
  <c r="J13" i="164" s="1"/>
  <c r="S12" i="150"/>
  <c r="S13" i="164" s="1"/>
  <c r="T12" i="150"/>
  <c r="U12" i="150"/>
  <c r="V12" i="150"/>
  <c r="V13" i="164" s="1"/>
  <c r="W12" i="150"/>
  <c r="X12" i="150"/>
  <c r="Y12" i="150"/>
  <c r="Z12" i="150"/>
  <c r="Z13" i="164" s="1"/>
  <c r="AD12" i="150"/>
  <c r="AD13" i="164" s="1"/>
  <c r="AE12" i="150"/>
  <c r="J13" i="150"/>
  <c r="J14" i="164" s="1"/>
  <c r="S13" i="150"/>
  <c r="S14" i="164" s="1"/>
  <c r="T13" i="150"/>
  <c r="U13" i="150"/>
  <c r="V13" i="150"/>
  <c r="V14" i="164" s="1"/>
  <c r="W13" i="150"/>
  <c r="X13" i="150"/>
  <c r="Y13" i="150"/>
  <c r="Z13" i="150"/>
  <c r="Z14" i="164" s="1"/>
  <c r="AD13" i="150"/>
  <c r="AD14" i="164" s="1"/>
  <c r="AE13" i="150"/>
  <c r="J14" i="150"/>
  <c r="J15" i="164" s="1"/>
  <c r="S14" i="150"/>
  <c r="S15" i="164" s="1"/>
  <c r="T14" i="150"/>
  <c r="U14" i="150"/>
  <c r="V14" i="150"/>
  <c r="V15" i="164" s="1"/>
  <c r="W14" i="150"/>
  <c r="X14" i="150"/>
  <c r="Y14" i="150"/>
  <c r="Z14" i="150"/>
  <c r="Z15" i="164" s="1"/>
  <c r="AD14" i="150"/>
  <c r="AD15" i="164" s="1"/>
  <c r="AE14" i="150"/>
  <c r="J15" i="150"/>
  <c r="J16" i="164" s="1"/>
  <c r="S15" i="150"/>
  <c r="S16" i="164" s="1"/>
  <c r="T15" i="150"/>
  <c r="U15" i="150"/>
  <c r="V15" i="150"/>
  <c r="V16" i="164" s="1"/>
  <c r="W15" i="150"/>
  <c r="X15" i="150"/>
  <c r="Y15" i="150"/>
  <c r="Z15" i="150"/>
  <c r="Z16" i="164" s="1"/>
  <c r="AD15" i="150"/>
  <c r="AD16" i="164" s="1"/>
  <c r="AE15" i="150"/>
  <c r="J16" i="150"/>
  <c r="J17" i="164" s="1"/>
  <c r="S16" i="150"/>
  <c r="S17" i="164" s="1"/>
  <c r="T16" i="150"/>
  <c r="U16" i="150"/>
  <c r="V16" i="150"/>
  <c r="V17" i="164" s="1"/>
  <c r="W16" i="150"/>
  <c r="X16" i="150"/>
  <c r="Y16" i="150"/>
  <c r="Z16" i="150"/>
  <c r="Z17" i="164" s="1"/>
  <c r="AD16" i="150"/>
  <c r="AD17" i="164" s="1"/>
  <c r="AE16" i="150"/>
  <c r="J17" i="150"/>
  <c r="J18" i="164" s="1"/>
  <c r="S17" i="150"/>
  <c r="S18" i="164" s="1"/>
  <c r="T17" i="150"/>
  <c r="U17" i="150"/>
  <c r="V17" i="150"/>
  <c r="V18" i="164" s="1"/>
  <c r="W17" i="150"/>
  <c r="X17" i="150"/>
  <c r="Y17" i="150"/>
  <c r="Z17" i="150"/>
  <c r="Z18" i="164" s="1"/>
  <c r="AD17" i="150"/>
  <c r="AD18" i="164" s="1"/>
  <c r="AE17" i="150"/>
  <c r="J18" i="150"/>
  <c r="J19" i="164" s="1"/>
  <c r="S18" i="150"/>
  <c r="S19" i="164" s="1"/>
  <c r="T18" i="150"/>
  <c r="U18" i="150"/>
  <c r="V18" i="150"/>
  <c r="V19" i="164" s="1"/>
  <c r="W18" i="150"/>
  <c r="X18" i="150"/>
  <c r="Y18" i="150"/>
  <c r="Z18" i="150"/>
  <c r="Z19" i="164" s="1"/>
  <c r="AD18" i="150"/>
  <c r="AD19" i="164" s="1"/>
  <c r="AE18" i="150"/>
  <c r="J21" i="150"/>
  <c r="J22" i="164" s="1"/>
  <c r="S21" i="150"/>
  <c r="S22" i="164" s="1"/>
  <c r="T21" i="150"/>
  <c r="U21" i="150"/>
  <c r="V21" i="150"/>
  <c r="V22" i="164" s="1"/>
  <c r="W21" i="150"/>
  <c r="X21" i="150"/>
  <c r="Y21" i="150"/>
  <c r="Z21" i="150"/>
  <c r="Z22" i="164" s="1"/>
  <c r="AD21" i="150"/>
  <c r="AD22" i="164" s="1"/>
  <c r="AE21" i="150"/>
  <c r="J22" i="150"/>
  <c r="J23" i="164" s="1"/>
  <c r="S22" i="150"/>
  <c r="S23" i="164" s="1"/>
  <c r="T22" i="150"/>
  <c r="U22" i="150"/>
  <c r="V22" i="150"/>
  <c r="V23" i="164" s="1"/>
  <c r="W22" i="150"/>
  <c r="X22" i="150"/>
  <c r="Y22" i="150"/>
  <c r="Z22" i="150"/>
  <c r="Z23" i="164" s="1"/>
  <c r="AD22" i="150"/>
  <c r="AD23" i="164" s="1"/>
  <c r="AE22" i="150"/>
  <c r="J23" i="150"/>
  <c r="J24" i="164" s="1"/>
  <c r="S23" i="150"/>
  <c r="S24" i="164" s="1"/>
  <c r="T23" i="150"/>
  <c r="U23" i="150"/>
  <c r="V23" i="150"/>
  <c r="V24" i="164" s="1"/>
  <c r="W23" i="150"/>
  <c r="X23" i="150"/>
  <c r="Y23" i="150"/>
  <c r="Z23" i="150"/>
  <c r="Z24" i="164" s="1"/>
  <c r="AD23" i="150"/>
  <c r="AD24" i="164" s="1"/>
  <c r="AE23" i="150"/>
  <c r="J24" i="150"/>
  <c r="J25" i="164" s="1"/>
  <c r="S24" i="150"/>
  <c r="S25" i="164" s="1"/>
  <c r="T24" i="150"/>
  <c r="U24" i="150"/>
  <c r="V24" i="150"/>
  <c r="V25" i="164" s="1"/>
  <c r="W24" i="150"/>
  <c r="X24" i="150"/>
  <c r="Y24" i="150"/>
  <c r="Z24" i="150"/>
  <c r="Z25" i="164" s="1"/>
  <c r="AD24" i="150"/>
  <c r="AD25" i="164" s="1"/>
  <c r="AE24" i="150"/>
  <c r="J25" i="150"/>
  <c r="J26" i="164" s="1"/>
  <c r="S25" i="150"/>
  <c r="S26" i="164" s="1"/>
  <c r="T25" i="150"/>
  <c r="U25" i="150"/>
  <c r="V25" i="150"/>
  <c r="V26" i="164" s="1"/>
  <c r="W25" i="150"/>
  <c r="X25" i="150"/>
  <c r="Y25" i="150"/>
  <c r="Z25" i="150"/>
  <c r="Z26" i="164" s="1"/>
  <c r="AD25" i="150"/>
  <c r="AD26" i="164" s="1"/>
  <c r="AE25" i="150"/>
  <c r="J26" i="150"/>
  <c r="J27" i="164" s="1"/>
  <c r="S26" i="150"/>
  <c r="S27" i="164" s="1"/>
  <c r="T26" i="150"/>
  <c r="U26" i="150"/>
  <c r="V26" i="150"/>
  <c r="V27" i="164" s="1"/>
  <c r="W26" i="150"/>
  <c r="X26" i="150"/>
  <c r="Y26" i="150"/>
  <c r="Z26" i="150"/>
  <c r="Z27" i="164" s="1"/>
  <c r="AD26" i="150"/>
  <c r="AD27" i="164" s="1"/>
  <c r="AE26" i="150"/>
  <c r="J27" i="150"/>
  <c r="J28" i="164" s="1"/>
  <c r="S27" i="150"/>
  <c r="S28" i="164" s="1"/>
  <c r="T27" i="150"/>
  <c r="U27" i="150"/>
  <c r="V27" i="150"/>
  <c r="V28" i="164" s="1"/>
  <c r="W27" i="150"/>
  <c r="X27" i="150"/>
  <c r="Y27" i="150"/>
  <c r="Z27" i="150"/>
  <c r="Z28" i="164" s="1"/>
  <c r="AD27" i="150"/>
  <c r="AD28" i="164" s="1"/>
  <c r="AE27" i="150"/>
  <c r="J28" i="150"/>
  <c r="J29" i="164" s="1"/>
  <c r="S28" i="150"/>
  <c r="S29" i="164" s="1"/>
  <c r="T28" i="150"/>
  <c r="U28" i="150"/>
  <c r="V28" i="150"/>
  <c r="V29" i="164" s="1"/>
  <c r="W28" i="150"/>
  <c r="X28" i="150"/>
  <c r="Y28" i="150"/>
  <c r="Z28" i="150"/>
  <c r="Z29" i="164" s="1"/>
  <c r="AD28" i="150"/>
  <c r="AD29" i="164" s="1"/>
  <c r="AE28" i="150"/>
  <c r="J29" i="150"/>
  <c r="J30" i="164" s="1"/>
  <c r="S29" i="150"/>
  <c r="S30" i="164" s="1"/>
  <c r="T29" i="150"/>
  <c r="U29" i="150"/>
  <c r="V29" i="150"/>
  <c r="V30" i="164" s="1"/>
  <c r="W29" i="150"/>
  <c r="X29" i="150"/>
  <c r="Y29" i="150"/>
  <c r="Z29" i="150"/>
  <c r="Z30" i="164" s="1"/>
  <c r="AD29" i="150"/>
  <c r="AD30" i="164" s="1"/>
  <c r="AE29" i="150"/>
  <c r="J30" i="150"/>
  <c r="J31" i="164" s="1"/>
  <c r="S30" i="150"/>
  <c r="S31" i="164" s="1"/>
  <c r="T30" i="150"/>
  <c r="U30" i="150"/>
  <c r="V30" i="150"/>
  <c r="V31" i="164" s="1"/>
  <c r="W30" i="150"/>
  <c r="X30" i="150"/>
  <c r="Y30" i="150"/>
  <c r="Z30" i="150"/>
  <c r="Z31" i="164" s="1"/>
  <c r="AD30" i="150"/>
  <c r="AD31" i="164" s="1"/>
  <c r="AE30" i="150"/>
  <c r="J31" i="150"/>
  <c r="J32" i="164" s="1"/>
  <c r="S31" i="150"/>
  <c r="S32" i="164" s="1"/>
  <c r="T31" i="150"/>
  <c r="U31" i="150"/>
  <c r="V31" i="150"/>
  <c r="V32" i="164" s="1"/>
  <c r="W31" i="150"/>
  <c r="X31" i="150"/>
  <c r="Y31" i="150"/>
  <c r="Z31" i="150"/>
  <c r="Z32" i="164" s="1"/>
  <c r="AD31" i="150"/>
  <c r="AD32" i="164" s="1"/>
  <c r="AE31" i="150"/>
  <c r="J32" i="150"/>
  <c r="J33" i="164" s="1"/>
  <c r="S32" i="150"/>
  <c r="S33" i="164" s="1"/>
  <c r="T32" i="150"/>
  <c r="U32" i="150"/>
  <c r="V32" i="150"/>
  <c r="V33" i="164" s="1"/>
  <c r="W32" i="150"/>
  <c r="X32" i="150"/>
  <c r="Y32" i="150"/>
  <c r="Z32" i="150"/>
  <c r="Z33" i="164" s="1"/>
  <c r="AD32" i="150"/>
  <c r="AD33" i="164" s="1"/>
  <c r="AE32" i="150"/>
  <c r="J33" i="150"/>
  <c r="J34" i="164" s="1"/>
  <c r="S33" i="150"/>
  <c r="S34" i="164" s="1"/>
  <c r="T33" i="150"/>
  <c r="U33" i="150"/>
  <c r="V33" i="150"/>
  <c r="V34" i="164" s="1"/>
  <c r="W33" i="150"/>
  <c r="X33" i="150"/>
  <c r="Y33" i="150"/>
  <c r="Z33" i="150"/>
  <c r="Z34" i="164" s="1"/>
  <c r="AD33" i="150"/>
  <c r="AD34" i="164" s="1"/>
  <c r="AE33" i="150"/>
  <c r="J35" i="150"/>
  <c r="J36" i="164" s="1"/>
  <c r="S35" i="150"/>
  <c r="S36" i="164" s="1"/>
  <c r="T35" i="150"/>
  <c r="U35" i="150"/>
  <c r="V35" i="150"/>
  <c r="V36" i="164" s="1"/>
  <c r="W35" i="150"/>
  <c r="X35" i="150"/>
  <c r="Y35" i="150"/>
  <c r="Z35" i="150"/>
  <c r="Z36" i="164" s="1"/>
  <c r="AD35" i="150"/>
  <c r="AD36" i="164" s="1"/>
  <c r="AE35" i="150"/>
  <c r="J36" i="150"/>
  <c r="J37" i="164" s="1"/>
  <c r="S36" i="150"/>
  <c r="S37" i="164" s="1"/>
  <c r="T36" i="150"/>
  <c r="U36" i="150"/>
  <c r="V36" i="150"/>
  <c r="V37" i="164" s="1"/>
  <c r="W36" i="150"/>
  <c r="X36" i="150"/>
  <c r="Y36" i="150"/>
  <c r="Z36" i="150"/>
  <c r="Z37" i="164" s="1"/>
  <c r="AD36" i="150"/>
  <c r="AD37" i="164" s="1"/>
  <c r="AE36" i="150"/>
  <c r="J37" i="150"/>
  <c r="S37" i="150"/>
  <c r="S38" i="164" s="1"/>
  <c r="T37" i="150"/>
  <c r="U37" i="150"/>
  <c r="V37" i="150"/>
  <c r="V38" i="164" s="1"/>
  <c r="W37" i="150"/>
  <c r="X37" i="150"/>
  <c r="Y37" i="150"/>
  <c r="Z37" i="150"/>
  <c r="Z38" i="164" s="1"/>
  <c r="AD37" i="150"/>
  <c r="AD38" i="164" s="1"/>
  <c r="AE37" i="150"/>
  <c r="J39" i="150"/>
  <c r="S39" i="150"/>
  <c r="S40" i="164" s="1"/>
  <c r="T39" i="150"/>
  <c r="U39" i="150"/>
  <c r="V39" i="150"/>
  <c r="V40" i="164" s="1"/>
  <c r="W39" i="150"/>
  <c r="X39" i="150"/>
  <c r="Y39" i="150"/>
  <c r="Z39" i="150"/>
  <c r="Z40" i="164" s="1"/>
  <c r="AD39" i="150"/>
  <c r="AD40" i="164" s="1"/>
  <c r="AE39" i="150"/>
  <c r="AD7" i="150"/>
  <c r="AD8" i="164" s="1"/>
  <c r="Z7" i="150"/>
  <c r="Z8" i="164" s="1"/>
  <c r="Y7" i="150"/>
  <c r="X7" i="150"/>
  <c r="W7" i="150"/>
  <c r="V7" i="150"/>
  <c r="V8" i="164" s="1"/>
  <c r="U7" i="150"/>
  <c r="T7" i="150"/>
  <c r="S7" i="150"/>
  <c r="S8" i="164" s="1"/>
  <c r="R7" i="150"/>
  <c r="AE7" i="150"/>
  <c r="AF7" i="150"/>
  <c r="AF8" i="164" s="1"/>
  <c r="AG7" i="150"/>
  <c r="AG8" i="164" s="1"/>
  <c r="AH7" i="150"/>
  <c r="AH8" i="164" s="1"/>
  <c r="AI7" i="150"/>
  <c r="AI8" i="164" s="1"/>
  <c r="AJ7" i="150"/>
  <c r="AJ8" i="164" s="1"/>
  <c r="AK7" i="150"/>
  <c r="AK8" i="164" s="1"/>
  <c r="AF8" i="150"/>
  <c r="AF9" i="164" s="1"/>
  <c r="AG8" i="150"/>
  <c r="AG9" i="164" s="1"/>
  <c r="AH8" i="150"/>
  <c r="AH9" i="164" s="1"/>
  <c r="AI8" i="150"/>
  <c r="AI9" i="164" s="1"/>
  <c r="AJ8" i="150"/>
  <c r="AJ9" i="164" s="1"/>
  <c r="AK8" i="150"/>
  <c r="AK9" i="164" s="1"/>
  <c r="AF9" i="150"/>
  <c r="AF10" i="164" s="1"/>
  <c r="AG9" i="150"/>
  <c r="AG10" i="164" s="1"/>
  <c r="AH9" i="150"/>
  <c r="AH10" i="164" s="1"/>
  <c r="AI9" i="150"/>
  <c r="AI10" i="164" s="1"/>
  <c r="AJ9" i="150"/>
  <c r="AJ10" i="164" s="1"/>
  <c r="AK9" i="150"/>
  <c r="AK10" i="164" s="1"/>
  <c r="AF10" i="150"/>
  <c r="AF11" i="164" s="1"/>
  <c r="AG10" i="150"/>
  <c r="AG11" i="164" s="1"/>
  <c r="AH10" i="150"/>
  <c r="AH11" i="164" s="1"/>
  <c r="AI10" i="150"/>
  <c r="AI11" i="164" s="1"/>
  <c r="AJ10" i="150"/>
  <c r="AJ11" i="164" s="1"/>
  <c r="AK10" i="150"/>
  <c r="AK11" i="164" s="1"/>
  <c r="AF11" i="150"/>
  <c r="AF12" i="164" s="1"/>
  <c r="AG11" i="150"/>
  <c r="AG12" i="164" s="1"/>
  <c r="AH11" i="150"/>
  <c r="AH12" i="164" s="1"/>
  <c r="AI11" i="150"/>
  <c r="AI12" i="164" s="1"/>
  <c r="AJ11" i="150"/>
  <c r="AJ12" i="164" s="1"/>
  <c r="AK11" i="150"/>
  <c r="AK12" i="164" s="1"/>
  <c r="AF12" i="150"/>
  <c r="AF13" i="164" s="1"/>
  <c r="AG12" i="150"/>
  <c r="AG13" i="164" s="1"/>
  <c r="AH12" i="150"/>
  <c r="AH13" i="164" s="1"/>
  <c r="AI12" i="150"/>
  <c r="AI13" i="164" s="1"/>
  <c r="AJ12" i="150"/>
  <c r="AJ13" i="164" s="1"/>
  <c r="AK12" i="150"/>
  <c r="AK13" i="164" s="1"/>
  <c r="AF13" i="150"/>
  <c r="AF14" i="164" s="1"/>
  <c r="AG13" i="150"/>
  <c r="AG14" i="164" s="1"/>
  <c r="AH13" i="150"/>
  <c r="AH14" i="164" s="1"/>
  <c r="AI13" i="150"/>
  <c r="AI14" i="164" s="1"/>
  <c r="AJ13" i="150"/>
  <c r="AJ14" i="164" s="1"/>
  <c r="AK13" i="150"/>
  <c r="AK14" i="164" s="1"/>
  <c r="AF14" i="150"/>
  <c r="AF15" i="164" s="1"/>
  <c r="AG14" i="150"/>
  <c r="AG15" i="164" s="1"/>
  <c r="AH14" i="150"/>
  <c r="AH15" i="164" s="1"/>
  <c r="AI14" i="150"/>
  <c r="AI15" i="164" s="1"/>
  <c r="AJ14" i="150"/>
  <c r="AJ15" i="164" s="1"/>
  <c r="AK14" i="150"/>
  <c r="AK15" i="164" s="1"/>
  <c r="AF15" i="150"/>
  <c r="AF16" i="164" s="1"/>
  <c r="AG15" i="150"/>
  <c r="AG16" i="164" s="1"/>
  <c r="AH15" i="150"/>
  <c r="AH16" i="164" s="1"/>
  <c r="AI15" i="150"/>
  <c r="AI16" i="164" s="1"/>
  <c r="AJ15" i="150"/>
  <c r="AJ16" i="164" s="1"/>
  <c r="AK15" i="150"/>
  <c r="AK16" i="164" s="1"/>
  <c r="AF16" i="150"/>
  <c r="AF17" i="164" s="1"/>
  <c r="AG16" i="150"/>
  <c r="AG17" i="164" s="1"/>
  <c r="AH16" i="150"/>
  <c r="AH17" i="164" s="1"/>
  <c r="AI16" i="150"/>
  <c r="AI17" i="164" s="1"/>
  <c r="AJ16" i="150"/>
  <c r="AJ17" i="164" s="1"/>
  <c r="AK16" i="150"/>
  <c r="AK17" i="164" s="1"/>
  <c r="AF17" i="150"/>
  <c r="AF18" i="164" s="1"/>
  <c r="AG17" i="150"/>
  <c r="AG18" i="164" s="1"/>
  <c r="AH17" i="150"/>
  <c r="AH18" i="164" s="1"/>
  <c r="AI17" i="150"/>
  <c r="AI18" i="164" s="1"/>
  <c r="AJ17" i="150"/>
  <c r="AJ18" i="164" s="1"/>
  <c r="AK17" i="150"/>
  <c r="AK18" i="164" s="1"/>
  <c r="AF18" i="150"/>
  <c r="AF19" i="164" s="1"/>
  <c r="AG18" i="150"/>
  <c r="AG19" i="164" s="1"/>
  <c r="AH18" i="150"/>
  <c r="AH19" i="164" s="1"/>
  <c r="AI18" i="150"/>
  <c r="AI19" i="164" s="1"/>
  <c r="AJ18" i="150"/>
  <c r="AJ19" i="164" s="1"/>
  <c r="AK18" i="150"/>
  <c r="AK19" i="164" s="1"/>
  <c r="AF21" i="150"/>
  <c r="AF22" i="164" s="1"/>
  <c r="AG21" i="150"/>
  <c r="AG22" i="164" s="1"/>
  <c r="AH21" i="150"/>
  <c r="AH22" i="164" s="1"/>
  <c r="AI21" i="150"/>
  <c r="AI22" i="164" s="1"/>
  <c r="AJ21" i="150"/>
  <c r="AJ22" i="164" s="1"/>
  <c r="AK21" i="150"/>
  <c r="AK22" i="164" s="1"/>
  <c r="AF22" i="150"/>
  <c r="AF23" i="164" s="1"/>
  <c r="AG22" i="150"/>
  <c r="AG23" i="164" s="1"/>
  <c r="AH22" i="150"/>
  <c r="AH23" i="164" s="1"/>
  <c r="AI22" i="150"/>
  <c r="AI23" i="164" s="1"/>
  <c r="AJ22" i="150"/>
  <c r="AJ23" i="164" s="1"/>
  <c r="AK22" i="150"/>
  <c r="AK23" i="164" s="1"/>
  <c r="AF23" i="150"/>
  <c r="AF24" i="164" s="1"/>
  <c r="AG23" i="150"/>
  <c r="AG24" i="164" s="1"/>
  <c r="AH23" i="150"/>
  <c r="AH24" i="164" s="1"/>
  <c r="AI23" i="150"/>
  <c r="AJ23" i="150"/>
  <c r="AJ24" i="164" s="1"/>
  <c r="AK23" i="150"/>
  <c r="AK24" i="164" s="1"/>
  <c r="AF24" i="150"/>
  <c r="AF25" i="164" s="1"/>
  <c r="AG24" i="150"/>
  <c r="AG25" i="164" s="1"/>
  <c r="AH24" i="150"/>
  <c r="AH25" i="164" s="1"/>
  <c r="AI24" i="150"/>
  <c r="AI25" i="164" s="1"/>
  <c r="AJ24" i="150"/>
  <c r="AJ25" i="164" s="1"/>
  <c r="AK24" i="150"/>
  <c r="AK25" i="164" s="1"/>
  <c r="AF25" i="150"/>
  <c r="AF26" i="164" s="1"/>
  <c r="AG25" i="150"/>
  <c r="AG26" i="164" s="1"/>
  <c r="AH25" i="150"/>
  <c r="AH26" i="164" s="1"/>
  <c r="AI25" i="150"/>
  <c r="AI26" i="164" s="1"/>
  <c r="AJ25" i="150"/>
  <c r="AJ26" i="164" s="1"/>
  <c r="AK25" i="150"/>
  <c r="AK26" i="164" s="1"/>
  <c r="AF26" i="150"/>
  <c r="AF27" i="164" s="1"/>
  <c r="AG26" i="150"/>
  <c r="AG27" i="164" s="1"/>
  <c r="AH26" i="150"/>
  <c r="AH27" i="164" s="1"/>
  <c r="AI26" i="150"/>
  <c r="AI27" i="164" s="1"/>
  <c r="AJ26" i="150"/>
  <c r="AJ27" i="164" s="1"/>
  <c r="AK26" i="150"/>
  <c r="AK27" i="164" s="1"/>
  <c r="AF27" i="150"/>
  <c r="AF28" i="164" s="1"/>
  <c r="AG27" i="150"/>
  <c r="AG28" i="164" s="1"/>
  <c r="AH27" i="150"/>
  <c r="AH28" i="164" s="1"/>
  <c r="AI27" i="150"/>
  <c r="AI28" i="164" s="1"/>
  <c r="AJ27" i="150"/>
  <c r="AJ28" i="164" s="1"/>
  <c r="AK27" i="150"/>
  <c r="AK28" i="164" s="1"/>
  <c r="AF28" i="150"/>
  <c r="AF29" i="164" s="1"/>
  <c r="AG28" i="150"/>
  <c r="AG29" i="164" s="1"/>
  <c r="AH28" i="150"/>
  <c r="AH29" i="164" s="1"/>
  <c r="AI28" i="150"/>
  <c r="AI29" i="164" s="1"/>
  <c r="AJ28" i="150"/>
  <c r="AJ29" i="164" s="1"/>
  <c r="AK28" i="150"/>
  <c r="AK29" i="164" s="1"/>
  <c r="AF29" i="150"/>
  <c r="AF30" i="164" s="1"/>
  <c r="AG29" i="150"/>
  <c r="AG30" i="164" s="1"/>
  <c r="AH29" i="150"/>
  <c r="AH30" i="164" s="1"/>
  <c r="AI29" i="150"/>
  <c r="AI30" i="164" s="1"/>
  <c r="AJ29" i="150"/>
  <c r="AJ30" i="164" s="1"/>
  <c r="AK29" i="150"/>
  <c r="AK30" i="164" s="1"/>
  <c r="AF30" i="150"/>
  <c r="AF31" i="164" s="1"/>
  <c r="AG30" i="150"/>
  <c r="AG31" i="164" s="1"/>
  <c r="AH30" i="150"/>
  <c r="AH31" i="164" s="1"/>
  <c r="AI30" i="150"/>
  <c r="AI31" i="164" s="1"/>
  <c r="AJ30" i="150"/>
  <c r="AJ31" i="164" s="1"/>
  <c r="AK30" i="150"/>
  <c r="AK31" i="164" s="1"/>
  <c r="AF31" i="150"/>
  <c r="AF32" i="164" s="1"/>
  <c r="AG31" i="150"/>
  <c r="AG32" i="164" s="1"/>
  <c r="AH31" i="150"/>
  <c r="AH32" i="164" s="1"/>
  <c r="AI31" i="150"/>
  <c r="AI32" i="164" s="1"/>
  <c r="AJ31" i="150"/>
  <c r="AJ32" i="164" s="1"/>
  <c r="AK31" i="150"/>
  <c r="AK32" i="164" s="1"/>
  <c r="AF32" i="150"/>
  <c r="AF33" i="164" s="1"/>
  <c r="AG32" i="150"/>
  <c r="AG33" i="164" s="1"/>
  <c r="AH32" i="150"/>
  <c r="AH33" i="164" s="1"/>
  <c r="AI32" i="150"/>
  <c r="AI33" i="164" s="1"/>
  <c r="AJ32" i="150"/>
  <c r="AJ33" i="164" s="1"/>
  <c r="AK32" i="150"/>
  <c r="AK33" i="164" s="1"/>
  <c r="AF33" i="150"/>
  <c r="AF34" i="164" s="1"/>
  <c r="AG33" i="150"/>
  <c r="AG34" i="164" s="1"/>
  <c r="AH33" i="150"/>
  <c r="AH34" i="164" s="1"/>
  <c r="AI33" i="150"/>
  <c r="AI34" i="164" s="1"/>
  <c r="AJ33" i="150"/>
  <c r="AJ34" i="164" s="1"/>
  <c r="AK33" i="150"/>
  <c r="AK34" i="164" s="1"/>
  <c r="AF35" i="150"/>
  <c r="AF36" i="164" s="1"/>
  <c r="AG35" i="150"/>
  <c r="AG36" i="164" s="1"/>
  <c r="AH35" i="150"/>
  <c r="AH36" i="164" s="1"/>
  <c r="AI35" i="150"/>
  <c r="AI36" i="164" s="1"/>
  <c r="AJ35" i="150"/>
  <c r="AJ36" i="164" s="1"/>
  <c r="AK35" i="150"/>
  <c r="AK36" i="164" s="1"/>
  <c r="AF36" i="150"/>
  <c r="AF37" i="164" s="1"/>
  <c r="AG36" i="150"/>
  <c r="AG37" i="164" s="1"/>
  <c r="AH36" i="150"/>
  <c r="AH37" i="164" s="1"/>
  <c r="AI36" i="150"/>
  <c r="AI37" i="164" s="1"/>
  <c r="AJ36" i="150"/>
  <c r="AJ37" i="164" s="1"/>
  <c r="AK36" i="150"/>
  <c r="AK37" i="164" s="1"/>
  <c r="AF37" i="150"/>
  <c r="AF38" i="164" s="1"/>
  <c r="AG37" i="150"/>
  <c r="AG38" i="164" s="1"/>
  <c r="AH37" i="150"/>
  <c r="AH38" i="164" s="1"/>
  <c r="AI37" i="150"/>
  <c r="AI38" i="164" s="1"/>
  <c r="AJ37" i="150"/>
  <c r="AJ38" i="164" s="1"/>
  <c r="AK37" i="150"/>
  <c r="AK38" i="164" s="1"/>
  <c r="AF39" i="150"/>
  <c r="AF40" i="164" s="1"/>
  <c r="AG39" i="150"/>
  <c r="AG40" i="164" s="1"/>
  <c r="AH39" i="150"/>
  <c r="AH40" i="164" s="1"/>
  <c r="AI39" i="150"/>
  <c r="AI40" i="164" s="1"/>
  <c r="AJ39" i="150"/>
  <c r="AJ40" i="164" s="1"/>
  <c r="AK39" i="150"/>
  <c r="AK40" i="164" s="1"/>
  <c r="J7" i="150"/>
  <c r="J8" i="164" s="1"/>
  <c r="J24" i="165" l="1"/>
  <c r="J25" i="165"/>
  <c r="J26" i="165"/>
  <c r="J27" i="165"/>
  <c r="J28" i="165"/>
  <c r="J29" i="165"/>
  <c r="J30" i="165"/>
  <c r="J32" i="165"/>
  <c r="J33" i="165"/>
  <c r="J34" i="165"/>
  <c r="J35" i="165"/>
  <c r="J36" i="165"/>
  <c r="J37" i="165"/>
  <c r="J38" i="165"/>
  <c r="J13" i="165"/>
  <c r="J23" i="165"/>
  <c r="J31" i="165"/>
  <c r="J39" i="165"/>
  <c r="K38" i="165"/>
  <c r="J8" i="165"/>
  <c r="J9" i="165"/>
  <c r="J10" i="165"/>
  <c r="J11" i="165"/>
  <c r="J12" i="165"/>
  <c r="K34" i="165"/>
  <c r="J14" i="165"/>
  <c r="J15" i="165"/>
  <c r="J16" i="165"/>
  <c r="J17" i="165"/>
  <c r="J18" i="165"/>
  <c r="J21" i="165"/>
  <c r="J22" i="165"/>
  <c r="I13" i="165"/>
  <c r="I16" i="165"/>
  <c r="I17" i="165"/>
  <c r="I18" i="165"/>
  <c r="I23" i="165"/>
  <c r="I24" i="165"/>
  <c r="I25" i="165"/>
  <c r="I26" i="165"/>
  <c r="I27" i="165"/>
  <c r="I28" i="165"/>
  <c r="I29" i="165"/>
  <c r="I15" i="165"/>
  <c r="I31" i="165"/>
  <c r="I32" i="165"/>
  <c r="I33" i="165"/>
  <c r="I34" i="165"/>
  <c r="I35" i="165"/>
  <c r="I36" i="165"/>
  <c r="I37" i="165"/>
  <c r="I12" i="165"/>
  <c r="I14" i="165"/>
  <c r="I21" i="165"/>
  <c r="I39" i="165"/>
  <c r="I7" i="165"/>
  <c r="I22" i="165"/>
  <c r="I30" i="165"/>
  <c r="I38" i="165"/>
  <c r="I8" i="165"/>
  <c r="I9" i="165"/>
  <c r="I10" i="165"/>
  <c r="I11" i="165"/>
  <c r="W32" i="164"/>
  <c r="W24" i="164"/>
  <c r="W14" i="164"/>
  <c r="W34" i="164"/>
  <c r="W26" i="164"/>
  <c r="W16" i="164"/>
  <c r="W15" i="164"/>
  <c r="W37" i="164"/>
  <c r="W28" i="164"/>
  <c r="W18" i="164"/>
  <c r="W10" i="164"/>
  <c r="W40" i="164"/>
  <c r="W30" i="164"/>
  <c r="W22" i="164"/>
  <c r="W12" i="164"/>
  <c r="AE38" i="164"/>
  <c r="AE29" i="164"/>
  <c r="AE19" i="164"/>
  <c r="AE11" i="164"/>
  <c r="W38" i="164"/>
  <c r="AE34" i="164"/>
  <c r="W29" i="164"/>
  <c r="AE26" i="164"/>
  <c r="W19" i="164"/>
  <c r="AE16" i="164"/>
  <c r="W11" i="164"/>
  <c r="Q42" i="164"/>
  <c r="AE8" i="164"/>
  <c r="J38" i="164"/>
  <c r="AE31" i="164"/>
  <c r="AE23" i="164"/>
  <c r="AE13" i="164"/>
  <c r="R8" i="164"/>
  <c r="Z42" i="164"/>
  <c r="AE37" i="164"/>
  <c r="W31" i="164"/>
  <c r="AE28" i="164"/>
  <c r="W23" i="164"/>
  <c r="AE18" i="164"/>
  <c r="W13" i="164"/>
  <c r="AE10" i="164"/>
  <c r="AK42" i="164"/>
  <c r="W8" i="164"/>
  <c r="S42" i="164"/>
  <c r="AD42" i="164"/>
  <c r="AE33" i="164"/>
  <c r="AE25" i="164"/>
  <c r="AE15" i="164"/>
  <c r="AJ42" i="164"/>
  <c r="AE40" i="164"/>
  <c r="W33" i="164"/>
  <c r="AE30" i="164"/>
  <c r="W25" i="164"/>
  <c r="AE22" i="164"/>
  <c r="AE12" i="164"/>
  <c r="AE36" i="164"/>
  <c r="AE27" i="164"/>
  <c r="AE17" i="164"/>
  <c r="AE9" i="164"/>
  <c r="V42" i="164"/>
  <c r="J40" i="164"/>
  <c r="W36" i="164"/>
  <c r="AE32" i="164"/>
  <c r="W27" i="164"/>
  <c r="AE24" i="164"/>
  <c r="W17" i="164"/>
  <c r="AE14" i="164"/>
  <c r="W9" i="164"/>
  <c r="AA41" i="150"/>
  <c r="K12" i="165" l="1"/>
  <c r="K21" i="165"/>
  <c r="K15" i="165"/>
  <c r="K30" i="165"/>
  <c r="K26" i="165"/>
  <c r="K29" i="165"/>
  <c r="K25" i="165"/>
  <c r="K28" i="165"/>
  <c r="K35" i="165"/>
  <c r="K9" i="165"/>
  <c r="K13" i="165"/>
  <c r="K10" i="165"/>
  <c r="K23" i="165"/>
  <c r="K39" i="165"/>
  <c r="K24" i="165"/>
  <c r="K7" i="165"/>
  <c r="K17" i="165"/>
  <c r="K16" i="165"/>
  <c r="K37" i="165"/>
  <c r="K27" i="165"/>
  <c r="K31" i="165"/>
  <c r="K22" i="165"/>
  <c r="K8" i="165"/>
  <c r="K33" i="165"/>
  <c r="K36" i="165"/>
  <c r="K32" i="165"/>
  <c r="K18" i="165"/>
  <c r="K11" i="165"/>
  <c r="K14" i="165"/>
  <c r="I41" i="165"/>
  <c r="R42" i="164"/>
  <c r="J7" i="165"/>
  <c r="J41" i="165" s="1"/>
  <c r="J42" i="164"/>
  <c r="AE42" i="164"/>
  <c r="W42" i="164"/>
  <c r="AF41" i="150"/>
  <c r="AJ41" i="150"/>
  <c r="AI41" i="150"/>
  <c r="AE41" i="150"/>
  <c r="J41" i="150"/>
  <c r="AH41" i="150"/>
  <c r="R41" i="150"/>
  <c r="V41" i="150"/>
  <c r="Z41" i="150"/>
  <c r="C41" i="150"/>
  <c r="D41" i="150"/>
  <c r="AK41" i="150"/>
  <c r="S41" i="150"/>
  <c r="W41" i="150"/>
  <c r="T41" i="150"/>
  <c r="X41" i="150"/>
  <c r="E41" i="150"/>
  <c r="Q41" i="150"/>
  <c r="U41" i="150"/>
  <c r="Y41" i="150"/>
  <c r="AD41" i="150"/>
  <c r="C7" i="97"/>
  <c r="L33" i="147"/>
  <c r="K41" i="165" l="1"/>
  <c r="F37" i="136"/>
  <c r="B36" i="136"/>
  <c r="B37" i="136"/>
  <c r="C39" i="136"/>
  <c r="B6" i="99"/>
  <c r="H37" i="136" l="1"/>
  <c r="E39" i="136" l="1"/>
  <c r="K39" i="136"/>
  <c r="Z39" i="136"/>
  <c r="D8" i="136"/>
  <c r="F8" i="136" s="1"/>
  <c r="H8" i="136" s="1"/>
  <c r="D9" i="136"/>
  <c r="F9" i="136" s="1"/>
  <c r="H9" i="136" s="1"/>
  <c r="D10" i="136"/>
  <c r="F10" i="136" s="1"/>
  <c r="H10" i="136" s="1"/>
  <c r="D11" i="136"/>
  <c r="F11" i="136" s="1"/>
  <c r="H11" i="136" s="1"/>
  <c r="D12" i="136"/>
  <c r="F12" i="136" s="1"/>
  <c r="H12" i="136" s="1"/>
  <c r="D13" i="136"/>
  <c r="F13" i="136" s="1"/>
  <c r="H13" i="136" s="1"/>
  <c r="D14" i="136"/>
  <c r="F14" i="136" s="1"/>
  <c r="H14" i="136" s="1"/>
  <c r="D15" i="136"/>
  <c r="F15" i="136" s="1"/>
  <c r="H15" i="136" s="1"/>
  <c r="D16" i="136"/>
  <c r="F16" i="136" s="1"/>
  <c r="H16" i="136" s="1"/>
  <c r="D17" i="136"/>
  <c r="F17" i="136" s="1"/>
  <c r="H17" i="136" s="1"/>
  <c r="D18" i="136"/>
  <c r="F18" i="136" s="1"/>
  <c r="H18" i="136" s="1"/>
  <c r="D19" i="136"/>
  <c r="F19" i="136" s="1"/>
  <c r="H19" i="136" s="1"/>
  <c r="D20" i="136"/>
  <c r="F20" i="136" s="1"/>
  <c r="H20" i="136" s="1"/>
  <c r="D21" i="136"/>
  <c r="F21" i="136" s="1"/>
  <c r="H21" i="136" s="1"/>
  <c r="D22" i="136"/>
  <c r="F22" i="136" s="1"/>
  <c r="H22" i="136" s="1"/>
  <c r="D23" i="136"/>
  <c r="F23" i="136" s="1"/>
  <c r="H23" i="136" s="1"/>
  <c r="D24" i="136"/>
  <c r="F24" i="136" s="1"/>
  <c r="H24" i="136" s="1"/>
  <c r="D25" i="136"/>
  <c r="F25" i="136" s="1"/>
  <c r="H25" i="136" s="1"/>
  <c r="D26" i="136"/>
  <c r="F26" i="136" s="1"/>
  <c r="H26" i="136" s="1"/>
  <c r="D27" i="136"/>
  <c r="F27" i="136" s="1"/>
  <c r="H27" i="136" s="1"/>
  <c r="D28" i="136"/>
  <c r="F28" i="136" s="1"/>
  <c r="H28" i="136" s="1"/>
  <c r="D29" i="136"/>
  <c r="F29" i="136" s="1"/>
  <c r="H29" i="136" s="1"/>
  <c r="D30" i="136"/>
  <c r="F30" i="136" s="1"/>
  <c r="H30" i="136" s="1"/>
  <c r="D31" i="136"/>
  <c r="F31" i="136" s="1"/>
  <c r="H31" i="136" s="1"/>
  <c r="D32" i="136"/>
  <c r="F32" i="136" s="1"/>
  <c r="H32" i="136" s="1"/>
  <c r="D33" i="136"/>
  <c r="F33" i="136" s="1"/>
  <c r="H33" i="136" s="1"/>
  <c r="D34" i="136"/>
  <c r="F34" i="136" s="1"/>
  <c r="H34" i="136" s="1"/>
  <c r="D35" i="136"/>
  <c r="F35" i="136" s="1"/>
  <c r="H35" i="136" s="1"/>
  <c r="D36" i="136"/>
  <c r="F36" i="136" s="1"/>
  <c r="H36" i="136" s="1"/>
  <c r="D7" i="136"/>
  <c r="F7" i="136" s="1"/>
  <c r="H7" i="136" s="1"/>
  <c r="D6" i="136"/>
  <c r="F6" i="136" s="1"/>
  <c r="U7" i="132"/>
  <c r="U8" i="132"/>
  <c r="U9" i="132"/>
  <c r="U10" i="132"/>
  <c r="U11" i="132"/>
  <c r="U12" i="132"/>
  <c r="U13" i="132"/>
  <c r="U14" i="132"/>
  <c r="U15" i="132"/>
  <c r="U16" i="132"/>
  <c r="U17" i="132"/>
  <c r="U18" i="132"/>
  <c r="U19" i="132"/>
  <c r="U20" i="132"/>
  <c r="U21" i="132"/>
  <c r="U22" i="132"/>
  <c r="U23" i="132"/>
  <c r="U24" i="132"/>
  <c r="U25" i="132"/>
  <c r="U26" i="132"/>
  <c r="U29" i="132"/>
  <c r="U31" i="132"/>
  <c r="U32" i="132"/>
  <c r="U33" i="132"/>
  <c r="U36" i="132"/>
  <c r="U37" i="132"/>
  <c r="U6" i="132"/>
  <c r="B6" i="132"/>
  <c r="H6" i="136" l="1"/>
  <c r="D39" i="136"/>
  <c r="D42" i="136" s="1"/>
  <c r="F11" i="131" l="1"/>
  <c r="F25" i="131" s="1"/>
  <c r="D25" i="131"/>
  <c r="H6" i="99" l="1"/>
  <c r="C14" i="99"/>
  <c r="D14" i="99" l="1"/>
  <c r="AA41" i="147"/>
  <c r="D41" i="147"/>
  <c r="Y41" i="147" l="1"/>
  <c r="AF41" i="147"/>
  <c r="T41" i="147"/>
  <c r="AG41" i="147"/>
  <c r="Z41" i="147"/>
  <c r="AJ41" i="147"/>
  <c r="Q41" i="147"/>
  <c r="U41" i="147"/>
  <c r="AD41" i="147"/>
  <c r="V41" i="147"/>
  <c r="R41" i="147"/>
  <c r="AE41" i="147"/>
  <c r="S41" i="147"/>
  <c r="W41" i="147"/>
  <c r="X41" i="147"/>
  <c r="AH41" i="147"/>
  <c r="AK41" i="147"/>
  <c r="AI41" i="147"/>
  <c r="J41" i="147"/>
  <c r="I35" i="136" l="1"/>
  <c r="P35" i="136"/>
  <c r="Q35" i="136"/>
  <c r="R35" i="136"/>
  <c r="S35" i="136"/>
  <c r="T35" i="136"/>
  <c r="U35" i="136"/>
  <c r="V35" i="136"/>
  <c r="W35" i="136"/>
  <c r="X35" i="136"/>
  <c r="Y35" i="136"/>
  <c r="AC35" i="136"/>
  <c r="AD35" i="136"/>
  <c r="AE35" i="136"/>
  <c r="AF35" i="136"/>
  <c r="AG35" i="136"/>
  <c r="AH35" i="136"/>
  <c r="AI35" i="136"/>
  <c r="AJ35" i="136"/>
  <c r="I36" i="136"/>
  <c r="P36" i="136"/>
  <c r="Q36" i="136"/>
  <c r="R36" i="136"/>
  <c r="S36" i="136"/>
  <c r="T36" i="136"/>
  <c r="U36" i="136"/>
  <c r="V36" i="136"/>
  <c r="W36" i="136"/>
  <c r="X36" i="136"/>
  <c r="Y36" i="136"/>
  <c r="AC36" i="136"/>
  <c r="AD36" i="136"/>
  <c r="AE36" i="136"/>
  <c r="AF36" i="136"/>
  <c r="AG36" i="136"/>
  <c r="AH36" i="136"/>
  <c r="AI36" i="136"/>
  <c r="AJ36" i="136"/>
  <c r="F39" i="136"/>
  <c r="B35" i="136"/>
  <c r="B7" i="136"/>
  <c r="B8" i="136"/>
  <c r="B9" i="136"/>
  <c r="B10" i="136"/>
  <c r="B11" i="136"/>
  <c r="B12" i="136"/>
  <c r="B13" i="136"/>
  <c r="B14" i="136"/>
  <c r="B15" i="136"/>
  <c r="B16" i="136"/>
  <c r="B17" i="136"/>
  <c r="B18" i="136"/>
  <c r="B19" i="136"/>
  <c r="B20" i="136"/>
  <c r="B21" i="136"/>
  <c r="B22" i="136"/>
  <c r="B23" i="136"/>
  <c r="B24" i="136"/>
  <c r="B25" i="136"/>
  <c r="B26" i="136"/>
  <c r="B27" i="136"/>
  <c r="B28" i="136"/>
  <c r="B29" i="136"/>
  <c r="B30" i="136"/>
  <c r="B31" i="136"/>
  <c r="B32" i="136"/>
  <c r="B33" i="136"/>
  <c r="B34" i="136"/>
  <c r="B6" i="136"/>
  <c r="I8" i="127"/>
  <c r="P8" i="127"/>
  <c r="Q8" i="127"/>
  <c r="R8" i="127"/>
  <c r="S8" i="127" s="1"/>
  <c r="T8" i="127"/>
  <c r="U8" i="127"/>
  <c r="V8" i="127"/>
  <c r="W8" i="127"/>
  <c r="X8" i="127"/>
  <c r="AC8" i="127"/>
  <c r="AD8" i="127"/>
  <c r="I9" i="127"/>
  <c r="P9" i="127"/>
  <c r="Q9" i="127"/>
  <c r="R9" i="127"/>
  <c r="S9" i="127" s="1"/>
  <c r="T9" i="127"/>
  <c r="U9" i="127"/>
  <c r="V9" i="127"/>
  <c r="W9" i="127"/>
  <c r="X9" i="127"/>
  <c r="AC9" i="127"/>
  <c r="AD9" i="127"/>
  <c r="I10" i="127"/>
  <c r="P10" i="127"/>
  <c r="Q10" i="127"/>
  <c r="R10" i="127"/>
  <c r="S10" i="127" s="1"/>
  <c r="T10" i="127"/>
  <c r="U10" i="127"/>
  <c r="V10" i="127"/>
  <c r="W10" i="127"/>
  <c r="X10" i="127"/>
  <c r="AC10" i="127"/>
  <c r="AD10" i="127"/>
  <c r="I11" i="127"/>
  <c r="P11" i="127"/>
  <c r="Q11" i="127"/>
  <c r="R11" i="127"/>
  <c r="S11" i="127" s="1"/>
  <c r="T11" i="127"/>
  <c r="U11" i="127"/>
  <c r="V11" i="127"/>
  <c r="W11" i="127"/>
  <c r="X11" i="127"/>
  <c r="AC11" i="127"/>
  <c r="AD11" i="127"/>
  <c r="I12" i="127"/>
  <c r="P12" i="127"/>
  <c r="Q12" i="127"/>
  <c r="R12" i="127"/>
  <c r="S12" i="127" s="1"/>
  <c r="T12" i="127"/>
  <c r="U12" i="127"/>
  <c r="V12" i="127"/>
  <c r="W12" i="127"/>
  <c r="X12" i="127"/>
  <c r="AC12" i="127"/>
  <c r="AD12" i="127"/>
  <c r="I13" i="127"/>
  <c r="P13" i="127"/>
  <c r="Q13" i="127"/>
  <c r="R13" i="127"/>
  <c r="S13" i="127" s="1"/>
  <c r="T13" i="127"/>
  <c r="U13" i="127"/>
  <c r="V13" i="127"/>
  <c r="W13" i="127"/>
  <c r="X13" i="127"/>
  <c r="AC13" i="127"/>
  <c r="AD13" i="127"/>
  <c r="I14" i="127"/>
  <c r="P14" i="127"/>
  <c r="Q14" i="127"/>
  <c r="R14" i="127"/>
  <c r="S14" i="127" s="1"/>
  <c r="T14" i="127"/>
  <c r="U14" i="127"/>
  <c r="V14" i="127"/>
  <c r="W14" i="127"/>
  <c r="X14" i="127"/>
  <c r="AC14" i="127"/>
  <c r="AD14" i="127"/>
  <c r="I15" i="127"/>
  <c r="P15" i="127"/>
  <c r="Q15" i="127"/>
  <c r="R15" i="127"/>
  <c r="S15" i="127" s="1"/>
  <c r="T15" i="127"/>
  <c r="U15" i="127"/>
  <c r="V15" i="127"/>
  <c r="W15" i="127"/>
  <c r="X15" i="127"/>
  <c r="AC15" i="127"/>
  <c r="AD15" i="127"/>
  <c r="I16" i="127"/>
  <c r="P16" i="127"/>
  <c r="Q16" i="127"/>
  <c r="R16" i="127"/>
  <c r="S16" i="127" s="1"/>
  <c r="T16" i="127"/>
  <c r="U16" i="127"/>
  <c r="V16" i="127"/>
  <c r="W16" i="127"/>
  <c r="X16" i="127"/>
  <c r="AC16" i="127"/>
  <c r="AD16" i="127"/>
  <c r="I17" i="127"/>
  <c r="P17" i="127"/>
  <c r="Q17" i="127"/>
  <c r="R17" i="127"/>
  <c r="S17" i="127" s="1"/>
  <c r="T17" i="127"/>
  <c r="U17" i="127"/>
  <c r="V17" i="127"/>
  <c r="W17" i="127"/>
  <c r="X17" i="127"/>
  <c r="AC17" i="127"/>
  <c r="AD17" i="127"/>
  <c r="I18" i="127"/>
  <c r="P18" i="127"/>
  <c r="Q18" i="127"/>
  <c r="R18" i="127"/>
  <c r="S18" i="127" s="1"/>
  <c r="T18" i="127"/>
  <c r="U18" i="127"/>
  <c r="V18" i="127"/>
  <c r="W18" i="127"/>
  <c r="X18" i="127"/>
  <c r="AC18" i="127"/>
  <c r="AD18" i="127"/>
  <c r="I19" i="127"/>
  <c r="P19" i="127"/>
  <c r="Q19" i="127"/>
  <c r="R19" i="127"/>
  <c r="S19" i="127" s="1"/>
  <c r="T19" i="127"/>
  <c r="U19" i="127"/>
  <c r="V19" i="127"/>
  <c r="W19" i="127"/>
  <c r="X19" i="127"/>
  <c r="AC19" i="127"/>
  <c r="AD19" i="127"/>
  <c r="I20" i="127"/>
  <c r="P20" i="127"/>
  <c r="Q20" i="127"/>
  <c r="R20" i="127"/>
  <c r="S20" i="127" s="1"/>
  <c r="T20" i="127"/>
  <c r="U20" i="127"/>
  <c r="V20" i="127"/>
  <c r="W20" i="127"/>
  <c r="X20" i="127"/>
  <c r="AC20" i="127"/>
  <c r="AD20" i="127"/>
  <c r="I21" i="127"/>
  <c r="P21" i="127"/>
  <c r="Q21" i="127"/>
  <c r="R21" i="127"/>
  <c r="S21" i="127" s="1"/>
  <c r="T21" i="127"/>
  <c r="U21" i="127"/>
  <c r="V21" i="127"/>
  <c r="W21" i="127"/>
  <c r="X21" i="127"/>
  <c r="AC21" i="127"/>
  <c r="AD21" i="127"/>
  <c r="I22" i="127"/>
  <c r="P22" i="127"/>
  <c r="Q22" i="127"/>
  <c r="R22" i="127"/>
  <c r="S22" i="127" s="1"/>
  <c r="T22" i="127"/>
  <c r="U22" i="127"/>
  <c r="V22" i="127"/>
  <c r="W22" i="127"/>
  <c r="X22" i="127"/>
  <c r="AC22" i="127"/>
  <c r="AD22" i="127"/>
  <c r="I23" i="127"/>
  <c r="P23" i="127"/>
  <c r="Q23" i="127"/>
  <c r="R23" i="127"/>
  <c r="S23" i="127" s="1"/>
  <c r="T23" i="127"/>
  <c r="U23" i="127"/>
  <c r="V23" i="127"/>
  <c r="W23" i="127"/>
  <c r="X23" i="127"/>
  <c r="AC23" i="127"/>
  <c r="AD23" i="127"/>
  <c r="I24" i="127"/>
  <c r="P24" i="127"/>
  <c r="Q24" i="127"/>
  <c r="R24" i="127"/>
  <c r="S24" i="127" s="1"/>
  <c r="T24" i="127"/>
  <c r="U24" i="127"/>
  <c r="V24" i="127"/>
  <c r="W24" i="127"/>
  <c r="X24" i="127"/>
  <c r="AC24" i="127"/>
  <c r="AD24" i="127"/>
  <c r="I25" i="127"/>
  <c r="P25" i="127"/>
  <c r="Q25" i="127"/>
  <c r="R25" i="127"/>
  <c r="S25" i="127" s="1"/>
  <c r="T25" i="127"/>
  <c r="U25" i="127"/>
  <c r="V25" i="127"/>
  <c r="W25" i="127"/>
  <c r="X25" i="127"/>
  <c r="AC25" i="127"/>
  <c r="AD25" i="127"/>
  <c r="I26" i="127"/>
  <c r="P26" i="127"/>
  <c r="Q26" i="127"/>
  <c r="R26" i="127"/>
  <c r="S26" i="127" s="1"/>
  <c r="T26" i="127"/>
  <c r="U26" i="127"/>
  <c r="V26" i="127"/>
  <c r="W26" i="127"/>
  <c r="X26" i="127"/>
  <c r="AC26" i="127"/>
  <c r="AD26" i="127"/>
  <c r="I27" i="127"/>
  <c r="J27" i="127"/>
  <c r="K27" i="127" s="1"/>
  <c r="O27" i="127"/>
  <c r="P27" i="127"/>
  <c r="Q27" i="127"/>
  <c r="R27" i="127"/>
  <c r="S27" i="127" s="1"/>
  <c r="T27" i="127"/>
  <c r="U27" i="127"/>
  <c r="V27" i="127"/>
  <c r="W27" i="127"/>
  <c r="X27" i="127"/>
  <c r="AA27" i="127"/>
  <c r="AB27" i="127"/>
  <c r="AC27" i="127"/>
  <c r="AD27" i="127"/>
  <c r="I28" i="127"/>
  <c r="P28" i="127"/>
  <c r="Q28" i="127"/>
  <c r="R28" i="127"/>
  <c r="S28" i="127" s="1"/>
  <c r="T28" i="127"/>
  <c r="U28" i="127"/>
  <c r="V28" i="127"/>
  <c r="W28" i="127"/>
  <c r="X28" i="127"/>
  <c r="AC28" i="127"/>
  <c r="AD28" i="127"/>
  <c r="I29" i="127"/>
  <c r="J29" i="127"/>
  <c r="K29" i="127" s="1"/>
  <c r="O29" i="127"/>
  <c r="P29" i="127"/>
  <c r="Q29" i="127"/>
  <c r="R29" i="127"/>
  <c r="S29" i="127" s="1"/>
  <c r="T29" i="127"/>
  <c r="U29" i="127"/>
  <c r="V29" i="127"/>
  <c r="W29" i="127"/>
  <c r="X29" i="127"/>
  <c r="AA29" i="127"/>
  <c r="AB29" i="127"/>
  <c r="AC29" i="127"/>
  <c r="AD29" i="127"/>
  <c r="I30" i="127"/>
  <c r="P30" i="127"/>
  <c r="Q30" i="127"/>
  <c r="R30" i="127"/>
  <c r="S30" i="127" s="1"/>
  <c r="T30" i="127"/>
  <c r="U30" i="127"/>
  <c r="V30" i="127"/>
  <c r="W30" i="127"/>
  <c r="X30" i="127"/>
  <c r="AC30" i="127"/>
  <c r="AD30" i="127"/>
  <c r="I31" i="127"/>
  <c r="P31" i="127"/>
  <c r="Q31" i="127"/>
  <c r="R31" i="127"/>
  <c r="S31" i="127" s="1"/>
  <c r="T31" i="127"/>
  <c r="U31" i="127"/>
  <c r="V31" i="127"/>
  <c r="W31" i="127"/>
  <c r="X31" i="127"/>
  <c r="AC31" i="127"/>
  <c r="AD31" i="127"/>
  <c r="I32" i="127"/>
  <c r="P32" i="127"/>
  <c r="Q32" i="127"/>
  <c r="R32" i="127"/>
  <c r="S32" i="127" s="1"/>
  <c r="T32" i="127"/>
  <c r="U32" i="127"/>
  <c r="V32" i="127"/>
  <c r="W32" i="127"/>
  <c r="X32" i="127"/>
  <c r="AC32" i="127"/>
  <c r="AD32" i="127"/>
  <c r="I33" i="127"/>
  <c r="J33" i="127"/>
  <c r="K33" i="127" s="1"/>
  <c r="O33" i="127"/>
  <c r="P33" i="127"/>
  <c r="Q33" i="127"/>
  <c r="R33" i="127"/>
  <c r="S33" i="127" s="1"/>
  <c r="T33" i="127"/>
  <c r="U33" i="127"/>
  <c r="V33" i="127"/>
  <c r="W33" i="127"/>
  <c r="X33" i="127"/>
  <c r="AA33" i="127"/>
  <c r="AB33" i="127"/>
  <c r="AC33" i="127"/>
  <c r="AD33" i="127"/>
  <c r="I34" i="127"/>
  <c r="J34" i="127"/>
  <c r="K34" i="127" s="1"/>
  <c r="O34" i="127"/>
  <c r="P34" i="127"/>
  <c r="Q34" i="127"/>
  <c r="R34" i="127"/>
  <c r="S34" i="127" s="1"/>
  <c r="T34" i="127"/>
  <c r="U34" i="127"/>
  <c r="V34" i="127"/>
  <c r="W34" i="127"/>
  <c r="X34" i="127"/>
  <c r="AA34" i="127"/>
  <c r="AB34" i="127"/>
  <c r="AC34" i="127"/>
  <c r="AD34" i="127"/>
  <c r="I35" i="127"/>
  <c r="P35" i="127"/>
  <c r="Q35" i="127"/>
  <c r="R35" i="127"/>
  <c r="S35" i="127" s="1"/>
  <c r="T35" i="127"/>
  <c r="U35" i="127"/>
  <c r="V35" i="127"/>
  <c r="W35" i="127"/>
  <c r="X35" i="127"/>
  <c r="AC35" i="127"/>
  <c r="AD35" i="127"/>
  <c r="I36" i="127"/>
  <c r="P36" i="127"/>
  <c r="Q36" i="127"/>
  <c r="R36" i="127"/>
  <c r="S36" i="127" s="1"/>
  <c r="T36" i="127"/>
  <c r="U36" i="127"/>
  <c r="V36" i="127"/>
  <c r="W36" i="127"/>
  <c r="X36" i="127"/>
  <c r="AC36" i="127"/>
  <c r="AD36" i="127"/>
  <c r="M34" i="127" l="1"/>
  <c r="L34" i="127"/>
  <c r="N34" i="127"/>
  <c r="N33" i="127"/>
  <c r="N29" i="127"/>
  <c r="N27" i="127"/>
  <c r="M33" i="127"/>
  <c r="M29" i="127"/>
  <c r="M27" i="127"/>
  <c r="L33" i="127"/>
  <c r="L29" i="127"/>
  <c r="L27" i="127"/>
  <c r="C7" i="127" l="1"/>
  <c r="C8" i="127"/>
  <c r="C9" i="127"/>
  <c r="C10" i="127"/>
  <c r="C11" i="127"/>
  <c r="C12" i="127"/>
  <c r="C13" i="127"/>
  <c r="C14" i="127"/>
  <c r="C15" i="127"/>
  <c r="C16" i="127"/>
  <c r="C17" i="127"/>
  <c r="C18" i="127"/>
  <c r="C19" i="127"/>
  <c r="C20" i="127"/>
  <c r="C21" i="127"/>
  <c r="C22" i="127"/>
  <c r="C23" i="127"/>
  <c r="C24" i="127"/>
  <c r="C25" i="127"/>
  <c r="C26" i="127"/>
  <c r="C27" i="127"/>
  <c r="C28" i="127"/>
  <c r="C29" i="127"/>
  <c r="C30" i="127"/>
  <c r="C31" i="127"/>
  <c r="C32" i="127"/>
  <c r="C33" i="127"/>
  <c r="C34" i="127"/>
  <c r="C35" i="127"/>
  <c r="C36" i="127"/>
  <c r="C6" i="127"/>
  <c r="B7" i="127"/>
  <c r="B8" i="127"/>
  <c r="B9" i="127"/>
  <c r="B10" i="127"/>
  <c r="B11" i="127"/>
  <c r="B12" i="127"/>
  <c r="B13" i="127"/>
  <c r="B14" i="127"/>
  <c r="B15" i="127"/>
  <c r="B16" i="127"/>
  <c r="B17" i="127"/>
  <c r="B18" i="127"/>
  <c r="B19" i="127"/>
  <c r="B20" i="127"/>
  <c r="B21" i="127"/>
  <c r="B22" i="127"/>
  <c r="B23" i="127"/>
  <c r="B24" i="127"/>
  <c r="B25" i="127"/>
  <c r="B26" i="127"/>
  <c r="B27" i="127"/>
  <c r="B28" i="127"/>
  <c r="B29" i="127"/>
  <c r="B30" i="127"/>
  <c r="B31" i="127"/>
  <c r="B32" i="127"/>
  <c r="B33" i="127"/>
  <c r="B34" i="127"/>
  <c r="B35" i="127"/>
  <c r="B36" i="127"/>
  <c r="B6" i="127"/>
  <c r="D7" i="127" l="1"/>
  <c r="F7" i="127" s="1"/>
  <c r="D8" i="127"/>
  <c r="D9" i="127"/>
  <c r="D10" i="127"/>
  <c r="D11" i="127"/>
  <c r="D12" i="127"/>
  <c r="D13" i="127"/>
  <c r="D14" i="127"/>
  <c r="D15" i="127"/>
  <c r="D16" i="127"/>
  <c r="D17" i="127"/>
  <c r="D18" i="127"/>
  <c r="D19" i="127"/>
  <c r="D20" i="127"/>
  <c r="D21" i="127"/>
  <c r="D22" i="127"/>
  <c r="D23" i="127"/>
  <c r="D24" i="127"/>
  <c r="D25" i="127"/>
  <c r="D26" i="127"/>
  <c r="D27" i="127"/>
  <c r="F27" i="127" s="1"/>
  <c r="D28" i="127"/>
  <c r="D29" i="127"/>
  <c r="F29" i="127" s="1"/>
  <c r="D31" i="127"/>
  <c r="D32" i="127"/>
  <c r="D33" i="127"/>
  <c r="F33" i="127" s="1"/>
  <c r="D34" i="127"/>
  <c r="F34" i="127" s="1"/>
  <c r="D35" i="127"/>
  <c r="D36" i="127"/>
  <c r="D6" i="127" l="1"/>
  <c r="F6" i="127" s="1"/>
  <c r="D30" i="127"/>
  <c r="C42" i="136"/>
  <c r="AJ32" i="136"/>
  <c r="AI32" i="136"/>
  <c r="AH32" i="136"/>
  <c r="AG32" i="136"/>
  <c r="AF32" i="136"/>
  <c r="AE32" i="136"/>
  <c r="AD32" i="136"/>
  <c r="AC32" i="136"/>
  <c r="Y32" i="136"/>
  <c r="X32" i="136"/>
  <c r="W32" i="136"/>
  <c r="V32" i="136"/>
  <c r="U32" i="136"/>
  <c r="T32" i="136"/>
  <c r="S32" i="136"/>
  <c r="R32" i="136"/>
  <c r="Q32" i="136"/>
  <c r="P32" i="136"/>
  <c r="I32" i="136"/>
  <c r="AJ31" i="136"/>
  <c r="AI31" i="136"/>
  <c r="AH31" i="136"/>
  <c r="AG31" i="136"/>
  <c r="AF31" i="136"/>
  <c r="AE31" i="136"/>
  <c r="AD31" i="136"/>
  <c r="AC31" i="136"/>
  <c r="Y31" i="136"/>
  <c r="X31" i="136"/>
  <c r="W31" i="136"/>
  <c r="V31" i="136"/>
  <c r="U31" i="136"/>
  <c r="T31" i="136"/>
  <c r="S31" i="136"/>
  <c r="R31" i="136"/>
  <c r="Q31" i="136"/>
  <c r="P31" i="136"/>
  <c r="I31" i="136"/>
  <c r="AJ30" i="136"/>
  <c r="AI30" i="136"/>
  <c r="AH30" i="136"/>
  <c r="AG30" i="136"/>
  <c r="AF30" i="136"/>
  <c r="AE30" i="136"/>
  <c r="AD30" i="136"/>
  <c r="AC30" i="136"/>
  <c r="Y30" i="136"/>
  <c r="X30" i="136"/>
  <c r="W30" i="136"/>
  <c r="V30" i="136"/>
  <c r="U30" i="136"/>
  <c r="T30" i="136"/>
  <c r="S30" i="136"/>
  <c r="R30" i="136"/>
  <c r="Q30" i="136"/>
  <c r="P30" i="136"/>
  <c r="I30" i="136"/>
  <c r="AJ28" i="136"/>
  <c r="AI28" i="136"/>
  <c r="AH28" i="136"/>
  <c r="AG28" i="136"/>
  <c r="AF28" i="136"/>
  <c r="AE28" i="136"/>
  <c r="AD28" i="136"/>
  <c r="AC28" i="136"/>
  <c r="Y28" i="136"/>
  <c r="X28" i="136"/>
  <c r="W28" i="136"/>
  <c r="V28" i="136"/>
  <c r="U28" i="136"/>
  <c r="T28" i="136"/>
  <c r="S28" i="136"/>
  <c r="R28" i="136"/>
  <c r="Q28" i="136"/>
  <c r="P28" i="136"/>
  <c r="I28" i="136"/>
  <c r="AJ26" i="136"/>
  <c r="AI26" i="136"/>
  <c r="AH26" i="136"/>
  <c r="AG26" i="136"/>
  <c r="AF26" i="136"/>
  <c r="AE26" i="136"/>
  <c r="AD26" i="136"/>
  <c r="AC26" i="136"/>
  <c r="Y26" i="136"/>
  <c r="X26" i="136"/>
  <c r="W26" i="136"/>
  <c r="V26" i="136"/>
  <c r="U26" i="136"/>
  <c r="T26" i="136"/>
  <c r="S26" i="136"/>
  <c r="R26" i="136"/>
  <c r="Q26" i="136"/>
  <c r="P26" i="136"/>
  <c r="I26" i="136"/>
  <c r="AJ25" i="136"/>
  <c r="AI25" i="136"/>
  <c r="AH25" i="136"/>
  <c r="AG25" i="136"/>
  <c r="AF25" i="136"/>
  <c r="AE25" i="136"/>
  <c r="AD25" i="136"/>
  <c r="AC25" i="136"/>
  <c r="Y25" i="136"/>
  <c r="X25" i="136"/>
  <c r="W25" i="136"/>
  <c r="V25" i="136"/>
  <c r="U25" i="136"/>
  <c r="T25" i="136"/>
  <c r="S25" i="136"/>
  <c r="R25" i="136"/>
  <c r="Q25" i="136"/>
  <c r="P25" i="136"/>
  <c r="I25" i="136"/>
  <c r="AJ24" i="136"/>
  <c r="AI24" i="136"/>
  <c r="AH24" i="136"/>
  <c r="AG24" i="136"/>
  <c r="AF24" i="136"/>
  <c r="AE24" i="136"/>
  <c r="AD24" i="136"/>
  <c r="AC24" i="136"/>
  <c r="Y24" i="136"/>
  <c r="X24" i="136"/>
  <c r="W24" i="136"/>
  <c r="V24" i="136"/>
  <c r="U24" i="136"/>
  <c r="T24" i="136"/>
  <c r="S24" i="136"/>
  <c r="R24" i="136"/>
  <c r="Q24" i="136"/>
  <c r="P24" i="136"/>
  <c r="I24" i="136"/>
  <c r="AJ23" i="136"/>
  <c r="AI23" i="136"/>
  <c r="AH23" i="136"/>
  <c r="AG23" i="136"/>
  <c r="AF23" i="136"/>
  <c r="AE23" i="136"/>
  <c r="AD23" i="136"/>
  <c r="AC23" i="136"/>
  <c r="Y23" i="136"/>
  <c r="X23" i="136"/>
  <c r="W23" i="136"/>
  <c r="V23" i="136"/>
  <c r="U23" i="136"/>
  <c r="T23" i="136"/>
  <c r="S23" i="136"/>
  <c r="R23" i="136"/>
  <c r="Q23" i="136"/>
  <c r="P23" i="136"/>
  <c r="I23" i="136"/>
  <c r="AJ22" i="136"/>
  <c r="AI22" i="136"/>
  <c r="AH22" i="136"/>
  <c r="AG22" i="136"/>
  <c r="AF22" i="136"/>
  <c r="AE22" i="136"/>
  <c r="AD22" i="136"/>
  <c r="AC22" i="136"/>
  <c r="Y22" i="136"/>
  <c r="X22" i="136"/>
  <c r="W22" i="136"/>
  <c r="V22" i="136"/>
  <c r="U22" i="136"/>
  <c r="T22" i="136"/>
  <c r="S22" i="136"/>
  <c r="R22" i="136"/>
  <c r="Q22" i="136"/>
  <c r="P22" i="136"/>
  <c r="I22" i="136"/>
  <c r="AJ21" i="136"/>
  <c r="AI21" i="136"/>
  <c r="AH21" i="136"/>
  <c r="AG21" i="136"/>
  <c r="AF21" i="136"/>
  <c r="AE21" i="136"/>
  <c r="AD21" i="136"/>
  <c r="AC21" i="136"/>
  <c r="Y21" i="136"/>
  <c r="X21" i="136"/>
  <c r="W21" i="136"/>
  <c r="V21" i="136"/>
  <c r="U21" i="136"/>
  <c r="T21" i="136"/>
  <c r="S21" i="136"/>
  <c r="R21" i="136"/>
  <c r="Q21" i="136"/>
  <c r="P21" i="136"/>
  <c r="I21" i="136"/>
  <c r="AJ20" i="136"/>
  <c r="AI20" i="136"/>
  <c r="AH20" i="136"/>
  <c r="AG20" i="136"/>
  <c r="AF20" i="136"/>
  <c r="AE20" i="136"/>
  <c r="AD20" i="136"/>
  <c r="AC20" i="136"/>
  <c r="Y20" i="136"/>
  <c r="X20" i="136"/>
  <c r="W20" i="136"/>
  <c r="V20" i="136"/>
  <c r="U20" i="136"/>
  <c r="T20" i="136"/>
  <c r="S20" i="136"/>
  <c r="R20" i="136"/>
  <c r="Q20" i="136"/>
  <c r="P20" i="136"/>
  <c r="I20" i="136"/>
  <c r="AJ19" i="136"/>
  <c r="AI19" i="136"/>
  <c r="AH19" i="136"/>
  <c r="AG19" i="136"/>
  <c r="AF19" i="136"/>
  <c r="AE19" i="136"/>
  <c r="AD19" i="136"/>
  <c r="AC19" i="136"/>
  <c r="Y19" i="136"/>
  <c r="X19" i="136"/>
  <c r="W19" i="136"/>
  <c r="V19" i="136"/>
  <c r="U19" i="136"/>
  <c r="T19" i="136"/>
  <c r="S19" i="136"/>
  <c r="R19" i="136"/>
  <c r="Q19" i="136"/>
  <c r="P19" i="136"/>
  <c r="I19" i="136"/>
  <c r="AJ18" i="136"/>
  <c r="AI18" i="136"/>
  <c r="AH18" i="136"/>
  <c r="AG18" i="136"/>
  <c r="AF18" i="136"/>
  <c r="AE18" i="136"/>
  <c r="AD18" i="136"/>
  <c r="AC18" i="136"/>
  <c r="Y18" i="136"/>
  <c r="X18" i="136"/>
  <c r="W18" i="136"/>
  <c r="V18" i="136"/>
  <c r="U18" i="136"/>
  <c r="T18" i="136"/>
  <c r="S18" i="136"/>
  <c r="R18" i="136"/>
  <c r="Q18" i="136"/>
  <c r="P18" i="136"/>
  <c r="I18" i="136"/>
  <c r="AJ17" i="136"/>
  <c r="AI17" i="136"/>
  <c r="AH17" i="136"/>
  <c r="AG17" i="136"/>
  <c r="AF17" i="136"/>
  <c r="AE17" i="136"/>
  <c r="AD17" i="136"/>
  <c r="AC17" i="136"/>
  <c r="Y17" i="136"/>
  <c r="X17" i="136"/>
  <c r="W17" i="136"/>
  <c r="V17" i="136"/>
  <c r="U17" i="136"/>
  <c r="T17" i="136"/>
  <c r="S17" i="136"/>
  <c r="R17" i="136"/>
  <c r="Q17" i="136"/>
  <c r="P17" i="136"/>
  <c r="I17" i="136"/>
  <c r="AJ16" i="136"/>
  <c r="AI16" i="136"/>
  <c r="AH16" i="136"/>
  <c r="AG16" i="136"/>
  <c r="AF16" i="136"/>
  <c r="AE16" i="136"/>
  <c r="AD16" i="136"/>
  <c r="AC16" i="136"/>
  <c r="Y16" i="136"/>
  <c r="X16" i="136"/>
  <c r="W16" i="136"/>
  <c r="V16" i="136"/>
  <c r="U16" i="136"/>
  <c r="T16" i="136"/>
  <c r="S16" i="136"/>
  <c r="R16" i="136"/>
  <c r="Q16" i="136"/>
  <c r="P16" i="136"/>
  <c r="I16" i="136"/>
  <c r="AJ15" i="136"/>
  <c r="AI15" i="136"/>
  <c r="AH15" i="136"/>
  <c r="AG15" i="136"/>
  <c r="AF15" i="136"/>
  <c r="AE15" i="136"/>
  <c r="AD15" i="136"/>
  <c r="AC15" i="136"/>
  <c r="Y15" i="136"/>
  <c r="X15" i="136"/>
  <c r="W15" i="136"/>
  <c r="V15" i="136"/>
  <c r="U15" i="136"/>
  <c r="T15" i="136"/>
  <c r="S15" i="136"/>
  <c r="R15" i="136"/>
  <c r="Q15" i="136"/>
  <c r="P15" i="136"/>
  <c r="I15" i="136"/>
  <c r="AJ14" i="136"/>
  <c r="AI14" i="136"/>
  <c r="AH14" i="136"/>
  <c r="AG14" i="136"/>
  <c r="AF14" i="136"/>
  <c r="AE14" i="136"/>
  <c r="AD14" i="136"/>
  <c r="AC14" i="136"/>
  <c r="Y14" i="136"/>
  <c r="X14" i="136"/>
  <c r="W14" i="136"/>
  <c r="V14" i="136"/>
  <c r="U14" i="136"/>
  <c r="T14" i="136"/>
  <c r="S14" i="136"/>
  <c r="R14" i="136"/>
  <c r="Q14" i="136"/>
  <c r="P14" i="136"/>
  <c r="I14" i="136"/>
  <c r="AJ13" i="136"/>
  <c r="AI13" i="136"/>
  <c r="AH13" i="136"/>
  <c r="AG13" i="136"/>
  <c r="AF13" i="136"/>
  <c r="AE13" i="136"/>
  <c r="AD13" i="136"/>
  <c r="AC13" i="136"/>
  <c r="Y13" i="136"/>
  <c r="X13" i="136"/>
  <c r="W13" i="136"/>
  <c r="V13" i="136"/>
  <c r="U13" i="136"/>
  <c r="T13" i="136"/>
  <c r="S13" i="136"/>
  <c r="R13" i="136"/>
  <c r="Q13" i="136"/>
  <c r="P13" i="136"/>
  <c r="I13" i="136"/>
  <c r="AJ12" i="136"/>
  <c r="AI12" i="136"/>
  <c r="AH12" i="136"/>
  <c r="AG12" i="136"/>
  <c r="AF12" i="136"/>
  <c r="AE12" i="136"/>
  <c r="AD12" i="136"/>
  <c r="AC12" i="136"/>
  <c r="Y12" i="136"/>
  <c r="X12" i="136"/>
  <c r="W12" i="136"/>
  <c r="V12" i="136"/>
  <c r="U12" i="136"/>
  <c r="T12" i="136"/>
  <c r="S12" i="136"/>
  <c r="R12" i="136"/>
  <c r="Q12" i="136"/>
  <c r="P12" i="136"/>
  <c r="I12" i="136"/>
  <c r="AJ11" i="136"/>
  <c r="AI11" i="136"/>
  <c r="AH11" i="136"/>
  <c r="AG11" i="136"/>
  <c r="AF11" i="136"/>
  <c r="AE11" i="136"/>
  <c r="AD11" i="136"/>
  <c r="AC11" i="136"/>
  <c r="Y11" i="136"/>
  <c r="X11" i="136"/>
  <c r="W11" i="136"/>
  <c r="V11" i="136"/>
  <c r="U11" i="136"/>
  <c r="T11" i="136"/>
  <c r="S11" i="136"/>
  <c r="R11" i="136"/>
  <c r="Q11" i="136"/>
  <c r="P11" i="136"/>
  <c r="I11" i="136"/>
  <c r="AJ10" i="136"/>
  <c r="AI10" i="136"/>
  <c r="AH10" i="136"/>
  <c r="AG10" i="136"/>
  <c r="AF10" i="136"/>
  <c r="AE10" i="136"/>
  <c r="AD10" i="136"/>
  <c r="AC10" i="136"/>
  <c r="Y10" i="136"/>
  <c r="X10" i="136"/>
  <c r="W10" i="136"/>
  <c r="V10" i="136"/>
  <c r="U10" i="136"/>
  <c r="T10" i="136"/>
  <c r="S10" i="136"/>
  <c r="R10" i="136"/>
  <c r="Q10" i="136"/>
  <c r="P10" i="136"/>
  <c r="I10" i="136"/>
  <c r="AJ9" i="136"/>
  <c r="AI9" i="136"/>
  <c r="AH9" i="136"/>
  <c r="AG9" i="136"/>
  <c r="AF9" i="136"/>
  <c r="AE9" i="136"/>
  <c r="AD9" i="136"/>
  <c r="AC9" i="136"/>
  <c r="Y9" i="136"/>
  <c r="X9" i="136"/>
  <c r="W9" i="136"/>
  <c r="V9" i="136"/>
  <c r="U9" i="136"/>
  <c r="T9" i="136"/>
  <c r="S9" i="136"/>
  <c r="R9" i="136"/>
  <c r="Q9" i="136"/>
  <c r="P9" i="136"/>
  <c r="I9" i="136"/>
  <c r="AJ8" i="136"/>
  <c r="AI8" i="136"/>
  <c r="AH8" i="136"/>
  <c r="AG8" i="136"/>
  <c r="AF8" i="136"/>
  <c r="AE8" i="136"/>
  <c r="AD8" i="136"/>
  <c r="AC8" i="136"/>
  <c r="Y8" i="136"/>
  <c r="X8" i="136"/>
  <c r="W8" i="136"/>
  <c r="V8" i="136"/>
  <c r="U8" i="136"/>
  <c r="T8" i="136"/>
  <c r="S8" i="136"/>
  <c r="R8" i="136"/>
  <c r="Q8" i="136"/>
  <c r="P8" i="136"/>
  <c r="I8" i="136"/>
  <c r="AJ6" i="136"/>
  <c r="AI6" i="136"/>
  <c r="AH6" i="136"/>
  <c r="AG6" i="136"/>
  <c r="AF6" i="136"/>
  <c r="AE6" i="136"/>
  <c r="AE39" i="136" l="1"/>
  <c r="AI39" i="136"/>
  <c r="Q39" i="136"/>
  <c r="U39" i="136"/>
  <c r="Y39" i="136"/>
  <c r="AF39" i="136"/>
  <c r="AC39" i="136"/>
  <c r="AG39" i="136"/>
  <c r="W39" i="136"/>
  <c r="AD39" i="136"/>
  <c r="AJ39" i="136"/>
  <c r="V39" i="136"/>
  <c r="I39" i="136"/>
  <c r="AH39" i="136"/>
  <c r="P39" i="136"/>
  <c r="T39" i="136"/>
  <c r="X39" i="136"/>
  <c r="R39" i="136"/>
  <c r="S39" i="136"/>
  <c r="G47" i="135" l="1"/>
  <c r="F47" i="135"/>
  <c r="C47" i="135"/>
  <c r="B47" i="135"/>
  <c r="C46" i="135"/>
  <c r="B46" i="135"/>
  <c r="H45" i="135"/>
  <c r="I45" i="135" s="1"/>
  <c r="C45" i="135"/>
  <c r="B45" i="135"/>
  <c r="H44" i="135"/>
  <c r="I44" i="135" s="1"/>
  <c r="C44" i="135"/>
  <c r="B44" i="135"/>
  <c r="H43" i="135"/>
  <c r="C43" i="135"/>
  <c r="B43" i="135"/>
  <c r="H42" i="135"/>
  <c r="H41" i="135"/>
  <c r="H47" i="135" s="1"/>
  <c r="W38" i="135"/>
  <c r="U38" i="135"/>
  <c r="T38" i="135"/>
  <c r="N38" i="135"/>
  <c r="M38" i="135"/>
  <c r="L38" i="135"/>
  <c r="J38" i="135"/>
  <c r="I38" i="135"/>
  <c r="O36" i="135"/>
  <c r="D36" i="135"/>
  <c r="C36" i="135"/>
  <c r="B36" i="135"/>
  <c r="O35" i="135"/>
  <c r="D35" i="135"/>
  <c r="C35" i="135"/>
  <c r="B35" i="135"/>
  <c r="O34" i="135"/>
  <c r="D34" i="135"/>
  <c r="C34" i="135"/>
  <c r="B34" i="135"/>
  <c r="O33" i="135"/>
  <c r="D33" i="135"/>
  <c r="C33" i="135"/>
  <c r="B33" i="135"/>
  <c r="O32" i="135"/>
  <c r="D32" i="135"/>
  <c r="C32" i="135"/>
  <c r="B32" i="135"/>
  <c r="O31" i="135"/>
  <c r="D31" i="135"/>
  <c r="C31" i="135"/>
  <c r="B31" i="135"/>
  <c r="O30" i="135"/>
  <c r="D30" i="135"/>
  <c r="C30" i="135"/>
  <c r="B30" i="135"/>
  <c r="O29" i="135"/>
  <c r="D29" i="135"/>
  <c r="C29" i="135"/>
  <c r="B29" i="135"/>
  <c r="O28" i="135"/>
  <c r="D28" i="135"/>
  <c r="C28" i="135"/>
  <c r="B28" i="135"/>
  <c r="O27" i="135"/>
  <c r="D27" i="135"/>
  <c r="C27" i="135"/>
  <c r="B27" i="135"/>
  <c r="O26" i="135"/>
  <c r="D26" i="135"/>
  <c r="C26" i="135"/>
  <c r="B26" i="135"/>
  <c r="O25" i="135"/>
  <c r="D25" i="135"/>
  <c r="C25" i="135"/>
  <c r="B25" i="135"/>
  <c r="O24" i="135"/>
  <c r="D24" i="135"/>
  <c r="C24" i="135"/>
  <c r="B24" i="135"/>
  <c r="O23" i="135"/>
  <c r="D23" i="135"/>
  <c r="C23" i="135"/>
  <c r="B23" i="135"/>
  <c r="O22" i="135"/>
  <c r="D22" i="135"/>
  <c r="C22" i="135"/>
  <c r="B22" i="135"/>
  <c r="O21" i="135"/>
  <c r="D21" i="135"/>
  <c r="C21" i="135"/>
  <c r="B21" i="135"/>
  <c r="O20" i="135"/>
  <c r="D20" i="135"/>
  <c r="C20" i="135"/>
  <c r="B20" i="135"/>
  <c r="O19" i="135"/>
  <c r="D19" i="135"/>
  <c r="C19" i="135"/>
  <c r="B19" i="135"/>
  <c r="O18" i="135"/>
  <c r="D18" i="135"/>
  <c r="C18" i="135"/>
  <c r="B18" i="135"/>
  <c r="O17" i="135"/>
  <c r="D17" i="135"/>
  <c r="C17" i="135"/>
  <c r="B17" i="135"/>
  <c r="O16" i="135"/>
  <c r="D16" i="135"/>
  <c r="C16" i="135"/>
  <c r="B16" i="135"/>
  <c r="O15" i="135"/>
  <c r="D15" i="135"/>
  <c r="C15" i="135"/>
  <c r="B15" i="135"/>
  <c r="O14" i="135"/>
  <c r="D14" i="135"/>
  <c r="C14" i="135"/>
  <c r="B14" i="135"/>
  <c r="O13" i="135"/>
  <c r="D13" i="135"/>
  <c r="C13" i="135"/>
  <c r="B13" i="135"/>
  <c r="O12" i="135"/>
  <c r="D12" i="135"/>
  <c r="C12" i="135"/>
  <c r="B12" i="135"/>
  <c r="O11" i="135"/>
  <c r="D11" i="135"/>
  <c r="C11" i="135"/>
  <c r="B11" i="135"/>
  <c r="O10" i="135"/>
  <c r="D10" i="135"/>
  <c r="C10" i="135"/>
  <c r="B10" i="135"/>
  <c r="O9" i="135"/>
  <c r="D9" i="135"/>
  <c r="C9" i="135"/>
  <c r="B9" i="135"/>
  <c r="O8" i="135"/>
  <c r="D8" i="135"/>
  <c r="C8" i="135"/>
  <c r="B8" i="135"/>
  <c r="O7" i="135"/>
  <c r="D7" i="135"/>
  <c r="B7" i="135"/>
  <c r="R6" i="135"/>
  <c r="O6" i="135"/>
  <c r="H6" i="135"/>
  <c r="E6" i="135"/>
  <c r="D6" i="135"/>
  <c r="B6" i="135"/>
  <c r="C49" i="135" l="1"/>
  <c r="D38" i="135"/>
  <c r="O38" i="135"/>
  <c r="B6" i="100" l="1"/>
  <c r="C10" i="100" s="1"/>
  <c r="Z40" i="127" l="1"/>
  <c r="Y40" i="127"/>
  <c r="D40" i="127"/>
  <c r="C40" i="127"/>
  <c r="AE6" i="127"/>
  <c r="AE40" i="127" s="1"/>
  <c r="C28" i="98"/>
  <c r="T40" i="127" l="1"/>
  <c r="X40" i="127"/>
  <c r="AD40" i="127"/>
  <c r="Q40" i="127"/>
  <c r="AC40" i="127"/>
  <c r="U40" i="127"/>
  <c r="W40" i="127"/>
  <c r="I40" i="127"/>
  <c r="P40" i="127"/>
  <c r="V40" i="127"/>
  <c r="H6" i="127"/>
  <c r="R40" i="127"/>
  <c r="E40" i="127"/>
  <c r="S40" i="127"/>
  <c r="C7" i="135" l="1"/>
  <c r="Q14" i="135" l="1"/>
  <c r="Q27" i="135"/>
  <c r="Q31" i="135"/>
  <c r="Q34" i="135"/>
  <c r="Q36" i="135" l="1"/>
  <c r="Q20" i="135"/>
  <c r="Q33" i="135"/>
  <c r="Q29" i="135"/>
  <c r="Q25" i="135"/>
  <c r="Q21" i="135"/>
  <c r="Q17" i="135"/>
  <c r="Q13" i="135"/>
  <c r="Q9" i="135"/>
  <c r="Q28" i="135"/>
  <c r="Q35" i="135"/>
  <c r="Q23" i="135"/>
  <c r="Q19" i="135"/>
  <c r="Q15" i="135"/>
  <c r="Q11" i="135"/>
  <c r="Q7" i="135"/>
  <c r="Q32" i="135"/>
  <c r="Q24" i="135"/>
  <c r="Q16" i="135"/>
  <c r="Q12" i="135"/>
  <c r="Q8" i="135"/>
  <c r="Q30" i="135"/>
  <c r="Q26" i="135"/>
  <c r="Q22" i="135"/>
  <c r="Q18" i="135"/>
  <c r="Q10" i="135"/>
  <c r="Q38" i="135" l="1"/>
  <c r="E14" i="135"/>
  <c r="F18" i="135"/>
  <c r="V18" i="135" s="1"/>
  <c r="F27" i="135" l="1"/>
  <c r="V27" i="135" s="1"/>
  <c r="E27" i="135"/>
  <c r="F8" i="135"/>
  <c r="V8" i="135" s="1"/>
  <c r="E8" i="135"/>
  <c r="F16" i="135"/>
  <c r="V16" i="135" s="1"/>
  <c r="E16" i="135"/>
  <c r="F24" i="135"/>
  <c r="V24" i="135" s="1"/>
  <c r="E24" i="135"/>
  <c r="F36" i="135"/>
  <c r="V36" i="135" s="1"/>
  <c r="E36" i="135"/>
  <c r="F13" i="135"/>
  <c r="V13" i="135" s="1"/>
  <c r="E13" i="135"/>
  <c r="F21" i="135"/>
  <c r="V21" i="135" s="1"/>
  <c r="E21" i="135"/>
  <c r="F31" i="135"/>
  <c r="V31" i="135" s="1"/>
  <c r="E31" i="135"/>
  <c r="E10" i="135"/>
  <c r="E18" i="135"/>
  <c r="F11" i="135"/>
  <c r="V11" i="135" s="1"/>
  <c r="E11" i="135"/>
  <c r="F19" i="135"/>
  <c r="V19" i="135" s="1"/>
  <c r="E19" i="135"/>
  <c r="F28" i="135"/>
  <c r="V28" i="135" s="1"/>
  <c r="E28" i="135"/>
  <c r="F35" i="135"/>
  <c r="V35" i="135" s="1"/>
  <c r="E35" i="135"/>
  <c r="E7" i="135"/>
  <c r="E30" i="135"/>
  <c r="E29" i="135"/>
  <c r="E25" i="135"/>
  <c r="E32" i="135"/>
  <c r="F26" i="135"/>
  <c r="V26" i="135" s="1"/>
  <c r="E26" i="135"/>
  <c r="F15" i="135"/>
  <c r="V15" i="135" s="1"/>
  <c r="E15" i="135"/>
  <c r="F23" i="135"/>
  <c r="V23" i="135" s="1"/>
  <c r="E23" i="135"/>
  <c r="E33" i="135"/>
  <c r="E22" i="135"/>
  <c r="F34" i="135"/>
  <c r="V34" i="135" s="1"/>
  <c r="E34" i="135"/>
  <c r="E12" i="135"/>
  <c r="E20" i="135"/>
  <c r="F9" i="135"/>
  <c r="V9" i="135" s="1"/>
  <c r="E9" i="135"/>
  <c r="E17" i="135"/>
  <c r="R35" i="135"/>
  <c r="R27" i="135"/>
  <c r="R21" i="135"/>
  <c r="R8" i="135"/>
  <c r="R24" i="135"/>
  <c r="R23" i="135"/>
  <c r="R22" i="135"/>
  <c r="R7" i="135"/>
  <c r="R31" i="135"/>
  <c r="R10" i="135"/>
  <c r="R34" i="135"/>
  <c r="R11" i="135"/>
  <c r="R17" i="135"/>
  <c r="R36" i="135"/>
  <c r="R20" i="135"/>
  <c r="R19" i="135"/>
  <c r="R18" i="135"/>
  <c r="R14" i="135"/>
  <c r="R26" i="135"/>
  <c r="R30" i="135"/>
  <c r="R9" i="135"/>
  <c r="R25" i="135"/>
  <c r="R12" i="135"/>
  <c r="R29" i="135"/>
  <c r="R28" i="135"/>
  <c r="R32" i="135"/>
  <c r="R13" i="135"/>
  <c r="R16" i="135"/>
  <c r="R15" i="135"/>
  <c r="R33" i="135"/>
  <c r="F22" i="135"/>
  <c r="V22" i="135" s="1"/>
  <c r="F14" i="135"/>
  <c r="V14" i="135" s="1"/>
  <c r="F33" i="135" l="1"/>
  <c r="V33" i="135" s="1"/>
  <c r="F29" i="135"/>
  <c r="V29" i="135" s="1"/>
  <c r="F17" i="135"/>
  <c r="V17" i="135" s="1"/>
  <c r="X19" i="135"/>
  <c r="F12" i="135"/>
  <c r="V12" i="135" s="1"/>
  <c r="F25" i="135"/>
  <c r="V25" i="135" s="1"/>
  <c r="E38" i="135"/>
  <c r="F30" i="135"/>
  <c r="V30" i="135" s="1"/>
  <c r="F32" i="135"/>
  <c r="V32" i="135" s="1"/>
  <c r="F20" i="135"/>
  <c r="V20" i="135" s="1"/>
  <c r="F10" i="135"/>
  <c r="V10" i="135" s="1"/>
  <c r="F7" i="135"/>
  <c r="X14" i="135"/>
  <c r="S14" i="135"/>
  <c r="R38" i="135"/>
  <c r="X27" i="135"/>
  <c r="S27" i="135"/>
  <c r="S34" i="135"/>
  <c r="X34" i="135"/>
  <c r="X31" i="135"/>
  <c r="S31" i="135"/>
  <c r="B6" i="98"/>
  <c r="D28" i="98" s="1"/>
  <c r="C12" i="97"/>
  <c r="D12" i="97" s="1"/>
  <c r="C11" i="95"/>
  <c r="D11" i="95" s="1"/>
  <c r="C11" i="96"/>
  <c r="D12" i="96" s="1"/>
  <c r="V7" i="135" l="1"/>
  <c r="D4" i="111" l="1"/>
  <c r="D5" i="111" s="1"/>
  <c r="D6" i="111" s="1"/>
  <c r="D7" i="111" s="1"/>
  <c r="D8" i="111" s="1"/>
  <c r="D9" i="111" s="1"/>
  <c r="B6" i="92" l="1"/>
  <c r="G16" i="93" l="1"/>
  <c r="D16" i="93"/>
  <c r="E18" i="93" l="1"/>
  <c r="G57" i="87"/>
  <c r="G52" i="87"/>
  <c r="G45" i="87"/>
  <c r="X42" i="87"/>
  <c r="G58" i="87" s="1"/>
  <c r="W42" i="87"/>
  <c r="Z38" i="87"/>
  <c r="Y38" i="87"/>
  <c r="V38" i="87"/>
  <c r="U38" i="87"/>
  <c r="T38" i="87"/>
  <c r="S38" i="87"/>
  <c r="R38" i="87"/>
  <c r="P38" i="87"/>
  <c r="Q38" i="87" s="1"/>
  <c r="O38" i="87"/>
  <c r="N38" i="87"/>
  <c r="M38" i="87"/>
  <c r="G38" i="87"/>
  <c r="B38" i="87"/>
  <c r="Z37" i="87"/>
  <c r="Y37" i="87"/>
  <c r="V37" i="87"/>
  <c r="U37" i="87"/>
  <c r="T37" i="87"/>
  <c r="S37" i="87"/>
  <c r="R37" i="87"/>
  <c r="P37" i="87"/>
  <c r="Q37" i="87" s="1"/>
  <c r="O37" i="87"/>
  <c r="N37" i="87"/>
  <c r="M37" i="87"/>
  <c r="G37" i="87"/>
  <c r="B37" i="87"/>
  <c r="Z36" i="87"/>
  <c r="Y36" i="87"/>
  <c r="V36" i="87"/>
  <c r="U36" i="87"/>
  <c r="T36" i="87"/>
  <c r="S36" i="87"/>
  <c r="R36" i="87"/>
  <c r="P36" i="87"/>
  <c r="Q36" i="87" s="1"/>
  <c r="O36" i="87"/>
  <c r="N36" i="87"/>
  <c r="M36" i="87"/>
  <c r="G36" i="87"/>
  <c r="B36" i="87"/>
  <c r="Z35" i="87"/>
  <c r="Y35" i="87"/>
  <c r="V35" i="87"/>
  <c r="U35" i="87"/>
  <c r="T35" i="87"/>
  <c r="S35" i="87"/>
  <c r="R35" i="87"/>
  <c r="P35" i="87"/>
  <c r="Q35" i="87" s="1"/>
  <c r="O35" i="87"/>
  <c r="N35" i="87"/>
  <c r="M35" i="87"/>
  <c r="G35" i="87"/>
  <c r="B35" i="87"/>
  <c r="Z34" i="87"/>
  <c r="Y34" i="87"/>
  <c r="V34" i="87"/>
  <c r="U34" i="87"/>
  <c r="T34" i="87"/>
  <c r="S34" i="87"/>
  <c r="R34" i="87"/>
  <c r="P34" i="87"/>
  <c r="Q34" i="87" s="1"/>
  <c r="O34" i="87"/>
  <c r="N34" i="87"/>
  <c r="M34" i="87"/>
  <c r="H34" i="87"/>
  <c r="G34" i="87"/>
  <c r="B34" i="87"/>
  <c r="Z33" i="87"/>
  <c r="Y33" i="87"/>
  <c r="V33" i="87"/>
  <c r="U33" i="87"/>
  <c r="T33" i="87"/>
  <c r="S33" i="87"/>
  <c r="R33" i="87"/>
  <c r="P33" i="87"/>
  <c r="Q33" i="87" s="1"/>
  <c r="O33" i="87"/>
  <c r="N33" i="87"/>
  <c r="M33" i="87"/>
  <c r="G33" i="87"/>
  <c r="B33" i="87"/>
  <c r="Z32" i="87"/>
  <c r="Y32" i="87"/>
  <c r="V32" i="87"/>
  <c r="U32" i="87"/>
  <c r="T32" i="87"/>
  <c r="S32" i="87"/>
  <c r="R32" i="87"/>
  <c r="P32" i="87"/>
  <c r="Q32" i="87" s="1"/>
  <c r="O32" i="87"/>
  <c r="N32" i="87"/>
  <c r="M32" i="87"/>
  <c r="G32" i="87"/>
  <c r="B32" i="87"/>
  <c r="Z31" i="87"/>
  <c r="Y31" i="87"/>
  <c r="V31" i="87"/>
  <c r="U31" i="87"/>
  <c r="T31" i="87"/>
  <c r="S31" i="87"/>
  <c r="R31" i="87"/>
  <c r="P31" i="87"/>
  <c r="Q31" i="87" s="1"/>
  <c r="O31" i="87"/>
  <c r="N31" i="87"/>
  <c r="M31" i="87"/>
  <c r="G31" i="87"/>
  <c r="B31" i="87"/>
  <c r="Z30" i="87"/>
  <c r="Y30" i="87"/>
  <c r="V30" i="87"/>
  <c r="U30" i="87"/>
  <c r="T30" i="87"/>
  <c r="S30" i="87"/>
  <c r="R30" i="87"/>
  <c r="P30" i="87"/>
  <c r="Q30" i="87" s="1"/>
  <c r="O30" i="87"/>
  <c r="N30" i="87"/>
  <c r="M30" i="87"/>
  <c r="G30" i="87"/>
  <c r="B30" i="87"/>
  <c r="Z29" i="87"/>
  <c r="Y29" i="87"/>
  <c r="V29" i="87"/>
  <c r="U29" i="87"/>
  <c r="T29" i="87"/>
  <c r="S29" i="87"/>
  <c r="R29" i="87"/>
  <c r="P29" i="87"/>
  <c r="Q29" i="87" s="1"/>
  <c r="O29" i="87"/>
  <c r="N29" i="87"/>
  <c r="M29" i="87"/>
  <c r="G29" i="87"/>
  <c r="B29" i="87"/>
  <c r="Z28" i="87"/>
  <c r="Y28" i="87"/>
  <c r="V28" i="87"/>
  <c r="U28" i="87"/>
  <c r="T28" i="87"/>
  <c r="S28" i="87"/>
  <c r="R28" i="87"/>
  <c r="P28" i="87"/>
  <c r="Q28" i="87" s="1"/>
  <c r="O28" i="87"/>
  <c r="N28" i="87"/>
  <c r="M28" i="87"/>
  <c r="G28" i="87"/>
  <c r="B28" i="87"/>
  <c r="Z27" i="87"/>
  <c r="Y27" i="87"/>
  <c r="V27" i="87"/>
  <c r="U27" i="87"/>
  <c r="T27" i="87"/>
  <c r="S27" i="87"/>
  <c r="R27" i="87"/>
  <c r="P27" i="87"/>
  <c r="Q27" i="87" s="1"/>
  <c r="O27" i="87"/>
  <c r="N27" i="87"/>
  <c r="M27" i="87"/>
  <c r="G27" i="87"/>
  <c r="B27" i="87"/>
  <c r="Z26" i="87"/>
  <c r="Y26" i="87"/>
  <c r="V26" i="87"/>
  <c r="U26" i="87"/>
  <c r="T26" i="87"/>
  <c r="S26" i="87"/>
  <c r="R26" i="87"/>
  <c r="P26" i="87"/>
  <c r="Q26" i="87" s="1"/>
  <c r="O26" i="87"/>
  <c r="N26" i="87"/>
  <c r="M26" i="87"/>
  <c r="G26" i="87"/>
  <c r="B26" i="87"/>
  <c r="Z25" i="87"/>
  <c r="Y25" i="87"/>
  <c r="V25" i="87"/>
  <c r="U25" i="87"/>
  <c r="T25" i="87"/>
  <c r="S25" i="87"/>
  <c r="R25" i="87"/>
  <c r="P25" i="87"/>
  <c r="Q25" i="87" s="1"/>
  <c r="O25" i="87"/>
  <c r="N25" i="87"/>
  <c r="M25" i="87"/>
  <c r="G25" i="87"/>
  <c r="B25" i="87"/>
  <c r="Z24" i="87"/>
  <c r="Y24" i="87"/>
  <c r="V24" i="87"/>
  <c r="U24" i="87"/>
  <c r="T24" i="87"/>
  <c r="S24" i="87"/>
  <c r="R24" i="87"/>
  <c r="P24" i="87"/>
  <c r="Q24" i="87" s="1"/>
  <c r="O24" i="87"/>
  <c r="N24" i="87"/>
  <c r="M24" i="87"/>
  <c r="G24" i="87"/>
  <c r="B24" i="87"/>
  <c r="Z23" i="87"/>
  <c r="Y23" i="87"/>
  <c r="V23" i="87"/>
  <c r="U23" i="87"/>
  <c r="T23" i="87"/>
  <c r="S23" i="87"/>
  <c r="R23" i="87"/>
  <c r="P23" i="87"/>
  <c r="Q23" i="87" s="1"/>
  <c r="O23" i="87"/>
  <c r="N23" i="87"/>
  <c r="M23" i="87"/>
  <c r="G23" i="87"/>
  <c r="B23" i="87"/>
  <c r="Z22" i="87"/>
  <c r="Y22" i="87"/>
  <c r="V22" i="87"/>
  <c r="U22" i="87"/>
  <c r="T22" i="87"/>
  <c r="S22" i="87"/>
  <c r="R22" i="87"/>
  <c r="P22" i="87"/>
  <c r="Q22" i="87" s="1"/>
  <c r="O22" i="87"/>
  <c r="N22" i="87"/>
  <c r="M22" i="87"/>
  <c r="G22" i="87"/>
  <c r="B22" i="87"/>
  <c r="Z21" i="87"/>
  <c r="Y21" i="87"/>
  <c r="V21" i="87"/>
  <c r="U21" i="87"/>
  <c r="T21" i="87"/>
  <c r="S21" i="87"/>
  <c r="R21" i="87"/>
  <c r="P21" i="87"/>
  <c r="Q21" i="87" s="1"/>
  <c r="O21" i="87"/>
  <c r="N21" i="87"/>
  <c r="M21" i="87"/>
  <c r="G21" i="87"/>
  <c r="B21" i="87"/>
  <c r="Z20" i="87"/>
  <c r="Y20" i="87"/>
  <c r="V20" i="87"/>
  <c r="U20" i="87"/>
  <c r="T20" i="87"/>
  <c r="S20" i="87"/>
  <c r="R20" i="87"/>
  <c r="P20" i="87"/>
  <c r="Q20" i="87" s="1"/>
  <c r="O20" i="87"/>
  <c r="N20" i="87"/>
  <c r="M20" i="87"/>
  <c r="G20" i="87"/>
  <c r="B20" i="87"/>
  <c r="Z19" i="87"/>
  <c r="Y19" i="87"/>
  <c r="V19" i="87"/>
  <c r="U19" i="87"/>
  <c r="T19" i="87"/>
  <c r="S19" i="87"/>
  <c r="R19" i="87"/>
  <c r="P19" i="87"/>
  <c r="Q19" i="87" s="1"/>
  <c r="O19" i="87"/>
  <c r="N19" i="87"/>
  <c r="M19" i="87"/>
  <c r="G19" i="87"/>
  <c r="B19" i="87"/>
  <c r="Z18" i="87"/>
  <c r="Y18" i="87"/>
  <c r="V18" i="87"/>
  <c r="U18" i="87"/>
  <c r="T18" i="87"/>
  <c r="S18" i="87"/>
  <c r="R18" i="87"/>
  <c r="P18" i="87"/>
  <c r="Q18" i="87" s="1"/>
  <c r="O18" i="87"/>
  <c r="N18" i="87"/>
  <c r="M18" i="87"/>
  <c r="G18" i="87"/>
  <c r="B18" i="87"/>
  <c r="Z17" i="87"/>
  <c r="Y17" i="87"/>
  <c r="V17" i="87"/>
  <c r="U17" i="87"/>
  <c r="T17" i="87"/>
  <c r="S17" i="87"/>
  <c r="R17" i="87"/>
  <c r="P17" i="87"/>
  <c r="Q17" i="87" s="1"/>
  <c r="O17" i="87"/>
  <c r="N17" i="87"/>
  <c r="M17" i="87"/>
  <c r="G17" i="87"/>
  <c r="B17" i="87"/>
  <c r="Z16" i="87"/>
  <c r="Y16" i="87"/>
  <c r="V16" i="87"/>
  <c r="U16" i="87"/>
  <c r="T16" i="87"/>
  <c r="S16" i="87"/>
  <c r="R16" i="87"/>
  <c r="P16" i="87"/>
  <c r="Q16" i="87" s="1"/>
  <c r="O16" i="87"/>
  <c r="N16" i="87"/>
  <c r="M16" i="87"/>
  <c r="G16" i="87"/>
  <c r="B16" i="87"/>
  <c r="Z15" i="87"/>
  <c r="Y15" i="87"/>
  <c r="V15" i="87"/>
  <c r="U15" i="87"/>
  <c r="T15" i="87"/>
  <c r="S15" i="87"/>
  <c r="R15" i="87"/>
  <c r="P15" i="87"/>
  <c r="Q15" i="87" s="1"/>
  <c r="O15" i="87"/>
  <c r="N15" i="87"/>
  <c r="M15" i="87"/>
  <c r="G15" i="87"/>
  <c r="B15" i="87"/>
  <c r="Z14" i="87"/>
  <c r="Y14" i="87"/>
  <c r="V14" i="87"/>
  <c r="U14" i="87"/>
  <c r="T14" i="87"/>
  <c r="S14" i="87"/>
  <c r="R14" i="87"/>
  <c r="P14" i="87"/>
  <c r="Q14" i="87" s="1"/>
  <c r="O14" i="87"/>
  <c r="N14" i="87"/>
  <c r="M14" i="87"/>
  <c r="G14" i="87"/>
  <c r="B14" i="87"/>
  <c r="Z13" i="87"/>
  <c r="Y13" i="87"/>
  <c r="V13" i="87"/>
  <c r="U13" i="87"/>
  <c r="T13" i="87"/>
  <c r="S13" i="87"/>
  <c r="R13" i="87"/>
  <c r="P13" i="87"/>
  <c r="Q13" i="87" s="1"/>
  <c r="O13" i="87"/>
  <c r="N13" i="87"/>
  <c r="M13" i="87"/>
  <c r="G13" i="87"/>
  <c r="B13" i="87"/>
  <c r="Z12" i="87"/>
  <c r="Y12" i="87"/>
  <c r="V12" i="87"/>
  <c r="U12" i="87"/>
  <c r="T12" i="87"/>
  <c r="S12" i="87"/>
  <c r="R12" i="87"/>
  <c r="P12" i="87"/>
  <c r="Q12" i="87" s="1"/>
  <c r="O12" i="87"/>
  <c r="N12" i="87"/>
  <c r="M12" i="87"/>
  <c r="G12" i="87"/>
  <c r="B12" i="87"/>
  <c r="Z11" i="87"/>
  <c r="Y11" i="87"/>
  <c r="V11" i="87"/>
  <c r="U11" i="87"/>
  <c r="T11" i="87"/>
  <c r="S11" i="87"/>
  <c r="R11" i="87"/>
  <c r="P11" i="87"/>
  <c r="Q11" i="87" s="1"/>
  <c r="O11" i="87"/>
  <c r="N11" i="87"/>
  <c r="M11" i="87"/>
  <c r="G11" i="87"/>
  <c r="B11" i="87"/>
  <c r="Z10" i="87"/>
  <c r="Y10" i="87"/>
  <c r="V10" i="87"/>
  <c r="U10" i="87"/>
  <c r="T10" i="87"/>
  <c r="S10" i="87"/>
  <c r="R10" i="87"/>
  <c r="P10" i="87"/>
  <c r="Q10" i="87" s="1"/>
  <c r="O10" i="87"/>
  <c r="N10" i="87"/>
  <c r="M10" i="87"/>
  <c r="G10" i="87"/>
  <c r="B10" i="87"/>
  <c r="Z9" i="87"/>
  <c r="Y9" i="87"/>
  <c r="V9" i="87"/>
  <c r="U9" i="87"/>
  <c r="T9" i="87"/>
  <c r="S9" i="87"/>
  <c r="R9" i="87"/>
  <c r="P9" i="87"/>
  <c r="Q9" i="87" s="1"/>
  <c r="O9" i="87"/>
  <c r="N9" i="87"/>
  <c r="M9" i="87"/>
  <c r="G9" i="87"/>
  <c r="B9" i="87"/>
  <c r="Z8" i="87"/>
  <c r="Y8" i="87"/>
  <c r="V8" i="87"/>
  <c r="U8" i="87"/>
  <c r="T8" i="87"/>
  <c r="S8" i="87"/>
  <c r="R8" i="87"/>
  <c r="P8" i="87"/>
  <c r="Q8" i="87" s="1"/>
  <c r="O8" i="87"/>
  <c r="N8" i="87"/>
  <c r="M8" i="87"/>
  <c r="G8" i="87"/>
  <c r="B8" i="87"/>
  <c r="Z7" i="87"/>
  <c r="Y7" i="87"/>
  <c r="V7" i="87"/>
  <c r="U7" i="87"/>
  <c r="T7" i="87"/>
  <c r="S7" i="87"/>
  <c r="R7" i="87"/>
  <c r="P7" i="87"/>
  <c r="Q7" i="87" s="1"/>
  <c r="O7" i="87"/>
  <c r="N7" i="87"/>
  <c r="M7" i="87"/>
  <c r="G7" i="87"/>
  <c r="B7" i="87"/>
  <c r="Z6" i="87"/>
  <c r="Y6" i="87"/>
  <c r="V6" i="87"/>
  <c r="U6" i="87"/>
  <c r="T6" i="87"/>
  <c r="S6" i="87"/>
  <c r="R6" i="87"/>
  <c r="P6" i="87"/>
  <c r="Q6" i="87" s="1"/>
  <c r="O6" i="87"/>
  <c r="N6" i="87"/>
  <c r="M6" i="87"/>
  <c r="H6" i="87"/>
  <c r="G6" i="87"/>
  <c r="B6" i="87"/>
  <c r="AI17" i="85"/>
  <c r="AH17" i="85"/>
  <c r="AG17" i="85"/>
  <c r="AF17" i="85"/>
  <c r="AC17" i="85"/>
  <c r="AB17" i="85"/>
  <c r="AA17" i="85"/>
  <c r="Z17" i="85"/>
  <c r="W17" i="85"/>
  <c r="V17" i="85"/>
  <c r="U17" i="85"/>
  <c r="T17" i="85"/>
  <c r="Q17" i="85"/>
  <c r="P17" i="85"/>
  <c r="O17" i="85"/>
  <c r="N17" i="85"/>
  <c r="K17" i="85"/>
  <c r="J17" i="85"/>
  <c r="I17" i="85"/>
  <c r="H17" i="85"/>
  <c r="E17" i="85"/>
  <c r="D17" i="85"/>
  <c r="C17" i="85"/>
  <c r="B17" i="85"/>
  <c r="AI16" i="85"/>
  <c r="AH16" i="85"/>
  <c r="AG16" i="85"/>
  <c r="AF16" i="85"/>
  <c r="AC16" i="85"/>
  <c r="AB16" i="85"/>
  <c r="AA16" i="85"/>
  <c r="Z16" i="85"/>
  <c r="W16" i="85"/>
  <c r="V16" i="85"/>
  <c r="U16" i="85"/>
  <c r="T16" i="85"/>
  <c r="Q16" i="85"/>
  <c r="P16" i="85"/>
  <c r="O16" i="85"/>
  <c r="N16" i="85"/>
  <c r="K16" i="85"/>
  <c r="J16" i="85"/>
  <c r="I16" i="85"/>
  <c r="H16" i="85"/>
  <c r="E16" i="85"/>
  <c r="D16" i="85"/>
  <c r="C16" i="85"/>
  <c r="B16" i="85"/>
  <c r="AI15" i="85"/>
  <c r="AH15" i="85"/>
  <c r="AG15" i="85"/>
  <c r="AF15" i="85"/>
  <c r="AC15" i="85"/>
  <c r="AB15" i="85"/>
  <c r="AA15" i="85"/>
  <c r="Z15" i="85"/>
  <c r="W15" i="85"/>
  <c r="V15" i="85"/>
  <c r="U15" i="85"/>
  <c r="T15" i="85"/>
  <c r="Q15" i="85"/>
  <c r="P15" i="85"/>
  <c r="O15" i="85"/>
  <c r="N15" i="85"/>
  <c r="K15" i="85"/>
  <c r="J15" i="85"/>
  <c r="I15" i="85"/>
  <c r="H15" i="85"/>
  <c r="E15" i="85"/>
  <c r="D15" i="85"/>
  <c r="C15" i="85"/>
  <c r="B15" i="85"/>
  <c r="AI14" i="85"/>
  <c r="AH14" i="85"/>
  <c r="AG14" i="85"/>
  <c r="AF14" i="85"/>
  <c r="AC14" i="85"/>
  <c r="AB14" i="85"/>
  <c r="AA14" i="85"/>
  <c r="Z14" i="85"/>
  <c r="W14" i="85"/>
  <c r="V14" i="85"/>
  <c r="U14" i="85"/>
  <c r="T14" i="85"/>
  <c r="Q14" i="85"/>
  <c r="P14" i="85"/>
  <c r="O14" i="85"/>
  <c r="N14" i="85"/>
  <c r="K14" i="85"/>
  <c r="J14" i="85"/>
  <c r="I14" i="85"/>
  <c r="H14" i="85"/>
  <c r="E14" i="85"/>
  <c r="D14" i="85"/>
  <c r="C14" i="85"/>
  <c r="B14" i="85"/>
  <c r="AI13" i="85"/>
  <c r="AH13" i="85"/>
  <c r="AG13" i="85"/>
  <c r="AF13" i="85"/>
  <c r="AC13" i="85"/>
  <c r="AB13" i="85"/>
  <c r="AA13" i="85"/>
  <c r="Z13" i="85"/>
  <c r="W13" i="85"/>
  <c r="V13" i="85"/>
  <c r="U13" i="85"/>
  <c r="T13" i="85"/>
  <c r="Q13" i="85"/>
  <c r="P13" i="85"/>
  <c r="O13" i="85"/>
  <c r="N13" i="85"/>
  <c r="K13" i="85"/>
  <c r="J13" i="85"/>
  <c r="I13" i="85"/>
  <c r="H13" i="85"/>
  <c r="E13" i="85"/>
  <c r="D13" i="85"/>
  <c r="C13" i="85"/>
  <c r="B13" i="85"/>
  <c r="AI12" i="85"/>
  <c r="AH12" i="85"/>
  <c r="AG12" i="85"/>
  <c r="AF12" i="85"/>
  <c r="AC12" i="85"/>
  <c r="AB12" i="85"/>
  <c r="AA12" i="85"/>
  <c r="Z12" i="85"/>
  <c r="W12" i="85"/>
  <c r="V12" i="85"/>
  <c r="U12" i="85"/>
  <c r="T12" i="85"/>
  <c r="Q12" i="85"/>
  <c r="P12" i="85"/>
  <c r="O12" i="85"/>
  <c r="N12" i="85"/>
  <c r="K12" i="85"/>
  <c r="J12" i="85"/>
  <c r="I12" i="85"/>
  <c r="H12" i="85"/>
  <c r="E12" i="85"/>
  <c r="D12" i="85"/>
  <c r="C12" i="85"/>
  <c r="B12" i="85"/>
  <c r="AI11" i="85"/>
  <c r="AH11" i="85"/>
  <c r="AG11" i="85"/>
  <c r="AF11" i="85"/>
  <c r="AC11" i="85"/>
  <c r="AB11" i="85"/>
  <c r="AA11" i="85"/>
  <c r="Z11" i="85"/>
  <c r="W11" i="85"/>
  <c r="V11" i="85"/>
  <c r="U11" i="85"/>
  <c r="T11" i="85"/>
  <c r="Q11" i="85"/>
  <c r="P11" i="85"/>
  <c r="O11" i="85"/>
  <c r="N11" i="85"/>
  <c r="K11" i="85"/>
  <c r="J11" i="85"/>
  <c r="I11" i="85"/>
  <c r="H11" i="85"/>
  <c r="E11" i="85"/>
  <c r="D11" i="85"/>
  <c r="C11" i="85"/>
  <c r="B11" i="85"/>
  <c r="AI10" i="85"/>
  <c r="AH10" i="85"/>
  <c r="AG10" i="85"/>
  <c r="AF10" i="85"/>
  <c r="AC10" i="85"/>
  <c r="AB10" i="85"/>
  <c r="AA10" i="85"/>
  <c r="Z10" i="85"/>
  <c r="W10" i="85"/>
  <c r="V10" i="85"/>
  <c r="U10" i="85"/>
  <c r="T10" i="85"/>
  <c r="Q10" i="85"/>
  <c r="P10" i="85"/>
  <c r="O10" i="85"/>
  <c r="N10" i="85"/>
  <c r="K10" i="85"/>
  <c r="J10" i="85"/>
  <c r="I10" i="85"/>
  <c r="H10" i="85"/>
  <c r="E10" i="85"/>
  <c r="D10" i="85"/>
  <c r="C10" i="85"/>
  <c r="B10" i="85"/>
  <c r="AI9" i="85"/>
  <c r="AH9" i="85"/>
  <c r="AG9" i="85"/>
  <c r="AF9" i="85"/>
  <c r="AC9" i="85"/>
  <c r="AB9" i="85"/>
  <c r="AA9" i="85"/>
  <c r="Z9" i="85"/>
  <c r="W9" i="85"/>
  <c r="V9" i="85"/>
  <c r="U9" i="85"/>
  <c r="T9" i="85"/>
  <c r="Q9" i="85"/>
  <c r="P9" i="85"/>
  <c r="O9" i="85"/>
  <c r="N9" i="85"/>
  <c r="K9" i="85"/>
  <c r="J9" i="85"/>
  <c r="I9" i="85"/>
  <c r="H9" i="85"/>
  <c r="E9" i="85"/>
  <c r="D9" i="85"/>
  <c r="C9" i="85"/>
  <c r="B9" i="85"/>
  <c r="AI8" i="85"/>
  <c r="AH8" i="85"/>
  <c r="AG8" i="85"/>
  <c r="AF8" i="85"/>
  <c r="AC8" i="85"/>
  <c r="AB8" i="85"/>
  <c r="AA8" i="85"/>
  <c r="Z8" i="85"/>
  <c r="W8" i="85"/>
  <c r="V8" i="85"/>
  <c r="U8" i="85"/>
  <c r="T8" i="85"/>
  <c r="Q8" i="85"/>
  <c r="P8" i="85"/>
  <c r="O8" i="85"/>
  <c r="N8" i="85"/>
  <c r="K8" i="85"/>
  <c r="J8" i="85"/>
  <c r="I8" i="85"/>
  <c r="H8" i="85"/>
  <c r="E8" i="85"/>
  <c r="D8" i="85"/>
  <c r="C8" i="85"/>
  <c r="B8" i="85"/>
  <c r="AI7" i="85"/>
  <c r="AH7" i="85"/>
  <c r="AG7" i="85"/>
  <c r="AF7" i="85"/>
  <c r="AC7" i="85"/>
  <c r="AB7" i="85"/>
  <c r="AA7" i="85"/>
  <c r="Z7" i="85"/>
  <c r="W7" i="85"/>
  <c r="V7" i="85"/>
  <c r="U7" i="85"/>
  <c r="T7" i="85"/>
  <c r="Q7" i="85"/>
  <c r="P7" i="85"/>
  <c r="O7" i="85"/>
  <c r="N7" i="85"/>
  <c r="K7" i="85"/>
  <c r="J7" i="85"/>
  <c r="I7" i="85"/>
  <c r="H7" i="85"/>
  <c r="E7" i="85"/>
  <c r="D7" i="85"/>
  <c r="C7" i="85"/>
  <c r="B7" i="85"/>
  <c r="AI6" i="85"/>
  <c r="AH6" i="85"/>
  <c r="AG6" i="85"/>
  <c r="AF6" i="85"/>
  <c r="AC6" i="85"/>
  <c r="AB6" i="85"/>
  <c r="AA6" i="85"/>
  <c r="Z6" i="85"/>
  <c r="W6" i="85"/>
  <c r="V6" i="85"/>
  <c r="U6" i="85"/>
  <c r="T6" i="85"/>
  <c r="Q6" i="85"/>
  <c r="P6" i="85"/>
  <c r="O6" i="85"/>
  <c r="N6" i="85"/>
  <c r="K6" i="85"/>
  <c r="J6" i="85"/>
  <c r="I6" i="85"/>
  <c r="H6" i="85"/>
  <c r="E6" i="85"/>
  <c r="D6" i="85"/>
  <c r="C6" i="85"/>
  <c r="B6" i="85"/>
  <c r="R39" i="73"/>
  <c r="Q39" i="73"/>
  <c r="O39" i="73"/>
  <c r="N39" i="73"/>
  <c r="M39" i="73"/>
  <c r="L39" i="73"/>
  <c r="K39" i="73"/>
  <c r="B39" i="73"/>
  <c r="R38" i="73"/>
  <c r="Q38" i="73"/>
  <c r="O38" i="73"/>
  <c r="N38" i="73"/>
  <c r="M38" i="73"/>
  <c r="L38" i="73"/>
  <c r="K38" i="73"/>
  <c r="B38" i="73"/>
  <c r="R37" i="73"/>
  <c r="Q37" i="73"/>
  <c r="O37" i="73"/>
  <c r="N37" i="73"/>
  <c r="M37" i="73"/>
  <c r="L37" i="73"/>
  <c r="K37" i="73"/>
  <c r="B37" i="73"/>
  <c r="R36" i="73"/>
  <c r="Q36" i="73"/>
  <c r="O36" i="73"/>
  <c r="N36" i="73"/>
  <c r="M36" i="73"/>
  <c r="L36" i="73"/>
  <c r="K36" i="73"/>
  <c r="B36" i="73"/>
  <c r="R35" i="73"/>
  <c r="Q35" i="73"/>
  <c r="O35" i="73"/>
  <c r="N35" i="73"/>
  <c r="M35" i="73"/>
  <c r="L35" i="73"/>
  <c r="K35" i="73"/>
  <c r="B35" i="73"/>
  <c r="R34" i="73"/>
  <c r="Q34" i="73"/>
  <c r="O34" i="73"/>
  <c r="N34" i="73"/>
  <c r="M34" i="73"/>
  <c r="L34" i="73"/>
  <c r="K34" i="73"/>
  <c r="B34" i="73"/>
  <c r="R33" i="73"/>
  <c r="Q33" i="73"/>
  <c r="O33" i="73"/>
  <c r="N33" i="73"/>
  <c r="M33" i="73"/>
  <c r="L33" i="73"/>
  <c r="K33" i="73"/>
  <c r="B33" i="73"/>
  <c r="R32" i="73"/>
  <c r="Q32" i="73"/>
  <c r="O32" i="73"/>
  <c r="N32" i="73"/>
  <c r="M32" i="73"/>
  <c r="L32" i="73"/>
  <c r="K32" i="73"/>
  <c r="B32" i="73"/>
  <c r="R31" i="73"/>
  <c r="Q31" i="73"/>
  <c r="O31" i="73"/>
  <c r="N31" i="73"/>
  <c r="M31" i="73"/>
  <c r="L31" i="73"/>
  <c r="K31" i="73"/>
  <c r="B31" i="73"/>
  <c r="R30" i="73"/>
  <c r="Q30" i="73"/>
  <c r="O30" i="73"/>
  <c r="N30" i="73"/>
  <c r="M30" i="73"/>
  <c r="L30" i="73"/>
  <c r="K30" i="73"/>
  <c r="B30" i="73"/>
  <c r="R29" i="73"/>
  <c r="Q29" i="73"/>
  <c r="O29" i="73"/>
  <c r="N29" i="73"/>
  <c r="M29" i="73"/>
  <c r="L29" i="73"/>
  <c r="K29" i="73"/>
  <c r="B29" i="73"/>
  <c r="R28" i="73"/>
  <c r="Q28" i="73"/>
  <c r="O28" i="73"/>
  <c r="N28" i="73"/>
  <c r="M28" i="73"/>
  <c r="L28" i="73"/>
  <c r="K28" i="73"/>
  <c r="B28" i="73"/>
  <c r="R27" i="73"/>
  <c r="Q27" i="73"/>
  <c r="O27" i="73"/>
  <c r="N27" i="73"/>
  <c r="M27" i="73"/>
  <c r="L27" i="73"/>
  <c r="K27" i="73"/>
  <c r="B27" i="73"/>
  <c r="R26" i="73"/>
  <c r="Q26" i="73"/>
  <c r="O26" i="73"/>
  <c r="N26" i="73"/>
  <c r="M26" i="73"/>
  <c r="L26" i="73"/>
  <c r="K26" i="73"/>
  <c r="B26" i="73"/>
  <c r="R25" i="73"/>
  <c r="Q25" i="73"/>
  <c r="O25" i="73"/>
  <c r="N25" i="73"/>
  <c r="M25" i="73"/>
  <c r="L25" i="73"/>
  <c r="K25" i="73"/>
  <c r="B25" i="73"/>
  <c r="R24" i="73"/>
  <c r="Q24" i="73"/>
  <c r="O24" i="73"/>
  <c r="N24" i="73"/>
  <c r="M24" i="73"/>
  <c r="L24" i="73"/>
  <c r="K24" i="73"/>
  <c r="B24" i="73"/>
  <c r="R23" i="73"/>
  <c r="Q23" i="73"/>
  <c r="O23" i="73"/>
  <c r="N23" i="73"/>
  <c r="M23" i="73"/>
  <c r="L23" i="73"/>
  <c r="K23" i="73"/>
  <c r="B23" i="73"/>
  <c r="R22" i="73"/>
  <c r="Q22" i="73"/>
  <c r="O22" i="73"/>
  <c r="N22" i="73"/>
  <c r="M22" i="73"/>
  <c r="L22" i="73"/>
  <c r="K22" i="73"/>
  <c r="B22" i="73"/>
  <c r="R21" i="73"/>
  <c r="Q21" i="73"/>
  <c r="O21" i="73"/>
  <c r="N21" i="73"/>
  <c r="M21" i="73"/>
  <c r="L21" i="73"/>
  <c r="K21" i="73"/>
  <c r="B21" i="73"/>
  <c r="R20" i="73"/>
  <c r="Q20" i="73"/>
  <c r="O20" i="73"/>
  <c r="N20" i="73"/>
  <c r="M20" i="73"/>
  <c r="L20" i="73"/>
  <c r="K20" i="73"/>
  <c r="B20" i="73"/>
  <c r="R19" i="73"/>
  <c r="Q19" i="73"/>
  <c r="O19" i="73"/>
  <c r="N19" i="73"/>
  <c r="M19" i="73"/>
  <c r="L19" i="73"/>
  <c r="K19" i="73"/>
  <c r="B19" i="73"/>
  <c r="R18" i="73"/>
  <c r="Q18" i="73"/>
  <c r="P18" i="73"/>
  <c r="O18" i="73"/>
  <c r="N18" i="73"/>
  <c r="M18" i="73"/>
  <c r="L18" i="73"/>
  <c r="K18" i="73"/>
  <c r="B18" i="73"/>
  <c r="R17" i="73"/>
  <c r="Q17" i="73"/>
  <c r="P17" i="73"/>
  <c r="O17" i="73"/>
  <c r="N17" i="73"/>
  <c r="M17" i="73"/>
  <c r="L17" i="73"/>
  <c r="K17" i="73"/>
  <c r="B17" i="73"/>
  <c r="R16" i="73"/>
  <c r="Q16" i="73"/>
  <c r="O16" i="73"/>
  <c r="N16" i="73"/>
  <c r="M16" i="73"/>
  <c r="L16" i="73"/>
  <c r="K16" i="73"/>
  <c r="B16" i="73"/>
  <c r="R15" i="73"/>
  <c r="Q15" i="73"/>
  <c r="O15" i="73"/>
  <c r="N15" i="73"/>
  <c r="M15" i="73"/>
  <c r="L15" i="73"/>
  <c r="K15" i="73"/>
  <c r="B15" i="73"/>
  <c r="R14" i="73"/>
  <c r="Q14" i="73"/>
  <c r="O14" i="73"/>
  <c r="N14" i="73"/>
  <c r="M14" i="73"/>
  <c r="L14" i="73"/>
  <c r="K14" i="73"/>
  <c r="B14" i="73"/>
  <c r="R13" i="73"/>
  <c r="Q13" i="73"/>
  <c r="O13" i="73"/>
  <c r="N13" i="73"/>
  <c r="M13" i="73"/>
  <c r="L13" i="73"/>
  <c r="K13" i="73"/>
  <c r="B13" i="73"/>
  <c r="R12" i="73"/>
  <c r="Q12" i="73"/>
  <c r="O12" i="73"/>
  <c r="N12" i="73"/>
  <c r="M12" i="73"/>
  <c r="L12" i="73"/>
  <c r="K12" i="73"/>
  <c r="B12" i="73"/>
  <c r="R11" i="73"/>
  <c r="Q11" i="73"/>
  <c r="O11" i="73"/>
  <c r="N11" i="73"/>
  <c r="M11" i="73"/>
  <c r="L11" i="73"/>
  <c r="K11" i="73"/>
  <c r="B11" i="73"/>
  <c r="R10" i="73"/>
  <c r="Q10" i="73"/>
  <c r="O10" i="73"/>
  <c r="N10" i="73"/>
  <c r="M10" i="73"/>
  <c r="L10" i="73"/>
  <c r="K10" i="73"/>
  <c r="B10" i="73"/>
  <c r="R9" i="73"/>
  <c r="Q9" i="73"/>
  <c r="O9" i="73"/>
  <c r="N9" i="73"/>
  <c r="M9" i="73"/>
  <c r="L9" i="73"/>
  <c r="K9" i="73"/>
  <c r="B9" i="73"/>
  <c r="R8" i="73"/>
  <c r="Q8" i="73"/>
  <c r="O8" i="73"/>
  <c r="N8" i="73"/>
  <c r="M8" i="73"/>
  <c r="L8" i="73"/>
  <c r="K8" i="73"/>
  <c r="B8" i="73"/>
  <c r="R7" i="73"/>
  <c r="Q7" i="73"/>
  <c r="O7" i="73"/>
  <c r="N7" i="73"/>
  <c r="M7" i="73"/>
  <c r="L7" i="73"/>
  <c r="K7" i="73"/>
  <c r="B7" i="73"/>
  <c r="R6" i="73"/>
  <c r="R44" i="73" s="1"/>
  <c r="Q6" i="73"/>
  <c r="Q44" i="73" s="1"/>
  <c r="P6" i="73"/>
  <c r="O6" i="73"/>
  <c r="N6" i="73"/>
  <c r="N44" i="73" s="1"/>
  <c r="M6" i="73"/>
  <c r="M44" i="73" s="1"/>
  <c r="L6" i="73"/>
  <c r="L44" i="73" s="1"/>
  <c r="K6" i="73"/>
  <c r="K44" i="73" s="1"/>
  <c r="J6" i="73"/>
  <c r="I6" i="73"/>
  <c r="H6" i="73"/>
  <c r="G6" i="73"/>
  <c r="F6" i="73"/>
  <c r="E6" i="73"/>
  <c r="D6" i="73"/>
  <c r="B6" i="73"/>
  <c r="AC44" i="56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C44" i="56"/>
  <c r="B44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AC43" i="56" s="1"/>
  <c r="C43" i="56"/>
  <c r="B43" i="56"/>
  <c r="AF42" i="56"/>
  <c r="AE42" i="56"/>
  <c r="AD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D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AC41" i="56" s="1"/>
  <c r="F41" i="56"/>
  <c r="E41" i="56"/>
  <c r="D41" i="56"/>
  <c r="C41" i="56"/>
  <c r="B41" i="56"/>
  <c r="AD40" i="56"/>
  <c r="AB40" i="56"/>
  <c r="X40" i="56"/>
  <c r="W40" i="56"/>
  <c r="V40" i="56"/>
  <c r="U40" i="56"/>
  <c r="AG40" i="56" s="1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AC40" i="56" s="1"/>
  <c r="F40" i="56"/>
  <c r="E40" i="56"/>
  <c r="D40" i="56"/>
  <c r="C40" i="56"/>
  <c r="B40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AC37" i="56" s="1"/>
  <c r="C37" i="56"/>
  <c r="B37" i="56"/>
  <c r="AB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AC36" i="56" s="1"/>
  <c r="C36" i="56"/>
  <c r="B36" i="56"/>
  <c r="X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B35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AC34" i="56" s="1"/>
  <c r="F34" i="56"/>
  <c r="E34" i="56"/>
  <c r="D34" i="56"/>
  <c r="C34" i="56"/>
  <c r="B34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AC33" i="56" s="1"/>
  <c r="F33" i="56"/>
  <c r="E33" i="56"/>
  <c r="D33" i="56"/>
  <c r="C33" i="56"/>
  <c r="B33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AC32" i="56" s="1"/>
  <c r="F32" i="56"/>
  <c r="E32" i="56"/>
  <c r="D32" i="56"/>
  <c r="C32" i="56"/>
  <c r="B32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AC31" i="56" s="1"/>
  <c r="F31" i="56"/>
  <c r="E31" i="56"/>
  <c r="D31" i="56"/>
  <c r="C31" i="56"/>
  <c r="B31" i="56"/>
  <c r="AC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AD29" i="56"/>
  <c r="AB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AC28" i="56" s="1"/>
  <c r="F28" i="56"/>
  <c r="E28" i="56"/>
  <c r="D28" i="56"/>
  <c r="C28" i="56"/>
  <c r="B28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AC27" i="56" s="1"/>
  <c r="F27" i="56"/>
  <c r="E27" i="56"/>
  <c r="D27" i="56"/>
  <c r="C27" i="56"/>
  <c r="B27" i="56"/>
  <c r="AC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AC25" i="56" s="1"/>
  <c r="F25" i="56"/>
  <c r="E25" i="56"/>
  <c r="D25" i="56"/>
  <c r="C25" i="56"/>
  <c r="B25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X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AC19" i="56" s="1"/>
  <c r="F19" i="56"/>
  <c r="E19" i="56"/>
  <c r="D19" i="56"/>
  <c r="C19" i="56"/>
  <c r="B19" i="56"/>
  <c r="AC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AD17" i="56"/>
  <c r="AB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AC17" i="56" s="1"/>
  <c r="C17" i="56"/>
  <c r="B17" i="56"/>
  <c r="AG16" i="56"/>
  <c r="AB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AC15" i="56" s="1"/>
  <c r="F15" i="56"/>
  <c r="E15" i="56"/>
  <c r="D15" i="56"/>
  <c r="C15" i="56"/>
  <c r="B15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AC14" i="56" s="1"/>
  <c r="F14" i="56"/>
  <c r="E14" i="56"/>
  <c r="D14" i="56"/>
  <c r="C14" i="56"/>
  <c r="B14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AC13" i="56" s="1"/>
  <c r="C13" i="56"/>
  <c r="B13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AC11" i="56" s="1"/>
  <c r="C11" i="56"/>
  <c r="B11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AC10" i="56" s="1"/>
  <c r="F10" i="56"/>
  <c r="E10" i="56"/>
  <c r="D10" i="56"/>
  <c r="C10" i="56"/>
  <c r="B10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AC9" i="56" s="1"/>
  <c r="F9" i="56"/>
  <c r="E9" i="56"/>
  <c r="D9" i="56"/>
  <c r="C9" i="56"/>
  <c r="B9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AC8" i="56" s="1"/>
  <c r="F8" i="56"/>
  <c r="E8" i="56"/>
  <c r="D8" i="56"/>
  <c r="C8" i="56"/>
  <c r="B8" i="56"/>
  <c r="AB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AC7" i="56" s="1"/>
  <c r="F7" i="56"/>
  <c r="E7" i="56"/>
  <c r="D7" i="56"/>
  <c r="C7" i="56"/>
  <c r="B7" i="56"/>
  <c r="AC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F6" i="56"/>
  <c r="E6" i="56"/>
  <c r="D6" i="56"/>
  <c r="C6" i="56"/>
  <c r="B6" i="56"/>
  <c r="AD5" i="56"/>
  <c r="AB5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E5" i="56"/>
  <c r="D5" i="56"/>
  <c r="C5" i="56"/>
  <c r="B5" i="56"/>
  <c r="Y4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6"/>
  <c r="C4" i="56"/>
  <c r="B4" i="56"/>
  <c r="AE3" i="56"/>
  <c r="X3" i="56"/>
  <c r="W3" i="56"/>
  <c r="V3" i="56"/>
  <c r="U3" i="56"/>
  <c r="T3" i="56"/>
  <c r="S3" i="56"/>
  <c r="R3" i="56"/>
  <c r="Q3" i="56"/>
  <c r="P3" i="56"/>
  <c r="O3" i="56"/>
  <c r="N3" i="56"/>
  <c r="M3" i="56"/>
  <c r="L3" i="56"/>
  <c r="K3" i="56"/>
  <c r="J3" i="56"/>
  <c r="I3" i="56"/>
  <c r="H3" i="56"/>
  <c r="G3" i="56"/>
  <c r="F3" i="56"/>
  <c r="E3" i="56"/>
  <c r="D3" i="56"/>
  <c r="AC3" i="56" s="1"/>
  <c r="C3" i="56"/>
  <c r="B3" i="56"/>
  <c r="AG2" i="56"/>
  <c r="AF2" i="56"/>
  <c r="AE2" i="56"/>
  <c r="AD2" i="56"/>
  <c r="AC2" i="56"/>
  <c r="AB2" i="56"/>
  <c r="AA2" i="56"/>
  <c r="X2" i="56"/>
  <c r="W2" i="56"/>
  <c r="V2" i="56"/>
  <c r="U2" i="56"/>
  <c r="T2" i="56"/>
  <c r="S2" i="56"/>
  <c r="S45" i="56" s="1"/>
  <c r="R2" i="56"/>
  <c r="Q2" i="56"/>
  <c r="P2" i="56"/>
  <c r="O2" i="56"/>
  <c r="N2" i="56"/>
  <c r="M2" i="56"/>
  <c r="L2" i="56"/>
  <c r="K2" i="56"/>
  <c r="K45" i="56" s="1"/>
  <c r="J2" i="56"/>
  <c r="I2" i="56"/>
  <c r="H2" i="56"/>
  <c r="G2" i="56"/>
  <c r="F2" i="56"/>
  <c r="E2" i="56"/>
  <c r="D2" i="56"/>
  <c r="C2" i="56"/>
  <c r="C45" i="56" s="1"/>
  <c r="B2" i="56"/>
  <c r="I50" i="55"/>
  <c r="G50" i="55"/>
  <c r="F50" i="55"/>
  <c r="E48" i="55"/>
  <c r="D48" i="55"/>
  <c r="C48" i="55"/>
  <c r="B48" i="55"/>
  <c r="H47" i="55"/>
  <c r="J47" i="55" s="1"/>
  <c r="E47" i="55"/>
  <c r="D47" i="55"/>
  <c r="C47" i="55"/>
  <c r="B47" i="55"/>
  <c r="E46" i="55"/>
  <c r="D46" i="55"/>
  <c r="C46" i="55"/>
  <c r="B46" i="55"/>
  <c r="E45" i="55"/>
  <c r="D45" i="55"/>
  <c r="C45" i="55"/>
  <c r="B45" i="55"/>
  <c r="E44" i="55"/>
  <c r="D44" i="55"/>
  <c r="C44" i="55"/>
  <c r="B44" i="55"/>
  <c r="E43" i="55"/>
  <c r="D43" i="55"/>
  <c r="C43" i="55"/>
  <c r="H43" i="55" s="1"/>
  <c r="J43" i="55" s="1"/>
  <c r="B43" i="55"/>
  <c r="E42" i="55"/>
  <c r="D42" i="55"/>
  <c r="H42" i="55" s="1"/>
  <c r="J42" i="55" s="1"/>
  <c r="C42" i="55"/>
  <c r="B42" i="55"/>
  <c r="E41" i="55"/>
  <c r="D41" i="55"/>
  <c r="C41" i="55"/>
  <c r="H41" i="55" s="1"/>
  <c r="J41" i="55" s="1"/>
  <c r="B41" i="55"/>
  <c r="E40" i="55"/>
  <c r="D40" i="55"/>
  <c r="H40" i="55" s="1"/>
  <c r="J40" i="55" s="1"/>
  <c r="C40" i="55"/>
  <c r="B40" i="55"/>
  <c r="E39" i="55"/>
  <c r="D39" i="55"/>
  <c r="C39" i="55"/>
  <c r="H39" i="55" s="1"/>
  <c r="J39" i="55" s="1"/>
  <c r="B39" i="55"/>
  <c r="E38" i="55"/>
  <c r="D38" i="55"/>
  <c r="C38" i="55"/>
  <c r="B38" i="55"/>
  <c r="E37" i="55"/>
  <c r="D37" i="55"/>
  <c r="C37" i="55"/>
  <c r="B37" i="55"/>
  <c r="E36" i="55"/>
  <c r="D36" i="55"/>
  <c r="C36" i="55"/>
  <c r="B36" i="55"/>
  <c r="E35" i="55"/>
  <c r="D35" i="55"/>
  <c r="C35" i="55"/>
  <c r="H35" i="55" s="1"/>
  <c r="J35" i="55" s="1"/>
  <c r="B35" i="55"/>
  <c r="E34" i="55"/>
  <c r="D34" i="55"/>
  <c r="C34" i="55"/>
  <c r="B34" i="55"/>
  <c r="E33" i="55"/>
  <c r="D33" i="55"/>
  <c r="C33" i="55"/>
  <c r="B33" i="55"/>
  <c r="E32" i="55"/>
  <c r="D32" i="55"/>
  <c r="C32" i="55"/>
  <c r="B32" i="55"/>
  <c r="E31" i="55"/>
  <c r="D31" i="55"/>
  <c r="C31" i="55"/>
  <c r="H31" i="55" s="1"/>
  <c r="J31" i="55" s="1"/>
  <c r="B31" i="55"/>
  <c r="E30" i="55"/>
  <c r="D30" i="55"/>
  <c r="C30" i="55"/>
  <c r="B30" i="55"/>
  <c r="E29" i="55"/>
  <c r="D29" i="55"/>
  <c r="C29" i="55"/>
  <c r="H29" i="55" s="1"/>
  <c r="J29" i="55" s="1"/>
  <c r="B29" i="55"/>
  <c r="E28" i="55"/>
  <c r="D28" i="55"/>
  <c r="C28" i="55"/>
  <c r="B28" i="55"/>
  <c r="E27" i="55"/>
  <c r="D27" i="55"/>
  <c r="C27" i="55"/>
  <c r="H27" i="55" s="1"/>
  <c r="J27" i="55" s="1"/>
  <c r="B27" i="55"/>
  <c r="E26" i="55"/>
  <c r="D26" i="55"/>
  <c r="C26" i="55"/>
  <c r="B26" i="55"/>
  <c r="E25" i="55"/>
  <c r="D25" i="55"/>
  <c r="C25" i="55"/>
  <c r="B25" i="55"/>
  <c r="E24" i="55"/>
  <c r="D24" i="55"/>
  <c r="C24" i="55"/>
  <c r="B24" i="55"/>
  <c r="E23" i="55"/>
  <c r="H23" i="55" s="1"/>
  <c r="J23" i="55" s="1"/>
  <c r="D23" i="55"/>
  <c r="C23" i="55"/>
  <c r="B23" i="55"/>
  <c r="E22" i="55"/>
  <c r="D22" i="55"/>
  <c r="H22" i="55" s="1"/>
  <c r="J22" i="55" s="1"/>
  <c r="C22" i="55"/>
  <c r="B22" i="55"/>
  <c r="E21" i="55"/>
  <c r="D21" i="55"/>
  <c r="C21" i="55"/>
  <c r="B21" i="55"/>
  <c r="E20" i="55"/>
  <c r="D20" i="55"/>
  <c r="H20" i="55" s="1"/>
  <c r="J20" i="55" s="1"/>
  <c r="C20" i="55"/>
  <c r="B20" i="55"/>
  <c r="H19" i="55"/>
  <c r="J19" i="55" s="1"/>
  <c r="E19" i="55"/>
  <c r="D19" i="55"/>
  <c r="C19" i="55"/>
  <c r="B19" i="55"/>
  <c r="E18" i="55"/>
  <c r="D18" i="55"/>
  <c r="C18" i="55"/>
  <c r="B18" i="55"/>
  <c r="E17" i="55"/>
  <c r="D17" i="55"/>
  <c r="C17" i="55"/>
  <c r="B17" i="55"/>
  <c r="E16" i="55"/>
  <c r="D16" i="55"/>
  <c r="C16" i="55"/>
  <c r="B16" i="55"/>
  <c r="H15" i="55"/>
  <c r="J15" i="55" s="1"/>
  <c r="E15" i="55"/>
  <c r="D15" i="55"/>
  <c r="C15" i="55"/>
  <c r="B15" i="55"/>
  <c r="E14" i="55"/>
  <c r="D14" i="55"/>
  <c r="C14" i="55"/>
  <c r="B14" i="55"/>
  <c r="E13" i="55"/>
  <c r="D13" i="55"/>
  <c r="C13" i="55"/>
  <c r="B13" i="55"/>
  <c r="E12" i="55"/>
  <c r="D12" i="55"/>
  <c r="C12" i="55"/>
  <c r="B12" i="55"/>
  <c r="E11" i="55"/>
  <c r="D11" i="55"/>
  <c r="C11" i="55"/>
  <c r="H11" i="55" s="1"/>
  <c r="J11" i="55" s="1"/>
  <c r="B11" i="55"/>
  <c r="E10" i="55"/>
  <c r="D10" i="55"/>
  <c r="H10" i="55" s="1"/>
  <c r="J10" i="55" s="1"/>
  <c r="C10" i="55"/>
  <c r="B10" i="55"/>
  <c r="E9" i="55"/>
  <c r="D9" i="55"/>
  <c r="C9" i="55"/>
  <c r="H9" i="55" s="1"/>
  <c r="J9" i="55" s="1"/>
  <c r="B9" i="55"/>
  <c r="E8" i="55"/>
  <c r="D8" i="55"/>
  <c r="H8" i="55" s="1"/>
  <c r="J8" i="55" s="1"/>
  <c r="C8" i="55"/>
  <c r="B8" i="55"/>
  <c r="E7" i="55"/>
  <c r="D7" i="55"/>
  <c r="C7" i="55"/>
  <c r="H7" i="55" s="1"/>
  <c r="J7" i="55" s="1"/>
  <c r="B7" i="55"/>
  <c r="E6" i="55"/>
  <c r="E50" i="55" s="1"/>
  <c r="D6" i="55"/>
  <c r="C6" i="55"/>
  <c r="B6" i="55"/>
  <c r="F50" i="54"/>
  <c r="E50" i="54"/>
  <c r="D50" i="54"/>
  <c r="C50" i="54"/>
  <c r="B50" i="54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Y49" i="26"/>
  <c r="Z49" i="26" s="1"/>
  <c r="Y48" i="26"/>
  <c r="Z48" i="26" s="1"/>
  <c r="Y47" i="26"/>
  <c r="Y42" i="56" s="1"/>
  <c r="Y46" i="26"/>
  <c r="Z46" i="26" s="1"/>
  <c r="Y45" i="26"/>
  <c r="Y40" i="56" s="1"/>
  <c r="Y44" i="26"/>
  <c r="Z44" i="26" s="1"/>
  <c r="Y43" i="26"/>
  <c r="Y38" i="56" s="1"/>
  <c r="Y42" i="26"/>
  <c r="Y37" i="56" s="1"/>
  <c r="Y41" i="26"/>
  <c r="Y36" i="56" s="1"/>
  <c r="W40" i="26"/>
  <c r="W35" i="56" s="1"/>
  <c r="Z39" i="26"/>
  <c r="Y39" i="26"/>
  <c r="Y34" i="56" s="1"/>
  <c r="Z38" i="26"/>
  <c r="Y38" i="26"/>
  <c r="Y33" i="56" s="1"/>
  <c r="Y37" i="26"/>
  <c r="Z37" i="26" s="1"/>
  <c r="Z36" i="26"/>
  <c r="Y36" i="26"/>
  <c r="Y35" i="26"/>
  <c r="Y30" i="56" s="1"/>
  <c r="Z34" i="26"/>
  <c r="Y34" i="26"/>
  <c r="Y29" i="56" s="1"/>
  <c r="Y33" i="26"/>
  <c r="Y28" i="56" s="1"/>
  <c r="Y32" i="26"/>
  <c r="Z32" i="26" s="1"/>
  <c r="Y31" i="26"/>
  <c r="Y26" i="56" s="1"/>
  <c r="Z30" i="26"/>
  <c r="Y30" i="26"/>
  <c r="Y25" i="56" s="1"/>
  <c r="Y29" i="26"/>
  <c r="Y24" i="56" s="1"/>
  <c r="Y28" i="26"/>
  <c r="Y23" i="56" s="1"/>
  <c r="W27" i="26"/>
  <c r="W54" i="26" s="1"/>
  <c r="Y26" i="26"/>
  <c r="Y21" i="56" s="1"/>
  <c r="Y25" i="26"/>
  <c r="Y20" i="56" s="1"/>
  <c r="Y24" i="26"/>
  <c r="Y19" i="56" s="1"/>
  <c r="Y23" i="26"/>
  <c r="Y18" i="56" s="1"/>
  <c r="Y22" i="26"/>
  <c r="Z22" i="26" s="1"/>
  <c r="Y21" i="26"/>
  <c r="Z21" i="26" s="1"/>
  <c r="Y20" i="26"/>
  <c r="Z20" i="26" s="1"/>
  <c r="Y19" i="26"/>
  <c r="Z19" i="26" s="1"/>
  <c r="Y18" i="26"/>
  <c r="Y13" i="56" s="1"/>
  <c r="Y17" i="26"/>
  <c r="Y12" i="56" s="1"/>
  <c r="Y16" i="26"/>
  <c r="Y11" i="56" s="1"/>
  <c r="Y15" i="26"/>
  <c r="Y10" i="56" s="1"/>
  <c r="W15" i="26"/>
  <c r="Y14" i="26"/>
  <c r="Y9" i="56" s="1"/>
  <c r="Y13" i="26"/>
  <c r="Z13" i="26" s="1"/>
  <c r="B12" i="26"/>
  <c r="Y11" i="26"/>
  <c r="Z11" i="26" s="1"/>
  <c r="Y10" i="26"/>
  <c r="Y6" i="56" s="1"/>
  <c r="AI9" i="26"/>
  <c r="Z9" i="26"/>
  <c r="Y9" i="26"/>
  <c r="Y5" i="56" s="1"/>
  <c r="Y8" i="26"/>
  <c r="Z8" i="26" s="1"/>
  <c r="Y7" i="26"/>
  <c r="Y3" i="56" s="1"/>
  <c r="Y6" i="26"/>
  <c r="Z6" i="26" s="1"/>
  <c r="AA2" i="26"/>
  <c r="C19" i="75"/>
  <c r="C10" i="75"/>
  <c r="C14" i="75" s="1"/>
  <c r="P8" i="73"/>
  <c r="D8" i="73"/>
  <c r="P7" i="73"/>
  <c r="P44" i="73" s="1"/>
  <c r="D7" i="73"/>
  <c r="H12" i="55" l="1"/>
  <c r="J12" i="55" s="1"/>
  <c r="H44" i="55"/>
  <c r="J44" i="55" s="1"/>
  <c r="Z35" i="26"/>
  <c r="H14" i="55"/>
  <c r="J14" i="55" s="1"/>
  <c r="H33" i="55"/>
  <c r="J33" i="55" s="1"/>
  <c r="H46" i="55"/>
  <c r="J46" i="55" s="1"/>
  <c r="D45" i="56"/>
  <c r="L45" i="56"/>
  <c r="T45" i="56"/>
  <c r="Z7" i="26"/>
  <c r="Z31" i="26"/>
  <c r="Y40" i="26"/>
  <c r="Y35" i="56" s="1"/>
  <c r="H16" i="55"/>
  <c r="J16" i="55" s="1"/>
  <c r="H18" i="55"/>
  <c r="J18" i="55" s="1"/>
  <c r="H37" i="55"/>
  <c r="J37" i="55" s="1"/>
  <c r="H48" i="55"/>
  <c r="J48" i="55" s="1"/>
  <c r="E45" i="56"/>
  <c r="M45" i="56"/>
  <c r="U45" i="56"/>
  <c r="AG5" i="56"/>
  <c r="Y8" i="56"/>
  <c r="AG17" i="56"/>
  <c r="AC23" i="56"/>
  <c r="AC39" i="56"/>
  <c r="H24" i="55"/>
  <c r="J24" i="55" s="1"/>
  <c r="G45" i="56"/>
  <c r="AC38" i="56"/>
  <c r="AC42" i="56"/>
  <c r="V45" i="56"/>
  <c r="AC16" i="56"/>
  <c r="Y27" i="56"/>
  <c r="H13" i="55"/>
  <c r="J13" i="55" s="1"/>
  <c r="H26" i="55"/>
  <c r="J26" i="55" s="1"/>
  <c r="H45" i="55"/>
  <c r="J45" i="55" s="1"/>
  <c r="O45" i="56"/>
  <c r="AC22" i="56"/>
  <c r="C21" i="75"/>
  <c r="Z28" i="26"/>
  <c r="H17" i="55"/>
  <c r="J17" i="55" s="1"/>
  <c r="H28" i="55"/>
  <c r="J28" i="55" s="1"/>
  <c r="H30" i="55"/>
  <c r="J30" i="55" s="1"/>
  <c r="H45" i="56"/>
  <c r="P45" i="56"/>
  <c r="AC12" i="56"/>
  <c r="Y16" i="56"/>
  <c r="AC21" i="56"/>
  <c r="AG27" i="56"/>
  <c r="AC29" i="56"/>
  <c r="AG29" i="56"/>
  <c r="F45" i="56"/>
  <c r="N45" i="56"/>
  <c r="U56" i="26"/>
  <c r="U58" i="26" s="1"/>
  <c r="B50" i="55"/>
  <c r="H21" i="55"/>
  <c r="J21" i="55" s="1"/>
  <c r="H32" i="55"/>
  <c r="J32" i="55" s="1"/>
  <c r="H34" i="55"/>
  <c r="J34" i="55" s="1"/>
  <c r="I45" i="56"/>
  <c r="Q45" i="56"/>
  <c r="Y2" i="56"/>
  <c r="AC4" i="56"/>
  <c r="AC5" i="56"/>
  <c r="AC20" i="56"/>
  <c r="AC24" i="56"/>
  <c r="AC35" i="56"/>
  <c r="D50" i="55"/>
  <c r="H25" i="55"/>
  <c r="J25" i="55" s="1"/>
  <c r="H36" i="55"/>
  <c r="J36" i="55" s="1"/>
  <c r="H38" i="55"/>
  <c r="J38" i="55" s="1"/>
  <c r="J45" i="56"/>
  <c r="R45" i="56"/>
  <c r="Z2" i="56"/>
  <c r="AG41" i="56"/>
  <c r="Y44" i="56"/>
  <c r="Z25" i="26"/>
  <c r="Z40" i="26"/>
  <c r="Z14" i="26"/>
  <c r="Z29" i="26"/>
  <c r="Z33" i="26"/>
  <c r="Z10" i="26"/>
  <c r="Z18" i="26"/>
  <c r="Z26" i="26"/>
  <c r="Z41" i="26"/>
  <c r="Z45" i="26"/>
  <c r="Y43" i="56"/>
  <c r="Y14" i="56"/>
  <c r="Y41" i="56"/>
  <c r="Y7" i="56"/>
  <c r="Z15" i="26"/>
  <c r="Z23" i="26"/>
  <c r="Y27" i="26"/>
  <c r="Z42" i="26"/>
  <c r="C50" i="55"/>
  <c r="Y15" i="56"/>
  <c r="H6" i="55"/>
  <c r="AG3" i="56"/>
  <c r="Z16" i="26"/>
  <c r="Z24" i="26"/>
  <c r="Z43" i="26"/>
  <c r="Z47" i="26"/>
  <c r="W22" i="56"/>
  <c r="W45" i="56" s="1"/>
  <c r="Y32" i="56"/>
  <c r="Y39" i="56"/>
  <c r="Z17" i="26"/>
  <c r="Y54" i="26"/>
  <c r="AL7" i="85"/>
  <c r="AL8" i="85"/>
  <c r="AL9" i="85"/>
  <c r="AL10" i="85"/>
  <c r="AL11" i="85"/>
  <c r="AM7" i="85"/>
  <c r="AM8" i="85"/>
  <c r="AM9" i="85"/>
  <c r="AM10" i="85"/>
  <c r="AM11" i="85"/>
  <c r="AM12" i="85"/>
  <c r="AM15" i="85"/>
  <c r="AN7" i="85"/>
  <c r="AN9" i="85"/>
  <c r="AN16" i="85"/>
  <c r="AO7" i="85"/>
  <c r="AO8" i="85"/>
  <c r="AO10" i="85"/>
  <c r="AO11" i="85"/>
  <c r="AO12" i="85"/>
  <c r="AO14" i="85"/>
  <c r="AO15" i="85"/>
  <c r="AN8" i="85"/>
  <c r="AN10" i="85"/>
  <c r="G17" i="85"/>
  <c r="M17" i="85"/>
  <c r="S17" i="85"/>
  <c r="Y17" i="85"/>
  <c r="AK17" i="85"/>
  <c r="S13" i="85"/>
  <c r="M16" i="85"/>
  <c r="D44" i="73"/>
  <c r="AO9" i="85"/>
  <c r="S6" i="85"/>
  <c r="M7" i="85"/>
  <c r="S7" i="85"/>
  <c r="Y7" i="85"/>
  <c r="AE7" i="85"/>
  <c r="AK7" i="85"/>
  <c r="M8" i="85"/>
  <c r="S8" i="85"/>
  <c r="Y8" i="85"/>
  <c r="AE8" i="85"/>
  <c r="AK8" i="85"/>
  <c r="M9" i="85"/>
  <c r="S9" i="85"/>
  <c r="Y9" i="85"/>
  <c r="AE9" i="85"/>
  <c r="AK9" i="85"/>
  <c r="M10" i="85"/>
  <c r="S10" i="85"/>
  <c r="Y10" i="85"/>
  <c r="AE10" i="85"/>
  <c r="AK10" i="85"/>
  <c r="G11" i="85"/>
  <c r="M11" i="85"/>
  <c r="S11" i="85"/>
  <c r="Y11" i="85"/>
  <c r="AE11" i="85"/>
  <c r="AK11" i="85"/>
  <c r="F12" i="85"/>
  <c r="R12" i="85"/>
  <c r="X12" i="85"/>
  <c r="AD12" i="85"/>
  <c r="AJ12" i="85"/>
  <c r="L13" i="85"/>
  <c r="R13" i="85"/>
  <c r="X13" i="85"/>
  <c r="AD13" i="85"/>
  <c r="AE13" i="85"/>
  <c r="Y14" i="85"/>
  <c r="AE14" i="85"/>
  <c r="AK14" i="85"/>
  <c r="M15" i="85"/>
  <c r="S15" i="85"/>
  <c r="M14" i="85"/>
  <c r="D19" i="85"/>
  <c r="J19" i="85"/>
  <c r="P19" i="85"/>
  <c r="V19" i="85"/>
  <c r="M12" i="85"/>
  <c r="S12" i="85"/>
  <c r="AE12" i="85"/>
  <c r="AK12" i="85"/>
  <c r="L15" i="85"/>
  <c r="R15" i="85"/>
  <c r="X15" i="85"/>
  <c r="AJ15" i="85"/>
  <c r="F16" i="85"/>
  <c r="L16" i="85"/>
  <c r="AN13" i="85"/>
  <c r="AN17" i="85"/>
  <c r="AB19" i="85"/>
  <c r="AH19" i="85"/>
  <c r="AN11" i="85"/>
  <c r="L34" i="87"/>
  <c r="K34" i="87"/>
  <c r="J34" i="87"/>
  <c r="AG42" i="56"/>
  <c r="E19" i="85"/>
  <c r="K19" i="85"/>
  <c r="Q19" i="85"/>
  <c r="W19" i="85"/>
  <c r="AC19" i="85"/>
  <c r="AI19" i="85"/>
  <c r="AM13" i="85"/>
  <c r="M13" i="85"/>
  <c r="Y13" i="85"/>
  <c r="AJ13" i="85"/>
  <c r="F14" i="85"/>
  <c r="L14" i="85"/>
  <c r="R14" i="85"/>
  <c r="X14" i="85"/>
  <c r="AN15" i="85"/>
  <c r="Y15" i="85"/>
  <c r="AE15" i="85"/>
  <c r="AK15" i="85"/>
  <c r="G16" i="85"/>
  <c r="AM16" i="85"/>
  <c r="AL16" i="85"/>
  <c r="AD16" i="85"/>
  <c r="AL17" i="85"/>
  <c r="AO17" i="85"/>
  <c r="B19" i="85"/>
  <c r="H19" i="85"/>
  <c r="N19" i="85"/>
  <c r="T19" i="85"/>
  <c r="Z19" i="85"/>
  <c r="AF19" i="85"/>
  <c r="L7" i="85"/>
  <c r="R7" i="85"/>
  <c r="X7" i="85"/>
  <c r="AD7" i="85"/>
  <c r="AJ7" i="85"/>
  <c r="L8" i="85"/>
  <c r="R8" i="85"/>
  <c r="X8" i="85"/>
  <c r="AD8" i="85"/>
  <c r="AJ8" i="85"/>
  <c r="L9" i="85"/>
  <c r="R9" i="85"/>
  <c r="X9" i="85"/>
  <c r="AD9" i="85"/>
  <c r="AJ9" i="85"/>
  <c r="L10" i="85"/>
  <c r="R10" i="85"/>
  <c r="X10" i="85"/>
  <c r="AD10" i="85"/>
  <c r="AJ10" i="85"/>
  <c r="L11" i="85"/>
  <c r="R11" i="85"/>
  <c r="X11" i="85"/>
  <c r="AD11" i="85"/>
  <c r="AJ11" i="85"/>
  <c r="Y12" i="85"/>
  <c r="AK13" i="85"/>
  <c r="G14" i="85"/>
  <c r="S14" i="85"/>
  <c r="AD14" i="85"/>
  <c r="AL14" i="85"/>
  <c r="S16" i="85"/>
  <c r="Y16" i="85"/>
  <c r="AE16" i="85"/>
  <c r="AK16" i="85"/>
  <c r="L17" i="85"/>
  <c r="X17" i="85"/>
  <c r="AJ17" i="85"/>
  <c r="C19" i="85"/>
  <c r="I19" i="85"/>
  <c r="U19" i="85"/>
  <c r="AA19" i="85"/>
  <c r="AG19" i="85"/>
  <c r="AO13" i="85"/>
  <c r="AN14" i="85"/>
  <c r="AO16" i="85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30" i="73"/>
  <c r="E31" i="73"/>
  <c r="E32" i="73"/>
  <c r="E33" i="73"/>
  <c r="E34" i="73"/>
  <c r="E35" i="73"/>
  <c r="E36" i="73"/>
  <c r="E37" i="73"/>
  <c r="J38" i="73"/>
  <c r="J39" i="73"/>
  <c r="E7" i="73"/>
  <c r="E8" i="73"/>
  <c r="J9" i="73"/>
  <c r="J10" i="73"/>
  <c r="J11" i="73"/>
  <c r="J12" i="73"/>
  <c r="J13" i="73"/>
  <c r="J14" i="73"/>
  <c r="J15" i="73"/>
  <c r="J16" i="73"/>
  <c r="J17" i="73"/>
  <c r="J18" i="73"/>
  <c r="J19" i="73"/>
  <c r="J20" i="73"/>
  <c r="J21" i="73"/>
  <c r="J22" i="73"/>
  <c r="J23" i="73"/>
  <c r="J24" i="73"/>
  <c r="J25" i="73"/>
  <c r="J26" i="73"/>
  <c r="J27" i="73"/>
  <c r="E28" i="73"/>
  <c r="E29" i="73"/>
  <c r="J30" i="73"/>
  <c r="J31" i="73"/>
  <c r="J32" i="73"/>
  <c r="J33" i="73"/>
  <c r="J34" i="73"/>
  <c r="J35" i="73"/>
  <c r="J36" i="73"/>
  <c r="J37" i="73"/>
  <c r="J7" i="73"/>
  <c r="J8" i="73"/>
  <c r="J28" i="73"/>
  <c r="J29" i="73"/>
  <c r="E38" i="73"/>
  <c r="E39" i="73"/>
  <c r="D10" i="73"/>
  <c r="P10" i="73"/>
  <c r="D14" i="73"/>
  <c r="P14" i="73"/>
  <c r="D22" i="73"/>
  <c r="P22" i="73"/>
  <c r="D26" i="73"/>
  <c r="P26" i="73"/>
  <c r="D30" i="73"/>
  <c r="P30" i="73"/>
  <c r="D34" i="73"/>
  <c r="P34" i="73"/>
  <c r="D38" i="73"/>
  <c r="P38" i="73"/>
  <c r="D17" i="73"/>
  <c r="D11" i="73"/>
  <c r="P11" i="73"/>
  <c r="D15" i="73"/>
  <c r="P15" i="73"/>
  <c r="D19" i="73"/>
  <c r="P19" i="73"/>
  <c r="D23" i="73"/>
  <c r="P23" i="73"/>
  <c r="D27" i="73"/>
  <c r="P27" i="73"/>
  <c r="D31" i="73"/>
  <c r="P31" i="73"/>
  <c r="D35" i="73"/>
  <c r="P35" i="73"/>
  <c r="D39" i="73"/>
  <c r="P39" i="73"/>
  <c r="D18" i="73"/>
  <c r="D12" i="73"/>
  <c r="P12" i="73"/>
  <c r="D16" i="73"/>
  <c r="P16" i="73"/>
  <c r="D20" i="73"/>
  <c r="P20" i="73"/>
  <c r="D24" i="73"/>
  <c r="P24" i="73"/>
  <c r="D28" i="73"/>
  <c r="P28" i="73"/>
  <c r="D32" i="73"/>
  <c r="P32" i="73"/>
  <c r="D36" i="73"/>
  <c r="P36" i="73"/>
  <c r="D9" i="73"/>
  <c r="P9" i="73"/>
  <c r="D13" i="73"/>
  <c r="P13" i="73"/>
  <c r="D21" i="73"/>
  <c r="P21" i="73"/>
  <c r="D25" i="73"/>
  <c r="P25" i="73"/>
  <c r="D29" i="73"/>
  <c r="P29" i="73"/>
  <c r="D33" i="73"/>
  <c r="P33" i="73"/>
  <c r="D37" i="73"/>
  <c r="P37" i="73"/>
  <c r="M6" i="85"/>
  <c r="Y6" i="85"/>
  <c r="AK6" i="85"/>
  <c r="AO6" i="85"/>
  <c r="G7" i="85"/>
  <c r="G9" i="85"/>
  <c r="G12" i="85"/>
  <c r="AL12" i="85"/>
  <c r="AM14" i="85"/>
  <c r="AL15" i="85"/>
  <c r="G15" i="85"/>
  <c r="R16" i="85"/>
  <c r="AM17" i="85"/>
  <c r="O19" i="85"/>
  <c r="F6" i="85"/>
  <c r="R6" i="85"/>
  <c r="AD6" i="85"/>
  <c r="AL6" i="85"/>
  <c r="F8" i="85"/>
  <c r="F10" i="85"/>
  <c r="AN12" i="85"/>
  <c r="L12" i="85"/>
  <c r="AL13" i="85"/>
  <c r="G13" i="85"/>
  <c r="AJ16" i="85"/>
  <c r="AD17" i="85"/>
  <c r="G6" i="85"/>
  <c r="AE6" i="85"/>
  <c r="AM6" i="85"/>
  <c r="G8" i="85"/>
  <c r="G10" i="85"/>
  <c r="AJ14" i="85"/>
  <c r="AD15" i="85"/>
  <c r="X16" i="85"/>
  <c r="R17" i="85"/>
  <c r="AE17" i="85"/>
  <c r="L6" i="85"/>
  <c r="X6" i="85"/>
  <c r="AJ6" i="85"/>
  <c r="AN6" i="85"/>
  <c r="F7" i="85"/>
  <c r="F9" i="85"/>
  <c r="F11" i="85"/>
  <c r="F13" i="85"/>
  <c r="F15" i="85"/>
  <c r="F17" i="85"/>
  <c r="P42" i="87"/>
  <c r="G54" i="87" s="1"/>
  <c r="N42" i="87"/>
  <c r="S42" i="87"/>
  <c r="G56" i="87" s="1"/>
  <c r="G42" i="87"/>
  <c r="G47" i="87" s="1"/>
  <c r="O42" i="87"/>
  <c r="G53" i="87" s="1"/>
  <c r="Z42" i="87"/>
  <c r="Q42" i="87"/>
  <c r="M42" i="87"/>
  <c r="G46" i="87" s="1"/>
  <c r="H50" i="55" l="1"/>
  <c r="J6" i="55"/>
  <c r="J50" i="55" s="1"/>
  <c r="Y22" i="56"/>
  <c r="Y45" i="56" s="1"/>
  <c r="Z27" i="26"/>
  <c r="Z54" i="26" s="1"/>
  <c r="M19" i="85"/>
  <c r="AK19" i="85"/>
  <c r="S19" i="85"/>
  <c r="X19" i="85"/>
  <c r="R19" i="85"/>
  <c r="G35" i="73"/>
  <c r="I34" i="87"/>
  <c r="G8" i="73"/>
  <c r="AO19" i="85"/>
  <c r="H39" i="73"/>
  <c r="G37" i="73"/>
  <c r="F19" i="73"/>
  <c r="G33" i="73"/>
  <c r="H7" i="73"/>
  <c r="G31" i="73"/>
  <c r="L19" i="85"/>
  <c r="AD19" i="85"/>
  <c r="Y19" i="85"/>
  <c r="G29" i="73"/>
  <c r="H38" i="73"/>
  <c r="H8" i="73"/>
  <c r="I39" i="73"/>
  <c r="H36" i="73"/>
  <c r="H34" i="73"/>
  <c r="H32" i="73"/>
  <c r="H30" i="73"/>
  <c r="H26" i="73"/>
  <c r="H24" i="73"/>
  <c r="H22" i="73"/>
  <c r="H20" i="73"/>
  <c r="H18" i="73"/>
  <c r="H16" i="73"/>
  <c r="H14" i="73"/>
  <c r="H12" i="73"/>
  <c r="H10" i="73"/>
  <c r="G26" i="73"/>
  <c r="G22" i="73"/>
  <c r="G18" i="73"/>
  <c r="G14" i="73"/>
  <c r="G10" i="73"/>
  <c r="I7" i="73"/>
  <c r="I34" i="73"/>
  <c r="I30" i="73"/>
  <c r="H28" i="73"/>
  <c r="I24" i="73"/>
  <c r="I20" i="73"/>
  <c r="I16" i="73"/>
  <c r="I12" i="73"/>
  <c r="AM19" i="85"/>
  <c r="AQ6" i="85"/>
  <c r="AQ7" i="85" s="1"/>
  <c r="AQ8" i="85" s="1"/>
  <c r="AQ9" i="85" s="1"/>
  <c r="AQ10" i="85" s="1"/>
  <c r="AQ11" i="85" s="1"/>
  <c r="AQ12" i="85" s="1"/>
  <c r="AQ13" i="85" s="1"/>
  <c r="AQ14" i="85" s="1"/>
  <c r="AQ15" i="85" s="1"/>
  <c r="AQ16" i="85" s="1"/>
  <c r="AQ17" i="85" s="1"/>
  <c r="I38" i="73"/>
  <c r="G28" i="73"/>
  <c r="G36" i="73"/>
  <c r="G34" i="73"/>
  <c r="G32" i="73"/>
  <c r="G30" i="73"/>
  <c r="G25" i="73"/>
  <c r="G21" i="73"/>
  <c r="G17" i="73"/>
  <c r="G13" i="73"/>
  <c r="G9" i="73"/>
  <c r="J44" i="73"/>
  <c r="G38" i="73"/>
  <c r="I37" i="73"/>
  <c r="I33" i="73"/>
  <c r="I27" i="73"/>
  <c r="I23" i="73"/>
  <c r="I19" i="73"/>
  <c r="I15" i="73"/>
  <c r="I11" i="73"/>
  <c r="AN19" i="85"/>
  <c r="AE19" i="85"/>
  <c r="F19" i="85"/>
  <c r="H37" i="73"/>
  <c r="H35" i="73"/>
  <c r="H33" i="73"/>
  <c r="H31" i="73"/>
  <c r="H27" i="73"/>
  <c r="H25" i="73"/>
  <c r="H23" i="73"/>
  <c r="H21" i="73"/>
  <c r="H19" i="73"/>
  <c r="H17" i="73"/>
  <c r="H15" i="73"/>
  <c r="H13" i="73"/>
  <c r="H11" i="73"/>
  <c r="H9" i="73"/>
  <c r="G7" i="73"/>
  <c r="G24" i="73"/>
  <c r="G20" i="73"/>
  <c r="G16" i="73"/>
  <c r="G12" i="73"/>
  <c r="I29" i="73"/>
  <c r="E44" i="73"/>
  <c r="I36" i="73"/>
  <c r="I32" i="73"/>
  <c r="H29" i="73"/>
  <c r="I26" i="73"/>
  <c r="I22" i="73"/>
  <c r="I18" i="73"/>
  <c r="I14" i="73"/>
  <c r="I10" i="73"/>
  <c r="AJ19" i="85"/>
  <c r="G19" i="85"/>
  <c r="AL19" i="85"/>
  <c r="AP6" i="85"/>
  <c r="AP7" i="85" s="1"/>
  <c r="AP8" i="85" s="1"/>
  <c r="AP9" i="85" s="1"/>
  <c r="AP10" i="85" s="1"/>
  <c r="AP11" i="85" s="1"/>
  <c r="AP12" i="85" s="1"/>
  <c r="AP13" i="85" s="1"/>
  <c r="AP14" i="85" s="1"/>
  <c r="AP15" i="85" s="1"/>
  <c r="AP16" i="85" s="1"/>
  <c r="AP17" i="85" s="1"/>
  <c r="G27" i="73"/>
  <c r="G23" i="73"/>
  <c r="G19" i="73"/>
  <c r="G15" i="73"/>
  <c r="G11" i="73"/>
  <c r="G39" i="73"/>
  <c r="I28" i="73"/>
  <c r="I8" i="73"/>
  <c r="I35" i="73"/>
  <c r="I31" i="73"/>
  <c r="I25" i="73"/>
  <c r="I21" i="73"/>
  <c r="I17" i="73"/>
  <c r="I13" i="73"/>
  <c r="I9" i="73"/>
  <c r="G55" i="87"/>
  <c r="F17" i="73" l="1"/>
  <c r="F23" i="73"/>
  <c r="F13" i="73"/>
  <c r="F11" i="73"/>
  <c r="F9" i="73"/>
  <c r="F25" i="73"/>
  <c r="F15" i="73"/>
  <c r="F21" i="73"/>
  <c r="F38" i="73"/>
  <c r="H44" i="73"/>
  <c r="F20" i="73"/>
  <c r="F18" i="73"/>
  <c r="F30" i="73"/>
  <c r="F37" i="73"/>
  <c r="F24" i="73"/>
  <c r="F32" i="73"/>
  <c r="F27" i="73"/>
  <c r="G44" i="73"/>
  <c r="F22" i="73"/>
  <c r="F34" i="73"/>
  <c r="I44" i="73"/>
  <c r="F39" i="73"/>
  <c r="F12" i="73"/>
  <c r="F28" i="73"/>
  <c r="F36" i="73"/>
  <c r="F31" i="73"/>
  <c r="F10" i="73"/>
  <c r="F26" i="73"/>
  <c r="F8" i="73"/>
  <c r="F33" i="73"/>
  <c r="F16" i="73"/>
  <c r="F29" i="73"/>
  <c r="F35" i="73"/>
  <c r="F14" i="73"/>
  <c r="F7" i="73"/>
  <c r="F44" i="73" l="1"/>
  <c r="F6" i="87" l="1"/>
  <c r="C21" i="73" l="1"/>
  <c r="C30" i="73"/>
  <c r="C39" i="73"/>
  <c r="C25" i="73"/>
  <c r="C27" i="73"/>
  <c r="C24" i="73"/>
  <c r="C15" i="73"/>
  <c r="C6" i="73"/>
  <c r="C9" i="73"/>
  <c r="C29" i="73"/>
  <c r="C19" i="73"/>
  <c r="C35" i="73"/>
  <c r="C18" i="73"/>
  <c r="C32" i="73"/>
  <c r="C7" i="73"/>
  <c r="C8" i="73"/>
  <c r="C23" i="73"/>
  <c r="C36" i="73"/>
  <c r="C22" i="73"/>
  <c r="C33" i="73"/>
  <c r="C10" i="73"/>
  <c r="C20" i="73"/>
  <c r="C13" i="73"/>
  <c r="C11" i="73"/>
  <c r="C12" i="73"/>
  <c r="C14" i="73"/>
  <c r="C38" i="73"/>
  <c r="C26" i="73"/>
  <c r="C17" i="73"/>
  <c r="C34" i="73"/>
  <c r="C31" i="73"/>
  <c r="C16" i="73"/>
  <c r="C28" i="73"/>
  <c r="C37" i="73"/>
  <c r="C44" i="73" l="1"/>
  <c r="H42" i="87" l="1"/>
  <c r="H27" i="87" l="1"/>
  <c r="H36" i="87"/>
  <c r="L36" i="87" l="1"/>
  <c r="J36" i="87"/>
  <c r="K36" i="87"/>
  <c r="L27" i="87"/>
  <c r="J27" i="87"/>
  <c r="K27" i="87"/>
  <c r="I36" i="87" l="1"/>
  <c r="F36" i="87" s="1"/>
  <c r="I27" i="87"/>
  <c r="F27" i="87" s="1"/>
  <c r="H8" i="87" l="1"/>
  <c r="H9" i="87"/>
  <c r="H10" i="87"/>
  <c r="H11" i="87"/>
  <c r="H12" i="87"/>
  <c r="H13" i="87"/>
  <c r="H14" i="87"/>
  <c r="H15" i="87"/>
  <c r="H16" i="87"/>
  <c r="H17" i="87"/>
  <c r="H19" i="87"/>
  <c r="H21" i="87"/>
  <c r="H22" i="87"/>
  <c r="H23" i="87"/>
  <c r="H24" i="87"/>
  <c r="H25" i="87"/>
  <c r="H26" i="87"/>
  <c r="H28" i="87"/>
  <c r="H29" i="87"/>
  <c r="H30" i="87"/>
  <c r="H31" i="87"/>
  <c r="H32" i="87"/>
  <c r="H33" i="87"/>
  <c r="H35" i="87"/>
  <c r="H37" i="87"/>
  <c r="H38" i="87"/>
  <c r="H7" i="87"/>
  <c r="L7" i="87" l="1"/>
  <c r="K7" i="87"/>
  <c r="J7" i="87"/>
  <c r="K33" i="87"/>
  <c r="L33" i="87"/>
  <c r="J33" i="87"/>
  <c r="J29" i="87"/>
  <c r="L29" i="87"/>
  <c r="K29" i="87"/>
  <c r="L24" i="87"/>
  <c r="J24" i="87"/>
  <c r="K24" i="87"/>
  <c r="L19" i="87"/>
  <c r="J19" i="87"/>
  <c r="K19" i="87"/>
  <c r="K14" i="87"/>
  <c r="J14" i="87"/>
  <c r="L14" i="87"/>
  <c r="K10" i="87"/>
  <c r="L10" i="87"/>
  <c r="J10" i="87"/>
  <c r="J38" i="87"/>
  <c r="K38" i="87"/>
  <c r="L38" i="87"/>
  <c r="K32" i="87"/>
  <c r="L32" i="87"/>
  <c r="J32" i="87"/>
  <c r="L28" i="87"/>
  <c r="K28" i="87"/>
  <c r="J28" i="87"/>
  <c r="K23" i="87"/>
  <c r="L23" i="87"/>
  <c r="J23" i="87"/>
  <c r="J17" i="87"/>
  <c r="K17" i="87"/>
  <c r="L17" i="87"/>
  <c r="K13" i="87"/>
  <c r="J13" i="87"/>
  <c r="L13" i="87"/>
  <c r="K9" i="87"/>
  <c r="J9" i="87"/>
  <c r="L9" i="87"/>
  <c r="J37" i="87"/>
  <c r="L37" i="87"/>
  <c r="K37" i="87"/>
  <c r="K31" i="87"/>
  <c r="L31" i="87"/>
  <c r="J31" i="87"/>
  <c r="J26" i="87"/>
  <c r="L26" i="87"/>
  <c r="K26" i="87"/>
  <c r="J22" i="87"/>
  <c r="L22" i="87"/>
  <c r="K22" i="87"/>
  <c r="K16" i="87"/>
  <c r="J16" i="87"/>
  <c r="L16" i="87"/>
  <c r="J12" i="87"/>
  <c r="L12" i="87"/>
  <c r="K12" i="87"/>
  <c r="K8" i="87"/>
  <c r="L8" i="87"/>
  <c r="J8" i="87"/>
  <c r="J35" i="87"/>
  <c r="L35" i="87"/>
  <c r="K35" i="87"/>
  <c r="L30" i="87"/>
  <c r="K30" i="87"/>
  <c r="J30" i="87"/>
  <c r="J25" i="87"/>
  <c r="L25" i="87"/>
  <c r="K25" i="87"/>
  <c r="L21" i="87"/>
  <c r="K21" i="87"/>
  <c r="J21" i="87"/>
  <c r="L15" i="87"/>
  <c r="K15" i="87"/>
  <c r="J15" i="87"/>
  <c r="J11" i="87"/>
  <c r="K11" i="87"/>
  <c r="L11" i="87"/>
  <c r="I25" i="87" l="1"/>
  <c r="F25" i="87" s="1"/>
  <c r="I12" i="87"/>
  <c r="F12" i="87" s="1"/>
  <c r="I31" i="87"/>
  <c r="F31" i="87" s="1"/>
  <c r="I23" i="87"/>
  <c r="F23" i="87" s="1"/>
  <c r="I10" i="87"/>
  <c r="F10" i="87" s="1"/>
  <c r="I15" i="87"/>
  <c r="F15" i="87" s="1"/>
  <c r="I35" i="87"/>
  <c r="F35" i="87" s="1"/>
  <c r="I22" i="87"/>
  <c r="F22" i="87" s="1"/>
  <c r="I11" i="87"/>
  <c r="F11" i="87" s="1"/>
  <c r="I30" i="87"/>
  <c r="F30" i="87" s="1"/>
  <c r="I16" i="87"/>
  <c r="F16" i="87" s="1"/>
  <c r="I33" i="87"/>
  <c r="F33" i="87" s="1"/>
  <c r="I21" i="87"/>
  <c r="F21" i="87" s="1"/>
  <c r="I8" i="87"/>
  <c r="F8" i="87" s="1"/>
  <c r="I26" i="87"/>
  <c r="F26" i="87" s="1"/>
  <c r="I9" i="87"/>
  <c r="F9" i="87" s="1"/>
  <c r="I14" i="87"/>
  <c r="F14" i="87" s="1"/>
  <c r="I32" i="87"/>
  <c r="F32" i="87" s="1"/>
  <c r="I24" i="87"/>
  <c r="F24" i="87" s="1"/>
  <c r="I13" i="87"/>
  <c r="F13" i="87" s="1"/>
  <c r="I17" i="87"/>
  <c r="F17" i="87" s="1"/>
  <c r="I28" i="87"/>
  <c r="F28" i="87" s="1"/>
  <c r="I38" i="87"/>
  <c r="F38" i="87" s="1"/>
  <c r="I7" i="87"/>
  <c r="F7" i="87" s="1"/>
  <c r="I37" i="87"/>
  <c r="F37" i="87" s="1"/>
  <c r="I19" i="87"/>
  <c r="F19" i="87" s="1"/>
  <c r="I29" i="87"/>
  <c r="F29" i="87" s="1"/>
  <c r="H18" i="87" l="1"/>
  <c r="J18" i="87" l="1"/>
  <c r="K18" i="87"/>
  <c r="L18" i="87"/>
  <c r="H20" i="87"/>
  <c r="I18" i="87" l="1"/>
  <c r="F18" i="87" s="1"/>
  <c r="K20" i="87"/>
  <c r="K42" i="87" s="1"/>
  <c r="G50" i="87" s="1"/>
  <c r="L20" i="87"/>
  <c r="L42" i="87" s="1"/>
  <c r="G51" i="87" s="1"/>
  <c r="J20" i="87"/>
  <c r="J42" i="87" s="1"/>
  <c r="G49" i="87" s="1"/>
  <c r="I20" i="87" l="1"/>
  <c r="F20" i="87" l="1"/>
  <c r="F42" i="87" s="1"/>
  <c r="I42" i="87"/>
  <c r="G48" i="87" s="1"/>
  <c r="E20" i="87" l="1"/>
  <c r="E9" i="87"/>
  <c r="E15" i="87"/>
  <c r="E38" i="87"/>
  <c r="E21" i="87"/>
  <c r="E16" i="87"/>
  <c r="E33" i="87"/>
  <c r="E11" i="87"/>
  <c r="E34" i="87"/>
  <c r="E37" i="87"/>
  <c r="E29" i="87"/>
  <c r="E28" i="87"/>
  <c r="E36" i="87"/>
  <c r="E30" i="87"/>
  <c r="E6" i="87"/>
  <c r="E42" i="87" s="1"/>
  <c r="E7" i="87"/>
  <c r="E14" i="87"/>
  <c r="E31" i="87"/>
  <c r="E35" i="87"/>
  <c r="E10" i="87"/>
  <c r="E26" i="87"/>
  <c r="E32" i="87"/>
  <c r="E25" i="87"/>
  <c r="E18" i="87"/>
  <c r="E13" i="87"/>
  <c r="E19" i="87"/>
  <c r="E17" i="87"/>
  <c r="E24" i="87"/>
  <c r="E8" i="87"/>
  <c r="E12" i="87"/>
  <c r="E23" i="87"/>
  <c r="E22" i="87"/>
  <c r="E27" i="87"/>
  <c r="D31" i="92" l="1"/>
  <c r="H34" i="127" l="1"/>
  <c r="H27" i="127"/>
  <c r="H34" i="135" l="1"/>
  <c r="H27" i="135"/>
  <c r="H33" i="127" l="1"/>
  <c r="H29" i="127"/>
  <c r="H12" i="135"/>
  <c r="H17" i="135"/>
  <c r="H9" i="135"/>
  <c r="H25" i="135"/>
  <c r="H30" i="135"/>
  <c r="H36" i="135"/>
  <c r="H29" i="135"/>
  <c r="H18" i="135" l="1"/>
  <c r="H24" i="135"/>
  <c r="H23" i="135"/>
  <c r="H10" i="135"/>
  <c r="H21" i="135"/>
  <c r="H13" i="135"/>
  <c r="H20" i="135"/>
  <c r="H22" i="135"/>
  <c r="H16" i="135"/>
  <c r="H32" i="135"/>
  <c r="H26" i="135"/>
  <c r="H15" i="135"/>
  <c r="H28" i="135"/>
  <c r="H11" i="135"/>
  <c r="H19" i="135" l="1"/>
  <c r="H33" i="135"/>
  <c r="H8" i="135" l="1"/>
  <c r="H7" i="127" l="1"/>
  <c r="H7" i="135" l="1"/>
  <c r="H14" i="135" l="1"/>
  <c r="H31" i="135"/>
  <c r="H35" i="135" l="1"/>
  <c r="H38" i="135" s="1"/>
  <c r="G17" i="135" l="1"/>
  <c r="K17" i="135" s="1"/>
  <c r="P17" i="135" s="1"/>
  <c r="S17" i="135" s="1"/>
  <c r="G34" i="135"/>
  <c r="K34" i="135" s="1"/>
  <c r="G12" i="135"/>
  <c r="K12" i="135" s="1"/>
  <c r="P12" i="135" s="1"/>
  <c r="S12" i="135" s="1"/>
  <c r="G30" i="135"/>
  <c r="K30" i="135" s="1"/>
  <c r="P30" i="135" s="1"/>
  <c r="S30" i="135" s="1"/>
  <c r="G32" i="135"/>
  <c r="K32" i="135" s="1"/>
  <c r="P32" i="135" s="1"/>
  <c r="S32" i="135" s="1"/>
  <c r="G20" i="135"/>
  <c r="K20" i="135" s="1"/>
  <c r="P20" i="135" s="1"/>
  <c r="S20" i="135" s="1"/>
  <c r="G11" i="135"/>
  <c r="K11" i="135" s="1"/>
  <c r="P11" i="135" s="1"/>
  <c r="S11" i="135" s="1"/>
  <c r="G16" i="135"/>
  <c r="K16" i="135" s="1"/>
  <c r="P16" i="135" s="1"/>
  <c r="S16" i="135" s="1"/>
  <c r="G14" i="135"/>
  <c r="K14" i="135" s="1"/>
  <c r="G28" i="135"/>
  <c r="K28" i="135" s="1"/>
  <c r="P28" i="135" s="1"/>
  <c r="S28" i="135" s="1"/>
  <c r="G21" i="135"/>
  <c r="K21" i="135" s="1"/>
  <c r="P21" i="135" s="1"/>
  <c r="S21" i="135" s="1"/>
  <c r="G29" i="135"/>
  <c r="K29" i="135" s="1"/>
  <c r="P29" i="135" s="1"/>
  <c r="S29" i="135" s="1"/>
  <c r="G35" i="135"/>
  <c r="K35" i="135" s="1"/>
  <c r="P35" i="135" s="1"/>
  <c r="S35" i="135" s="1"/>
  <c r="G23" i="135"/>
  <c r="K23" i="135" s="1"/>
  <c r="P23" i="135" s="1"/>
  <c r="S23" i="135" s="1"/>
  <c r="G10" i="135"/>
  <c r="K10" i="135" s="1"/>
  <c r="P10" i="135" s="1"/>
  <c r="S10" i="135" s="1"/>
  <c r="G8" i="135"/>
  <c r="K8" i="135" s="1"/>
  <c r="P8" i="135" s="1"/>
  <c r="S8" i="135" s="1"/>
  <c r="G13" i="135"/>
  <c r="K13" i="135" s="1"/>
  <c r="P13" i="135" s="1"/>
  <c r="S13" i="135" s="1"/>
  <c r="G33" i="135"/>
  <c r="K33" i="135" s="1"/>
  <c r="P33" i="135" s="1"/>
  <c r="S33" i="135" s="1"/>
  <c r="G22" i="135"/>
  <c r="K22" i="135" s="1"/>
  <c r="P22" i="135" s="1"/>
  <c r="S22" i="135" s="1"/>
  <c r="G15" i="135"/>
  <c r="K15" i="135" s="1"/>
  <c r="P15" i="135" s="1"/>
  <c r="S15" i="135" s="1"/>
  <c r="G24" i="135"/>
  <c r="K24" i="135" s="1"/>
  <c r="P24" i="135" s="1"/>
  <c r="S24" i="135" s="1"/>
  <c r="G36" i="135"/>
  <c r="K36" i="135" s="1"/>
  <c r="P36" i="135" s="1"/>
  <c r="S36" i="135" s="1"/>
  <c r="G19" i="135"/>
  <c r="K19" i="135" s="1"/>
  <c r="P19" i="135" s="1"/>
  <c r="S19" i="135" s="1"/>
  <c r="G7" i="135"/>
  <c r="K7" i="135" s="1"/>
  <c r="P7" i="135" s="1"/>
  <c r="G9" i="135"/>
  <c r="K9" i="135" s="1"/>
  <c r="P9" i="135" s="1"/>
  <c r="S9" i="135" s="1"/>
  <c r="G26" i="135"/>
  <c r="K26" i="135" s="1"/>
  <c r="P26" i="135" s="1"/>
  <c r="S26" i="135" s="1"/>
  <c r="G27" i="135"/>
  <c r="K27" i="135" s="1"/>
  <c r="G31" i="135"/>
  <c r="K31" i="135" s="1"/>
  <c r="G18" i="135"/>
  <c r="K18" i="135" s="1"/>
  <c r="P18" i="135" s="1"/>
  <c r="S18" i="135" s="1"/>
  <c r="G25" i="135"/>
  <c r="K25" i="135" s="1"/>
  <c r="P25" i="135" s="1"/>
  <c r="S25" i="135" s="1"/>
  <c r="G6" i="135" l="1"/>
  <c r="G38" i="135" s="1"/>
  <c r="S7" i="135"/>
  <c r="S38" i="135" s="1"/>
  <c r="P38" i="135"/>
  <c r="K6" i="135" l="1"/>
  <c r="K38" i="135" s="1"/>
  <c r="C6" i="135" l="1"/>
  <c r="C38" i="135" s="1"/>
  <c r="F6" i="135" l="1"/>
  <c r="F38" i="135" l="1"/>
  <c r="V6" i="135"/>
  <c r="X6" i="135" l="1"/>
  <c r="X38" i="135" s="1"/>
  <c r="V38" i="135"/>
  <c r="J18" i="136" l="1"/>
  <c r="O18" i="136"/>
  <c r="J32" i="136"/>
  <c r="O32" i="136"/>
  <c r="J22" i="136"/>
  <c r="O22" i="136"/>
  <c r="AA22" i="136"/>
  <c r="O11" i="136"/>
  <c r="AB22" i="136"/>
  <c r="AB14" i="136"/>
  <c r="AA15" i="136"/>
  <c r="O14" i="136"/>
  <c r="J11" i="136"/>
  <c r="O24" i="136"/>
  <c r="J14" i="136"/>
  <c r="O19" i="136"/>
  <c r="O30" i="136"/>
  <c r="AB15" i="136"/>
  <c r="AA18" i="136"/>
  <c r="AB18" i="136"/>
  <c r="AB11" i="136"/>
  <c r="J15" i="136"/>
  <c r="J24" i="136"/>
  <c r="AA11" i="136"/>
  <c r="AB24" i="136"/>
  <c r="AB25" i="136"/>
  <c r="J25" i="136"/>
  <c r="O25" i="136"/>
  <c r="AA25" i="136"/>
  <c r="AB30" i="136"/>
  <c r="AA32" i="136"/>
  <c r="J35" i="136"/>
  <c r="O15" i="136"/>
  <c r="O12" i="136"/>
  <c r="O36" i="136"/>
  <c r="AB12" i="136"/>
  <c r="J30" i="136"/>
  <c r="J19" i="136"/>
  <c r="AB32" i="136"/>
  <c r="AA35" i="136"/>
  <c r="O35" i="136"/>
  <c r="J12" i="136"/>
  <c r="AA19" i="136"/>
  <c r="J36" i="136"/>
  <c r="AA12" i="136"/>
  <c r="AA30" i="136"/>
  <c r="AA24" i="136"/>
  <c r="AB36" i="136"/>
  <c r="AA36" i="136"/>
  <c r="AA23" i="136"/>
  <c r="J23" i="136"/>
  <c r="AB23" i="136"/>
  <c r="O23" i="136"/>
  <c r="AB17" i="136"/>
  <c r="J17" i="136"/>
  <c r="AA17" i="136"/>
  <c r="O17" i="136"/>
  <c r="J26" i="136"/>
  <c r="AB26" i="136"/>
  <c r="AA26" i="136"/>
  <c r="O26" i="136"/>
  <c r="J20" i="136"/>
  <c r="AB20" i="136"/>
  <c r="AA20" i="136"/>
  <c r="O20" i="136"/>
  <c r="AB19" i="136"/>
  <c r="AB10" i="136"/>
  <c r="O10" i="136"/>
  <c r="J10" i="136"/>
  <c r="AA10" i="136"/>
  <c r="AB35" i="136"/>
  <c r="AB21" i="136"/>
  <c r="J21" i="136"/>
  <c r="AA21" i="136"/>
  <c r="O21" i="136"/>
  <c r="AA31" i="136"/>
  <c r="J31" i="136"/>
  <c r="AB31" i="136"/>
  <c r="O31" i="136"/>
  <c r="AA14" i="136"/>
  <c r="O9" i="136"/>
  <c r="AA9" i="136"/>
  <c r="J9" i="136"/>
  <c r="AB9" i="136"/>
  <c r="J8" i="136"/>
  <c r="AB8" i="136"/>
  <c r="AA8" i="136"/>
  <c r="O8" i="136"/>
  <c r="AA28" i="136"/>
  <c r="J28" i="136"/>
  <c r="AB28" i="136"/>
  <c r="O28" i="136"/>
  <c r="AB13" i="136"/>
  <c r="J13" i="136"/>
  <c r="O13" i="136"/>
  <c r="AA13" i="136"/>
  <c r="J16" i="136"/>
  <c r="AB16" i="136"/>
  <c r="O16" i="136"/>
  <c r="AA16" i="136"/>
  <c r="AB39" i="136" l="1"/>
  <c r="O39" i="136"/>
  <c r="AA39" i="136"/>
  <c r="J39" i="136"/>
  <c r="L31" i="136"/>
  <c r="M31" i="136"/>
  <c r="N31" i="136"/>
  <c r="L17" i="136"/>
  <c r="N17" i="136"/>
  <c r="M17" i="136"/>
  <c r="L23" i="136"/>
  <c r="N23" i="136"/>
  <c r="M23" i="136"/>
  <c r="L12" i="136"/>
  <c r="N12" i="136"/>
  <c r="M12" i="136"/>
  <c r="L19" i="136"/>
  <c r="M19" i="136"/>
  <c r="N19" i="136"/>
  <c r="M14" i="136"/>
  <c r="N14" i="136"/>
  <c r="L14" i="136"/>
  <c r="L9" i="136"/>
  <c r="M9" i="136"/>
  <c r="N9" i="136"/>
  <c r="M20" i="136"/>
  <c r="N20" i="136"/>
  <c r="L20" i="136"/>
  <c r="N30" i="136"/>
  <c r="L30" i="136"/>
  <c r="M30" i="136"/>
  <c r="N22" i="136"/>
  <c r="L22" i="136"/>
  <c r="M22" i="136"/>
  <c r="M16" i="136"/>
  <c r="N16" i="136"/>
  <c r="L16" i="136"/>
  <c r="M8" i="136"/>
  <c r="N8" i="136"/>
  <c r="L8" i="136"/>
  <c r="L21" i="136"/>
  <c r="M21" i="136"/>
  <c r="N21" i="136"/>
  <c r="L25" i="136"/>
  <c r="N25" i="136"/>
  <c r="M25" i="136"/>
  <c r="M15" i="136"/>
  <c r="N15" i="136"/>
  <c r="L15" i="136"/>
  <c r="L32" i="136"/>
  <c r="N32" i="136"/>
  <c r="M32" i="136"/>
  <c r="N18" i="136"/>
  <c r="M18" i="136"/>
  <c r="L18" i="136"/>
  <c r="L26" i="136"/>
  <c r="N26" i="136"/>
  <c r="M26" i="136"/>
  <c r="L11" i="136"/>
  <c r="N11" i="136"/>
  <c r="M11" i="136"/>
  <c r="M13" i="136"/>
  <c r="L13" i="136"/>
  <c r="N13" i="136"/>
  <c r="L28" i="136"/>
  <c r="M28" i="136"/>
  <c r="N28" i="136"/>
  <c r="L10" i="136"/>
  <c r="M10" i="136"/>
  <c r="N10" i="136"/>
  <c r="N36" i="136"/>
  <c r="M36" i="136"/>
  <c r="L36" i="136"/>
  <c r="L35" i="136"/>
  <c r="N35" i="136"/>
  <c r="M35" i="136"/>
  <c r="M24" i="136"/>
  <c r="N24" i="136"/>
  <c r="L24" i="136"/>
  <c r="L39" i="136" l="1"/>
  <c r="N39" i="136"/>
  <c r="M39" i="136"/>
  <c r="O22" i="127"/>
  <c r="O23" i="127"/>
  <c r="O30" i="127"/>
  <c r="O26" i="127"/>
  <c r="O10" i="127"/>
  <c r="O31" i="127"/>
  <c r="O25" i="127"/>
  <c r="O16" i="127"/>
  <c r="O36" i="127"/>
  <c r="O24" i="127"/>
  <c r="O19" i="127"/>
  <c r="O15" i="127"/>
  <c r="O12" i="127"/>
  <c r="O18" i="127"/>
  <c r="O11" i="127"/>
  <c r="O17" i="127"/>
  <c r="O14" i="127"/>
  <c r="O28" i="127"/>
  <c r="O21" i="127"/>
  <c r="O13" i="127"/>
  <c r="O32" i="127" l="1"/>
  <c r="O20" i="127" l="1"/>
  <c r="J36" i="127" l="1"/>
  <c r="AB31" i="127"/>
  <c r="AB30" i="127"/>
  <c r="AB28" i="127"/>
  <c r="AB26" i="127"/>
  <c r="AA26" i="127"/>
  <c r="AB25" i="127"/>
  <c r="AA25" i="127"/>
  <c r="J25" i="127"/>
  <c r="AB24" i="127"/>
  <c r="AB23" i="127"/>
  <c r="AB22" i="127"/>
  <c r="AB21" i="127"/>
  <c r="AB20" i="127"/>
  <c r="AB19" i="127"/>
  <c r="AB17" i="127"/>
  <c r="AA17" i="127"/>
  <c r="J17" i="127"/>
  <c r="AB16" i="127"/>
  <c r="AB15" i="127"/>
  <c r="AB14" i="127"/>
  <c r="AB13" i="127"/>
  <c r="AB12" i="127"/>
  <c r="AB10" i="127"/>
  <c r="AA10" i="127"/>
  <c r="J10" i="127"/>
  <c r="M17" i="127" l="1"/>
  <c r="N17" i="127"/>
  <c r="L17" i="127"/>
  <c r="L25" i="127"/>
  <c r="N25" i="127"/>
  <c r="M25" i="127"/>
  <c r="M10" i="127"/>
  <c r="L10" i="127"/>
  <c r="N10" i="127"/>
  <c r="M36" i="127"/>
  <c r="N36" i="127"/>
  <c r="L36" i="127"/>
  <c r="AB18" i="127"/>
  <c r="J11" i="127"/>
  <c r="AB11" i="127"/>
  <c r="AA11" i="127"/>
  <c r="AA36" i="127"/>
  <c r="J12" i="127"/>
  <c r="AA12" i="127"/>
  <c r="J13" i="127"/>
  <c r="AA13" i="127"/>
  <c r="J14" i="127"/>
  <c r="AA14" i="127"/>
  <c r="J15" i="127"/>
  <c r="AA15" i="127"/>
  <c r="J16" i="127"/>
  <c r="AA16" i="127"/>
  <c r="J28" i="127"/>
  <c r="AA28" i="127"/>
  <c r="J30" i="127"/>
  <c r="AA30" i="127"/>
  <c r="AB36" i="127"/>
  <c r="J26" i="127"/>
  <c r="J18" i="127"/>
  <c r="AA18" i="127"/>
  <c r="J19" i="127"/>
  <c r="AA19" i="127"/>
  <c r="J20" i="127"/>
  <c r="AA20" i="127"/>
  <c r="J21" i="127"/>
  <c r="AA21" i="127"/>
  <c r="J22" i="127"/>
  <c r="AA22" i="127"/>
  <c r="J23" i="127"/>
  <c r="AA23" i="127"/>
  <c r="J24" i="127"/>
  <c r="AA24" i="127"/>
  <c r="J31" i="127"/>
  <c r="AA31" i="127"/>
  <c r="J32" i="127"/>
  <c r="AB32" i="127"/>
  <c r="AA32" i="127"/>
  <c r="K25" i="127" l="1"/>
  <c r="F25" i="127" s="1"/>
  <c r="H25" i="127" s="1"/>
  <c r="K17" i="127"/>
  <c r="F17" i="127" s="1"/>
  <c r="H17" i="127" s="1"/>
  <c r="K10" i="127"/>
  <c r="F10" i="127" s="1"/>
  <c r="H10" i="127" s="1"/>
  <c r="K36" i="127"/>
  <c r="F36" i="127" s="1"/>
  <c r="H36" i="127" s="1"/>
  <c r="N26" i="127"/>
  <c r="L26" i="127"/>
  <c r="M26" i="127"/>
  <c r="L30" i="127"/>
  <c r="N30" i="127"/>
  <c r="M30" i="127"/>
  <c r="N24" i="127"/>
  <c r="L24" i="127"/>
  <c r="M24" i="127"/>
  <c r="M18" i="127"/>
  <c r="L18" i="127"/>
  <c r="N18" i="127"/>
  <c r="N12" i="127"/>
  <c r="M12" i="127"/>
  <c r="L12" i="127"/>
  <c r="N31" i="127"/>
  <c r="L31" i="127"/>
  <c r="M31" i="127"/>
  <c r="N15" i="127"/>
  <c r="M15" i="127"/>
  <c r="L15" i="127"/>
  <c r="M13" i="127"/>
  <c r="L13" i="127"/>
  <c r="N13" i="127"/>
  <c r="M11" i="127"/>
  <c r="L11" i="127"/>
  <c r="N11" i="127"/>
  <c r="M22" i="127"/>
  <c r="L22" i="127"/>
  <c r="N22" i="127"/>
  <c r="M20" i="127"/>
  <c r="L20" i="127"/>
  <c r="N20" i="127"/>
  <c r="N16" i="127"/>
  <c r="L16" i="127"/>
  <c r="M16" i="127"/>
  <c r="M14" i="127"/>
  <c r="N14" i="127"/>
  <c r="L14" i="127"/>
  <c r="L32" i="127"/>
  <c r="N32" i="127"/>
  <c r="M32" i="127"/>
  <c r="M23" i="127"/>
  <c r="N23" i="127"/>
  <c r="L23" i="127"/>
  <c r="M21" i="127"/>
  <c r="L21" i="127"/>
  <c r="N21" i="127"/>
  <c r="N19" i="127"/>
  <c r="M19" i="127"/>
  <c r="L19" i="127"/>
  <c r="M28" i="127"/>
  <c r="L28" i="127"/>
  <c r="N28" i="127"/>
  <c r="O9" i="127"/>
  <c r="J9" i="127"/>
  <c r="AB9" i="127"/>
  <c r="AA9" i="127"/>
  <c r="K30" i="127" l="1"/>
  <c r="F30" i="127" s="1"/>
  <c r="H30" i="127" s="1"/>
  <c r="K24" i="127"/>
  <c r="F24" i="127" s="1"/>
  <c r="H24" i="127" s="1"/>
  <c r="K18" i="127"/>
  <c r="F18" i="127" s="1"/>
  <c r="H18" i="127" s="1"/>
  <c r="K26" i="127"/>
  <c r="F26" i="127" s="1"/>
  <c r="H26" i="127" s="1"/>
  <c r="K32" i="127"/>
  <c r="F32" i="127" s="1"/>
  <c r="H32" i="127" s="1"/>
  <c r="K31" i="127"/>
  <c r="F31" i="127" s="1"/>
  <c r="H31" i="127" s="1"/>
  <c r="K28" i="127"/>
  <c r="F28" i="127" s="1"/>
  <c r="H28" i="127" s="1"/>
  <c r="K20" i="127"/>
  <c r="F20" i="127" s="1"/>
  <c r="H20" i="127" s="1"/>
  <c r="K14" i="127"/>
  <c r="F14" i="127" s="1"/>
  <c r="H14" i="127" s="1"/>
  <c r="K12" i="127"/>
  <c r="F12" i="127" s="1"/>
  <c r="H12" i="127" s="1"/>
  <c r="K23" i="127"/>
  <c r="F23" i="127" s="1"/>
  <c r="H23" i="127" s="1"/>
  <c r="K21" i="127"/>
  <c r="F21" i="127" s="1"/>
  <c r="H21" i="127" s="1"/>
  <c r="K19" i="127"/>
  <c r="F19" i="127" s="1"/>
  <c r="H19" i="127" s="1"/>
  <c r="K16" i="127"/>
  <c r="F16" i="127" s="1"/>
  <c r="H16" i="127" s="1"/>
  <c r="K15" i="127"/>
  <c r="F15" i="127" s="1"/>
  <c r="H15" i="127" s="1"/>
  <c r="K13" i="127"/>
  <c r="F13" i="127" s="1"/>
  <c r="H13" i="127" s="1"/>
  <c r="K11" i="127"/>
  <c r="F11" i="127" s="1"/>
  <c r="H11" i="127" s="1"/>
  <c r="M9" i="127"/>
  <c r="L9" i="127"/>
  <c r="N9" i="127"/>
  <c r="K22" i="127"/>
  <c r="F22" i="127" s="1"/>
  <c r="H22" i="127" s="1"/>
  <c r="K9" i="127" l="1"/>
  <c r="F9" i="127" s="1"/>
  <c r="H9" i="127" s="1"/>
  <c r="O8" i="127"/>
  <c r="O40" i="127" s="1"/>
  <c r="AA8" i="127"/>
  <c r="AA40" i="127" s="1"/>
  <c r="AB8" i="127"/>
  <c r="AB40" i="127" s="1"/>
  <c r="J8" i="127"/>
  <c r="M8" i="127" l="1"/>
  <c r="M40" i="127" s="1"/>
  <c r="N8" i="127"/>
  <c r="N40" i="127" s="1"/>
  <c r="L8" i="127"/>
  <c r="J40" i="127"/>
  <c r="K8" i="127" l="1"/>
  <c r="L40" i="127"/>
  <c r="F8" i="127" l="1"/>
  <c r="K40" i="127"/>
  <c r="F40" i="127" l="1"/>
  <c r="H8" i="127"/>
  <c r="AB35" i="127" l="1"/>
  <c r="O35" i="127"/>
  <c r="J35" i="127"/>
  <c r="AA35" i="127"/>
  <c r="M35" i="127" l="1"/>
  <c r="N35" i="127"/>
  <c r="L35" i="127"/>
  <c r="K35" i="127" l="1"/>
  <c r="F35" i="127" s="1"/>
  <c r="H35" i="127" s="1"/>
  <c r="H40" i="127" s="1"/>
  <c r="G12" i="127" s="1"/>
  <c r="G18" i="127" l="1"/>
  <c r="G19" i="127"/>
  <c r="G20" i="127"/>
  <c r="G9" i="127"/>
  <c r="G6" i="127"/>
  <c r="G40" i="127" s="1"/>
  <c r="G13" i="127"/>
  <c r="G24" i="127"/>
  <c r="G22" i="127"/>
  <c r="G15" i="127"/>
  <c r="G30" i="127"/>
  <c r="G31" i="127"/>
  <c r="G8" i="127"/>
  <c r="G16" i="127"/>
  <c r="G26" i="127"/>
  <c r="G27" i="127"/>
  <c r="G10" i="127"/>
  <c r="G29" i="127"/>
  <c r="G36" i="127"/>
  <c r="G28" i="127"/>
  <c r="G35" i="127"/>
  <c r="G25" i="127"/>
  <c r="G7" i="127"/>
  <c r="G33" i="127"/>
  <c r="G21" i="127"/>
  <c r="G11" i="127"/>
  <c r="G23" i="127"/>
  <c r="G14" i="127"/>
  <c r="G17" i="127"/>
  <c r="G34" i="127"/>
  <c r="G32" i="127"/>
  <c r="H39" i="136" l="1"/>
  <c r="H43" i="136" l="1"/>
  <c r="G39" i="136" l="1"/>
  <c r="M33" i="147" l="1"/>
  <c r="O33" i="147"/>
  <c r="N33" i="147"/>
  <c r="M17" i="147"/>
  <c r="O17" i="147"/>
  <c r="N17" i="147"/>
  <c r="O32" i="147"/>
  <c r="N32" i="147"/>
  <c r="M32" i="147"/>
  <c r="M26" i="147"/>
  <c r="O26" i="147"/>
  <c r="N26" i="147"/>
  <c r="N12" i="147"/>
  <c r="M12" i="147"/>
  <c r="O12" i="147"/>
  <c r="M36" i="147"/>
  <c r="N36" i="147"/>
  <c r="O36" i="147"/>
  <c r="O8" i="147"/>
  <c r="M8" i="147"/>
  <c r="N8" i="147"/>
  <c r="O14" i="147"/>
  <c r="M14" i="147"/>
  <c r="N14" i="147"/>
  <c r="O28" i="147"/>
  <c r="M28" i="147"/>
  <c r="N28" i="147"/>
  <c r="O7" i="147"/>
  <c r="M7" i="147"/>
  <c r="N7" i="147"/>
  <c r="M35" i="147"/>
  <c r="N35" i="147"/>
  <c r="O35" i="147"/>
  <c r="O21" i="147"/>
  <c r="M21" i="147"/>
  <c r="N21" i="147"/>
  <c r="M15" i="147"/>
  <c r="N15" i="147"/>
  <c r="O15" i="147"/>
  <c r="O16" i="147"/>
  <c r="N16" i="147"/>
  <c r="M16" i="147"/>
  <c r="O10" i="147"/>
  <c r="N10" i="147"/>
  <c r="M10" i="147"/>
  <c r="M22" i="147"/>
  <c r="O22" i="147"/>
  <c r="N22" i="147"/>
  <c r="N11" i="147"/>
  <c r="M11" i="147"/>
  <c r="O11" i="147"/>
  <c r="M24" i="147"/>
  <c r="O24" i="147"/>
  <c r="N24" i="147"/>
  <c r="M18" i="147"/>
  <c r="O18" i="147"/>
  <c r="N18" i="147"/>
  <c r="M30" i="147"/>
  <c r="O30" i="147"/>
  <c r="N30" i="147"/>
  <c r="M31" i="147"/>
  <c r="N31" i="147"/>
  <c r="O31" i="147"/>
  <c r="O29" i="147"/>
  <c r="N29" i="147"/>
  <c r="M29" i="147"/>
  <c r="N23" i="147"/>
  <c r="M23" i="147"/>
  <c r="O23" i="147"/>
  <c r="O13" i="147"/>
  <c r="N13" i="147"/>
  <c r="M13" i="147"/>
  <c r="O27" i="147"/>
  <c r="N27" i="147"/>
  <c r="M27" i="147"/>
  <c r="L28" i="147" l="1"/>
  <c r="L11" i="147"/>
  <c r="L8" i="147"/>
  <c r="L31" i="147"/>
  <c r="L18" i="147"/>
  <c r="L14" i="147"/>
  <c r="L10" i="147"/>
  <c r="L27" i="147"/>
  <c r="L24" i="147"/>
  <c r="L7" i="147"/>
  <c r="L29" i="147"/>
  <c r="L17" i="147"/>
  <c r="L26" i="147"/>
  <c r="L32" i="147"/>
  <c r="L13" i="147"/>
  <c r="L22" i="147"/>
  <c r="L21" i="147"/>
  <c r="L35" i="147"/>
  <c r="L12" i="147"/>
  <c r="L23" i="147"/>
  <c r="L36" i="147"/>
  <c r="AC41" i="147"/>
  <c r="L30" i="147"/>
  <c r="L16" i="147"/>
  <c r="L15" i="147"/>
  <c r="P41" i="147"/>
  <c r="M25" i="147"/>
  <c r="N25" i="147"/>
  <c r="O25" i="147"/>
  <c r="M9" i="147"/>
  <c r="O9" i="147"/>
  <c r="N9" i="147"/>
  <c r="K41" i="147"/>
  <c r="AB41" i="147"/>
  <c r="L25" i="147" l="1"/>
  <c r="L9" i="147"/>
  <c r="M41" i="147"/>
  <c r="O41" i="147"/>
  <c r="N41" i="147"/>
  <c r="L41" i="147" l="1"/>
  <c r="AG6" i="150" l="1"/>
  <c r="AG41" i="150" l="1"/>
  <c r="AG6" i="158" l="1"/>
  <c r="AG41" i="158" s="1"/>
  <c r="AI6" i="158" l="1"/>
  <c r="AI41" i="158" l="1"/>
  <c r="T16" i="160" l="1"/>
  <c r="T41" i="160" l="1"/>
  <c r="AF6" i="160" l="1"/>
  <c r="AF41" i="160" l="1"/>
  <c r="T7" i="161" l="1"/>
  <c r="T8" i="161"/>
  <c r="T9" i="161"/>
  <c r="T10" i="161"/>
  <c r="T11" i="161"/>
  <c r="T12" i="161"/>
  <c r="T13" i="161"/>
  <c r="T14" i="161"/>
  <c r="T15" i="161"/>
  <c r="T16" i="161"/>
  <c r="T17" i="161"/>
  <c r="T18" i="161"/>
  <c r="T20" i="161"/>
  <c r="T21" i="161"/>
  <c r="T22" i="161"/>
  <c r="T23" i="161"/>
  <c r="T24" i="161"/>
  <c r="T25" i="161"/>
  <c r="T26" i="161"/>
  <c r="T27" i="161"/>
  <c r="T28" i="161"/>
  <c r="T29" i="161"/>
  <c r="T30" i="161"/>
  <c r="T31" i="161"/>
  <c r="T32" i="161"/>
  <c r="T33" i="161"/>
  <c r="T34" i="161"/>
  <c r="T35" i="161"/>
  <c r="T36" i="161"/>
  <c r="T37" i="161"/>
  <c r="T38" i="161"/>
  <c r="T39" i="161"/>
  <c r="T6" i="161" l="1"/>
  <c r="AG6" i="161" l="1"/>
  <c r="AH6" i="161"/>
  <c r="AI6" i="161"/>
  <c r="AF6" i="161"/>
  <c r="AL6" i="161"/>
  <c r="T41" i="161"/>
  <c r="AL41" i="161" l="1"/>
  <c r="AH41" i="161"/>
  <c r="AH7" i="164"/>
  <c r="AF41" i="161"/>
  <c r="AI41" i="161"/>
  <c r="AI7" i="164"/>
  <c r="AG41" i="161"/>
  <c r="AG7" i="164"/>
  <c r="O6" i="165" l="1"/>
  <c r="O41" i="165" s="1"/>
  <c r="AG42" i="164"/>
  <c r="P6" i="165"/>
  <c r="P41" i="165" s="1"/>
  <c r="AH42" i="164"/>
  <c r="Q6" i="165"/>
  <c r="Q41" i="165" s="1"/>
  <c r="AI42" i="164"/>
  <c r="C35" i="147" l="1"/>
  <c r="C37" i="147"/>
  <c r="C39" i="147"/>
  <c r="C40" i="164" l="1"/>
  <c r="F39" i="147"/>
  <c r="G39" i="147"/>
  <c r="F37" i="147"/>
  <c r="C38" i="164"/>
  <c r="G37" i="147"/>
  <c r="F36" i="147"/>
  <c r="G36" i="147"/>
  <c r="C36" i="164"/>
  <c r="F35" i="147"/>
  <c r="G35" i="147"/>
  <c r="C8" i="147"/>
  <c r="C9" i="147"/>
  <c r="C10" i="147"/>
  <c r="C11" i="147"/>
  <c r="C12" i="147"/>
  <c r="C13" i="147"/>
  <c r="C14" i="147"/>
  <c r="C15" i="147"/>
  <c r="C16" i="147"/>
  <c r="C17" i="147"/>
  <c r="C18" i="147"/>
  <c r="C21" i="147"/>
  <c r="C22" i="147"/>
  <c r="C23" i="147"/>
  <c r="C24" i="147"/>
  <c r="C25" i="147"/>
  <c r="C26" i="147"/>
  <c r="C27" i="147"/>
  <c r="C29" i="147"/>
  <c r="C30" i="147"/>
  <c r="C31" i="147"/>
  <c r="C32" i="147"/>
  <c r="C33" i="147"/>
  <c r="C37" i="165" l="1"/>
  <c r="C35" i="165"/>
  <c r="C36" i="165"/>
  <c r="C39" i="165"/>
  <c r="G19" i="147"/>
  <c r="F19" i="147"/>
  <c r="F11" i="147"/>
  <c r="C12" i="164"/>
  <c r="G11" i="147"/>
  <c r="F27" i="147"/>
  <c r="C28" i="164"/>
  <c r="G27" i="147"/>
  <c r="F18" i="147"/>
  <c r="G18" i="147"/>
  <c r="C19" i="164"/>
  <c r="C11" i="164"/>
  <c r="F10" i="147"/>
  <c r="G10" i="147"/>
  <c r="F28" i="147"/>
  <c r="G28" i="147"/>
  <c r="F33" i="147"/>
  <c r="G33" i="147"/>
  <c r="C34" i="164"/>
  <c r="F25" i="147"/>
  <c r="G25" i="147"/>
  <c r="C26" i="164"/>
  <c r="C17" i="164"/>
  <c r="F16" i="147"/>
  <c r="G16" i="147"/>
  <c r="G8" i="147"/>
  <c r="F8" i="147"/>
  <c r="C9" i="164"/>
  <c r="C33" i="164"/>
  <c r="G32" i="147"/>
  <c r="F32" i="147"/>
  <c r="C25" i="164"/>
  <c r="G24" i="147"/>
  <c r="F24" i="147"/>
  <c r="F15" i="147"/>
  <c r="G15" i="147"/>
  <c r="C16" i="164"/>
  <c r="F7" i="147"/>
  <c r="C41" i="147"/>
  <c r="G31" i="147"/>
  <c r="C32" i="164"/>
  <c r="F31" i="147"/>
  <c r="G23" i="147"/>
  <c r="F23" i="147"/>
  <c r="C24" i="164"/>
  <c r="G14" i="147"/>
  <c r="F14" i="147"/>
  <c r="C15" i="164"/>
  <c r="F26" i="147"/>
  <c r="G26" i="147"/>
  <c r="C27" i="164"/>
  <c r="F9" i="147"/>
  <c r="C10" i="164"/>
  <c r="G9" i="147"/>
  <c r="F30" i="147"/>
  <c r="G30" i="147"/>
  <c r="C31" i="164"/>
  <c r="F22" i="147"/>
  <c r="G22" i="147"/>
  <c r="C23" i="164"/>
  <c r="F13" i="147"/>
  <c r="C14" i="164"/>
  <c r="G13" i="147"/>
  <c r="G17" i="147"/>
  <c r="C18" i="164"/>
  <c r="F17" i="147"/>
  <c r="C30" i="164"/>
  <c r="G29" i="147"/>
  <c r="F29" i="147"/>
  <c r="C22" i="164"/>
  <c r="F21" i="147"/>
  <c r="G21" i="147"/>
  <c r="G12" i="147"/>
  <c r="C13" i="164"/>
  <c r="F12" i="147"/>
  <c r="C22" i="165" l="1"/>
  <c r="C15" i="165"/>
  <c r="C32" i="165"/>
  <c r="C9" i="165"/>
  <c r="C25" i="165"/>
  <c r="C27" i="165"/>
  <c r="C29" i="165"/>
  <c r="C26" i="165"/>
  <c r="C8" i="165"/>
  <c r="C12" i="165"/>
  <c r="C33" i="165"/>
  <c r="C10" i="165"/>
  <c r="C11" i="165"/>
  <c r="C23" i="165"/>
  <c r="C17" i="165"/>
  <c r="C30" i="165"/>
  <c r="C31" i="165"/>
  <c r="C18" i="165"/>
  <c r="C14" i="165"/>
  <c r="C24" i="165"/>
  <c r="C28" i="165"/>
  <c r="C21" i="165"/>
  <c r="C13" i="165"/>
  <c r="C16" i="165"/>
  <c r="C19" i="165"/>
  <c r="C7" i="165"/>
  <c r="C42" i="164"/>
  <c r="F41" i="147"/>
  <c r="G7" i="147"/>
  <c r="G41" i="147" s="1"/>
  <c r="C41" i="165" l="1"/>
  <c r="H30" i="147"/>
  <c r="H23" i="147"/>
  <c r="H10" i="147"/>
  <c r="H17" i="147"/>
  <c r="H34" i="147"/>
  <c r="H32" i="147"/>
  <c r="H6" i="147"/>
  <c r="H27" i="147"/>
  <c r="H7" i="147"/>
  <c r="H28" i="147"/>
  <c r="H26" i="147"/>
  <c r="H19" i="147"/>
  <c r="H8" i="147"/>
  <c r="H35" i="147"/>
  <c r="H15" i="147"/>
  <c r="H33" i="147"/>
  <c r="H36" i="147"/>
  <c r="H22" i="147"/>
  <c r="H31" i="147"/>
  <c r="H18" i="147"/>
  <c r="H24" i="147"/>
  <c r="H29" i="147"/>
  <c r="H13" i="147"/>
  <c r="H11" i="147"/>
  <c r="H25" i="147"/>
  <c r="H20" i="147"/>
  <c r="H39" i="147"/>
  <c r="H38" i="147"/>
  <c r="H21" i="147"/>
  <c r="H12" i="147"/>
  <c r="H16" i="147"/>
  <c r="H14" i="147"/>
  <c r="H37" i="147"/>
  <c r="H9" i="147"/>
  <c r="I11" i="147" l="1"/>
  <c r="I16" i="147"/>
  <c r="I35" i="147"/>
  <c r="I32" i="147"/>
  <c r="I21" i="147"/>
  <c r="I24" i="147"/>
  <c r="I8" i="147"/>
  <c r="I34" i="147"/>
  <c r="I6" i="147"/>
  <c r="H41" i="147"/>
  <c r="I19" i="147"/>
  <c r="I17" i="147"/>
  <c r="I27" i="147"/>
  <c r="I29" i="147"/>
  <c r="I39" i="147"/>
  <c r="I31" i="147"/>
  <c r="I26" i="147"/>
  <c r="I10" i="147"/>
  <c r="I33" i="147"/>
  <c r="I13" i="147"/>
  <c r="I12" i="147"/>
  <c r="I18" i="147"/>
  <c r="I9" i="147"/>
  <c r="I20" i="147"/>
  <c r="I22" i="147"/>
  <c r="I28" i="147"/>
  <c r="I23" i="147"/>
  <c r="I14" i="147"/>
  <c r="I15" i="147"/>
  <c r="I38" i="147"/>
  <c r="I37" i="147"/>
  <c r="I25" i="147"/>
  <c r="I36" i="147"/>
  <c r="I7" i="147"/>
  <c r="I30" i="147"/>
  <c r="G20" i="150" l="1"/>
  <c r="G30" i="150"/>
  <c r="G35" i="150"/>
  <c r="G34" i="150"/>
  <c r="F19" i="150"/>
  <c r="G19" i="150"/>
  <c r="G7" i="150"/>
  <c r="G28" i="150"/>
  <c r="G38" i="150"/>
  <c r="F6" i="150"/>
  <c r="I41" i="147"/>
  <c r="G6" i="150"/>
  <c r="P6" i="163" l="1"/>
  <c r="P14" i="163" l="1"/>
  <c r="P34" i="163"/>
  <c r="P28" i="163"/>
  <c r="P29" i="163"/>
  <c r="P16" i="163"/>
  <c r="P18" i="163"/>
  <c r="P39" i="163"/>
  <c r="P26" i="163"/>
  <c r="P30" i="163"/>
  <c r="P32" i="163"/>
  <c r="P36" i="163"/>
  <c r="P13" i="163"/>
  <c r="P23" i="163"/>
  <c r="P17" i="163"/>
  <c r="P33" i="163"/>
  <c r="P35" i="163" l="1"/>
  <c r="P31" i="163"/>
  <c r="P25" i="163"/>
  <c r="P21" i="163"/>
  <c r="P20" i="163"/>
  <c r="P24" i="163"/>
  <c r="P12" i="163"/>
  <c r="P9" i="163"/>
  <c r="P8" i="163"/>
  <c r="P7" i="163" l="1"/>
  <c r="P38" i="163"/>
  <c r="P37" i="163"/>
  <c r="P22" i="163"/>
  <c r="P15" i="163"/>
  <c r="P10" i="163"/>
  <c r="P11" i="163"/>
  <c r="P27" i="163"/>
  <c r="P41" i="163" l="1"/>
  <c r="T28" i="163" l="1"/>
  <c r="T22" i="163"/>
  <c r="T7" i="163"/>
  <c r="T8" i="164" l="1"/>
  <c r="AM8" i="164" s="1"/>
  <c r="L7" i="165" s="1"/>
  <c r="M7" i="165" s="1"/>
  <c r="T23" i="164"/>
  <c r="AM23" i="164" s="1"/>
  <c r="L22" i="165" s="1"/>
  <c r="M22" i="165" s="1"/>
  <c r="T29" i="164"/>
  <c r="AM29" i="164" s="1"/>
  <c r="L28" i="165" s="1"/>
  <c r="M28" i="165" s="1"/>
  <c r="T15" i="164" l="1"/>
  <c r="AM15" i="164" s="1"/>
  <c r="T33" i="164"/>
  <c r="AM33" i="164" s="1"/>
  <c r="T24" i="164"/>
  <c r="AM24" i="164" s="1"/>
  <c r="L23" i="165" s="1"/>
  <c r="M23" i="165" s="1"/>
  <c r="T14" i="164"/>
  <c r="AM14" i="164" s="1"/>
  <c r="L13" i="165" s="1"/>
  <c r="M13" i="165" s="1"/>
  <c r="T40" i="164"/>
  <c r="AM40" i="164" s="1"/>
  <c r="L39" i="165" s="1"/>
  <c r="M39" i="165" s="1"/>
  <c r="T32" i="164"/>
  <c r="AM32" i="164" s="1"/>
  <c r="L31" i="165" s="1"/>
  <c r="M31" i="165" s="1"/>
  <c r="T22" i="164"/>
  <c r="AM22" i="164" s="1"/>
  <c r="L21" i="165" s="1"/>
  <c r="M21" i="165" s="1"/>
  <c r="T13" i="164"/>
  <c r="AM13" i="164" s="1"/>
  <c r="L12" i="165" s="1"/>
  <c r="M12" i="165" s="1"/>
  <c r="T39" i="164"/>
  <c r="AM39" i="164" s="1"/>
  <c r="T31" i="164"/>
  <c r="AM31" i="164" s="1"/>
  <c r="T21" i="164"/>
  <c r="AM21" i="164" s="1"/>
  <c r="L20" i="165" s="1"/>
  <c r="M20" i="165" s="1"/>
  <c r="T12" i="164"/>
  <c r="AM12" i="164" s="1"/>
  <c r="T38" i="164"/>
  <c r="AM38" i="164" s="1"/>
  <c r="L37" i="165" s="1"/>
  <c r="M37" i="165" s="1"/>
  <c r="T30" i="164"/>
  <c r="AM30" i="164" s="1"/>
  <c r="L29" i="165" s="1"/>
  <c r="M29" i="165" s="1"/>
  <c r="T19" i="164"/>
  <c r="AM19" i="164" s="1"/>
  <c r="L18" i="165" s="1"/>
  <c r="M18" i="165" s="1"/>
  <c r="T11" i="164"/>
  <c r="AM11" i="164" s="1"/>
  <c r="L10" i="165" s="1"/>
  <c r="M10" i="165" s="1"/>
  <c r="T37" i="164"/>
  <c r="AM37" i="164" s="1"/>
  <c r="T28" i="164"/>
  <c r="AM28" i="164" s="1"/>
  <c r="L27" i="165" s="1"/>
  <c r="M27" i="165" s="1"/>
  <c r="T18" i="164"/>
  <c r="AM18" i="164" s="1"/>
  <c r="L17" i="165" s="1"/>
  <c r="M17" i="165" s="1"/>
  <c r="T10" i="164"/>
  <c r="AM10" i="164" s="1"/>
  <c r="T34" i="164"/>
  <c r="AM34" i="164" s="1"/>
  <c r="L33" i="165" s="1"/>
  <c r="M33" i="165" s="1"/>
  <c r="T36" i="164"/>
  <c r="AM36" i="164" s="1"/>
  <c r="L35" i="165" s="1"/>
  <c r="M35" i="165" s="1"/>
  <c r="T27" i="164"/>
  <c r="AM27" i="164" s="1"/>
  <c r="L26" i="165" s="1"/>
  <c r="M26" i="165" s="1"/>
  <c r="T17" i="164"/>
  <c r="AM17" i="164" s="1"/>
  <c r="L16" i="165" s="1"/>
  <c r="M16" i="165" s="1"/>
  <c r="T9" i="164"/>
  <c r="AM9" i="164" s="1"/>
  <c r="L8" i="165" s="1"/>
  <c r="M8" i="165" s="1"/>
  <c r="T25" i="164"/>
  <c r="AM25" i="164" s="1"/>
  <c r="L24" i="165" s="1"/>
  <c r="M24" i="165" s="1"/>
  <c r="T35" i="164"/>
  <c r="AM35" i="164" s="1"/>
  <c r="L34" i="165" s="1"/>
  <c r="M34" i="165" s="1"/>
  <c r="T26" i="164"/>
  <c r="AM26" i="164" s="1"/>
  <c r="L25" i="165" s="1"/>
  <c r="M25" i="165" s="1"/>
  <c r="T16" i="164"/>
  <c r="AM16" i="164" s="1"/>
  <c r="L15" i="165" s="1"/>
  <c r="M15" i="165" s="1"/>
  <c r="L14" i="165"/>
  <c r="M14" i="165" s="1"/>
  <c r="L32" i="165"/>
  <c r="M32" i="165" s="1"/>
  <c r="L38" i="165"/>
  <c r="M38" i="165" s="1"/>
  <c r="L30" i="165"/>
  <c r="M30" i="165" s="1"/>
  <c r="L11" i="165"/>
  <c r="M11" i="165" s="1"/>
  <c r="L36" i="165"/>
  <c r="M36" i="165" s="1"/>
  <c r="L9" i="165"/>
  <c r="M9" i="165" s="1"/>
  <c r="T6" i="163"/>
  <c r="AL41" i="163" l="1"/>
  <c r="AN7" i="164"/>
  <c r="T7" i="164"/>
  <c r="T41" i="163"/>
  <c r="AN42" i="164" l="1"/>
  <c r="R6" i="165"/>
  <c r="R41" i="165" s="1"/>
  <c r="AF41" i="163"/>
  <c r="AF7" i="164"/>
  <c r="AM7" i="164"/>
  <c r="T42" i="164"/>
  <c r="N6" i="165" l="1"/>
  <c r="N41" i="165" s="1"/>
  <c r="AF42" i="164"/>
  <c r="L6" i="165"/>
  <c r="AM42" i="164"/>
  <c r="M6" i="165" l="1"/>
  <c r="L41" i="165"/>
  <c r="AB7" i="157" l="1"/>
  <c r="AC7" i="157"/>
  <c r="K7" i="157"/>
  <c r="P7" i="157" l="1"/>
  <c r="O7" i="157"/>
  <c r="M7" i="157"/>
  <c r="N7" i="157"/>
  <c r="L7" i="157"/>
  <c r="AB26" i="161" l="1"/>
  <c r="K26" i="161"/>
  <c r="AC26" i="161"/>
  <c r="AC9" i="161"/>
  <c r="AB9" i="161"/>
  <c r="K9" i="161"/>
  <c r="K24" i="161"/>
  <c r="AC24" i="161"/>
  <c r="AB24" i="161"/>
  <c r="K11" i="161"/>
  <c r="AB11" i="161"/>
  <c r="AC11" i="161"/>
  <c r="K17" i="161"/>
  <c r="AB17" i="161"/>
  <c r="AC17" i="161"/>
  <c r="AC27" i="161"/>
  <c r="K27" i="161"/>
  <c r="AB27" i="161"/>
  <c r="AB33" i="161"/>
  <c r="K33" i="161"/>
  <c r="AC33" i="161"/>
  <c r="AC10" i="161"/>
  <c r="K10" i="161"/>
  <c r="AB10" i="161"/>
  <c r="K21" i="161"/>
  <c r="AB21" i="161"/>
  <c r="AC21" i="161"/>
  <c r="AB16" i="161"/>
  <c r="K16" i="161"/>
  <c r="AC16" i="161"/>
  <c r="AB32" i="161"/>
  <c r="AC32" i="161"/>
  <c r="K32" i="161"/>
  <c r="K31" i="161"/>
  <c r="AC31" i="161"/>
  <c r="AB31" i="161"/>
  <c r="AC18" i="161"/>
  <c r="K18" i="161"/>
  <c r="AB18" i="161"/>
  <c r="AB34" i="161"/>
  <c r="AC34" i="161"/>
  <c r="K34" i="161"/>
  <c r="AB12" i="161"/>
  <c r="AC12" i="161"/>
  <c r="K12" i="161"/>
  <c r="N18" i="161" l="1"/>
  <c r="O18" i="161"/>
  <c r="M18" i="161"/>
  <c r="L18" i="161" s="1"/>
  <c r="P33" i="161"/>
  <c r="N17" i="161"/>
  <c r="M17" i="161"/>
  <c r="O17" i="161"/>
  <c r="P24" i="161"/>
  <c r="O26" i="161"/>
  <c r="M26" i="161"/>
  <c r="L26" i="161" s="1"/>
  <c r="N26" i="161"/>
  <c r="P17" i="161"/>
  <c r="O24" i="161"/>
  <c r="N24" i="161"/>
  <c r="M24" i="161"/>
  <c r="P12" i="161"/>
  <c r="P18" i="161"/>
  <c r="P32" i="161"/>
  <c r="M34" i="161"/>
  <c r="N34" i="161"/>
  <c r="O34" i="161"/>
  <c r="L34" i="161" s="1"/>
  <c r="P16" i="161"/>
  <c r="N9" i="161"/>
  <c r="O9" i="161"/>
  <c r="M9" i="161"/>
  <c r="N21" i="161"/>
  <c r="M21" i="161"/>
  <c r="L21" i="161" s="1"/>
  <c r="O21" i="161"/>
  <c r="P10" i="161"/>
  <c r="O27" i="161"/>
  <c r="N27" i="161"/>
  <c r="M27" i="161"/>
  <c r="L27" i="161" s="1"/>
  <c r="P9" i="161"/>
  <c r="P34" i="161"/>
  <c r="P31" i="161"/>
  <c r="O16" i="161"/>
  <c r="M16" i="161"/>
  <c r="N16" i="161"/>
  <c r="M10" i="161"/>
  <c r="O10" i="161"/>
  <c r="N10" i="161"/>
  <c r="P11" i="161"/>
  <c r="M33" i="161"/>
  <c r="O33" i="161"/>
  <c r="N33" i="161"/>
  <c r="L33" i="161" s="1"/>
  <c r="O31" i="161"/>
  <c r="N31" i="161"/>
  <c r="M31" i="161"/>
  <c r="L31" i="161"/>
  <c r="P27" i="161"/>
  <c r="O11" i="161"/>
  <c r="N11" i="161"/>
  <c r="M11" i="161"/>
  <c r="L11" i="161" s="1"/>
  <c r="O12" i="161"/>
  <c r="M12" i="161"/>
  <c r="N12" i="161"/>
  <c r="O32" i="161"/>
  <c r="M32" i="161"/>
  <c r="N32" i="161"/>
  <c r="P21" i="161"/>
  <c r="P26" i="161"/>
  <c r="L12" i="161" l="1"/>
  <c r="L10" i="161"/>
  <c r="L17" i="161"/>
  <c r="L16" i="161"/>
  <c r="L24" i="161"/>
  <c r="L32" i="161"/>
  <c r="L9" i="161"/>
  <c r="AB26" i="159" l="1"/>
  <c r="K26" i="159"/>
  <c r="AC26" i="159"/>
  <c r="AB16" i="159"/>
  <c r="AC16" i="159"/>
  <c r="K16" i="159"/>
  <c r="P16" i="159" l="1"/>
  <c r="P26" i="159"/>
  <c r="N16" i="159"/>
  <c r="O16" i="159"/>
  <c r="L16" i="159" s="1"/>
  <c r="M16" i="159"/>
  <c r="M26" i="159"/>
  <c r="O26" i="159"/>
  <c r="N26" i="159"/>
  <c r="P7" i="158"/>
  <c r="K32" i="158"/>
  <c r="AB32" i="158"/>
  <c r="AC32" i="158"/>
  <c r="AC37" i="158"/>
  <c r="K37" i="158"/>
  <c r="AB37" i="158"/>
  <c r="AC24" i="158"/>
  <c r="AB24" i="158"/>
  <c r="K24" i="158"/>
  <c r="K23" i="158"/>
  <c r="AC23" i="158"/>
  <c r="AB23" i="158"/>
  <c r="AC9" i="158"/>
  <c r="K9" i="158"/>
  <c r="AB9" i="158"/>
  <c r="AB12" i="158"/>
  <c r="AC12" i="158"/>
  <c r="K12" i="158"/>
  <c r="AC6" i="158"/>
  <c r="P6" i="158"/>
  <c r="AB6" i="158"/>
  <c r="K20" i="158"/>
  <c r="AC20" i="158"/>
  <c r="AB20" i="158"/>
  <c r="AC11" i="158"/>
  <c r="K11" i="158"/>
  <c r="AB11" i="158"/>
  <c r="K15" i="158"/>
  <c r="AC15" i="158"/>
  <c r="AB15" i="158"/>
  <c r="AB33" i="158"/>
  <c r="K33" i="158"/>
  <c r="AC33" i="158"/>
  <c r="K34" i="158"/>
  <c r="AC34" i="158"/>
  <c r="AB34" i="158"/>
  <c r="AC21" i="158"/>
  <c r="AB21" i="158"/>
  <c r="K21" i="158"/>
  <c r="K25" i="158"/>
  <c r="AC25" i="158"/>
  <c r="AB25" i="158"/>
  <c r="AC16" i="158"/>
  <c r="AB16" i="158"/>
  <c r="K16" i="158"/>
  <c r="K36" i="158"/>
  <c r="AC36" i="158"/>
  <c r="AB36" i="158"/>
  <c r="K7" i="158"/>
  <c r="AC7" i="158"/>
  <c r="AB7" i="158"/>
  <c r="AB27" i="158"/>
  <c r="AC27" i="158"/>
  <c r="K27" i="158"/>
  <c r="AC29" i="158"/>
  <c r="K29" i="158"/>
  <c r="AB29" i="158"/>
  <c r="AC31" i="158"/>
  <c r="K31" i="158"/>
  <c r="AB31" i="158"/>
  <c r="AC14" i="158"/>
  <c r="AB14" i="158"/>
  <c r="K14" i="158"/>
  <c r="AC8" i="158"/>
  <c r="AB8" i="158"/>
  <c r="K8" i="158"/>
  <c r="AC26" i="158"/>
  <c r="AB26" i="158"/>
  <c r="K26" i="158"/>
  <c r="K13" i="158"/>
  <c r="AC13" i="158"/>
  <c r="AB13" i="158"/>
  <c r="K17" i="158"/>
  <c r="AB17" i="158"/>
  <c r="AC17" i="158"/>
  <c r="AB30" i="158"/>
  <c r="AC30" i="158"/>
  <c r="K30" i="158"/>
  <c r="AC10" i="158"/>
  <c r="K10" i="158"/>
  <c r="AB10" i="158"/>
  <c r="K35" i="158"/>
  <c r="AC35" i="158"/>
  <c r="AB35" i="158"/>
  <c r="AC28" i="158"/>
  <c r="K28" i="158"/>
  <c r="AB28" i="158"/>
  <c r="AB39" i="158"/>
  <c r="K39" i="158"/>
  <c r="AC39" i="158"/>
  <c r="AC22" i="158"/>
  <c r="K22" i="158"/>
  <c r="AB22" i="158"/>
  <c r="K38" i="158"/>
  <c r="AC38" i="158"/>
  <c r="AB38" i="158"/>
  <c r="L26" i="159" l="1"/>
  <c r="O34" i="158"/>
  <c r="M34" i="158"/>
  <c r="L34" i="158" s="1"/>
  <c r="N34" i="158"/>
  <c r="N35" i="158"/>
  <c r="M35" i="158"/>
  <c r="L35" i="158" s="1"/>
  <c r="O35" i="158"/>
  <c r="P27" i="158"/>
  <c r="P28" i="158"/>
  <c r="P30" i="158"/>
  <c r="P15" i="158"/>
  <c r="P20" i="158"/>
  <c r="N12" i="158"/>
  <c r="O12" i="158"/>
  <c r="M12" i="158"/>
  <c r="P23" i="158"/>
  <c r="N38" i="158"/>
  <c r="M38" i="158"/>
  <c r="L38" i="158" s="1"/>
  <c r="O38" i="158"/>
  <c r="P39" i="158"/>
  <c r="P37" i="158"/>
  <c r="M13" i="158"/>
  <c r="N13" i="158"/>
  <c r="O13" i="158"/>
  <c r="P8" i="158"/>
  <c r="N27" i="158"/>
  <c r="M27" i="158"/>
  <c r="O27" i="158"/>
  <c r="P22" i="158"/>
  <c r="P10" i="158"/>
  <c r="P17" i="158"/>
  <c r="N26" i="158"/>
  <c r="M26" i="158"/>
  <c r="L26" i="158" s="1"/>
  <c r="O26" i="158"/>
  <c r="O31" i="158"/>
  <c r="M31" i="158"/>
  <c r="N31" i="158"/>
  <c r="L31" i="158"/>
  <c r="M36" i="158"/>
  <c r="N36" i="158"/>
  <c r="O36" i="158"/>
  <c r="N25" i="158"/>
  <c r="L25" i="158" s="1"/>
  <c r="M25" i="158"/>
  <c r="O25" i="158"/>
  <c r="O37" i="158"/>
  <c r="N37" i="158"/>
  <c r="M37" i="158"/>
  <c r="M14" i="158"/>
  <c r="L14" i="158" s="1"/>
  <c r="N14" i="158"/>
  <c r="O14" i="158"/>
  <c r="O16" i="158"/>
  <c r="N16" i="158"/>
  <c r="L16" i="158" s="1"/>
  <c r="M16" i="158"/>
  <c r="P21" i="158"/>
  <c r="P34" i="158"/>
  <c r="O15" i="158"/>
  <c r="N15" i="158"/>
  <c r="M15" i="158"/>
  <c r="N20" i="158"/>
  <c r="O20" i="158"/>
  <c r="M20" i="158"/>
  <c r="L20" i="158" s="1"/>
  <c r="M24" i="158"/>
  <c r="L24" i="158" s="1"/>
  <c r="O24" i="158"/>
  <c r="N24" i="158"/>
  <c r="P32" i="158"/>
  <c r="N28" i="158"/>
  <c r="O28" i="158"/>
  <c r="M28" i="158"/>
  <c r="P35" i="158"/>
  <c r="N17" i="158"/>
  <c r="O17" i="158"/>
  <c r="L17" i="158" s="1"/>
  <c r="M17" i="158"/>
  <c r="O29" i="158"/>
  <c r="N29" i="158"/>
  <c r="M29" i="158"/>
  <c r="L29" i="158" s="1"/>
  <c r="P16" i="158"/>
  <c r="M21" i="158"/>
  <c r="O21" i="158"/>
  <c r="N21" i="158"/>
  <c r="O9" i="158"/>
  <c r="N9" i="158"/>
  <c r="M9" i="158"/>
  <c r="N22" i="158"/>
  <c r="M22" i="158"/>
  <c r="L22" i="158" s="1"/>
  <c r="O22" i="158"/>
  <c r="N10" i="158"/>
  <c r="O10" i="158"/>
  <c r="M10" i="158"/>
  <c r="P26" i="158"/>
  <c r="M39" i="158"/>
  <c r="N39" i="158"/>
  <c r="L39" i="158" s="1"/>
  <c r="O39" i="158"/>
  <c r="O30" i="158"/>
  <c r="N30" i="158"/>
  <c r="M30" i="158"/>
  <c r="L30" i="158" s="1"/>
  <c r="N8" i="158"/>
  <c r="O8" i="158"/>
  <c r="L8" i="158" s="1"/>
  <c r="M8" i="158"/>
  <c r="P14" i="158"/>
  <c r="P33" i="158"/>
  <c r="M11" i="158"/>
  <c r="O11" i="158"/>
  <c r="L11" i="158" s="1"/>
  <c r="N11" i="158"/>
  <c r="P38" i="158"/>
  <c r="P29" i="158"/>
  <c r="O7" i="158"/>
  <c r="N7" i="158"/>
  <c r="L7" i="158" s="1"/>
  <c r="M7" i="158"/>
  <c r="M33" i="158"/>
  <c r="L33" i="158" s="1"/>
  <c r="O33" i="158"/>
  <c r="N33" i="158"/>
  <c r="P9" i="158"/>
  <c r="P24" i="158"/>
  <c r="N32" i="158"/>
  <c r="O32" i="158"/>
  <c r="M32" i="158"/>
  <c r="P36" i="158"/>
  <c r="P25" i="158"/>
  <c r="M23" i="158"/>
  <c r="N23" i="158"/>
  <c r="O23" i="158"/>
  <c r="P13" i="158"/>
  <c r="P31" i="158"/>
  <c r="P11" i="158"/>
  <c r="P12" i="158"/>
  <c r="L10" i="158" l="1"/>
  <c r="L28" i="158"/>
  <c r="L13" i="158"/>
  <c r="L32" i="158"/>
  <c r="L27" i="158"/>
  <c r="L12" i="158"/>
  <c r="L23" i="158"/>
  <c r="L37" i="158"/>
  <c r="L36" i="158"/>
  <c r="L15" i="158"/>
  <c r="L9" i="158"/>
  <c r="L21" i="158"/>
  <c r="AC7" i="150" l="1"/>
  <c r="K7" i="150"/>
  <c r="AB7" i="150"/>
  <c r="AC7" i="153"/>
  <c r="K7" i="153"/>
  <c r="AB7" i="153"/>
  <c r="P7" i="150" l="1"/>
  <c r="P7" i="153"/>
  <c r="O7" i="153"/>
  <c r="N7" i="153"/>
  <c r="M7" i="153"/>
  <c r="N7" i="150"/>
  <c r="L7" i="150" s="1"/>
  <c r="M7" i="150"/>
  <c r="O7" i="150"/>
  <c r="AC32" i="157"/>
  <c r="AB32" i="157"/>
  <c r="K32" i="157"/>
  <c r="F7" i="150" l="1"/>
  <c r="O32" i="157"/>
  <c r="M32" i="157"/>
  <c r="L32" i="157" s="1"/>
  <c r="N32" i="157"/>
  <c r="P32" i="157"/>
  <c r="L7" i="153"/>
  <c r="AB11" i="157"/>
  <c r="K11" i="157"/>
  <c r="AC11" i="157"/>
  <c r="K31" i="157"/>
  <c r="AB31" i="157"/>
  <c r="AC31" i="157"/>
  <c r="K26" i="157"/>
  <c r="AC26" i="157"/>
  <c r="AB26" i="157"/>
  <c r="O11" i="157" l="1"/>
  <c r="N11" i="157"/>
  <c r="L11" i="157" s="1"/>
  <c r="M11" i="157"/>
  <c r="M26" i="157"/>
  <c r="O26" i="157"/>
  <c r="N26" i="157"/>
  <c r="L26" i="157"/>
  <c r="P26" i="157"/>
  <c r="P31" i="157"/>
  <c r="P11" i="157"/>
  <c r="M31" i="157"/>
  <c r="O31" i="157"/>
  <c r="N31" i="157"/>
  <c r="K11" i="156"/>
  <c r="AC11" i="156"/>
  <c r="AB11" i="156"/>
  <c r="AB12" i="157"/>
  <c r="K12" i="157"/>
  <c r="AC12" i="157"/>
  <c r="AB33" i="157"/>
  <c r="AC33" i="157"/>
  <c r="K33" i="157"/>
  <c r="K8" i="157"/>
  <c r="AB8" i="157"/>
  <c r="AC8" i="157"/>
  <c r="K34" i="157"/>
  <c r="AC34" i="157"/>
  <c r="AB34" i="157"/>
  <c r="K27" i="157"/>
  <c r="AB27" i="157"/>
  <c r="AC27" i="157"/>
  <c r="AB9" i="157"/>
  <c r="AC9" i="157"/>
  <c r="K9" i="157"/>
  <c r="AC25" i="157"/>
  <c r="K25" i="157"/>
  <c r="AB25" i="157"/>
  <c r="AB17" i="157"/>
  <c r="K17" i="157"/>
  <c r="AC17" i="157"/>
  <c r="AB21" i="157"/>
  <c r="AC21" i="157"/>
  <c r="K21" i="157"/>
  <c r="AB22" i="157"/>
  <c r="AC22" i="157"/>
  <c r="K22" i="157"/>
  <c r="AB18" i="157"/>
  <c r="AC18" i="157"/>
  <c r="K18" i="157"/>
  <c r="L31" i="157" l="1"/>
  <c r="N18" i="157"/>
  <c r="O18" i="157"/>
  <c r="M18" i="157"/>
  <c r="L18" i="157"/>
  <c r="N21" i="157"/>
  <c r="O21" i="157"/>
  <c r="M21" i="157"/>
  <c r="L21" i="157" s="1"/>
  <c r="O27" i="157"/>
  <c r="N27" i="157"/>
  <c r="M27" i="157"/>
  <c r="L27" i="157"/>
  <c r="P33" i="157"/>
  <c r="P25" i="157"/>
  <c r="O33" i="157"/>
  <c r="N33" i="157"/>
  <c r="M33" i="157"/>
  <c r="L33" i="157"/>
  <c r="P18" i="157"/>
  <c r="P21" i="157"/>
  <c r="N17" i="157"/>
  <c r="M17" i="157"/>
  <c r="O17" i="157"/>
  <c r="N9" i="157"/>
  <c r="M9" i="157"/>
  <c r="O9" i="157"/>
  <c r="L9" i="157"/>
  <c r="P11" i="156"/>
  <c r="P22" i="157"/>
  <c r="P34" i="157"/>
  <c r="M11" i="156"/>
  <c r="O11" i="156"/>
  <c r="N11" i="156"/>
  <c r="P17" i="157"/>
  <c r="O22" i="157"/>
  <c r="M22" i="157"/>
  <c r="N22" i="157"/>
  <c r="L22" i="157" s="1"/>
  <c r="P9" i="157"/>
  <c r="M34" i="157"/>
  <c r="N34" i="157"/>
  <c r="O34" i="157"/>
  <c r="P8" i="157"/>
  <c r="O12" i="157"/>
  <c r="N12" i="157"/>
  <c r="M12" i="157"/>
  <c r="N25" i="157"/>
  <c r="M25" i="157"/>
  <c r="O25" i="157"/>
  <c r="L25" i="157"/>
  <c r="N8" i="157"/>
  <c r="O8" i="157"/>
  <c r="M8" i="157"/>
  <c r="L8" i="157" s="1"/>
  <c r="P27" i="157"/>
  <c r="P12" i="157"/>
  <c r="AC21" i="156"/>
  <c r="K21" i="156"/>
  <c r="AB21" i="156"/>
  <c r="K25" i="156"/>
  <c r="AB25" i="156"/>
  <c r="AC25" i="156"/>
  <c r="AC33" i="156"/>
  <c r="K33" i="156"/>
  <c r="AB33" i="156"/>
  <c r="L11" i="156" l="1"/>
  <c r="L34" i="157"/>
  <c r="L17" i="157"/>
  <c r="L12" i="157"/>
  <c r="O25" i="156"/>
  <c r="N25" i="156"/>
  <c r="M25" i="156"/>
  <c r="L25" i="156"/>
  <c r="P33" i="156"/>
  <c r="P25" i="156"/>
  <c r="P21" i="156"/>
  <c r="M21" i="156"/>
  <c r="N21" i="156"/>
  <c r="O21" i="156"/>
  <c r="N33" i="156"/>
  <c r="O33" i="156"/>
  <c r="M33" i="156"/>
  <c r="L33" i="156" s="1"/>
  <c r="K34" i="156"/>
  <c r="AB34" i="156"/>
  <c r="AC34" i="156"/>
  <c r="AC24" i="156"/>
  <c r="K24" i="156"/>
  <c r="AB24" i="156"/>
  <c r="AB10" i="156"/>
  <c r="AC10" i="156"/>
  <c r="K10" i="156"/>
  <c r="K26" i="156"/>
  <c r="AC26" i="156"/>
  <c r="AB26" i="156"/>
  <c r="K18" i="156"/>
  <c r="AC18" i="156"/>
  <c r="AB18" i="156"/>
  <c r="L21" i="156" l="1"/>
  <c r="P24" i="156"/>
  <c r="O18" i="156"/>
  <c r="M18" i="156"/>
  <c r="N18" i="156"/>
  <c r="L18" i="156" s="1"/>
  <c r="N24" i="156"/>
  <c r="O24" i="156"/>
  <c r="M24" i="156"/>
  <c r="L24" i="156" s="1"/>
  <c r="P26" i="156"/>
  <c r="P18" i="156"/>
  <c r="N26" i="156"/>
  <c r="O26" i="156"/>
  <c r="M26" i="156"/>
  <c r="P10" i="156"/>
  <c r="P34" i="156"/>
  <c r="O10" i="156"/>
  <c r="M10" i="156"/>
  <c r="N10" i="156"/>
  <c r="N34" i="156"/>
  <c r="O34" i="156"/>
  <c r="M34" i="156"/>
  <c r="L34" i="156" s="1"/>
  <c r="K12" i="156"/>
  <c r="AC12" i="156"/>
  <c r="AB12" i="156"/>
  <c r="L10" i="156" l="1"/>
  <c r="L26" i="156"/>
  <c r="P12" i="156"/>
  <c r="N12" i="156"/>
  <c r="O12" i="156"/>
  <c r="M12" i="156"/>
  <c r="L12" i="156" s="1"/>
  <c r="AB30" i="155"/>
  <c r="AC30" i="155"/>
  <c r="K30" i="155"/>
  <c r="K18" i="155"/>
  <c r="AC18" i="155"/>
  <c r="AB18" i="155"/>
  <c r="K21" i="155"/>
  <c r="AB21" i="155"/>
  <c r="AC21" i="155"/>
  <c r="AC10" i="155"/>
  <c r="K10" i="155"/>
  <c r="AB10" i="155"/>
  <c r="P10" i="155" l="1"/>
  <c r="P21" i="155"/>
  <c r="N10" i="155"/>
  <c r="O10" i="155"/>
  <c r="M10" i="155"/>
  <c r="L10" i="155"/>
  <c r="O21" i="155"/>
  <c r="M21" i="155"/>
  <c r="N21" i="155"/>
  <c r="L21" i="155" s="1"/>
  <c r="P30" i="155"/>
  <c r="M30" i="155"/>
  <c r="O30" i="155"/>
  <c r="N30" i="155"/>
  <c r="N18" i="155"/>
  <c r="M18" i="155"/>
  <c r="O18" i="155"/>
  <c r="P18" i="155"/>
  <c r="AB32" i="155"/>
  <c r="K32" i="155"/>
  <c r="AC32" i="155"/>
  <c r="AC11" i="155"/>
  <c r="AB11" i="155"/>
  <c r="K11" i="155"/>
  <c r="AB33" i="155"/>
  <c r="AC33" i="155"/>
  <c r="K33" i="155"/>
  <c r="AC9" i="155"/>
  <c r="AB9" i="155"/>
  <c r="K9" i="155"/>
  <c r="AB34" i="155"/>
  <c r="K34" i="155"/>
  <c r="AC34" i="155"/>
  <c r="AC24" i="155"/>
  <c r="K24" i="155"/>
  <c r="AB24" i="155"/>
  <c r="AC27" i="155"/>
  <c r="K27" i="155"/>
  <c r="AB27" i="155"/>
  <c r="AB26" i="155"/>
  <c r="AC26" i="155"/>
  <c r="K26" i="155"/>
  <c r="L30" i="155" l="1"/>
  <c r="L18" i="155"/>
  <c r="N24" i="155"/>
  <c r="L24" i="155" s="1"/>
  <c r="O24" i="155"/>
  <c r="M24" i="155"/>
  <c r="N32" i="155"/>
  <c r="M32" i="155"/>
  <c r="L32" i="155" s="1"/>
  <c r="O32" i="155"/>
  <c r="P34" i="155"/>
  <c r="N33" i="155"/>
  <c r="M33" i="155"/>
  <c r="L33" i="155" s="1"/>
  <c r="O33" i="155"/>
  <c r="P32" i="155"/>
  <c r="P26" i="155"/>
  <c r="N26" i="155"/>
  <c r="O26" i="155"/>
  <c r="L26" i="155" s="1"/>
  <c r="M26" i="155"/>
  <c r="N34" i="155"/>
  <c r="O34" i="155"/>
  <c r="M34" i="155"/>
  <c r="L34" i="155" s="1"/>
  <c r="N27" i="155"/>
  <c r="O27" i="155"/>
  <c r="M27" i="155"/>
  <c r="L27" i="155" s="1"/>
  <c r="O11" i="155"/>
  <c r="N11" i="155"/>
  <c r="M11" i="155"/>
  <c r="P27" i="155"/>
  <c r="P24" i="155"/>
  <c r="N9" i="155"/>
  <c r="O9" i="155"/>
  <c r="M9" i="155"/>
  <c r="L9" i="155" s="1"/>
  <c r="P33" i="155"/>
  <c r="P9" i="155"/>
  <c r="P11" i="155"/>
  <c r="P37" i="162"/>
  <c r="AC30" i="157"/>
  <c r="K30" i="157"/>
  <c r="AB30" i="157"/>
  <c r="AB16" i="155"/>
  <c r="K16" i="155"/>
  <c r="AC16" i="155"/>
  <c r="AB24" i="157"/>
  <c r="AC24" i="157"/>
  <c r="K24" i="157"/>
  <c r="K38" i="156"/>
  <c r="AB38" i="156"/>
  <c r="AC38" i="156"/>
  <c r="AB15" i="155"/>
  <c r="AC15" i="155"/>
  <c r="K15" i="155"/>
  <c r="AB36" i="163"/>
  <c r="AC36" i="163"/>
  <c r="AB31" i="162"/>
  <c r="AC31" i="162"/>
  <c r="K31" i="162"/>
  <c r="K14" i="162"/>
  <c r="AC14" i="162"/>
  <c r="AB14" i="162"/>
  <c r="K38" i="161"/>
  <c r="AB38" i="161"/>
  <c r="AC38" i="161"/>
  <c r="K23" i="157"/>
  <c r="AC23" i="157"/>
  <c r="AB23" i="157"/>
  <c r="K8" i="155"/>
  <c r="AB8" i="155"/>
  <c r="AC8" i="155"/>
  <c r="K22" i="161"/>
  <c r="AB22" i="161"/>
  <c r="AC22" i="161"/>
  <c r="AC12" i="160"/>
  <c r="K12" i="160"/>
  <c r="AB12" i="160"/>
  <c r="K28" i="159"/>
  <c r="AC28" i="159"/>
  <c r="AB28" i="159"/>
  <c r="AC10" i="159"/>
  <c r="K10" i="159"/>
  <c r="AB10" i="159"/>
  <c r="AC8" i="156"/>
  <c r="K8" i="156"/>
  <c r="AB8" i="156"/>
  <c r="AC20" i="161"/>
  <c r="AB20" i="161"/>
  <c r="K20" i="161"/>
  <c r="AB6" i="163"/>
  <c r="AC6" i="163"/>
  <c r="AB15" i="156"/>
  <c r="K15" i="156"/>
  <c r="AC15" i="156"/>
  <c r="AC30" i="161"/>
  <c r="AB30" i="161"/>
  <c r="K30" i="161"/>
  <c r="AC11" i="160"/>
  <c r="AB11" i="160"/>
  <c r="K11" i="160"/>
  <c r="AC31" i="159"/>
  <c r="K31" i="159"/>
  <c r="AB31" i="159"/>
  <c r="AB13" i="159"/>
  <c r="AC13" i="159"/>
  <c r="K13" i="159"/>
  <c r="AC30" i="163"/>
  <c r="K30" i="163"/>
  <c r="AB30" i="163"/>
  <c r="AC35" i="156"/>
  <c r="AB35" i="156"/>
  <c r="K35" i="156"/>
  <c r="AB20" i="162"/>
  <c r="K20" i="162"/>
  <c r="AC20" i="162"/>
  <c r="K17" i="155"/>
  <c r="AB17" i="155"/>
  <c r="AC17" i="155"/>
  <c r="K13" i="156"/>
  <c r="AC13" i="156"/>
  <c r="AB13" i="156"/>
  <c r="K30" i="160"/>
  <c r="AB30" i="160"/>
  <c r="AC30" i="160"/>
  <c r="AB13" i="160"/>
  <c r="AC13" i="160"/>
  <c r="K13" i="160"/>
  <c r="K39" i="163"/>
  <c r="AC39" i="163"/>
  <c r="AB39" i="163"/>
  <c r="K37" i="157"/>
  <c r="AC37" i="157"/>
  <c r="AB37" i="157"/>
  <c r="AB25" i="162"/>
  <c r="K25" i="162"/>
  <c r="AC25" i="162"/>
  <c r="K31" i="160"/>
  <c r="AC31" i="160"/>
  <c r="AB31" i="160"/>
  <c r="K14" i="160"/>
  <c r="AC14" i="160"/>
  <c r="AB14" i="160"/>
  <c r="K30" i="159"/>
  <c r="AB30" i="159"/>
  <c r="AC30" i="159"/>
  <c r="AC29" i="163"/>
  <c r="K29" i="163"/>
  <c r="AB29" i="163"/>
  <c r="AB36" i="162"/>
  <c r="K36" i="162"/>
  <c r="AC36" i="162"/>
  <c r="AB11" i="162"/>
  <c r="K11" i="162"/>
  <c r="AC11" i="162"/>
  <c r="K29" i="161"/>
  <c r="AB29" i="161"/>
  <c r="AC29" i="161"/>
  <c r="AB39" i="160"/>
  <c r="K39" i="160"/>
  <c r="AC39" i="160"/>
  <c r="AB6" i="160"/>
  <c r="P6" i="160"/>
  <c r="AC6" i="160"/>
  <c r="AB36" i="157"/>
  <c r="AC36" i="157"/>
  <c r="K36" i="157"/>
  <c r="AC31" i="156"/>
  <c r="AB31" i="156"/>
  <c r="K31" i="156"/>
  <c r="AC23" i="156"/>
  <c r="K23" i="156"/>
  <c r="AB23" i="156"/>
  <c r="AC13" i="157"/>
  <c r="AB13" i="157"/>
  <c r="K13" i="157"/>
  <c r="AC35" i="155"/>
  <c r="K35" i="155"/>
  <c r="AB35" i="155"/>
  <c r="AB21" i="162"/>
  <c r="K21" i="162"/>
  <c r="AC21" i="162"/>
  <c r="AC28" i="163"/>
  <c r="AB28" i="163"/>
  <c r="AB39" i="162"/>
  <c r="AC39" i="162"/>
  <c r="K39" i="162"/>
  <c r="AB6" i="162"/>
  <c r="P6" i="162"/>
  <c r="AC6" i="162"/>
  <c r="K33" i="160"/>
  <c r="AB33" i="160"/>
  <c r="AC33" i="160"/>
  <c r="AB14" i="159"/>
  <c r="K14" i="159"/>
  <c r="AC14" i="159"/>
  <c r="AB37" i="156"/>
  <c r="K37" i="156"/>
  <c r="AC37" i="156"/>
  <c r="AB34" i="162"/>
  <c r="AC34" i="162"/>
  <c r="K34" i="162"/>
  <c r="AC17" i="162"/>
  <c r="K17" i="162"/>
  <c r="AB17" i="162"/>
  <c r="K9" i="162"/>
  <c r="AC9" i="162"/>
  <c r="AB9" i="162"/>
  <c r="AC15" i="157"/>
  <c r="AB15" i="157"/>
  <c r="K15" i="157"/>
  <c r="K13" i="155"/>
  <c r="AC13" i="155"/>
  <c r="AB13" i="155"/>
  <c r="AC34" i="163"/>
  <c r="AB34" i="163"/>
  <c r="K32" i="160"/>
  <c r="AC32" i="160"/>
  <c r="AB32" i="160"/>
  <c r="AB7" i="156"/>
  <c r="AC7" i="156"/>
  <c r="K7" i="156"/>
  <c r="AC22" i="159"/>
  <c r="AB22" i="159"/>
  <c r="K22" i="159"/>
  <c r="K38" i="160"/>
  <c r="AC38" i="160"/>
  <c r="AB38" i="160"/>
  <c r="K37" i="159"/>
  <c r="AC37" i="159"/>
  <c r="AB37" i="159"/>
  <c r="AC6" i="157"/>
  <c r="P6" i="157"/>
  <c r="AB6" i="157"/>
  <c r="AC23" i="162"/>
  <c r="AB23" i="162"/>
  <c r="K23" i="162"/>
  <c r="AC37" i="155"/>
  <c r="AB37" i="155"/>
  <c r="K37" i="155"/>
  <c r="AC29" i="160"/>
  <c r="AB29" i="160"/>
  <c r="K29" i="160"/>
  <c r="K36" i="159"/>
  <c r="AC36" i="159"/>
  <c r="AB36" i="159"/>
  <c r="AB38" i="157"/>
  <c r="K38" i="157"/>
  <c r="AC38" i="157"/>
  <c r="AB29" i="162"/>
  <c r="K29" i="162"/>
  <c r="AC29" i="162"/>
  <c r="AC14" i="161"/>
  <c r="AB14" i="161"/>
  <c r="K14" i="161"/>
  <c r="K23" i="160"/>
  <c r="AC23" i="160"/>
  <c r="AB23" i="160"/>
  <c r="AB39" i="156"/>
  <c r="AC39" i="156"/>
  <c r="K39" i="156"/>
  <c r="AB28" i="162"/>
  <c r="K28" i="162"/>
  <c r="AC28" i="162"/>
  <c r="AB6" i="155"/>
  <c r="P6" i="155"/>
  <c r="AC6" i="155"/>
  <c r="AC34" i="160"/>
  <c r="K34" i="160"/>
  <c r="AB34" i="160"/>
  <c r="AC16" i="162"/>
  <c r="AB16" i="162"/>
  <c r="K16" i="162"/>
  <c r="K28" i="161"/>
  <c r="AC28" i="161"/>
  <c r="AB28" i="161"/>
  <c r="K16" i="157"/>
  <c r="AB16" i="157"/>
  <c r="AC16" i="157"/>
  <c r="AC22" i="155"/>
  <c r="AB22" i="155"/>
  <c r="K22" i="155"/>
  <c r="AB25" i="161"/>
  <c r="AC25" i="161"/>
  <c r="K25" i="161"/>
  <c r="K22" i="153"/>
  <c r="AB22" i="153"/>
  <c r="AC22" i="153"/>
  <c r="AB15" i="161"/>
  <c r="K15" i="161"/>
  <c r="AC15" i="161"/>
  <c r="AC25" i="160"/>
  <c r="K25" i="160"/>
  <c r="AB25" i="160"/>
  <c r="AC16" i="160"/>
  <c r="K16" i="160"/>
  <c r="AB16" i="160"/>
  <c r="AB38" i="155"/>
  <c r="AC38" i="155"/>
  <c r="K38" i="155"/>
  <c r="AB18" i="163"/>
  <c r="AC18" i="163"/>
  <c r="K18" i="163"/>
  <c r="AC26" i="162"/>
  <c r="K26" i="162"/>
  <c r="AB26" i="162"/>
  <c r="AB23" i="159"/>
  <c r="K23" i="159"/>
  <c r="AC23" i="159"/>
  <c r="K39" i="155"/>
  <c r="AB39" i="155"/>
  <c r="AC39" i="155"/>
  <c r="AC8" i="161"/>
  <c r="AB8" i="161"/>
  <c r="K8" i="161"/>
  <c r="AB24" i="160"/>
  <c r="K24" i="160"/>
  <c r="AC24" i="160"/>
  <c r="K35" i="160"/>
  <c r="AB35" i="160"/>
  <c r="AC35" i="160"/>
  <c r="AB12" i="159"/>
  <c r="AC12" i="159"/>
  <c r="K12" i="159"/>
  <c r="AC33" i="163"/>
  <c r="K33" i="163"/>
  <c r="AB33" i="163"/>
  <c r="AB32" i="162"/>
  <c r="AC32" i="162"/>
  <c r="K32" i="162"/>
  <c r="K39" i="161"/>
  <c r="AB39" i="161"/>
  <c r="AC39" i="161"/>
  <c r="AC21" i="159"/>
  <c r="AB21" i="159"/>
  <c r="K21" i="159"/>
  <c r="AC23" i="161"/>
  <c r="K23" i="161"/>
  <c r="AB23" i="161"/>
  <c r="AB17" i="160"/>
  <c r="K17" i="160"/>
  <c r="AC17" i="160"/>
  <c r="K15" i="159"/>
  <c r="AB15" i="159"/>
  <c r="AC15" i="159"/>
  <c r="AC22" i="156"/>
  <c r="AB22" i="156"/>
  <c r="K22" i="156"/>
  <c r="K9" i="156"/>
  <c r="AC9" i="156"/>
  <c r="AB9" i="156"/>
  <c r="AB32" i="163"/>
  <c r="AC32" i="163"/>
  <c r="AB35" i="162"/>
  <c r="K35" i="162"/>
  <c r="AC35" i="162"/>
  <c r="AB18" i="162"/>
  <c r="AC18" i="162"/>
  <c r="K18" i="162"/>
  <c r="K16" i="156"/>
  <c r="AB16" i="156"/>
  <c r="AC16" i="156"/>
  <c r="K29" i="156"/>
  <c r="AB29" i="156"/>
  <c r="AC29" i="156"/>
  <c r="AB38" i="162"/>
  <c r="AC38" i="162"/>
  <c r="K38" i="162"/>
  <c r="AB22" i="162"/>
  <c r="K22" i="162"/>
  <c r="AC22" i="162"/>
  <c r="K13" i="162"/>
  <c r="AC13" i="162"/>
  <c r="AB13" i="162"/>
  <c r="K37" i="161"/>
  <c r="AC37" i="161"/>
  <c r="AB37" i="161"/>
  <c r="AB28" i="155"/>
  <c r="K28" i="155"/>
  <c r="AC28" i="155"/>
  <c r="AB17" i="163"/>
  <c r="AC17" i="163"/>
  <c r="K17" i="163"/>
  <c r="K35" i="159"/>
  <c r="AB35" i="159"/>
  <c r="AC35" i="159"/>
  <c r="AB9" i="159"/>
  <c r="AC9" i="159"/>
  <c r="K9" i="159"/>
  <c r="AC36" i="156"/>
  <c r="K36" i="156"/>
  <c r="AB36" i="156"/>
  <c r="AC29" i="155"/>
  <c r="AB29" i="155"/>
  <c r="K29" i="155"/>
  <c r="K18" i="160"/>
  <c r="AB18" i="160"/>
  <c r="AC18" i="160"/>
  <c r="AB10" i="160"/>
  <c r="K10" i="160"/>
  <c r="AC10" i="160"/>
  <c r="AB34" i="159"/>
  <c r="AC34" i="159"/>
  <c r="K34" i="159"/>
  <c r="AB24" i="162"/>
  <c r="AC24" i="162"/>
  <c r="K24" i="162"/>
  <c r="K15" i="162"/>
  <c r="AB15" i="162"/>
  <c r="AC15" i="162"/>
  <c r="K35" i="161"/>
  <c r="AB35" i="161"/>
  <c r="AC35" i="161"/>
  <c r="AB25" i="159"/>
  <c r="AC25" i="159"/>
  <c r="K25" i="159"/>
  <c r="AC7" i="155"/>
  <c r="AB7" i="155"/>
  <c r="K7" i="155"/>
  <c r="K36" i="161"/>
  <c r="AB36" i="161"/>
  <c r="AC36" i="161"/>
  <c r="AC6" i="161"/>
  <c r="AB6" i="161"/>
  <c r="P6" i="161"/>
  <c r="AB26" i="160"/>
  <c r="K26" i="160"/>
  <c r="AC26" i="160"/>
  <c r="K9" i="160"/>
  <c r="AC9" i="160"/>
  <c r="AB9" i="160"/>
  <c r="AB33" i="159"/>
  <c r="AC33" i="159"/>
  <c r="K33" i="159"/>
  <c r="K35" i="157"/>
  <c r="AB35" i="157"/>
  <c r="AC35" i="157"/>
  <c r="AB10" i="162"/>
  <c r="K10" i="162"/>
  <c r="AC10" i="162"/>
  <c r="AB20" i="159"/>
  <c r="K20" i="159"/>
  <c r="AC20" i="159"/>
  <c r="AB37" i="162"/>
  <c r="K37" i="162"/>
  <c r="AC37" i="162"/>
  <c r="AC20" i="157"/>
  <c r="K20" i="157"/>
  <c r="AB20" i="157"/>
  <c r="K8" i="160"/>
  <c r="AB8" i="160"/>
  <c r="AC8" i="160"/>
  <c r="AB32" i="159"/>
  <c r="K32" i="159"/>
  <c r="AC32" i="159"/>
  <c r="P6" i="159"/>
  <c r="AB6" i="159"/>
  <c r="AC6" i="159"/>
  <c r="AB28" i="157"/>
  <c r="K28" i="157"/>
  <c r="AC28" i="157"/>
  <c r="AB12" i="155"/>
  <c r="K12" i="155"/>
  <c r="AC12" i="155"/>
  <c r="AB26" i="163"/>
  <c r="AC26" i="163"/>
  <c r="K8" i="162"/>
  <c r="AC8" i="162"/>
  <c r="AB8" i="162"/>
  <c r="AB25" i="155"/>
  <c r="K25" i="155"/>
  <c r="AC25" i="155"/>
  <c r="AB33" i="162"/>
  <c r="K33" i="162"/>
  <c r="AC33" i="162"/>
  <c r="K15" i="160"/>
  <c r="AC15" i="160"/>
  <c r="AB15" i="160"/>
  <c r="AB27" i="159"/>
  <c r="K27" i="159"/>
  <c r="AC27" i="159"/>
  <c r="AB20" i="156"/>
  <c r="AC20" i="156"/>
  <c r="K20" i="156"/>
  <c r="AB8" i="159"/>
  <c r="K8" i="159"/>
  <c r="AC8" i="159"/>
  <c r="AC6" i="156"/>
  <c r="P6" i="156"/>
  <c r="AB6" i="156"/>
  <c r="K20" i="155"/>
  <c r="AC20" i="155"/>
  <c r="AB20" i="155"/>
  <c r="K22" i="160"/>
  <c r="AC22" i="160"/>
  <c r="AB22" i="160"/>
  <c r="K29" i="159"/>
  <c r="AB29" i="159"/>
  <c r="AC29" i="159"/>
  <c r="AC11" i="159"/>
  <c r="AB11" i="159"/>
  <c r="K11" i="159"/>
  <c r="AB7" i="159"/>
  <c r="AC7" i="159"/>
  <c r="K7" i="159"/>
  <c r="AB24" i="159"/>
  <c r="AC24" i="159"/>
  <c r="K24" i="159"/>
  <c r="K23" i="155"/>
  <c r="AC23" i="155"/>
  <c r="AB23" i="155"/>
  <c r="AC37" i="160"/>
  <c r="AB37" i="160"/>
  <c r="K37" i="160"/>
  <c r="K21" i="160"/>
  <c r="AB21" i="160"/>
  <c r="AC21" i="160"/>
  <c r="K14" i="157"/>
  <c r="AC14" i="157"/>
  <c r="AB14" i="157"/>
  <c r="AB23" i="163"/>
  <c r="AC23" i="163"/>
  <c r="K30" i="162"/>
  <c r="AC30" i="162"/>
  <c r="AB30" i="162"/>
  <c r="K28" i="156"/>
  <c r="AB28" i="156"/>
  <c r="AC28" i="156"/>
  <c r="AC7" i="160"/>
  <c r="AB7" i="160"/>
  <c r="K7" i="160"/>
  <c r="AB14" i="155"/>
  <c r="AC14" i="155"/>
  <c r="K14" i="155"/>
  <c r="AC27" i="160"/>
  <c r="K27" i="160"/>
  <c r="AB27" i="160"/>
  <c r="K13" i="161"/>
  <c r="AC13" i="161"/>
  <c r="AB13" i="161"/>
  <c r="AB7" i="161"/>
  <c r="K7" i="161"/>
  <c r="AC7" i="161"/>
  <c r="AC38" i="159"/>
  <c r="K38" i="159"/>
  <c r="AB38" i="159"/>
  <c r="AC27" i="156"/>
  <c r="K27" i="156"/>
  <c r="AB27" i="156"/>
  <c r="K14" i="156"/>
  <c r="AB14" i="156"/>
  <c r="AC14" i="156"/>
  <c r="AC31" i="155"/>
  <c r="AB31" i="155"/>
  <c r="K31" i="155"/>
  <c r="K7" i="162"/>
  <c r="AC7" i="162"/>
  <c r="AB7" i="162"/>
  <c r="AB39" i="157"/>
  <c r="AC39" i="157"/>
  <c r="K39" i="157"/>
  <c r="K29" i="157"/>
  <c r="AC29" i="157"/>
  <c r="AB29" i="157"/>
  <c r="K30" i="156"/>
  <c r="AC30" i="156"/>
  <c r="AB30" i="156"/>
  <c r="AC17" i="156"/>
  <c r="AB17" i="156"/>
  <c r="K17" i="156"/>
  <c r="K36" i="155"/>
  <c r="AC36" i="155"/>
  <c r="AB36" i="155"/>
  <c r="AB17" i="159"/>
  <c r="K17" i="159"/>
  <c r="AC17" i="159"/>
  <c r="K27" i="162"/>
  <c r="AB27" i="162"/>
  <c r="AC27" i="162"/>
  <c r="AB14" i="163"/>
  <c r="AC14" i="163"/>
  <c r="AB18" i="159"/>
  <c r="K18" i="159"/>
  <c r="AC18" i="159"/>
  <c r="K10" i="157"/>
  <c r="AB10" i="157"/>
  <c r="AC10" i="157"/>
  <c r="AC36" i="160"/>
  <c r="AB36" i="160"/>
  <c r="K36" i="160"/>
  <c r="K28" i="160"/>
  <c r="AC28" i="160"/>
  <c r="AB28" i="160"/>
  <c r="AC20" i="160"/>
  <c r="AB20" i="160"/>
  <c r="K20" i="160"/>
  <c r="AC39" i="159"/>
  <c r="K39" i="159"/>
  <c r="AB39" i="159"/>
  <c r="K32" i="156"/>
  <c r="AB32" i="156"/>
  <c r="AC32" i="156"/>
  <c r="AC13" i="163"/>
  <c r="AB13" i="163"/>
  <c r="AC12" i="162"/>
  <c r="K12" i="162"/>
  <c r="AB12" i="162"/>
  <c r="L11" i="155" l="1"/>
  <c r="N17" i="159"/>
  <c r="M17" i="159"/>
  <c r="O17" i="159"/>
  <c r="L17" i="159"/>
  <c r="O37" i="162"/>
  <c r="M37" i="162"/>
  <c r="L37" i="162" s="1"/>
  <c r="N37" i="162"/>
  <c r="O39" i="161"/>
  <c r="N39" i="161"/>
  <c r="M39" i="161"/>
  <c r="L39" i="161"/>
  <c r="M22" i="159"/>
  <c r="L22" i="159" s="1"/>
  <c r="N22" i="159"/>
  <c r="O22" i="159"/>
  <c r="P34" i="162"/>
  <c r="O38" i="161"/>
  <c r="M38" i="161"/>
  <c r="N38" i="161"/>
  <c r="L38" i="161" s="1"/>
  <c r="O17" i="156"/>
  <c r="N17" i="156"/>
  <c r="M17" i="156"/>
  <c r="P10" i="160"/>
  <c r="P29" i="155"/>
  <c r="P18" i="162"/>
  <c r="M29" i="160"/>
  <c r="O29" i="160"/>
  <c r="N29" i="160"/>
  <c r="AB41" i="160"/>
  <c r="K13" i="163"/>
  <c r="P10" i="157"/>
  <c r="P41" i="157" s="1"/>
  <c r="P27" i="156"/>
  <c r="P27" i="160"/>
  <c r="P7" i="160"/>
  <c r="M30" i="162"/>
  <c r="O30" i="162"/>
  <c r="N30" i="162"/>
  <c r="P14" i="157"/>
  <c r="P11" i="159"/>
  <c r="O20" i="155"/>
  <c r="N20" i="155"/>
  <c r="M20" i="155"/>
  <c r="L20" i="155" s="1"/>
  <c r="P8" i="159"/>
  <c r="N8" i="162"/>
  <c r="M8" i="162"/>
  <c r="O8" i="162"/>
  <c r="N8" i="160"/>
  <c r="O8" i="160"/>
  <c r="M8" i="160"/>
  <c r="L8" i="160" s="1"/>
  <c r="M10" i="162"/>
  <c r="N10" i="162"/>
  <c r="L10" i="162" s="1"/>
  <c r="O10" i="162"/>
  <c r="O33" i="159"/>
  <c r="M33" i="159"/>
  <c r="N33" i="159"/>
  <c r="L33" i="159" s="1"/>
  <c r="N26" i="160"/>
  <c r="O26" i="160"/>
  <c r="M26" i="160"/>
  <c r="L26" i="160" s="1"/>
  <c r="N34" i="159"/>
  <c r="L34" i="159" s="1"/>
  <c r="M34" i="159"/>
  <c r="O34" i="159"/>
  <c r="M38" i="162"/>
  <c r="N38" i="162"/>
  <c r="L38" i="162" s="1"/>
  <c r="O38" i="162"/>
  <c r="P17" i="160"/>
  <c r="M21" i="159"/>
  <c r="L21" i="159" s="1"/>
  <c r="N21" i="159"/>
  <c r="O21" i="159"/>
  <c r="M32" i="162"/>
  <c r="N32" i="162"/>
  <c r="O32" i="162"/>
  <c r="P38" i="155"/>
  <c r="M16" i="157"/>
  <c r="L16" i="157" s="1"/>
  <c r="N16" i="157"/>
  <c r="O16" i="157"/>
  <c r="P14" i="161"/>
  <c r="O38" i="157"/>
  <c r="M38" i="157"/>
  <c r="N38" i="157"/>
  <c r="P29" i="160"/>
  <c r="P23" i="162"/>
  <c r="P22" i="159"/>
  <c r="P13" i="155"/>
  <c r="P9" i="162"/>
  <c r="O14" i="159"/>
  <c r="M14" i="159"/>
  <c r="N14" i="159"/>
  <c r="L14" i="159"/>
  <c r="K28" i="163"/>
  <c r="M36" i="157"/>
  <c r="O36" i="157"/>
  <c r="N36" i="157"/>
  <c r="L36" i="157"/>
  <c r="P11" i="162"/>
  <c r="O35" i="156"/>
  <c r="M35" i="156"/>
  <c r="L35" i="156" s="1"/>
  <c r="N35" i="156"/>
  <c r="M15" i="156"/>
  <c r="O15" i="156"/>
  <c r="N15" i="156"/>
  <c r="P28" i="159"/>
  <c r="P22" i="161"/>
  <c r="K36" i="163"/>
  <c r="M12" i="155"/>
  <c r="O12" i="155"/>
  <c r="N12" i="155"/>
  <c r="N17" i="160"/>
  <c r="L17" i="160" s="1"/>
  <c r="O17" i="160"/>
  <c r="M17" i="160"/>
  <c r="AC41" i="162"/>
  <c r="P17" i="155"/>
  <c r="P11" i="160"/>
  <c r="M8" i="155"/>
  <c r="N8" i="155"/>
  <c r="O8" i="155"/>
  <c r="P30" i="157"/>
  <c r="P17" i="159"/>
  <c r="P39" i="159"/>
  <c r="N28" i="160"/>
  <c r="O28" i="160"/>
  <c r="M28" i="160"/>
  <c r="L28" i="160" s="1"/>
  <c r="O10" i="157"/>
  <c r="M10" i="157"/>
  <c r="N10" i="157"/>
  <c r="L10" i="157" s="1"/>
  <c r="K41" i="157"/>
  <c r="O29" i="157"/>
  <c r="M29" i="157"/>
  <c r="N29" i="157"/>
  <c r="L29" i="157" s="1"/>
  <c r="M14" i="155"/>
  <c r="O14" i="155"/>
  <c r="N14" i="155"/>
  <c r="L14" i="155" s="1"/>
  <c r="P22" i="160"/>
  <c r="AB41" i="156"/>
  <c r="P27" i="159"/>
  <c r="P33" i="162"/>
  <c r="P8" i="162"/>
  <c r="P36" i="161"/>
  <c r="O15" i="162"/>
  <c r="M15" i="162"/>
  <c r="N15" i="162"/>
  <c r="L15" i="162" s="1"/>
  <c r="P34" i="159"/>
  <c r="M28" i="155"/>
  <c r="O28" i="155"/>
  <c r="N28" i="155"/>
  <c r="P13" i="162"/>
  <c r="P35" i="162"/>
  <c r="P12" i="159"/>
  <c r="O24" i="160"/>
  <c r="N24" i="160"/>
  <c r="M24" i="160"/>
  <c r="O26" i="162"/>
  <c r="M26" i="162"/>
  <c r="L26" i="162" s="1"/>
  <c r="N26" i="162"/>
  <c r="P25" i="160"/>
  <c r="O22" i="155"/>
  <c r="L22" i="155" s="1"/>
  <c r="N22" i="155"/>
  <c r="M22" i="155"/>
  <c r="AB41" i="155"/>
  <c r="P39" i="156"/>
  <c r="P38" i="157"/>
  <c r="N32" i="160"/>
  <c r="M32" i="160"/>
  <c r="O32" i="160"/>
  <c r="M13" i="155"/>
  <c r="O13" i="155"/>
  <c r="N13" i="155"/>
  <c r="L13" i="155"/>
  <c r="O9" i="162"/>
  <c r="M9" i="162"/>
  <c r="N9" i="162"/>
  <c r="AB41" i="162"/>
  <c r="O35" i="155"/>
  <c r="M35" i="155"/>
  <c r="N35" i="155"/>
  <c r="O23" i="156"/>
  <c r="N23" i="156"/>
  <c r="L23" i="156" s="1"/>
  <c r="M23" i="156"/>
  <c r="P39" i="160"/>
  <c r="M29" i="163"/>
  <c r="N29" i="163"/>
  <c r="O29" i="163"/>
  <c r="M25" i="162"/>
  <c r="N25" i="162"/>
  <c r="O25" i="162"/>
  <c r="P30" i="160"/>
  <c r="P13" i="159"/>
  <c r="O8" i="156"/>
  <c r="N8" i="156"/>
  <c r="M8" i="156"/>
  <c r="P23" i="157"/>
  <c r="P14" i="162"/>
  <c r="O38" i="156"/>
  <c r="M38" i="156"/>
  <c r="N38" i="156"/>
  <c r="L38" i="156" s="1"/>
  <c r="M16" i="155"/>
  <c r="N16" i="155"/>
  <c r="O16" i="155"/>
  <c r="K14" i="163"/>
  <c r="N25" i="159"/>
  <c r="O25" i="159"/>
  <c r="M25" i="159"/>
  <c r="L25" i="159" s="1"/>
  <c r="M31" i="160"/>
  <c r="N31" i="160"/>
  <c r="O31" i="160"/>
  <c r="P37" i="157"/>
  <c r="P35" i="156"/>
  <c r="P20" i="161"/>
  <c r="P29" i="157"/>
  <c r="P7" i="162"/>
  <c r="O38" i="159"/>
  <c r="N38" i="159"/>
  <c r="M38" i="159"/>
  <c r="P28" i="156"/>
  <c r="N22" i="160"/>
  <c r="M22" i="160"/>
  <c r="L22" i="160" s="1"/>
  <c r="O22" i="160"/>
  <c r="O20" i="156"/>
  <c r="M20" i="156"/>
  <c r="N20" i="156"/>
  <c r="L20" i="156" s="1"/>
  <c r="O28" i="157"/>
  <c r="N28" i="157"/>
  <c r="M28" i="157"/>
  <c r="L28" i="157" s="1"/>
  <c r="M32" i="159"/>
  <c r="N32" i="159"/>
  <c r="O32" i="159"/>
  <c r="M20" i="157"/>
  <c r="O20" i="157"/>
  <c r="N20" i="157"/>
  <c r="P20" i="159"/>
  <c r="P26" i="160"/>
  <c r="M36" i="161"/>
  <c r="O36" i="161"/>
  <c r="N36" i="161"/>
  <c r="P25" i="159"/>
  <c r="P15" i="162"/>
  <c r="P36" i="156"/>
  <c r="P28" i="155"/>
  <c r="M16" i="156"/>
  <c r="N16" i="156"/>
  <c r="O16" i="156"/>
  <c r="L16" i="156"/>
  <c r="P32" i="162"/>
  <c r="P24" i="160"/>
  <c r="O39" i="155"/>
  <c r="M39" i="155"/>
  <c r="N39" i="155"/>
  <c r="L39" i="155"/>
  <c r="P26" i="162"/>
  <c r="O25" i="160"/>
  <c r="N25" i="160"/>
  <c r="M25" i="160"/>
  <c r="P22" i="153"/>
  <c r="O37" i="159"/>
  <c r="N37" i="159"/>
  <c r="M37" i="159"/>
  <c r="P32" i="160"/>
  <c r="M15" i="157"/>
  <c r="N15" i="157"/>
  <c r="O15" i="157"/>
  <c r="P14" i="159"/>
  <c r="P35" i="155"/>
  <c r="M39" i="160"/>
  <c r="O39" i="160"/>
  <c r="N39" i="160"/>
  <c r="M11" i="162"/>
  <c r="O11" i="162"/>
  <c r="N11" i="162"/>
  <c r="M14" i="160"/>
  <c r="O14" i="160"/>
  <c r="N14" i="160"/>
  <c r="M39" i="163"/>
  <c r="O39" i="163"/>
  <c r="N39" i="163"/>
  <c r="O30" i="160"/>
  <c r="N30" i="160"/>
  <c r="L30" i="160" s="1"/>
  <c r="M30" i="160"/>
  <c r="N17" i="155"/>
  <c r="O17" i="155"/>
  <c r="M17" i="155"/>
  <c r="M30" i="161"/>
  <c r="N30" i="161"/>
  <c r="O30" i="161"/>
  <c r="P38" i="156"/>
  <c r="P16" i="155"/>
  <c r="M33" i="162"/>
  <c r="N33" i="162"/>
  <c r="O33" i="162"/>
  <c r="N37" i="161"/>
  <c r="O37" i="161"/>
  <c r="L37" i="161" s="1"/>
  <c r="M37" i="161"/>
  <c r="N38" i="155"/>
  <c r="O38" i="155"/>
  <c r="M38" i="155"/>
  <c r="P25" i="161"/>
  <c r="P16" i="157"/>
  <c r="M14" i="161"/>
  <c r="N14" i="161"/>
  <c r="O14" i="161"/>
  <c r="M20" i="160"/>
  <c r="N20" i="160"/>
  <c r="O20" i="160"/>
  <c r="P36" i="160"/>
  <c r="P39" i="157"/>
  <c r="K41" i="162"/>
  <c r="M7" i="162"/>
  <c r="N7" i="162"/>
  <c r="O7" i="162"/>
  <c r="L7" i="162"/>
  <c r="M14" i="156"/>
  <c r="L14" i="156" s="1"/>
  <c r="O14" i="156"/>
  <c r="N14" i="156"/>
  <c r="P13" i="161"/>
  <c r="P14" i="155"/>
  <c r="K23" i="163"/>
  <c r="N7" i="159"/>
  <c r="M7" i="159"/>
  <c r="L7" i="159" s="1"/>
  <c r="K41" i="159"/>
  <c r="O7" i="159"/>
  <c r="P29" i="159"/>
  <c r="P25" i="155"/>
  <c r="P32" i="159"/>
  <c r="M20" i="159"/>
  <c r="N20" i="159"/>
  <c r="O20" i="159"/>
  <c r="L20" i="159" s="1"/>
  <c r="P35" i="157"/>
  <c r="P7" i="155"/>
  <c r="P24" i="162"/>
  <c r="O18" i="160"/>
  <c r="N18" i="160"/>
  <c r="M18" i="160"/>
  <c r="L18" i="160" s="1"/>
  <c r="M36" i="156"/>
  <c r="N36" i="156"/>
  <c r="O36" i="156"/>
  <c r="L36" i="156"/>
  <c r="N35" i="159"/>
  <c r="L35" i="159"/>
  <c r="O35" i="159"/>
  <c r="M35" i="159"/>
  <c r="M13" i="162"/>
  <c r="N13" i="162"/>
  <c r="O13" i="162"/>
  <c r="L13" i="162"/>
  <c r="P38" i="162"/>
  <c r="P16" i="156"/>
  <c r="M35" i="162"/>
  <c r="N35" i="162"/>
  <c r="O35" i="162"/>
  <c r="L35" i="162"/>
  <c r="N9" i="156"/>
  <c r="M9" i="156"/>
  <c r="O9" i="156"/>
  <c r="P23" i="161"/>
  <c r="P21" i="159"/>
  <c r="P39" i="155"/>
  <c r="N22" i="153"/>
  <c r="M22" i="153"/>
  <c r="O22" i="153"/>
  <c r="P22" i="155"/>
  <c r="O28" i="161"/>
  <c r="M28" i="161"/>
  <c r="L28" i="161" s="1"/>
  <c r="N28" i="161"/>
  <c r="N34" i="160"/>
  <c r="M34" i="160"/>
  <c r="O34" i="160"/>
  <c r="L34" i="160"/>
  <c r="N28" i="162"/>
  <c r="O28" i="162"/>
  <c r="M28" i="162"/>
  <c r="L28" i="162" s="1"/>
  <c r="P29" i="162"/>
  <c r="O37" i="155"/>
  <c r="N37" i="155"/>
  <c r="M37" i="155"/>
  <c r="P38" i="160"/>
  <c r="O7" i="156"/>
  <c r="K41" i="156"/>
  <c r="N7" i="156"/>
  <c r="M7" i="156"/>
  <c r="P15" i="157"/>
  <c r="M17" i="162"/>
  <c r="O17" i="162"/>
  <c r="N17" i="162"/>
  <c r="P37" i="156"/>
  <c r="P39" i="162"/>
  <c r="P23" i="156"/>
  <c r="P36" i="157"/>
  <c r="P14" i="160"/>
  <c r="P25" i="162"/>
  <c r="N13" i="160"/>
  <c r="O13" i="160"/>
  <c r="M13" i="160"/>
  <c r="P13" i="156"/>
  <c r="P31" i="159"/>
  <c r="P30" i="161"/>
  <c r="P8" i="156"/>
  <c r="N28" i="159"/>
  <c r="M28" i="159"/>
  <c r="O28" i="159"/>
  <c r="N22" i="161"/>
  <c r="O22" i="161"/>
  <c r="M22" i="161"/>
  <c r="L22" i="161" s="1"/>
  <c r="N23" i="157"/>
  <c r="M23" i="157"/>
  <c r="L23" i="157" s="1"/>
  <c r="O23" i="157"/>
  <c r="O14" i="162"/>
  <c r="N14" i="162"/>
  <c r="M14" i="162"/>
  <c r="L14" i="162"/>
  <c r="N15" i="155"/>
  <c r="O15" i="155"/>
  <c r="M15" i="155"/>
  <c r="L15" i="155" s="1"/>
  <c r="P7" i="161"/>
  <c r="O27" i="159"/>
  <c r="N27" i="159"/>
  <c r="M27" i="159"/>
  <c r="P8" i="160"/>
  <c r="M39" i="156"/>
  <c r="N39" i="156"/>
  <c r="O39" i="156"/>
  <c r="M29" i="161"/>
  <c r="N29" i="161"/>
  <c r="O29" i="161"/>
  <c r="P36" i="162"/>
  <c r="M36" i="160"/>
  <c r="L36" i="160" s="1"/>
  <c r="O36" i="160"/>
  <c r="N36" i="160"/>
  <c r="P18" i="159"/>
  <c r="M12" i="162"/>
  <c r="N12" i="162"/>
  <c r="O12" i="162"/>
  <c r="P32" i="156"/>
  <c r="P20" i="160"/>
  <c r="N18" i="159"/>
  <c r="O18" i="159"/>
  <c r="M18" i="159"/>
  <c r="P27" i="162"/>
  <c r="P36" i="155"/>
  <c r="P30" i="156"/>
  <c r="O39" i="157"/>
  <c r="M39" i="157"/>
  <c r="N39" i="157"/>
  <c r="M31" i="155"/>
  <c r="L31" i="155" s="1"/>
  <c r="O31" i="155"/>
  <c r="N31" i="155"/>
  <c r="P14" i="156"/>
  <c r="P38" i="159"/>
  <c r="O13" i="161"/>
  <c r="M13" i="161"/>
  <c r="L13" i="161" s="1"/>
  <c r="N13" i="161"/>
  <c r="O28" i="156"/>
  <c r="M28" i="156"/>
  <c r="N28" i="156"/>
  <c r="L28" i="156" s="1"/>
  <c r="P21" i="160"/>
  <c r="N23" i="155"/>
  <c r="M23" i="155"/>
  <c r="O23" i="155"/>
  <c r="AC41" i="156"/>
  <c r="P20" i="156"/>
  <c r="P15" i="160"/>
  <c r="N25" i="155"/>
  <c r="M25" i="155"/>
  <c r="L25" i="155" s="1"/>
  <c r="O25" i="155"/>
  <c r="K26" i="163"/>
  <c r="P28" i="157"/>
  <c r="P20" i="157"/>
  <c r="P9" i="160"/>
  <c r="N7" i="155"/>
  <c r="K41" i="155"/>
  <c r="M7" i="155"/>
  <c r="O7" i="155"/>
  <c r="P35" i="161"/>
  <c r="M24" i="162"/>
  <c r="L24" i="162" s="1"/>
  <c r="O24" i="162"/>
  <c r="N24" i="162"/>
  <c r="P18" i="160"/>
  <c r="P35" i="159"/>
  <c r="P9" i="156"/>
  <c r="P15" i="159"/>
  <c r="N8" i="161"/>
  <c r="O8" i="161"/>
  <c r="M8" i="161"/>
  <c r="L8" i="161" s="1"/>
  <c r="N18" i="163"/>
  <c r="M18" i="163"/>
  <c r="O18" i="163"/>
  <c r="P28" i="161"/>
  <c r="P34" i="160"/>
  <c r="P23" i="160"/>
  <c r="P36" i="159"/>
  <c r="AB41" i="157"/>
  <c r="K34" i="163"/>
  <c r="P17" i="162"/>
  <c r="O39" i="162"/>
  <c r="N39" i="162"/>
  <c r="M39" i="162"/>
  <c r="L39" i="162" s="1"/>
  <c r="N13" i="157"/>
  <c r="M13" i="157"/>
  <c r="O13" i="157"/>
  <c r="N31" i="156"/>
  <c r="O31" i="156"/>
  <c r="M31" i="156"/>
  <c r="P29" i="161"/>
  <c r="P31" i="160"/>
  <c r="P13" i="160"/>
  <c r="O20" i="162"/>
  <c r="N20" i="162"/>
  <c r="M20" i="162"/>
  <c r="L20" i="162"/>
  <c r="N30" i="163"/>
  <c r="M30" i="163"/>
  <c r="O30" i="163"/>
  <c r="M31" i="159"/>
  <c r="N31" i="159"/>
  <c r="L31" i="159" s="1"/>
  <c r="O31" i="159"/>
  <c r="N20" i="161"/>
  <c r="O20" i="161"/>
  <c r="M20" i="161"/>
  <c r="P10" i="159"/>
  <c r="P31" i="162"/>
  <c r="P15" i="155"/>
  <c r="N24" i="157"/>
  <c r="M24" i="157"/>
  <c r="L24" i="157" s="1"/>
  <c r="O24" i="157"/>
  <c r="M14" i="157"/>
  <c r="N14" i="157"/>
  <c r="L14" i="157" s="1"/>
  <c r="O14" i="157"/>
  <c r="P24" i="159"/>
  <c r="N29" i="156"/>
  <c r="M29" i="156"/>
  <c r="O29" i="156"/>
  <c r="L29" i="156"/>
  <c r="N12" i="159"/>
  <c r="M12" i="159"/>
  <c r="O12" i="159"/>
  <c r="P8" i="161"/>
  <c r="N16" i="162"/>
  <c r="O16" i="162"/>
  <c r="M16" i="162"/>
  <c r="M23" i="162"/>
  <c r="L23" i="162" s="1"/>
  <c r="N23" i="162"/>
  <c r="O23" i="162"/>
  <c r="P37" i="159"/>
  <c r="P15" i="156"/>
  <c r="N32" i="156"/>
  <c r="O32" i="156"/>
  <c r="M32" i="156"/>
  <c r="M27" i="162"/>
  <c r="N27" i="162"/>
  <c r="L27" i="162" s="1"/>
  <c r="O27" i="162"/>
  <c r="N36" i="155"/>
  <c r="M36" i="155"/>
  <c r="O36" i="155"/>
  <c r="O30" i="156"/>
  <c r="M30" i="156"/>
  <c r="N30" i="156"/>
  <c r="M7" i="160"/>
  <c r="L7" i="160" s="1"/>
  <c r="N7" i="160"/>
  <c r="O7" i="160"/>
  <c r="K41" i="160"/>
  <c r="P30" i="162"/>
  <c r="M21" i="160"/>
  <c r="O21" i="160"/>
  <c r="N21" i="160"/>
  <c r="P23" i="155"/>
  <c r="O15" i="160"/>
  <c r="M15" i="160"/>
  <c r="N15" i="160"/>
  <c r="P12" i="155"/>
  <c r="AC41" i="159"/>
  <c r="AB41" i="161"/>
  <c r="N29" i="155"/>
  <c r="O29" i="155"/>
  <c r="M29" i="155"/>
  <c r="L29" i="155" s="1"/>
  <c r="O9" i="159"/>
  <c r="M9" i="159"/>
  <c r="N9" i="159"/>
  <c r="L9" i="159"/>
  <c r="N17" i="163"/>
  <c r="O17" i="163"/>
  <c r="M17" i="163"/>
  <c r="N22" i="162"/>
  <c r="M22" i="162"/>
  <c r="L22" i="162" s="1"/>
  <c r="O22" i="162"/>
  <c r="N18" i="162"/>
  <c r="M18" i="162"/>
  <c r="O18" i="162"/>
  <c r="K32" i="163"/>
  <c r="P22" i="156"/>
  <c r="M15" i="159"/>
  <c r="O15" i="159"/>
  <c r="N15" i="159"/>
  <c r="M23" i="161"/>
  <c r="N23" i="161"/>
  <c r="O23" i="161"/>
  <c r="O33" i="163"/>
  <c r="N33" i="163"/>
  <c r="M33" i="163"/>
  <c r="O23" i="159"/>
  <c r="M23" i="159"/>
  <c r="N23" i="159"/>
  <c r="P16" i="160"/>
  <c r="P15" i="161"/>
  <c r="O25" i="161"/>
  <c r="M25" i="161"/>
  <c r="L25" i="161" s="1"/>
  <c r="N25" i="161"/>
  <c r="P28" i="162"/>
  <c r="N29" i="162"/>
  <c r="M29" i="162"/>
  <c r="O29" i="162"/>
  <c r="P37" i="155"/>
  <c r="P7" i="156"/>
  <c r="M37" i="156"/>
  <c r="O37" i="156"/>
  <c r="N37" i="156"/>
  <c r="P33" i="160"/>
  <c r="P41" i="160" s="1"/>
  <c r="P21" i="162"/>
  <c r="AC41" i="160"/>
  <c r="N36" i="162"/>
  <c r="O36" i="162"/>
  <c r="L36" i="162" s="1"/>
  <c r="M36" i="162"/>
  <c r="P30" i="159"/>
  <c r="M12" i="160"/>
  <c r="O12" i="160"/>
  <c r="N12" i="160"/>
  <c r="P8" i="155"/>
  <c r="P38" i="161"/>
  <c r="O31" i="162"/>
  <c r="N31" i="162"/>
  <c r="M31" i="162"/>
  <c r="L31" i="162" s="1"/>
  <c r="O30" i="157"/>
  <c r="N30" i="157"/>
  <c r="M30" i="157"/>
  <c r="O39" i="159"/>
  <c r="M39" i="159"/>
  <c r="N39" i="159"/>
  <c r="N37" i="160"/>
  <c r="M37" i="160"/>
  <c r="O37" i="160"/>
  <c r="L37" i="160" s="1"/>
  <c r="M11" i="159"/>
  <c r="N11" i="159"/>
  <c r="O11" i="159"/>
  <c r="P33" i="159"/>
  <c r="P9" i="159"/>
  <c r="M35" i="160"/>
  <c r="N35" i="160"/>
  <c r="O35" i="160"/>
  <c r="P12" i="162"/>
  <c r="P28" i="160"/>
  <c r="P17" i="156"/>
  <c r="P31" i="155"/>
  <c r="N27" i="156"/>
  <c r="O27" i="156"/>
  <c r="M27" i="156"/>
  <c r="N7" i="161"/>
  <c r="O7" i="161"/>
  <c r="K41" i="161"/>
  <c r="M7" i="161"/>
  <c r="L7" i="161" s="1"/>
  <c r="O27" i="160"/>
  <c r="M27" i="160"/>
  <c r="N27" i="160"/>
  <c r="P37" i="160"/>
  <c r="O24" i="159"/>
  <c r="N24" i="159"/>
  <c r="M24" i="159"/>
  <c r="L24" i="159" s="1"/>
  <c r="P7" i="159"/>
  <c r="P41" i="159" s="1"/>
  <c r="O29" i="159"/>
  <c r="N29" i="159"/>
  <c r="M29" i="159"/>
  <c r="P20" i="155"/>
  <c r="N8" i="159"/>
  <c r="M8" i="159"/>
  <c r="O8" i="159"/>
  <c r="AB41" i="159"/>
  <c r="P10" i="162"/>
  <c r="O35" i="157"/>
  <c r="N35" i="157"/>
  <c r="M35" i="157"/>
  <c r="M9" i="160"/>
  <c r="L9" i="160" s="1"/>
  <c r="N9" i="160"/>
  <c r="O9" i="160"/>
  <c r="AC41" i="161"/>
  <c r="O35" i="161"/>
  <c r="N35" i="161"/>
  <c r="L35" i="161" s="1"/>
  <c r="M35" i="161"/>
  <c r="N10" i="160"/>
  <c r="M10" i="160"/>
  <c r="L10" i="160" s="1"/>
  <c r="O10" i="160"/>
  <c r="P37" i="161"/>
  <c r="P22" i="162"/>
  <c r="P29" i="156"/>
  <c r="N22" i="156"/>
  <c r="O22" i="156"/>
  <c r="M22" i="156"/>
  <c r="P39" i="161"/>
  <c r="P35" i="160"/>
  <c r="P23" i="159"/>
  <c r="M16" i="160"/>
  <c r="N16" i="160"/>
  <c r="O16" i="160"/>
  <c r="M15" i="161"/>
  <c r="O15" i="161"/>
  <c r="N15" i="161"/>
  <c r="L15" i="161"/>
  <c r="P16" i="162"/>
  <c r="AC41" i="155"/>
  <c r="O23" i="160"/>
  <c r="M23" i="160"/>
  <c r="N23" i="160"/>
  <c r="L23" i="160"/>
  <c r="M36" i="159"/>
  <c r="L36" i="159" s="1"/>
  <c r="O36" i="159"/>
  <c r="N36" i="159"/>
  <c r="AC41" i="157"/>
  <c r="M38" i="160"/>
  <c r="N38" i="160"/>
  <c r="O38" i="160"/>
  <c r="L38" i="160"/>
  <c r="N34" i="162"/>
  <c r="M34" i="162"/>
  <c r="O34" i="162"/>
  <c r="M33" i="160"/>
  <c r="L33" i="160" s="1"/>
  <c r="N33" i="160"/>
  <c r="O33" i="160"/>
  <c r="N21" i="162"/>
  <c r="M21" i="162"/>
  <c r="L21" i="162" s="1"/>
  <c r="O21" i="162"/>
  <c r="P13" i="157"/>
  <c r="P31" i="156"/>
  <c r="N30" i="159"/>
  <c r="O30" i="159"/>
  <c r="M30" i="159"/>
  <c r="L30" i="159" s="1"/>
  <c r="O37" i="157"/>
  <c r="M37" i="157"/>
  <c r="N37" i="157"/>
  <c r="M13" i="156"/>
  <c r="N13" i="156"/>
  <c r="O13" i="156"/>
  <c r="P20" i="162"/>
  <c r="O13" i="159"/>
  <c r="N13" i="159"/>
  <c r="M13" i="159"/>
  <c r="N11" i="160"/>
  <c r="M11" i="160"/>
  <c r="O11" i="160"/>
  <c r="L11" i="160"/>
  <c r="M10" i="159"/>
  <c r="L10" i="159" s="1"/>
  <c r="N10" i="159"/>
  <c r="O10" i="159"/>
  <c r="P12" i="160"/>
  <c r="P24" i="157"/>
  <c r="L30" i="163" l="1"/>
  <c r="L16" i="160"/>
  <c r="L22" i="156"/>
  <c r="L12" i="160"/>
  <c r="L23" i="161"/>
  <c r="L20" i="161"/>
  <c r="L13" i="157"/>
  <c r="L39" i="156"/>
  <c r="P41" i="161"/>
  <c r="L9" i="156"/>
  <c r="L20" i="160"/>
  <c r="L15" i="157"/>
  <c r="L31" i="160"/>
  <c r="L25" i="162"/>
  <c r="L32" i="160"/>
  <c r="L24" i="160"/>
  <c r="L8" i="155"/>
  <c r="L17" i="156"/>
  <c r="L34" i="162"/>
  <c r="L27" i="156"/>
  <c r="L39" i="159"/>
  <c r="L23" i="159"/>
  <c r="L18" i="162"/>
  <c r="L23" i="155"/>
  <c r="L28" i="159"/>
  <c r="L38" i="155"/>
  <c r="L33" i="162"/>
  <c r="L17" i="155"/>
  <c r="L39" i="163"/>
  <c r="L39" i="160"/>
  <c r="L25" i="160"/>
  <c r="L16" i="155"/>
  <c r="L8" i="156"/>
  <c r="L9" i="162"/>
  <c r="L30" i="162"/>
  <c r="L29" i="160"/>
  <c r="L8" i="159"/>
  <c r="L27" i="160"/>
  <c r="L33" i="163"/>
  <c r="L15" i="159"/>
  <c r="L39" i="157"/>
  <c r="L12" i="162"/>
  <c r="L17" i="162"/>
  <c r="P41" i="155"/>
  <c r="L14" i="160"/>
  <c r="L20" i="157"/>
  <c r="L38" i="159"/>
  <c r="L28" i="155"/>
  <c r="L38" i="157"/>
  <c r="P44" i="160"/>
  <c r="L35" i="157"/>
  <c r="L30" i="157"/>
  <c r="L21" i="160"/>
  <c r="L30" i="156"/>
  <c r="L32" i="156"/>
  <c r="L12" i="159"/>
  <c r="L31" i="156"/>
  <c r="L18" i="163"/>
  <c r="L18" i="159"/>
  <c r="L13" i="160"/>
  <c r="L41" i="160" s="1"/>
  <c r="L14" i="161"/>
  <c r="L37" i="159"/>
  <c r="L36" i="161"/>
  <c r="L32" i="159"/>
  <c r="L11" i="159"/>
  <c r="P41" i="162"/>
  <c r="L29" i="163"/>
  <c r="L35" i="155"/>
  <c r="L32" i="162"/>
  <c r="L13" i="156"/>
  <c r="L35" i="160"/>
  <c r="L37" i="156"/>
  <c r="L29" i="162"/>
  <c r="L15" i="160"/>
  <c r="L7" i="155"/>
  <c r="L27" i="159"/>
  <c r="L37" i="155"/>
  <c r="L12" i="155"/>
  <c r="L13" i="159"/>
  <c r="L37" i="157"/>
  <c r="L41" i="157" s="1"/>
  <c r="L29" i="159"/>
  <c r="P41" i="156"/>
  <c r="L17" i="163"/>
  <c r="L36" i="155"/>
  <c r="L16" i="162"/>
  <c r="L29" i="161"/>
  <c r="L7" i="156"/>
  <c r="L22" i="153"/>
  <c r="L30" i="161"/>
  <c r="L41" i="161" s="1"/>
  <c r="L11" i="162"/>
  <c r="L15" i="156"/>
  <c r="L8" i="162"/>
  <c r="L41" i="155"/>
  <c r="N41" i="156"/>
  <c r="L41" i="159"/>
  <c r="O41" i="162"/>
  <c r="O14" i="163"/>
  <c r="M14" i="163"/>
  <c r="N14" i="163"/>
  <c r="N13" i="163"/>
  <c r="O13" i="163"/>
  <c r="M13" i="163"/>
  <c r="O41" i="155"/>
  <c r="O41" i="159"/>
  <c r="N41" i="162"/>
  <c r="M41" i="161"/>
  <c r="N32" i="163"/>
  <c r="O32" i="163"/>
  <c r="M32" i="163"/>
  <c r="O41" i="160"/>
  <c r="M41" i="155"/>
  <c r="O41" i="156"/>
  <c r="M41" i="162"/>
  <c r="N41" i="160"/>
  <c r="O26" i="163"/>
  <c r="N26" i="163"/>
  <c r="M26" i="163"/>
  <c r="L26" i="163" s="1"/>
  <c r="M41" i="159"/>
  <c r="O36" i="163"/>
  <c r="M36" i="163"/>
  <c r="N36" i="163"/>
  <c r="O41" i="161"/>
  <c r="M41" i="160"/>
  <c r="N41" i="155"/>
  <c r="N41" i="159"/>
  <c r="N41" i="161"/>
  <c r="N23" i="163"/>
  <c r="M23" i="163"/>
  <c r="O23" i="163"/>
  <c r="N41" i="157"/>
  <c r="M41" i="157"/>
  <c r="N34" i="163"/>
  <c r="M34" i="163"/>
  <c r="O34" i="163"/>
  <c r="M41" i="156"/>
  <c r="L41" i="162"/>
  <c r="O41" i="157"/>
  <c r="N28" i="163"/>
  <c r="M28" i="163"/>
  <c r="O28" i="163"/>
  <c r="AB8" i="154"/>
  <c r="AC8" i="154"/>
  <c r="K8" i="154"/>
  <c r="L32" i="163" l="1"/>
  <c r="L34" i="163"/>
  <c r="L13" i="163"/>
  <c r="L28" i="163"/>
  <c r="L41" i="156"/>
  <c r="L23" i="163"/>
  <c r="L14" i="163"/>
  <c r="L36" i="163"/>
  <c r="P8" i="154"/>
  <c r="O8" i="154"/>
  <c r="M8" i="154"/>
  <c r="L8" i="154" s="1"/>
  <c r="N8" i="154"/>
  <c r="AB26" i="154"/>
  <c r="K26" i="154"/>
  <c r="AC26" i="154"/>
  <c r="AC10" i="154"/>
  <c r="K10" i="154"/>
  <c r="AB10" i="154"/>
  <c r="AC30" i="154"/>
  <c r="K30" i="154"/>
  <c r="AB30" i="154"/>
  <c r="K18" i="154"/>
  <c r="AC18" i="154"/>
  <c r="AB18" i="154"/>
  <c r="K35" i="154"/>
  <c r="AC35" i="154"/>
  <c r="AB35" i="154"/>
  <c r="AC25" i="154"/>
  <c r="AB25" i="154"/>
  <c r="K25" i="154"/>
  <c r="AB12" i="154"/>
  <c r="AC12" i="154"/>
  <c r="K12" i="154"/>
  <c r="AC21" i="154"/>
  <c r="K21" i="154"/>
  <c r="AB21" i="154"/>
  <c r="N18" i="154" l="1"/>
  <c r="O18" i="154"/>
  <c r="M18" i="154"/>
  <c r="L18" i="154"/>
  <c r="O12" i="154"/>
  <c r="N12" i="154"/>
  <c r="M12" i="154"/>
  <c r="L12" i="154" s="1"/>
  <c r="N25" i="154"/>
  <c r="L25" i="154" s="1"/>
  <c r="O25" i="154"/>
  <c r="M25" i="154"/>
  <c r="M35" i="154"/>
  <c r="N35" i="154"/>
  <c r="O35" i="154"/>
  <c r="L35" i="154" s="1"/>
  <c r="P18" i="154"/>
  <c r="P26" i="154"/>
  <c r="P12" i="154"/>
  <c r="P25" i="154"/>
  <c r="N30" i="154"/>
  <c r="L30" i="154" s="1"/>
  <c r="O30" i="154"/>
  <c r="M30" i="154"/>
  <c r="O10" i="154"/>
  <c r="N10" i="154"/>
  <c r="M10" i="154"/>
  <c r="L10" i="154"/>
  <c r="P10" i="154"/>
  <c r="P21" i="154"/>
  <c r="P30" i="154"/>
  <c r="M21" i="154"/>
  <c r="N21" i="154"/>
  <c r="O21" i="154"/>
  <c r="P35" i="154"/>
  <c r="N26" i="154"/>
  <c r="M26" i="154"/>
  <c r="O26" i="154"/>
  <c r="AB39" i="154"/>
  <c r="AC39" i="154"/>
  <c r="K39" i="154"/>
  <c r="K13" i="154"/>
  <c r="AC13" i="154"/>
  <c r="AB13" i="154"/>
  <c r="AC31" i="154"/>
  <c r="K31" i="154"/>
  <c r="AB31" i="154"/>
  <c r="K32" i="154"/>
  <c r="AB32" i="154"/>
  <c r="AC32" i="154"/>
  <c r="K33" i="154"/>
  <c r="AB33" i="154"/>
  <c r="AC33" i="154"/>
  <c r="K14" i="154"/>
  <c r="AC14" i="154"/>
  <c r="AB14" i="154"/>
  <c r="K38" i="154"/>
  <c r="AB38" i="154"/>
  <c r="AC38" i="154"/>
  <c r="AB29" i="154"/>
  <c r="K29" i="154"/>
  <c r="AC29" i="154"/>
  <c r="K34" i="154"/>
  <c r="AB34" i="154"/>
  <c r="AC34" i="154"/>
  <c r="AB23" i="154"/>
  <c r="AC23" i="154"/>
  <c r="K23" i="154"/>
  <c r="AB11" i="154"/>
  <c r="AC11" i="154"/>
  <c r="K11" i="154"/>
  <c r="K15" i="154"/>
  <c r="AC15" i="154"/>
  <c r="AB15" i="154"/>
  <c r="K17" i="154"/>
  <c r="AB17" i="154"/>
  <c r="AC17" i="154"/>
  <c r="AC20" i="154"/>
  <c r="K20" i="154"/>
  <c r="AB20" i="154"/>
  <c r="AB28" i="154"/>
  <c r="AC28" i="154"/>
  <c r="K28" i="154"/>
  <c r="AB36" i="154"/>
  <c r="AC36" i="154"/>
  <c r="K36" i="154"/>
  <c r="AC37" i="154"/>
  <c r="K37" i="154"/>
  <c r="AB37" i="154"/>
  <c r="AB24" i="154"/>
  <c r="K24" i="154"/>
  <c r="AC24" i="154"/>
  <c r="AC22" i="154"/>
  <c r="AB22" i="154"/>
  <c r="K22" i="154"/>
  <c r="AB27" i="154"/>
  <c r="AC27" i="154"/>
  <c r="K27" i="154"/>
  <c r="AC16" i="154"/>
  <c r="AB16" i="154"/>
  <c r="K16" i="154"/>
  <c r="AB9" i="154"/>
  <c r="AC9" i="154"/>
  <c r="K9" i="154"/>
  <c r="AB7" i="154"/>
  <c r="K7" i="154"/>
  <c r="AC7" i="154"/>
  <c r="L21" i="154" l="1"/>
  <c r="L26" i="154"/>
  <c r="P7" i="154"/>
  <c r="P8" i="164" s="1"/>
  <c r="M24" i="154"/>
  <c r="O24" i="154"/>
  <c r="N24" i="154"/>
  <c r="L24" i="154" s="1"/>
  <c r="P36" i="154"/>
  <c r="N28" i="154"/>
  <c r="M28" i="154"/>
  <c r="O28" i="154"/>
  <c r="P23" i="154"/>
  <c r="P29" i="154"/>
  <c r="M15" i="154"/>
  <c r="L15" i="154" s="1"/>
  <c r="O15" i="154"/>
  <c r="N15" i="154"/>
  <c r="O29" i="154"/>
  <c r="M29" i="154"/>
  <c r="N29" i="154"/>
  <c r="L29" i="154"/>
  <c r="P32" i="154"/>
  <c r="P28" i="154"/>
  <c r="N11" i="154"/>
  <c r="M11" i="154"/>
  <c r="O11" i="154"/>
  <c r="M14" i="154"/>
  <c r="N14" i="154"/>
  <c r="O14" i="154"/>
  <c r="M13" i="154"/>
  <c r="O13" i="154"/>
  <c r="N13" i="154"/>
  <c r="O16" i="154"/>
  <c r="N16" i="154"/>
  <c r="M16" i="154"/>
  <c r="M17" i="154"/>
  <c r="O17" i="154"/>
  <c r="N17" i="154"/>
  <c r="P11" i="154"/>
  <c r="P14" i="154"/>
  <c r="N32" i="154"/>
  <c r="O32" i="154"/>
  <c r="M32" i="154"/>
  <c r="P13" i="154"/>
  <c r="N37" i="154"/>
  <c r="O37" i="154"/>
  <c r="M37" i="154"/>
  <c r="L37" i="154"/>
  <c r="P9" i="154"/>
  <c r="P37" i="154"/>
  <c r="P17" i="154"/>
  <c r="P38" i="154"/>
  <c r="P31" i="154"/>
  <c r="P39" i="154"/>
  <c r="M22" i="154"/>
  <c r="O22" i="154"/>
  <c r="N22" i="154"/>
  <c r="L22" i="154"/>
  <c r="M39" i="154"/>
  <c r="L39" i="154" s="1"/>
  <c r="O39" i="154"/>
  <c r="N39" i="154"/>
  <c r="M7" i="154"/>
  <c r="O7" i="154"/>
  <c r="N7" i="154"/>
  <c r="K41" i="154"/>
  <c r="L7" i="154"/>
  <c r="M34" i="154"/>
  <c r="L34" i="154" s="1"/>
  <c r="N34" i="154"/>
  <c r="O34" i="154"/>
  <c r="O27" i="154"/>
  <c r="N27" i="154"/>
  <c r="M27" i="154"/>
  <c r="P24" i="154"/>
  <c r="N20" i="154"/>
  <c r="O20" i="154"/>
  <c r="M20" i="154"/>
  <c r="L20" i="154" s="1"/>
  <c r="P34" i="154"/>
  <c r="M38" i="154"/>
  <c r="N38" i="154"/>
  <c r="O38" i="154"/>
  <c r="P33" i="154"/>
  <c r="O31" i="154"/>
  <c r="M31" i="154"/>
  <c r="L31" i="154" s="1"/>
  <c r="N31" i="154"/>
  <c r="M9" i="154"/>
  <c r="N9" i="154"/>
  <c r="O9" i="154"/>
  <c r="L9" i="154" s="1"/>
  <c r="P16" i="154"/>
  <c r="P22" i="154"/>
  <c r="P27" i="154"/>
  <c r="O36" i="154"/>
  <c r="N36" i="154"/>
  <c r="M36" i="154"/>
  <c r="L36" i="154" s="1"/>
  <c r="P20" i="154"/>
  <c r="P15" i="154"/>
  <c r="M23" i="154"/>
  <c r="L23" i="154" s="1"/>
  <c r="N23" i="154"/>
  <c r="O23" i="154"/>
  <c r="M33" i="154"/>
  <c r="O33" i="154"/>
  <c r="N33" i="154"/>
  <c r="L33" i="154"/>
  <c r="P6" i="154"/>
  <c r="AB6" i="154"/>
  <c r="AB41" i="154" s="1"/>
  <c r="AC6" i="154"/>
  <c r="AC41" i="154" s="1"/>
  <c r="L38" i="154" l="1"/>
  <c r="L14" i="154"/>
  <c r="L27" i="154"/>
  <c r="L16" i="154"/>
  <c r="L11" i="154"/>
  <c r="L13" i="154"/>
  <c r="H7" i="165"/>
  <c r="L28" i="154"/>
  <c r="L17" i="154"/>
  <c r="L32" i="154"/>
  <c r="L41" i="154"/>
  <c r="P41" i="154"/>
  <c r="N41" i="154"/>
  <c r="O41" i="154"/>
  <c r="M41" i="154"/>
  <c r="K21" i="153" l="1"/>
  <c r="AB21" i="153"/>
  <c r="AC21" i="153"/>
  <c r="AB11" i="153"/>
  <c r="AC11" i="153"/>
  <c r="K11" i="153"/>
  <c r="M11" i="153" l="1"/>
  <c r="O11" i="153"/>
  <c r="N11" i="153"/>
  <c r="L11" i="153" s="1"/>
  <c r="P21" i="153"/>
  <c r="P11" i="153"/>
  <c r="N21" i="153"/>
  <c r="M21" i="153"/>
  <c r="O21" i="153"/>
  <c r="L21" i="153"/>
  <c r="K25" i="153"/>
  <c r="AB25" i="153"/>
  <c r="AC25" i="153"/>
  <c r="K8" i="153"/>
  <c r="AB8" i="153"/>
  <c r="AC8" i="153"/>
  <c r="AC26" i="153"/>
  <c r="K26" i="153"/>
  <c r="AB26" i="153"/>
  <c r="P26" i="153" l="1"/>
  <c r="P25" i="153"/>
  <c r="M26" i="153"/>
  <c r="O26" i="153"/>
  <c r="N26" i="153"/>
  <c r="O25" i="153"/>
  <c r="N25" i="153"/>
  <c r="L25" i="153" s="1"/>
  <c r="M25" i="153"/>
  <c r="P8" i="153"/>
  <c r="O8" i="153"/>
  <c r="N8" i="153"/>
  <c r="M8" i="153"/>
  <c r="L8" i="153" s="1"/>
  <c r="K34" i="153"/>
  <c r="AB34" i="153"/>
  <c r="AC34" i="153"/>
  <c r="K32" i="153"/>
  <c r="AC32" i="153"/>
  <c r="AB32" i="153"/>
  <c r="AC17" i="153"/>
  <c r="K17" i="153"/>
  <c r="AB17" i="153"/>
  <c r="AB18" i="153"/>
  <c r="K18" i="153"/>
  <c r="AC18" i="153"/>
  <c r="K34" i="150"/>
  <c r="AB34" i="150"/>
  <c r="AC34" i="150"/>
  <c r="AC35" i="164" s="1"/>
  <c r="K30" i="150"/>
  <c r="AB30" i="150"/>
  <c r="AC30" i="150"/>
  <c r="L26" i="153" l="1"/>
  <c r="P34" i="150"/>
  <c r="P35" i="164" s="1"/>
  <c r="M32" i="153"/>
  <c r="N32" i="153"/>
  <c r="O32" i="153"/>
  <c r="L32" i="153" s="1"/>
  <c r="M18" i="153"/>
  <c r="O18" i="153"/>
  <c r="N18" i="153"/>
  <c r="P17" i="153"/>
  <c r="O30" i="150"/>
  <c r="N30" i="150"/>
  <c r="M30" i="150"/>
  <c r="L30" i="150" s="1"/>
  <c r="F30" i="150" s="1"/>
  <c r="P30" i="150"/>
  <c r="P18" i="153"/>
  <c r="P34" i="153"/>
  <c r="M34" i="153"/>
  <c r="N34" i="153"/>
  <c r="O34" i="153"/>
  <c r="N17" i="153"/>
  <c r="O17" i="153"/>
  <c r="M17" i="153"/>
  <c r="L17" i="153" s="1"/>
  <c r="AB35" i="164"/>
  <c r="M34" i="150"/>
  <c r="M35" i="164" s="1"/>
  <c r="N34" i="150"/>
  <c r="N35" i="164" s="1"/>
  <c r="K35" i="164"/>
  <c r="O34" i="150"/>
  <c r="P32" i="153"/>
  <c r="AB30" i="153"/>
  <c r="AB31" i="164" s="1"/>
  <c r="K30" i="153"/>
  <c r="AC30" i="153"/>
  <c r="AC31" i="164" s="1"/>
  <c r="AB14" i="153"/>
  <c r="K14" i="153"/>
  <c r="AC14" i="153"/>
  <c r="AB16" i="153"/>
  <c r="K16" i="153"/>
  <c r="AC16" i="153"/>
  <c r="K20" i="153"/>
  <c r="AC20" i="153"/>
  <c r="AB20" i="153"/>
  <c r="AB39" i="153"/>
  <c r="AC39" i="153"/>
  <c r="K39" i="153"/>
  <c r="AC36" i="153"/>
  <c r="K36" i="153"/>
  <c r="AB36" i="153"/>
  <c r="AB31" i="153"/>
  <c r="K31" i="153"/>
  <c r="AC31" i="153"/>
  <c r="K27" i="153"/>
  <c r="AB27" i="153"/>
  <c r="AC27" i="153"/>
  <c r="P6" i="153"/>
  <c r="AB6" i="153"/>
  <c r="AC6" i="153"/>
  <c r="K28" i="153"/>
  <c r="AB28" i="153"/>
  <c r="AC28" i="153"/>
  <c r="K23" i="153"/>
  <c r="AC23" i="153"/>
  <c r="AB23" i="153"/>
  <c r="AC38" i="153"/>
  <c r="AB38" i="153"/>
  <c r="K38" i="153"/>
  <c r="K29" i="153"/>
  <c r="AC29" i="153"/>
  <c r="AB29" i="153"/>
  <c r="AB24" i="153"/>
  <c r="K24" i="153"/>
  <c r="AC24" i="153"/>
  <c r="K35" i="153"/>
  <c r="AC35" i="153"/>
  <c r="AB35" i="153"/>
  <c r="AC13" i="153"/>
  <c r="AB13" i="153"/>
  <c r="K13" i="153"/>
  <c r="K15" i="153"/>
  <c r="AC15" i="153"/>
  <c r="AB15" i="153"/>
  <c r="AB10" i="153"/>
  <c r="K10" i="153"/>
  <c r="AC10" i="153"/>
  <c r="AC9" i="153"/>
  <c r="K9" i="153"/>
  <c r="AB9" i="153"/>
  <c r="AB12" i="153"/>
  <c r="K12" i="153"/>
  <c r="AC12" i="153"/>
  <c r="AB37" i="153"/>
  <c r="AC37" i="153"/>
  <c r="K37" i="153"/>
  <c r="K33" i="153"/>
  <c r="AB33" i="153"/>
  <c r="AC33" i="153"/>
  <c r="L34" i="153" l="1"/>
  <c r="F34" i="165"/>
  <c r="E34" i="165"/>
  <c r="H34" i="165"/>
  <c r="L18" i="153"/>
  <c r="P9" i="153"/>
  <c r="M31" i="153"/>
  <c r="L31" i="153" s="1"/>
  <c r="O31" i="153"/>
  <c r="N31" i="153"/>
  <c r="P16" i="153"/>
  <c r="M14" i="153"/>
  <c r="O14" i="153"/>
  <c r="N14" i="153"/>
  <c r="O13" i="153"/>
  <c r="M13" i="153"/>
  <c r="N13" i="153"/>
  <c r="L13" i="153"/>
  <c r="M12" i="153"/>
  <c r="L12" i="153" s="1"/>
  <c r="N12" i="153"/>
  <c r="O12" i="153"/>
  <c r="O10" i="153"/>
  <c r="M10" i="153"/>
  <c r="N10" i="153"/>
  <c r="L10" i="153" s="1"/>
  <c r="P29" i="153"/>
  <c r="P31" i="153"/>
  <c r="N16" i="153"/>
  <c r="L16" i="153" s="1"/>
  <c r="M16" i="153"/>
  <c r="O16" i="153"/>
  <c r="L34" i="150"/>
  <c r="N15" i="153"/>
  <c r="O15" i="153"/>
  <c r="M15" i="153"/>
  <c r="P35" i="153"/>
  <c r="M29" i="153"/>
  <c r="O29" i="153"/>
  <c r="N29" i="153"/>
  <c r="L29" i="153" s="1"/>
  <c r="O28" i="153"/>
  <c r="L28" i="153" s="1"/>
  <c r="M28" i="153"/>
  <c r="N28" i="153"/>
  <c r="O33" i="153"/>
  <c r="M33" i="153"/>
  <c r="N33" i="153"/>
  <c r="P12" i="153"/>
  <c r="P10" i="153"/>
  <c r="P13" i="153"/>
  <c r="P24" i="153"/>
  <c r="P23" i="153"/>
  <c r="AC41" i="153"/>
  <c r="O27" i="153"/>
  <c r="N27" i="153"/>
  <c r="L27" i="153" s="1"/>
  <c r="M27" i="153"/>
  <c r="P39" i="153"/>
  <c r="O35" i="164"/>
  <c r="AB41" i="153"/>
  <c r="P36" i="153"/>
  <c r="P20" i="153"/>
  <c r="P30" i="153"/>
  <c r="P31" i="164" s="1"/>
  <c r="N23" i="153"/>
  <c r="M23" i="153"/>
  <c r="O23" i="153"/>
  <c r="K31" i="164"/>
  <c r="O30" i="153"/>
  <c r="O31" i="164" s="1"/>
  <c r="N30" i="153"/>
  <c r="N31" i="164" s="1"/>
  <c r="M30" i="153"/>
  <c r="M31" i="164" s="1"/>
  <c r="P33" i="153"/>
  <c r="P15" i="153"/>
  <c r="N24" i="153"/>
  <c r="M24" i="153"/>
  <c r="O24" i="153"/>
  <c r="P37" i="153"/>
  <c r="M9" i="153"/>
  <c r="N9" i="153"/>
  <c r="O9" i="153"/>
  <c r="K41" i="153"/>
  <c r="P38" i="153"/>
  <c r="P28" i="153"/>
  <c r="M36" i="153"/>
  <c r="L36" i="153" s="1"/>
  <c r="O36" i="153"/>
  <c r="N36" i="153"/>
  <c r="O37" i="153"/>
  <c r="M37" i="153"/>
  <c r="N37" i="153"/>
  <c r="N35" i="153"/>
  <c r="O35" i="153"/>
  <c r="M35" i="153"/>
  <c r="M38" i="153"/>
  <c r="O38" i="153"/>
  <c r="N38" i="153"/>
  <c r="N20" i="153"/>
  <c r="M20" i="153"/>
  <c r="O20" i="153"/>
  <c r="P14" i="153"/>
  <c r="P27" i="153"/>
  <c r="M39" i="153"/>
  <c r="O39" i="153"/>
  <c r="N39" i="153"/>
  <c r="AC20" i="150"/>
  <c r="AB20" i="150"/>
  <c r="K20" i="150"/>
  <c r="H30" i="165" l="1"/>
  <c r="L20" i="153"/>
  <c r="E30" i="165"/>
  <c r="L33" i="153"/>
  <c r="F30" i="165"/>
  <c r="L35" i="153"/>
  <c r="L39" i="153"/>
  <c r="L37" i="153"/>
  <c r="L24" i="153"/>
  <c r="G30" i="165"/>
  <c r="G34" i="165"/>
  <c r="L38" i="153"/>
  <c r="L23" i="153"/>
  <c r="L15" i="153"/>
  <c r="P41" i="153"/>
  <c r="N41" i="153"/>
  <c r="L14" i="153"/>
  <c r="L30" i="153"/>
  <c r="L31" i="164" s="1"/>
  <c r="M20" i="150"/>
  <c r="L20" i="150" s="1"/>
  <c r="F20" i="150" s="1"/>
  <c r="O20" i="150"/>
  <c r="N20" i="150"/>
  <c r="L9" i="153"/>
  <c r="P20" i="150"/>
  <c r="P21" i="164" s="1"/>
  <c r="O41" i="153"/>
  <c r="M41" i="153"/>
  <c r="L35" i="164"/>
  <c r="F34" i="150"/>
  <c r="AC38" i="150"/>
  <c r="AB38" i="150"/>
  <c r="K38" i="150"/>
  <c r="AB35" i="150"/>
  <c r="K35" i="150"/>
  <c r="AC35" i="150"/>
  <c r="AB32" i="150"/>
  <c r="AB33" i="164" s="1"/>
  <c r="K32" i="150"/>
  <c r="AC32" i="150"/>
  <c r="AC33" i="164" s="1"/>
  <c r="H20" i="165" l="1"/>
  <c r="D30" i="165"/>
  <c r="L41" i="153"/>
  <c r="P35" i="150"/>
  <c r="P36" i="164" s="1"/>
  <c r="O35" i="150"/>
  <c r="N35" i="150"/>
  <c r="M35" i="150"/>
  <c r="L35" i="150" s="1"/>
  <c r="F35" i="150" s="1"/>
  <c r="D34" i="165"/>
  <c r="K2" i="164"/>
  <c r="P38" i="150"/>
  <c r="P39" i="164" s="1"/>
  <c r="N32" i="150"/>
  <c r="N33" i="164" s="1"/>
  <c r="O32" i="150"/>
  <c r="O33" i="164" s="1"/>
  <c r="K33" i="164"/>
  <c r="M32" i="150"/>
  <c r="M33" i="164" s="1"/>
  <c r="O38" i="150"/>
  <c r="M38" i="150"/>
  <c r="L38" i="150" s="1"/>
  <c r="F38" i="150" s="1"/>
  <c r="N38" i="150"/>
  <c r="P32" i="150"/>
  <c r="P33" i="164" s="1"/>
  <c r="AC24" i="150"/>
  <c r="AB24" i="150"/>
  <c r="K24" i="150"/>
  <c r="AC22" i="150"/>
  <c r="K22" i="150"/>
  <c r="AB22" i="150"/>
  <c r="K21" i="150"/>
  <c r="AC21" i="150"/>
  <c r="AB21" i="150"/>
  <c r="K14" i="150"/>
  <c r="AB14" i="150"/>
  <c r="AB15" i="164" s="1"/>
  <c r="AC14" i="150"/>
  <c r="AC15" i="164" s="1"/>
  <c r="AC26" i="150"/>
  <c r="AC27" i="164" s="1"/>
  <c r="AB26" i="150"/>
  <c r="AB27" i="164" s="1"/>
  <c r="AB28" i="150"/>
  <c r="AB29" i="164" s="1"/>
  <c r="AC28" i="150"/>
  <c r="AC29" i="164" s="1"/>
  <c r="K28" i="150"/>
  <c r="AB23" i="150"/>
  <c r="AB24" i="164" s="1"/>
  <c r="AC23" i="150"/>
  <c r="AC24" i="164" s="1"/>
  <c r="K23" i="150"/>
  <c r="AC27" i="150"/>
  <c r="AB27" i="150"/>
  <c r="K27" i="150"/>
  <c r="K8" i="150"/>
  <c r="AB8" i="150"/>
  <c r="AC8" i="150"/>
  <c r="K39" i="150"/>
  <c r="AC39" i="150"/>
  <c r="AC40" i="164" s="1"/>
  <c r="AB39" i="150"/>
  <c r="AB40" i="164" s="1"/>
  <c r="AB13" i="150"/>
  <c r="AB14" i="164" s="1"/>
  <c r="AC13" i="150"/>
  <c r="AC14" i="164" s="1"/>
  <c r="K13" i="150"/>
  <c r="P6" i="150"/>
  <c r="AC6" i="150"/>
  <c r="AB6" i="150"/>
  <c r="AB36" i="150"/>
  <c r="AB37" i="164" s="1"/>
  <c r="K36" i="150"/>
  <c r="AC36" i="150"/>
  <c r="AC37" i="164" s="1"/>
  <c r="K11" i="150"/>
  <c r="AC11" i="150"/>
  <c r="AB11" i="150"/>
  <c r="K29" i="150"/>
  <c r="AB29" i="150"/>
  <c r="AB30" i="164" s="1"/>
  <c r="AC29" i="150"/>
  <c r="AC30" i="164" s="1"/>
  <c r="K10" i="150"/>
  <c r="AB10" i="150"/>
  <c r="AC10" i="150"/>
  <c r="K25" i="150"/>
  <c r="AB25" i="150"/>
  <c r="AC25" i="150"/>
  <c r="AC31" i="150"/>
  <c r="AB31" i="150"/>
  <c r="K31" i="150"/>
  <c r="AC12" i="150"/>
  <c r="K12" i="150"/>
  <c r="AB12" i="150"/>
  <c r="K18" i="150"/>
  <c r="AC18" i="150"/>
  <c r="AB18" i="150"/>
  <c r="K9" i="150"/>
  <c r="AC9" i="150"/>
  <c r="AB9" i="150"/>
  <c r="AB16" i="150"/>
  <c r="K16" i="150"/>
  <c r="AC16" i="150"/>
  <c r="K17" i="150"/>
  <c r="AC17" i="150"/>
  <c r="AC18" i="164" s="1"/>
  <c r="AB17" i="150"/>
  <c r="AB18" i="164" s="1"/>
  <c r="AB37" i="150"/>
  <c r="K37" i="150"/>
  <c r="AC37" i="150"/>
  <c r="K33" i="150"/>
  <c r="AC33" i="150"/>
  <c r="AC34" i="164" s="1"/>
  <c r="AB33" i="150"/>
  <c r="AB34" i="164" s="1"/>
  <c r="K15" i="150"/>
  <c r="AC15" i="150"/>
  <c r="AB15" i="150"/>
  <c r="F32" i="165" l="1"/>
  <c r="H38" i="165"/>
  <c r="H35" i="165"/>
  <c r="L32" i="150"/>
  <c r="F32" i="150" s="1"/>
  <c r="E32" i="165"/>
  <c r="H32" i="165"/>
  <c r="G32" i="165"/>
  <c r="P28" i="150"/>
  <c r="P29" i="164" s="1"/>
  <c r="K34" i="164"/>
  <c r="N33" i="150"/>
  <c r="N34" i="164" s="1"/>
  <c r="M33" i="150"/>
  <c r="M34" i="164" s="1"/>
  <c r="O33" i="150"/>
  <c r="O34" i="164" s="1"/>
  <c r="P9" i="150"/>
  <c r="P10" i="164" s="1"/>
  <c r="N9" i="150"/>
  <c r="M9" i="150"/>
  <c r="O9" i="150"/>
  <c r="O31" i="150"/>
  <c r="M31" i="150"/>
  <c r="N31" i="150"/>
  <c r="L31" i="150" s="1"/>
  <c r="P36" i="150"/>
  <c r="P37" i="164" s="1"/>
  <c r="M13" i="150"/>
  <c r="M14" i="164" s="1"/>
  <c r="O13" i="150"/>
  <c r="O14" i="164" s="1"/>
  <c r="K14" i="164"/>
  <c r="N13" i="150"/>
  <c r="N14" i="164" s="1"/>
  <c r="P8" i="150"/>
  <c r="P9" i="164" s="1"/>
  <c r="K15" i="164"/>
  <c r="N14" i="150"/>
  <c r="N15" i="164" s="1"/>
  <c r="M14" i="150"/>
  <c r="M15" i="164" s="1"/>
  <c r="O14" i="150"/>
  <c r="O15" i="164" s="1"/>
  <c r="M12" i="150"/>
  <c r="O12" i="150"/>
  <c r="N12" i="150"/>
  <c r="L12" i="150" s="1"/>
  <c r="P15" i="150"/>
  <c r="P16" i="164" s="1"/>
  <c r="M37" i="150"/>
  <c r="N37" i="150"/>
  <c r="O37" i="150"/>
  <c r="M16" i="150"/>
  <c r="O16" i="150"/>
  <c r="N16" i="150"/>
  <c r="L16" i="150" s="1"/>
  <c r="N25" i="150"/>
  <c r="M25" i="150"/>
  <c r="O25" i="150"/>
  <c r="P29" i="150"/>
  <c r="P30" i="164" s="1"/>
  <c r="K37" i="164"/>
  <c r="N36" i="150"/>
  <c r="N37" i="164" s="1"/>
  <c r="M36" i="150"/>
  <c r="M37" i="164" s="1"/>
  <c r="O36" i="150"/>
  <c r="O37" i="164" s="1"/>
  <c r="P26" i="150"/>
  <c r="P27" i="164" s="1"/>
  <c r="P27" i="150"/>
  <c r="P28" i="164" s="1"/>
  <c r="P33" i="150"/>
  <c r="P34" i="164" s="1"/>
  <c r="P18" i="150"/>
  <c r="P25" i="150"/>
  <c r="P26" i="164" s="1"/>
  <c r="O29" i="150"/>
  <c r="O30" i="164" s="1"/>
  <c r="M29" i="150"/>
  <c r="M30" i="164" s="1"/>
  <c r="N29" i="150"/>
  <c r="N30" i="164" s="1"/>
  <c r="K30" i="164"/>
  <c r="M23" i="150"/>
  <c r="M24" i="164" s="1"/>
  <c r="O23" i="150"/>
  <c r="O24" i="164" s="1"/>
  <c r="K24" i="164"/>
  <c r="N23" i="150"/>
  <c r="N24" i="164" s="1"/>
  <c r="K26" i="150"/>
  <c r="P21" i="150"/>
  <c r="P22" i="164" s="1"/>
  <c r="N17" i="150"/>
  <c r="N18" i="164" s="1"/>
  <c r="O17" i="150"/>
  <c r="O18" i="164" s="1"/>
  <c r="K18" i="164"/>
  <c r="M17" i="150"/>
  <c r="M18" i="164" s="1"/>
  <c r="P37" i="150"/>
  <c r="P38" i="164" s="1"/>
  <c r="P31" i="150"/>
  <c r="P32" i="164" s="1"/>
  <c r="O15" i="150"/>
  <c r="M15" i="150"/>
  <c r="N15" i="150"/>
  <c r="P16" i="150"/>
  <c r="P17" i="164" s="1"/>
  <c r="N18" i="150"/>
  <c r="M18" i="150"/>
  <c r="L18" i="150" s="1"/>
  <c r="O18" i="150"/>
  <c r="P11" i="150"/>
  <c r="P12" i="164" s="1"/>
  <c r="AB7" i="164"/>
  <c r="AB41" i="150"/>
  <c r="N8" i="150"/>
  <c r="L8" i="150" s="1"/>
  <c r="M8" i="150"/>
  <c r="O8" i="150"/>
  <c r="K41" i="150"/>
  <c r="P23" i="150"/>
  <c r="P24" i="164" s="1"/>
  <c r="M10" i="150"/>
  <c r="N10" i="150"/>
  <c r="O10" i="150"/>
  <c r="P17" i="150"/>
  <c r="P18" i="164" s="1"/>
  <c r="P12" i="150"/>
  <c r="P13" i="164" s="1"/>
  <c r="P39" i="150"/>
  <c r="P40" i="164" s="1"/>
  <c r="O27" i="150"/>
  <c r="M27" i="150"/>
  <c r="L27" i="150" s="1"/>
  <c r="N27" i="150"/>
  <c r="O21" i="150"/>
  <c r="N21" i="150"/>
  <c r="M21" i="150"/>
  <c r="AC7" i="164"/>
  <c r="AC41" i="150"/>
  <c r="O11" i="150"/>
  <c r="M11" i="150"/>
  <c r="N11" i="150"/>
  <c r="P7" i="164"/>
  <c r="N28" i="150"/>
  <c r="N29" i="164" s="1"/>
  <c r="M28" i="150"/>
  <c r="M29" i="164" s="1"/>
  <c r="K29" i="164"/>
  <c r="O28" i="150"/>
  <c r="O29" i="164" s="1"/>
  <c r="P14" i="150"/>
  <c r="P15" i="164" s="1"/>
  <c r="P22" i="150"/>
  <c r="P23" i="164" s="1"/>
  <c r="P24" i="150"/>
  <c r="P25" i="164" s="1"/>
  <c r="P10" i="150"/>
  <c r="P11" i="164" s="1"/>
  <c r="N24" i="150"/>
  <c r="M24" i="150"/>
  <c r="O24" i="150"/>
  <c r="L24" i="150"/>
  <c r="P13" i="150"/>
  <c r="P14" i="164" s="1"/>
  <c r="M39" i="150"/>
  <c r="M40" i="164" s="1"/>
  <c r="N39" i="150"/>
  <c r="N40" i="164" s="1"/>
  <c r="K40" i="164"/>
  <c r="O39" i="150"/>
  <c r="O40" i="164" s="1"/>
  <c r="M22" i="150"/>
  <c r="O22" i="150"/>
  <c r="N22" i="150"/>
  <c r="G32" i="150"/>
  <c r="F39" i="165" l="1"/>
  <c r="G14" i="165"/>
  <c r="G13" i="165"/>
  <c r="H28" i="165"/>
  <c r="L33" i="164"/>
  <c r="E39" i="165"/>
  <c r="G28" i="165"/>
  <c r="E17" i="165"/>
  <c r="F23" i="165"/>
  <c r="H25" i="165"/>
  <c r="H26" i="165"/>
  <c r="E14" i="165"/>
  <c r="E13" i="165"/>
  <c r="L9" i="150"/>
  <c r="H16" i="165"/>
  <c r="H13" i="165"/>
  <c r="H39" i="165"/>
  <c r="L10" i="150"/>
  <c r="H15" i="165"/>
  <c r="F14" i="165"/>
  <c r="H36" i="165"/>
  <c r="H9" i="165"/>
  <c r="H24" i="165"/>
  <c r="E28" i="165"/>
  <c r="L21" i="150"/>
  <c r="H23" i="165"/>
  <c r="H11" i="165"/>
  <c r="G17" i="165"/>
  <c r="G23" i="165"/>
  <c r="G36" i="165"/>
  <c r="L25" i="150"/>
  <c r="L22" i="150"/>
  <c r="F28" i="165"/>
  <c r="H12" i="165"/>
  <c r="L15" i="150"/>
  <c r="F15" i="150" s="1"/>
  <c r="F17" i="165"/>
  <c r="E23" i="165"/>
  <c r="E36" i="165"/>
  <c r="H8" i="165"/>
  <c r="G33" i="165"/>
  <c r="L39" i="150"/>
  <c r="H22" i="165"/>
  <c r="H31" i="165"/>
  <c r="H21" i="165"/>
  <c r="H33" i="165"/>
  <c r="F36" i="165"/>
  <c r="E33" i="165"/>
  <c r="G39" i="165"/>
  <c r="H17" i="165"/>
  <c r="F29" i="165"/>
  <c r="F13" i="165"/>
  <c r="F33" i="165"/>
  <c r="H10" i="165"/>
  <c r="G29" i="165"/>
  <c r="H14" i="165"/>
  <c r="L11" i="150"/>
  <c r="G11" i="150" s="1"/>
  <c r="H37" i="165"/>
  <c r="E29" i="165"/>
  <c r="H27" i="165"/>
  <c r="H29" i="165"/>
  <c r="L37" i="150"/>
  <c r="F37" i="150" s="1"/>
  <c r="L14" i="150"/>
  <c r="G14" i="150" s="1"/>
  <c r="G10" i="150"/>
  <c r="F10" i="150"/>
  <c r="G21" i="150"/>
  <c r="F21" i="150"/>
  <c r="F25" i="150"/>
  <c r="G25" i="150"/>
  <c r="G15" i="150"/>
  <c r="G16" i="150"/>
  <c r="F16" i="150"/>
  <c r="F12" i="150"/>
  <c r="G12" i="150"/>
  <c r="G31" i="150"/>
  <c r="F31" i="150"/>
  <c r="F22" i="150"/>
  <c r="G22" i="150"/>
  <c r="G18" i="150"/>
  <c r="F18" i="150"/>
  <c r="G37" i="150"/>
  <c r="G8" i="150"/>
  <c r="F8" i="150"/>
  <c r="F11" i="150"/>
  <c r="F9" i="150"/>
  <c r="G9" i="150"/>
  <c r="P41" i="150"/>
  <c r="L29" i="150"/>
  <c r="L33" i="150"/>
  <c r="H6" i="165"/>
  <c r="K27" i="164"/>
  <c r="M26" i="150"/>
  <c r="M27" i="164" s="1"/>
  <c r="N26" i="150"/>
  <c r="N27" i="164" s="1"/>
  <c r="O26" i="150"/>
  <c r="O27" i="164" s="1"/>
  <c r="L17" i="150"/>
  <c r="L28" i="150"/>
  <c r="L23" i="150"/>
  <c r="L13" i="150"/>
  <c r="F39" i="150"/>
  <c r="L40" i="164"/>
  <c r="G39" i="150"/>
  <c r="F24" i="150"/>
  <c r="G24" i="150"/>
  <c r="F14" i="150"/>
  <c r="G27" i="150"/>
  <c r="F27" i="150"/>
  <c r="L36" i="150"/>
  <c r="L15" i="164" l="1"/>
  <c r="N41" i="150"/>
  <c r="M41" i="150"/>
  <c r="F26" i="165"/>
  <c r="E26" i="165"/>
  <c r="G26" i="165"/>
  <c r="D32" i="165"/>
  <c r="D39" i="165"/>
  <c r="L29" i="164"/>
  <c r="F28" i="150"/>
  <c r="F13" i="150"/>
  <c r="L14" i="164"/>
  <c r="G13" i="150"/>
  <c r="L18" i="164"/>
  <c r="G17" i="150"/>
  <c r="F17" i="150"/>
  <c r="F33" i="150"/>
  <c r="G33" i="150"/>
  <c r="L34" i="164"/>
  <c r="L26" i="150"/>
  <c r="F29" i="150"/>
  <c r="L30" i="164"/>
  <c r="G29" i="150"/>
  <c r="G23" i="150"/>
  <c r="F23" i="150"/>
  <c r="L24" i="164"/>
  <c r="G36" i="150"/>
  <c r="L37" i="164"/>
  <c r="F36" i="150"/>
  <c r="O41" i="150"/>
  <c r="D28" i="165" l="1"/>
  <c r="D23" i="165"/>
  <c r="D29" i="165"/>
  <c r="D17" i="165"/>
  <c r="D36" i="165"/>
  <c r="D13" i="165"/>
  <c r="D33" i="165"/>
  <c r="D14" i="165"/>
  <c r="L27" i="164"/>
  <c r="G26" i="150"/>
  <c r="G41" i="150" s="1"/>
  <c r="F26" i="150"/>
  <c r="F41" i="150" s="1"/>
  <c r="L41" i="150"/>
  <c r="D26" i="165" l="1"/>
  <c r="H26" i="150"/>
  <c r="H38" i="150"/>
  <c r="H39" i="150"/>
  <c r="H23" i="150"/>
  <c r="H18" i="150"/>
  <c r="H13" i="150"/>
  <c r="H25" i="150"/>
  <c r="H33" i="150"/>
  <c r="H9" i="150"/>
  <c r="H8" i="150"/>
  <c r="H14" i="150"/>
  <c r="H11" i="150"/>
  <c r="H21" i="150"/>
  <c r="H20" i="150"/>
  <c r="H24" i="150"/>
  <c r="H29" i="150"/>
  <c r="H10" i="150"/>
  <c r="H34" i="150"/>
  <c r="H7" i="150"/>
  <c r="H15" i="150"/>
  <c r="H22" i="150"/>
  <c r="H17" i="150"/>
  <c r="H28" i="150"/>
  <c r="H35" i="150"/>
  <c r="H12" i="150"/>
  <c r="H37" i="150"/>
  <c r="H6" i="150"/>
  <c r="H19" i="150"/>
  <c r="H16" i="150"/>
  <c r="H32" i="150"/>
  <c r="H36" i="150"/>
  <c r="H27" i="150"/>
  <c r="H31" i="150"/>
  <c r="H30" i="150"/>
  <c r="K16" i="163"/>
  <c r="AB16" i="163"/>
  <c r="AB17" i="164" s="1"/>
  <c r="AC16" i="163"/>
  <c r="AC17" i="164" s="1"/>
  <c r="AB31" i="163"/>
  <c r="AB32" i="164" s="1"/>
  <c r="AC31" i="163"/>
  <c r="AC32" i="164" s="1"/>
  <c r="AB25" i="163"/>
  <c r="AB26" i="164" s="1"/>
  <c r="K25" i="163"/>
  <c r="AC25" i="163"/>
  <c r="AC26" i="164" s="1"/>
  <c r="K21" i="163"/>
  <c r="AB21" i="163"/>
  <c r="AB22" i="164" s="1"/>
  <c r="AC21" i="163"/>
  <c r="AC22" i="164" s="1"/>
  <c r="AB20" i="163"/>
  <c r="AB21" i="164" s="1"/>
  <c r="AC20" i="163"/>
  <c r="AC21" i="164" s="1"/>
  <c r="K24" i="163"/>
  <c r="AB24" i="163"/>
  <c r="AB25" i="164" s="1"/>
  <c r="AC24" i="163"/>
  <c r="AC25" i="164" s="1"/>
  <c r="AC12" i="163"/>
  <c r="AC13" i="164" s="1"/>
  <c r="K12" i="163"/>
  <c r="AB12" i="163"/>
  <c r="AB13" i="164" s="1"/>
  <c r="AB9" i="163"/>
  <c r="AB10" i="164" s="1"/>
  <c r="AC9" i="163"/>
  <c r="AC10" i="164" s="1"/>
  <c r="AB8" i="163"/>
  <c r="AB9" i="164" s="1"/>
  <c r="K8" i="163"/>
  <c r="AC8" i="163"/>
  <c r="AC9" i="164" s="1"/>
  <c r="O16" i="163" l="1"/>
  <c r="O17" i="164" s="1"/>
  <c r="M16" i="163"/>
  <c r="M17" i="164" s="1"/>
  <c r="N16" i="163"/>
  <c r="N17" i="164" s="1"/>
  <c r="L16" i="163"/>
  <c r="L17" i="164" s="1"/>
  <c r="K17" i="164"/>
  <c r="I27" i="150"/>
  <c r="I35" i="150"/>
  <c r="I29" i="150"/>
  <c r="I33" i="150"/>
  <c r="M24" i="163"/>
  <c r="M25" i="164" s="1"/>
  <c r="N24" i="163"/>
  <c r="N25" i="164" s="1"/>
  <c r="O24" i="163"/>
  <c r="O25" i="164" s="1"/>
  <c r="K25" i="164"/>
  <c r="I36" i="150"/>
  <c r="I28" i="150"/>
  <c r="I24" i="150"/>
  <c r="I25" i="150"/>
  <c r="M8" i="163"/>
  <c r="M9" i="164" s="1"/>
  <c r="N8" i="163"/>
  <c r="N9" i="164" s="1"/>
  <c r="O8" i="163"/>
  <c r="O9" i="164" s="1"/>
  <c r="K9" i="164"/>
  <c r="N25" i="163"/>
  <c r="N26" i="164" s="1"/>
  <c r="O25" i="163"/>
  <c r="O26" i="164" s="1"/>
  <c r="M25" i="163"/>
  <c r="M26" i="164" s="1"/>
  <c r="K26" i="164"/>
  <c r="I32" i="150"/>
  <c r="I17" i="150"/>
  <c r="I20" i="150"/>
  <c r="I13" i="150"/>
  <c r="I16" i="150"/>
  <c r="I22" i="150"/>
  <c r="I21" i="150"/>
  <c r="I18" i="150"/>
  <c r="N12" i="163"/>
  <c r="N13" i="164" s="1"/>
  <c r="O12" i="163"/>
  <c r="O13" i="164" s="1"/>
  <c r="M12" i="163"/>
  <c r="M13" i="164" s="1"/>
  <c r="K13" i="164"/>
  <c r="K9" i="163"/>
  <c r="I19" i="150"/>
  <c r="I15" i="150"/>
  <c r="I11" i="150"/>
  <c r="I23" i="150"/>
  <c r="O21" i="163"/>
  <c r="O22" i="164" s="1"/>
  <c r="N21" i="163"/>
  <c r="N22" i="164" s="1"/>
  <c r="M21" i="163"/>
  <c r="M22" i="164" s="1"/>
  <c r="K22" i="164"/>
  <c r="I6" i="150"/>
  <c r="H41" i="150"/>
  <c r="I7" i="150"/>
  <c r="I14" i="150"/>
  <c r="I39" i="150"/>
  <c r="I30" i="150"/>
  <c r="I37" i="150"/>
  <c r="I34" i="150"/>
  <c r="I8" i="150"/>
  <c r="I38" i="150"/>
  <c r="K20" i="163"/>
  <c r="K31" i="163"/>
  <c r="I31" i="150"/>
  <c r="I12" i="150"/>
  <c r="I10" i="150"/>
  <c r="I9" i="150"/>
  <c r="I26" i="150"/>
  <c r="F21" i="165" l="1"/>
  <c r="F25" i="165"/>
  <c r="G21" i="165"/>
  <c r="E12" i="165"/>
  <c r="G12" i="165"/>
  <c r="L8" i="163"/>
  <c r="L9" i="164" s="1"/>
  <c r="F12" i="165"/>
  <c r="G8" i="165"/>
  <c r="G24" i="165"/>
  <c r="D16" i="165"/>
  <c r="G25" i="165"/>
  <c r="F8" i="165"/>
  <c r="F24" i="165"/>
  <c r="F16" i="165"/>
  <c r="L25" i="163"/>
  <c r="L26" i="164" s="1"/>
  <c r="E8" i="165"/>
  <c r="E24" i="165"/>
  <c r="E16" i="165"/>
  <c r="E21" i="165"/>
  <c r="E25" i="165"/>
  <c r="G16" i="165"/>
  <c r="F31" i="153"/>
  <c r="G31" i="153"/>
  <c r="G8" i="153"/>
  <c r="F8" i="153"/>
  <c r="F39" i="153"/>
  <c r="G39" i="153"/>
  <c r="G11" i="153"/>
  <c r="F11" i="153"/>
  <c r="L12" i="163"/>
  <c r="L13" i="164" s="1"/>
  <c r="F35" i="153"/>
  <c r="G35" i="153"/>
  <c r="G9" i="153"/>
  <c r="F9" i="153"/>
  <c r="N31" i="163"/>
  <c r="N32" i="164" s="1"/>
  <c r="O31" i="163"/>
  <c r="O32" i="164" s="1"/>
  <c r="M31" i="163"/>
  <c r="M32" i="164" s="1"/>
  <c r="K32" i="164"/>
  <c r="G34" i="153"/>
  <c r="F34" i="153"/>
  <c r="L21" i="163"/>
  <c r="L22" i="164" s="1"/>
  <c r="G15" i="153"/>
  <c r="F15" i="153"/>
  <c r="G22" i="153"/>
  <c r="F22" i="153"/>
  <c r="G17" i="153"/>
  <c r="F17" i="153"/>
  <c r="G24" i="153"/>
  <c r="F24" i="153"/>
  <c r="G10" i="153"/>
  <c r="F10" i="153"/>
  <c r="G14" i="153"/>
  <c r="F14" i="153"/>
  <c r="F28" i="153"/>
  <c r="G28" i="153"/>
  <c r="F27" i="153"/>
  <c r="G27" i="153"/>
  <c r="O20" i="163"/>
  <c r="O21" i="164" s="1"/>
  <c r="N20" i="163"/>
  <c r="N21" i="164" s="1"/>
  <c r="M20" i="163"/>
  <c r="M21" i="164" s="1"/>
  <c r="K21" i="164"/>
  <c r="F16" i="153"/>
  <c r="G16" i="153"/>
  <c r="G32" i="153"/>
  <c r="F32" i="153"/>
  <c r="F33" i="153"/>
  <c r="G33" i="153"/>
  <c r="F37" i="153"/>
  <c r="G37" i="153"/>
  <c r="G7" i="153"/>
  <c r="F7" i="153"/>
  <c r="G19" i="153"/>
  <c r="F19" i="153"/>
  <c r="G36" i="153"/>
  <c r="F36" i="153"/>
  <c r="G38" i="153"/>
  <c r="F38" i="153"/>
  <c r="M9" i="163"/>
  <c r="M10" i="164" s="1"/>
  <c r="N9" i="163"/>
  <c r="N10" i="164" s="1"/>
  <c r="O9" i="163"/>
  <c r="O10" i="164" s="1"/>
  <c r="K10" i="164"/>
  <c r="F18" i="153"/>
  <c r="G18" i="153"/>
  <c r="F13" i="153"/>
  <c r="G13" i="153"/>
  <c r="F12" i="153"/>
  <c r="G12" i="153"/>
  <c r="F30" i="153"/>
  <c r="G30" i="153"/>
  <c r="F23" i="153"/>
  <c r="G23" i="153"/>
  <c r="F21" i="153"/>
  <c r="G21" i="153"/>
  <c r="F29" i="153"/>
  <c r="G29" i="153"/>
  <c r="G26" i="153"/>
  <c r="F26" i="153"/>
  <c r="I41" i="150"/>
  <c r="G6" i="153"/>
  <c r="F6" i="153"/>
  <c r="F20" i="153"/>
  <c r="G20" i="153"/>
  <c r="G25" i="153"/>
  <c r="F25" i="153"/>
  <c r="L24" i="163"/>
  <c r="L25" i="164" s="1"/>
  <c r="L9" i="163" l="1"/>
  <c r="L10" i="164" s="1"/>
  <c r="E20" i="165"/>
  <c r="G31" i="165"/>
  <c r="F20" i="165"/>
  <c r="F31" i="165"/>
  <c r="E31" i="165"/>
  <c r="D24" i="165"/>
  <c r="G20" i="165"/>
  <c r="D21" i="165"/>
  <c r="D25" i="165"/>
  <c r="D9" i="165"/>
  <c r="G9" i="165"/>
  <c r="D8" i="165"/>
  <c r="F9" i="165"/>
  <c r="E9" i="165"/>
  <c r="D12" i="165"/>
  <c r="F41" i="153"/>
  <c r="G41" i="153"/>
  <c r="L20" i="163"/>
  <c r="L21" i="164" s="1"/>
  <c r="L31" i="163"/>
  <c r="L32" i="164" s="1"/>
  <c r="D31" i="165" l="1"/>
  <c r="D20" i="165"/>
  <c r="H35" i="153"/>
  <c r="H34" i="153"/>
  <c r="H27" i="153"/>
  <c r="H33" i="153"/>
  <c r="H15" i="153"/>
  <c r="H11" i="153"/>
  <c r="H12" i="153"/>
  <c r="H37" i="153"/>
  <c r="H20" i="153"/>
  <c r="H29" i="153"/>
  <c r="H25" i="153"/>
  <c r="H16" i="153"/>
  <c r="H18" i="153"/>
  <c r="H19" i="153"/>
  <c r="H14" i="153"/>
  <c r="H30" i="153"/>
  <c r="H17" i="153"/>
  <c r="H24" i="153"/>
  <c r="H38" i="153"/>
  <c r="H36" i="153"/>
  <c r="H23" i="153"/>
  <c r="H6" i="153"/>
  <c r="H28" i="153"/>
  <c r="H26" i="153"/>
  <c r="H7" i="153"/>
  <c r="H21" i="153"/>
  <c r="H39" i="153"/>
  <c r="H32" i="153"/>
  <c r="H13" i="153"/>
  <c r="H8" i="153"/>
  <c r="H10" i="153"/>
  <c r="H31" i="153"/>
  <c r="H22" i="153"/>
  <c r="H9" i="153"/>
  <c r="I30" i="153" l="1"/>
  <c r="I10" i="153"/>
  <c r="I28" i="153"/>
  <c r="I14" i="153"/>
  <c r="I12" i="153"/>
  <c r="I31" i="153"/>
  <c r="I26" i="153"/>
  <c r="I37" i="153"/>
  <c r="I8" i="153"/>
  <c r="H41" i="153"/>
  <c r="I6" i="153"/>
  <c r="I19" i="153"/>
  <c r="I11" i="153"/>
  <c r="I13" i="153"/>
  <c r="I23" i="153"/>
  <c r="I18" i="153"/>
  <c r="I15" i="153"/>
  <c r="I32" i="153"/>
  <c r="I36" i="153"/>
  <c r="I16" i="153"/>
  <c r="I33" i="153"/>
  <c r="I39" i="153"/>
  <c r="I38" i="153"/>
  <c r="I25" i="153"/>
  <c r="I27" i="153"/>
  <c r="I9" i="153"/>
  <c r="I21" i="153"/>
  <c r="I24" i="153"/>
  <c r="I29" i="153"/>
  <c r="I34" i="153"/>
  <c r="I22" i="153"/>
  <c r="I7" i="153"/>
  <c r="I17" i="153"/>
  <c r="I20" i="153"/>
  <c r="I35" i="153"/>
  <c r="AB35" i="163"/>
  <c r="AB36" i="164" s="1"/>
  <c r="AC35" i="163"/>
  <c r="AC36" i="164" s="1"/>
  <c r="K7" i="163"/>
  <c r="AB7" i="163"/>
  <c r="AC7" i="163"/>
  <c r="AB38" i="163"/>
  <c r="AB39" i="164" s="1"/>
  <c r="K38" i="163"/>
  <c r="AC38" i="163"/>
  <c r="AC39" i="164" s="1"/>
  <c r="AC37" i="163"/>
  <c r="AC38" i="164" s="1"/>
  <c r="AB37" i="163"/>
  <c r="AB38" i="164" s="1"/>
  <c r="AC22" i="163"/>
  <c r="AC23" i="164" s="1"/>
  <c r="AB22" i="163"/>
  <c r="AB23" i="164" s="1"/>
  <c r="K15" i="163"/>
  <c r="AB15" i="163"/>
  <c r="AB16" i="164" s="1"/>
  <c r="AC15" i="163"/>
  <c r="AC16" i="164" s="1"/>
  <c r="AB10" i="163"/>
  <c r="AB11" i="164" s="1"/>
  <c r="AC10" i="163"/>
  <c r="AC11" i="164" s="1"/>
  <c r="K10" i="163"/>
  <c r="AC11" i="163"/>
  <c r="AC12" i="164" s="1"/>
  <c r="K11" i="163"/>
  <c r="AB11" i="163"/>
  <c r="AB12" i="164" s="1"/>
  <c r="AC27" i="163"/>
  <c r="AC28" i="164" s="1"/>
  <c r="AB27" i="163"/>
  <c r="AB28" i="164" s="1"/>
  <c r="F7" i="154" l="1"/>
  <c r="G7" i="154"/>
  <c r="F24" i="154"/>
  <c r="G24" i="154"/>
  <c r="G25" i="154"/>
  <c r="F25" i="154"/>
  <c r="F16" i="154"/>
  <c r="G16" i="154"/>
  <c r="F18" i="154"/>
  <c r="G18" i="154"/>
  <c r="G19" i="154"/>
  <c r="F19" i="154"/>
  <c r="F14" i="154"/>
  <c r="G14" i="154"/>
  <c r="F26" i="154"/>
  <c r="G26" i="154"/>
  <c r="N15" i="163"/>
  <c r="N16" i="164" s="1"/>
  <c r="O15" i="163"/>
  <c r="O16" i="164" s="1"/>
  <c r="M15" i="163"/>
  <c r="M16" i="164" s="1"/>
  <c r="K16" i="164"/>
  <c r="O11" i="163"/>
  <c r="O12" i="164" s="1"/>
  <c r="M11" i="163"/>
  <c r="M12" i="164" s="1"/>
  <c r="N11" i="163"/>
  <c r="N12" i="164" s="1"/>
  <c r="K12" i="164"/>
  <c r="K27" i="163"/>
  <c r="K37" i="163"/>
  <c r="F35" i="154"/>
  <c r="G35" i="154"/>
  <c r="F22" i="154"/>
  <c r="G22" i="154"/>
  <c r="F21" i="154"/>
  <c r="G21" i="154"/>
  <c r="F38" i="154"/>
  <c r="G38" i="154"/>
  <c r="F36" i="154"/>
  <c r="G36" i="154"/>
  <c r="G23" i="154"/>
  <c r="F23" i="154"/>
  <c r="I41" i="153"/>
  <c r="F6" i="154"/>
  <c r="G6" i="154"/>
  <c r="G28" i="154"/>
  <c r="F28" i="154"/>
  <c r="G31" i="154"/>
  <c r="F31" i="154"/>
  <c r="M10" i="163"/>
  <c r="M11" i="164" s="1"/>
  <c r="N10" i="163"/>
  <c r="N11" i="164" s="1"/>
  <c r="O10" i="163"/>
  <c r="O11" i="164" s="1"/>
  <c r="K11" i="164"/>
  <c r="K22" i="163"/>
  <c r="AC41" i="163"/>
  <c r="AC8" i="164"/>
  <c r="G20" i="154"/>
  <c r="F20" i="154"/>
  <c r="G34" i="154"/>
  <c r="F34" i="154"/>
  <c r="F9" i="154"/>
  <c r="G9" i="154"/>
  <c r="F39" i="154"/>
  <c r="G39" i="154"/>
  <c r="F32" i="154"/>
  <c r="G32" i="154"/>
  <c r="G13" i="154"/>
  <c r="F13" i="154"/>
  <c r="G10" i="154"/>
  <c r="F10" i="154"/>
  <c r="AB41" i="163"/>
  <c r="AB8" i="164"/>
  <c r="F8" i="154"/>
  <c r="G8" i="154"/>
  <c r="F12" i="154"/>
  <c r="G12" i="154"/>
  <c r="O7" i="163"/>
  <c r="N7" i="163"/>
  <c r="M7" i="163"/>
  <c r="K8" i="164"/>
  <c r="F17" i="154"/>
  <c r="G17" i="154"/>
  <c r="F29" i="154"/>
  <c r="G29" i="154"/>
  <c r="G27" i="154"/>
  <c r="F27" i="154"/>
  <c r="F33" i="154"/>
  <c r="G33" i="154"/>
  <c r="G15" i="154"/>
  <c r="F15" i="154"/>
  <c r="G11" i="154"/>
  <c r="F11" i="154"/>
  <c r="F30" i="154"/>
  <c r="G30" i="154"/>
  <c r="N38" i="163"/>
  <c r="N39" i="164" s="1"/>
  <c r="O38" i="163"/>
  <c r="O39" i="164" s="1"/>
  <c r="M38" i="163"/>
  <c r="M39" i="164" s="1"/>
  <c r="K39" i="164"/>
  <c r="K35" i="163"/>
  <c r="F37" i="154"/>
  <c r="G37" i="154"/>
  <c r="L15" i="163" l="1"/>
  <c r="L16" i="164" s="1"/>
  <c r="K41" i="163"/>
  <c r="L7" i="163"/>
  <c r="G11" i="165"/>
  <c r="L10" i="163"/>
  <c r="L11" i="164" s="1"/>
  <c r="E38" i="165"/>
  <c r="G10" i="165"/>
  <c r="D15" i="165"/>
  <c r="G38" i="165"/>
  <c r="F10" i="165"/>
  <c r="E15" i="165"/>
  <c r="F38" i="165"/>
  <c r="E10" i="165"/>
  <c r="G15" i="165"/>
  <c r="E11" i="165"/>
  <c r="L11" i="163"/>
  <c r="L12" i="164" s="1"/>
  <c r="F15" i="165"/>
  <c r="F11" i="165"/>
  <c r="N8" i="164"/>
  <c r="N22" i="163"/>
  <c r="N23" i="164" s="1"/>
  <c r="M22" i="163"/>
  <c r="M23" i="164" s="1"/>
  <c r="O22" i="163"/>
  <c r="O23" i="164" s="1"/>
  <c r="K23" i="164"/>
  <c r="O8" i="164"/>
  <c r="L38" i="163"/>
  <c r="L39" i="164" s="1"/>
  <c r="N37" i="163"/>
  <c r="N38" i="164" s="1"/>
  <c r="M37" i="163"/>
  <c r="M38" i="164" s="1"/>
  <c r="O37" i="163"/>
  <c r="O38" i="164" s="1"/>
  <c r="K38" i="164"/>
  <c r="G41" i="154"/>
  <c r="F41" i="154"/>
  <c r="O27" i="163"/>
  <c r="O28" i="164" s="1"/>
  <c r="N27" i="163"/>
  <c r="N28" i="164" s="1"/>
  <c r="M27" i="163"/>
  <c r="M28" i="164" s="1"/>
  <c r="K28" i="164"/>
  <c r="L8" i="164"/>
  <c r="O35" i="163"/>
  <c r="O36" i="164" s="1"/>
  <c r="N35" i="163"/>
  <c r="N36" i="164" s="1"/>
  <c r="M35" i="163"/>
  <c r="M36" i="164" s="1"/>
  <c r="K36" i="164"/>
  <c r="M8" i="164"/>
  <c r="G35" i="165" l="1"/>
  <c r="D11" i="165"/>
  <c r="G37" i="165"/>
  <c r="G22" i="165"/>
  <c r="E22" i="165"/>
  <c r="E37" i="165"/>
  <c r="F22" i="165"/>
  <c r="F37" i="165"/>
  <c r="E27" i="165"/>
  <c r="M41" i="163"/>
  <c r="F27" i="165"/>
  <c r="D38" i="165"/>
  <c r="G27" i="165"/>
  <c r="D10" i="165"/>
  <c r="E35" i="165"/>
  <c r="F35" i="165"/>
  <c r="L22" i="163"/>
  <c r="L23" i="164" s="1"/>
  <c r="E7" i="165"/>
  <c r="H30" i="154"/>
  <c r="H8" i="154"/>
  <c r="H10" i="154"/>
  <c r="H36" i="154"/>
  <c r="H23" i="154"/>
  <c r="H22" i="154"/>
  <c r="H31" i="154"/>
  <c r="H17" i="154"/>
  <c r="H24" i="154"/>
  <c r="H11" i="154"/>
  <c r="H21" i="154"/>
  <c r="H20" i="154"/>
  <c r="H25" i="154"/>
  <c r="H16" i="154"/>
  <c r="H18" i="154"/>
  <c r="H12" i="154"/>
  <c r="H37" i="154"/>
  <c r="H32" i="154"/>
  <c r="H33" i="154"/>
  <c r="H6" i="154"/>
  <c r="H29" i="154"/>
  <c r="H35" i="154"/>
  <c r="H13" i="154"/>
  <c r="H38" i="154"/>
  <c r="H19" i="154"/>
  <c r="H14" i="154"/>
  <c r="H15" i="154"/>
  <c r="H7" i="154"/>
  <c r="H26" i="154"/>
  <c r="H39" i="154"/>
  <c r="H28" i="154"/>
  <c r="H27" i="154"/>
  <c r="H34" i="154"/>
  <c r="H9" i="154"/>
  <c r="D7" i="165"/>
  <c r="G7" i="165"/>
  <c r="L35" i="163"/>
  <c r="L36" i="164" s="1"/>
  <c r="O41" i="163"/>
  <c r="F7" i="165"/>
  <c r="L37" i="163"/>
  <c r="L38" i="164" s="1"/>
  <c r="N41" i="163"/>
  <c r="L27" i="163"/>
  <c r="D22" i="165" l="1"/>
  <c r="D37" i="165"/>
  <c r="D35" i="165"/>
  <c r="I39" i="154"/>
  <c r="I35" i="154"/>
  <c r="I16" i="154"/>
  <c r="I22" i="154"/>
  <c r="L28" i="164"/>
  <c r="L41" i="163"/>
  <c r="I26" i="154"/>
  <c r="I29" i="154"/>
  <c r="I25" i="154"/>
  <c r="I23" i="154"/>
  <c r="I7" i="154"/>
  <c r="H41" i="154"/>
  <c r="I6" i="154"/>
  <c r="I20" i="154"/>
  <c r="I36" i="154"/>
  <c r="I15" i="154"/>
  <c r="I33" i="154"/>
  <c r="I21" i="154"/>
  <c r="I10" i="154"/>
  <c r="I9" i="154"/>
  <c r="I14" i="154"/>
  <c r="I32" i="154"/>
  <c r="I11" i="154"/>
  <c r="I8" i="154"/>
  <c r="I34" i="154"/>
  <c r="I19" i="154"/>
  <c r="I37" i="154"/>
  <c r="I24" i="154"/>
  <c r="I30" i="154"/>
  <c r="I27" i="154"/>
  <c r="I38" i="154"/>
  <c r="H4" i="147"/>
  <c r="I12" i="154"/>
  <c r="I17" i="154"/>
  <c r="I28" i="154"/>
  <c r="I13" i="154"/>
  <c r="I18" i="154"/>
  <c r="I31" i="154"/>
  <c r="D27" i="165" l="1"/>
  <c r="G24" i="155"/>
  <c r="F24" i="155"/>
  <c r="F8" i="155"/>
  <c r="G8" i="155"/>
  <c r="F9" i="155"/>
  <c r="G9" i="155"/>
  <c r="G13" i="155"/>
  <c r="F13" i="155"/>
  <c r="F15" i="155"/>
  <c r="G15" i="155"/>
  <c r="G29" i="155"/>
  <c r="F29" i="155"/>
  <c r="G16" i="155"/>
  <c r="F16" i="155"/>
  <c r="F38" i="155"/>
  <c r="G38" i="155"/>
  <c r="G37" i="155"/>
  <c r="F37" i="155"/>
  <c r="F11" i="155"/>
  <c r="G11" i="155"/>
  <c r="F7" i="155"/>
  <c r="G7" i="155"/>
  <c r="G10" i="155"/>
  <c r="F10" i="155"/>
  <c r="G36" i="155"/>
  <c r="F36" i="155"/>
  <c r="G26" i="155"/>
  <c r="F26" i="155"/>
  <c r="F35" i="155"/>
  <c r="G35" i="155"/>
  <c r="G27" i="155"/>
  <c r="F27" i="155"/>
  <c r="G19" i="155"/>
  <c r="F19" i="155"/>
  <c r="G32" i="155"/>
  <c r="F32" i="155"/>
  <c r="F31" i="155"/>
  <c r="G31" i="155"/>
  <c r="G17" i="155"/>
  <c r="F17" i="155"/>
  <c r="F21" i="155"/>
  <c r="G21" i="155"/>
  <c r="F20" i="155"/>
  <c r="G20" i="155"/>
  <c r="F23" i="155"/>
  <c r="G23" i="155"/>
  <c r="G39" i="155"/>
  <c r="F39" i="155"/>
  <c r="F30" i="155"/>
  <c r="G30" i="155"/>
  <c r="F14" i="155"/>
  <c r="G14" i="155"/>
  <c r="G28" i="155"/>
  <c r="F28" i="155"/>
  <c r="F34" i="155"/>
  <c r="G34" i="155"/>
  <c r="G18" i="155"/>
  <c r="F18" i="155"/>
  <c r="F12" i="155"/>
  <c r="G12" i="155"/>
  <c r="F33" i="155"/>
  <c r="G33" i="155"/>
  <c r="F6" i="155"/>
  <c r="G6" i="155"/>
  <c r="I41" i="154"/>
  <c r="G25" i="155"/>
  <c r="F25" i="155"/>
  <c r="G22" i="155"/>
  <c r="F22" i="155"/>
  <c r="G41" i="155" l="1"/>
  <c r="H33" i="155" s="1"/>
  <c r="I33" i="155" s="1"/>
  <c r="H19" i="155"/>
  <c r="I19" i="155" s="1"/>
  <c r="H20" i="155"/>
  <c r="I20" i="155" s="1"/>
  <c r="H26" i="155"/>
  <c r="I26" i="155" s="1"/>
  <c r="H6" i="155"/>
  <c r="I6" i="155" s="1"/>
  <c r="H29" i="155"/>
  <c r="H27" i="155"/>
  <c r="I27" i="155" s="1"/>
  <c r="H13" i="155"/>
  <c r="I13" i="155" s="1"/>
  <c r="H16" i="155"/>
  <c r="I16" i="155" s="1"/>
  <c r="H7" i="155"/>
  <c r="I7" i="155" s="1"/>
  <c r="H28" i="155"/>
  <c r="I28" i="155" s="1"/>
  <c r="H39" i="155"/>
  <c r="I39" i="155" s="1"/>
  <c r="H36" i="155"/>
  <c r="I36" i="155" s="1"/>
  <c r="H34" i="155"/>
  <c r="I34" i="155" s="1"/>
  <c r="H15" i="155"/>
  <c r="I15" i="155" s="1"/>
  <c r="H31" i="155"/>
  <c r="I31" i="155" s="1"/>
  <c r="H10" i="155"/>
  <c r="I10" i="155" s="1"/>
  <c r="H12" i="155"/>
  <c r="I12" i="155" s="1"/>
  <c r="H14" i="155"/>
  <c r="I14" i="155" s="1"/>
  <c r="H37" i="155"/>
  <c r="I37" i="155" s="1"/>
  <c r="H18" i="155"/>
  <c r="I18" i="155" s="1"/>
  <c r="H38" i="155"/>
  <c r="I38" i="155" s="1"/>
  <c r="H35" i="155"/>
  <c r="I35" i="155" s="1"/>
  <c r="H17" i="155"/>
  <c r="I17" i="155" s="1"/>
  <c r="H11" i="155"/>
  <c r="I11" i="155" s="1"/>
  <c r="H9" i="155"/>
  <c r="H21" i="155"/>
  <c r="I21" i="155" s="1"/>
  <c r="H23" i="155"/>
  <c r="I23" i="155" s="1"/>
  <c r="H8" i="155"/>
  <c r="I8" i="155" s="1"/>
  <c r="I29" i="155"/>
  <c r="F41" i="155"/>
  <c r="H22" i="155" l="1"/>
  <c r="I22" i="155" s="1"/>
  <c r="H32" i="155"/>
  <c r="I32" i="155" s="1"/>
  <c r="H30" i="155"/>
  <c r="I30" i="155" s="1"/>
  <c r="H24" i="155"/>
  <c r="I24" i="155" s="1"/>
  <c r="H25" i="155"/>
  <c r="I25" i="155" s="1"/>
  <c r="F14" i="156"/>
  <c r="G14" i="156"/>
  <c r="F34" i="156"/>
  <c r="G34" i="156"/>
  <c r="G36" i="156"/>
  <c r="F36" i="156"/>
  <c r="F13" i="156"/>
  <c r="G13" i="156"/>
  <c r="F12" i="156"/>
  <c r="G12" i="156"/>
  <c r="F19" i="156"/>
  <c r="G19" i="156"/>
  <c r="G6" i="156"/>
  <c r="F6" i="156"/>
  <c r="F31" i="156"/>
  <c r="G31" i="156"/>
  <c r="F10" i="156"/>
  <c r="G10" i="156"/>
  <c r="F18" i="156"/>
  <c r="G18" i="156"/>
  <c r="G23" i="156"/>
  <c r="F23" i="156"/>
  <c r="G27" i="156"/>
  <c r="F27" i="156"/>
  <c r="F7" i="156"/>
  <c r="G7" i="156"/>
  <c r="G21" i="156"/>
  <c r="F21" i="156"/>
  <c r="G25" i="156"/>
  <c r="F25" i="156"/>
  <c r="G29" i="156"/>
  <c r="F29" i="156"/>
  <c r="F33" i="156"/>
  <c r="G33" i="156"/>
  <c r="F17" i="156"/>
  <c r="G17" i="156"/>
  <c r="F35" i="156"/>
  <c r="G35" i="156"/>
  <c r="G8" i="156"/>
  <c r="F8" i="156"/>
  <c r="G26" i="156"/>
  <c r="F26" i="156"/>
  <c r="F16" i="156"/>
  <c r="G16" i="156"/>
  <c r="F39" i="156"/>
  <c r="G39" i="156"/>
  <c r="G37" i="156"/>
  <c r="F37" i="156"/>
  <c r="F15" i="156"/>
  <c r="G15" i="156"/>
  <c r="G30" i="156"/>
  <c r="F30" i="156"/>
  <c r="G22" i="156"/>
  <c r="F22" i="156"/>
  <c r="F11" i="156"/>
  <c r="G11" i="156"/>
  <c r="G32" i="156"/>
  <c r="F32" i="156"/>
  <c r="F28" i="156"/>
  <c r="G28" i="156"/>
  <c r="H41" i="155"/>
  <c r="G24" i="156"/>
  <c r="F24" i="156"/>
  <c r="G20" i="156"/>
  <c r="F20" i="156"/>
  <c r="I9" i="155"/>
  <c r="F38" i="156"/>
  <c r="G38" i="156"/>
  <c r="F9" i="156" l="1"/>
  <c r="F41" i="156" s="1"/>
  <c r="G9" i="156"/>
  <c r="G41" i="156" s="1"/>
  <c r="I41" i="155"/>
  <c r="H19" i="156" l="1"/>
  <c r="H20" i="156"/>
  <c r="H37" i="156"/>
  <c r="H11" i="156"/>
  <c r="H18" i="156"/>
  <c r="H13" i="156"/>
  <c r="H24" i="156"/>
  <c r="H9" i="156"/>
  <c r="H25" i="156"/>
  <c r="H38" i="156"/>
  <c r="H26" i="156"/>
  <c r="H6" i="156"/>
  <c r="H14" i="156"/>
  <c r="H22" i="156"/>
  <c r="H28" i="156"/>
  <c r="H34" i="156"/>
  <c r="H33" i="156"/>
  <c r="H29" i="156"/>
  <c r="H7" i="156"/>
  <c r="H35" i="156"/>
  <c r="H16" i="156"/>
  <c r="H23" i="156"/>
  <c r="H12" i="156"/>
  <c r="H30" i="156"/>
  <c r="H8" i="156"/>
  <c r="H32" i="156"/>
  <c r="H39" i="156"/>
  <c r="H17" i="156"/>
  <c r="H21" i="156"/>
  <c r="H36" i="156"/>
  <c r="H27" i="156"/>
  <c r="H31" i="156"/>
  <c r="H15" i="156"/>
  <c r="H10" i="156"/>
  <c r="I28" i="156" l="1"/>
  <c r="I36" i="156"/>
  <c r="I13" i="156"/>
  <c r="I12" i="156"/>
  <c r="I14" i="156"/>
  <c r="I18" i="156"/>
  <c r="I34" i="156"/>
  <c r="I23" i="156"/>
  <c r="I17" i="156"/>
  <c r="I35" i="156"/>
  <c r="H41" i="156"/>
  <c r="I6" i="156"/>
  <c r="I11" i="156"/>
  <c r="I24" i="156"/>
  <c r="I21" i="156"/>
  <c r="I9" i="156"/>
  <c r="I39" i="156"/>
  <c r="I7" i="156"/>
  <c r="I26" i="156"/>
  <c r="I37" i="156"/>
  <c r="I30" i="156"/>
  <c r="I22" i="156"/>
  <c r="I10" i="156"/>
  <c r="I32" i="156"/>
  <c r="I29" i="156"/>
  <c r="I38" i="156"/>
  <c r="I20" i="156"/>
  <c r="I31" i="156"/>
  <c r="I27" i="156"/>
  <c r="I16" i="156"/>
  <c r="I15" i="156"/>
  <c r="I8" i="156"/>
  <c r="I33" i="156"/>
  <c r="I25" i="156"/>
  <c r="I19" i="156"/>
  <c r="G6" i="157" l="1"/>
  <c r="I41" i="156"/>
  <c r="F6" i="157"/>
  <c r="G8" i="157"/>
  <c r="F8" i="157"/>
  <c r="F31" i="157"/>
  <c r="G31" i="157"/>
  <c r="F32" i="157"/>
  <c r="G32" i="157"/>
  <c r="F37" i="157"/>
  <c r="G37" i="157"/>
  <c r="G9" i="157"/>
  <c r="F9" i="157"/>
  <c r="G34" i="157"/>
  <c r="F34" i="157"/>
  <c r="F13" i="157"/>
  <c r="G13" i="157"/>
  <c r="G21" i="157"/>
  <c r="F21" i="157"/>
  <c r="F19" i="157"/>
  <c r="G19" i="157"/>
  <c r="F15" i="157"/>
  <c r="G15" i="157"/>
  <c r="F20" i="157"/>
  <c r="G20" i="157"/>
  <c r="G10" i="157"/>
  <c r="F10" i="157"/>
  <c r="G26" i="157"/>
  <c r="F26" i="157"/>
  <c r="F35" i="157"/>
  <c r="G35" i="157"/>
  <c r="F18" i="157"/>
  <c r="G18" i="157"/>
  <c r="F36" i="157"/>
  <c r="G36" i="157"/>
  <c r="F24" i="157"/>
  <c r="G24" i="157"/>
  <c r="F25" i="157"/>
  <c r="G25" i="157"/>
  <c r="F16" i="157"/>
  <c r="G16" i="157"/>
  <c r="F38" i="157"/>
  <c r="G38" i="157"/>
  <c r="F22" i="157"/>
  <c r="G22" i="157"/>
  <c r="F7" i="157"/>
  <c r="G7" i="157"/>
  <c r="G17" i="157"/>
  <c r="F17" i="157"/>
  <c r="G14" i="157"/>
  <c r="F14" i="157"/>
  <c r="G28" i="157"/>
  <c r="F28" i="157"/>
  <c r="F11" i="157"/>
  <c r="G11" i="157"/>
  <c r="G33" i="157"/>
  <c r="F33" i="157"/>
  <c r="F27" i="157"/>
  <c r="G27" i="157"/>
  <c r="G29" i="157"/>
  <c r="F29" i="157"/>
  <c r="F30" i="157"/>
  <c r="G30" i="157"/>
  <c r="G39" i="157"/>
  <c r="F39" i="157"/>
  <c r="G23" i="157"/>
  <c r="F23" i="157"/>
  <c r="F12" i="157"/>
  <c r="G12" i="157"/>
  <c r="F41" i="157" l="1"/>
  <c r="G41" i="157"/>
  <c r="H7" i="157" l="1"/>
  <c r="H18" i="157"/>
  <c r="H31" i="157"/>
  <c r="H39" i="157"/>
  <c r="H14" i="157"/>
  <c r="H12" i="157"/>
  <c r="H11" i="157"/>
  <c r="H37" i="157"/>
  <c r="H30" i="157"/>
  <c r="H17" i="157"/>
  <c r="H28" i="157"/>
  <c r="H27" i="157"/>
  <c r="H9" i="157"/>
  <c r="H15" i="157"/>
  <c r="H6" i="157"/>
  <c r="H25" i="157"/>
  <c r="H29" i="157"/>
  <c r="H38" i="157"/>
  <c r="H36" i="157"/>
  <c r="H33" i="157"/>
  <c r="H32" i="157"/>
  <c r="H34" i="157"/>
  <c r="H8" i="157"/>
  <c r="H26" i="157"/>
  <c r="H19" i="157"/>
  <c r="H20" i="157"/>
  <c r="H10" i="157"/>
  <c r="H13" i="157"/>
  <c r="H16" i="157"/>
  <c r="H35" i="157"/>
  <c r="H21" i="157"/>
  <c r="H23" i="157"/>
  <c r="H24" i="157"/>
  <c r="H22" i="157"/>
  <c r="I37" i="157" l="1"/>
  <c r="I11" i="157"/>
  <c r="I12" i="157"/>
  <c r="I23" i="157"/>
  <c r="I8" i="157"/>
  <c r="I14" i="157"/>
  <c r="H41" i="157"/>
  <c r="I6" i="157"/>
  <c r="I32" i="157"/>
  <c r="I33" i="157"/>
  <c r="I27" i="157"/>
  <c r="I39" i="157"/>
  <c r="I25" i="157"/>
  <c r="I34" i="157"/>
  <c r="I16" i="157"/>
  <c r="I36" i="157"/>
  <c r="I28" i="157"/>
  <c r="I31" i="157"/>
  <c r="I26" i="157"/>
  <c r="I35" i="157"/>
  <c r="I9" i="157"/>
  <c r="I20" i="157"/>
  <c r="I38" i="157"/>
  <c r="I17" i="157"/>
  <c r="I18" i="157"/>
  <c r="I21" i="157"/>
  <c r="I15" i="157"/>
  <c r="I13" i="157"/>
  <c r="I10" i="157"/>
  <c r="I22" i="157"/>
  <c r="I24" i="157"/>
  <c r="I19" i="157"/>
  <c r="I29" i="157"/>
  <c r="I30" i="157"/>
  <c r="I7" i="157"/>
  <c r="F23" i="158" l="1"/>
  <c r="G23" i="158"/>
  <c r="F19" i="158"/>
  <c r="G19" i="158"/>
  <c r="G13" i="158"/>
  <c r="F13" i="158"/>
  <c r="G17" i="158"/>
  <c r="F17" i="158"/>
  <c r="G35" i="158"/>
  <c r="F35" i="158"/>
  <c r="F36" i="158"/>
  <c r="G36" i="158"/>
  <c r="G39" i="158"/>
  <c r="F39" i="158"/>
  <c r="I41" i="157"/>
  <c r="G6" i="158"/>
  <c r="F6" i="158"/>
  <c r="F12" i="158"/>
  <c r="G12" i="158"/>
  <c r="G7" i="158"/>
  <c r="F7" i="158"/>
  <c r="F24" i="158"/>
  <c r="G24" i="158"/>
  <c r="G15" i="158"/>
  <c r="F15" i="158"/>
  <c r="G38" i="158"/>
  <c r="F38" i="158"/>
  <c r="F26" i="158"/>
  <c r="G26" i="158"/>
  <c r="G16" i="158"/>
  <c r="F16" i="158"/>
  <c r="G27" i="158"/>
  <c r="F27" i="158"/>
  <c r="F14" i="158"/>
  <c r="G14" i="158"/>
  <c r="G11" i="158"/>
  <c r="F11" i="158"/>
  <c r="G30" i="158"/>
  <c r="F30" i="158"/>
  <c r="G22" i="158"/>
  <c r="F22" i="158"/>
  <c r="G21" i="158"/>
  <c r="F21" i="158"/>
  <c r="F20" i="158"/>
  <c r="G20" i="158"/>
  <c r="F31" i="158"/>
  <c r="G31" i="158"/>
  <c r="F34" i="158"/>
  <c r="G34" i="158"/>
  <c r="F33" i="158"/>
  <c r="G33" i="158"/>
  <c r="F8" i="158"/>
  <c r="G8" i="158"/>
  <c r="F37" i="158"/>
  <c r="G37" i="158"/>
  <c r="F29" i="158"/>
  <c r="G29" i="158"/>
  <c r="F10" i="158"/>
  <c r="G10" i="158"/>
  <c r="G9" i="158"/>
  <c r="F9" i="158"/>
  <c r="G28" i="158"/>
  <c r="F28" i="158"/>
  <c r="G25" i="158"/>
  <c r="F25" i="158"/>
  <c r="F32" i="158"/>
  <c r="G32" i="158"/>
  <c r="AC18" i="158" l="1"/>
  <c r="K18" i="158"/>
  <c r="AB18" i="158"/>
  <c r="P18" i="158"/>
  <c r="P19" i="164" l="1"/>
  <c r="P41" i="158"/>
  <c r="AB41" i="158"/>
  <c r="AB19" i="164"/>
  <c r="AB42" i="164" s="1"/>
  <c r="M18" i="158"/>
  <c r="N18" i="158"/>
  <c r="O18" i="158"/>
  <c r="L18" i="158" s="1"/>
  <c r="K41" i="158"/>
  <c r="K19" i="164"/>
  <c r="K42" i="164" s="1"/>
  <c r="AC41" i="158"/>
  <c r="AC19" i="164"/>
  <c r="AC42" i="164" s="1"/>
  <c r="L41" i="158" l="1"/>
  <c r="L19" i="164"/>
  <c r="F18" i="158"/>
  <c r="G18" i="158"/>
  <c r="G41" i="158" s="1"/>
  <c r="O41" i="158"/>
  <c r="O19" i="164"/>
  <c r="N41" i="158"/>
  <c r="N19" i="164"/>
  <c r="M41" i="158"/>
  <c r="M19" i="164"/>
  <c r="H18" i="165"/>
  <c r="H41" i="165" s="1"/>
  <c r="P42" i="164"/>
  <c r="F18" i="165" l="1"/>
  <c r="F41" i="165" s="1"/>
  <c r="N42" i="164"/>
  <c r="G18" i="165"/>
  <c r="G41" i="165" s="1"/>
  <c r="O42" i="164"/>
  <c r="H8" i="158"/>
  <c r="H15" i="158"/>
  <c r="H20" i="158"/>
  <c r="H22" i="158"/>
  <c r="H12" i="158"/>
  <c r="H27" i="158"/>
  <c r="H14" i="158"/>
  <c r="H21" i="158"/>
  <c r="H6" i="158"/>
  <c r="H11" i="158"/>
  <c r="H26" i="158"/>
  <c r="H29" i="158"/>
  <c r="H13" i="158"/>
  <c r="H33" i="158"/>
  <c r="H34" i="158"/>
  <c r="H9" i="158"/>
  <c r="H35" i="158"/>
  <c r="H19" i="158"/>
  <c r="H18" i="158"/>
  <c r="H31" i="158"/>
  <c r="H36" i="158"/>
  <c r="H16" i="158"/>
  <c r="H28" i="158"/>
  <c r="H24" i="158"/>
  <c r="H23" i="158"/>
  <c r="H25" i="158"/>
  <c r="H32" i="158"/>
  <c r="H7" i="158"/>
  <c r="H37" i="158"/>
  <c r="H30" i="158"/>
  <c r="H39" i="158"/>
  <c r="H10" i="158"/>
  <c r="H17" i="158"/>
  <c r="H38" i="158"/>
  <c r="F41" i="158"/>
  <c r="E18" i="165"/>
  <c r="E41" i="165" s="1"/>
  <c r="M42" i="164"/>
  <c r="D18" i="165"/>
  <c r="D41" i="165" s="1"/>
  <c r="L42" i="164"/>
  <c r="I7" i="158" l="1"/>
  <c r="I31" i="158"/>
  <c r="I29" i="158"/>
  <c r="I22" i="158"/>
  <c r="I32" i="158"/>
  <c r="I26" i="158"/>
  <c r="I20" i="158"/>
  <c r="I38" i="158"/>
  <c r="I25" i="158"/>
  <c r="I19" i="158"/>
  <c r="I11" i="158"/>
  <c r="I15" i="158"/>
  <c r="I17" i="158"/>
  <c r="I23" i="158"/>
  <c r="I35" i="158"/>
  <c r="H41" i="158"/>
  <c r="I6" i="158"/>
  <c r="I8" i="158"/>
  <c r="I10" i="158"/>
  <c r="I24" i="158"/>
  <c r="I9" i="158"/>
  <c r="I21" i="158"/>
  <c r="I39" i="158"/>
  <c r="I28" i="158"/>
  <c r="I34" i="158"/>
  <c r="I14" i="158"/>
  <c r="I30" i="158"/>
  <c r="I16" i="158"/>
  <c r="I33" i="158"/>
  <c r="I27" i="158"/>
  <c r="I18" i="158"/>
  <c r="I37" i="158"/>
  <c r="I36" i="158"/>
  <c r="I13" i="158"/>
  <c r="I12" i="158"/>
  <c r="F30" i="159" l="1"/>
  <c r="G30" i="159"/>
  <c r="G39" i="159"/>
  <c r="F39" i="159"/>
  <c r="G10" i="159"/>
  <c r="F10" i="159"/>
  <c r="G22" i="159"/>
  <c r="F22" i="159"/>
  <c r="F18" i="159"/>
  <c r="G18" i="159"/>
  <c r="F23" i="159"/>
  <c r="G23" i="159"/>
  <c r="G19" i="159"/>
  <c r="F19" i="159"/>
  <c r="F26" i="159"/>
  <c r="G26" i="159"/>
  <c r="F27" i="159"/>
  <c r="G27" i="159"/>
  <c r="F14" i="159"/>
  <c r="G14" i="159"/>
  <c r="F21" i="159"/>
  <c r="G21" i="159"/>
  <c r="G8" i="159"/>
  <c r="F8" i="159"/>
  <c r="F29" i="159"/>
  <c r="G29" i="159"/>
  <c r="G12" i="159"/>
  <c r="F12" i="159"/>
  <c r="G17" i="159"/>
  <c r="F17" i="159"/>
  <c r="G25" i="159"/>
  <c r="F25" i="159"/>
  <c r="G13" i="159"/>
  <c r="F13" i="159"/>
  <c r="F33" i="159"/>
  <c r="G33" i="159"/>
  <c r="G34" i="159"/>
  <c r="F34" i="159"/>
  <c r="G9" i="159"/>
  <c r="F9" i="159"/>
  <c r="I41" i="158"/>
  <c r="F6" i="159"/>
  <c r="G6" i="159"/>
  <c r="F32" i="159"/>
  <c r="G32" i="159"/>
  <c r="G31" i="159"/>
  <c r="F31" i="159"/>
  <c r="F36" i="159"/>
  <c r="G36" i="159"/>
  <c r="F15" i="159"/>
  <c r="G15" i="159"/>
  <c r="G38" i="159"/>
  <c r="F38" i="159"/>
  <c r="F16" i="159"/>
  <c r="G16" i="159"/>
  <c r="F28" i="159"/>
  <c r="G28" i="159"/>
  <c r="F24" i="159"/>
  <c r="G24" i="159"/>
  <c r="F7" i="159"/>
  <c r="G7" i="159"/>
  <c r="F37" i="159"/>
  <c r="G37" i="159"/>
  <c r="F35" i="159"/>
  <c r="G35" i="159"/>
  <c r="F11" i="159"/>
  <c r="G11" i="159"/>
  <c r="F20" i="159"/>
  <c r="G20" i="159"/>
  <c r="G41" i="159" l="1"/>
  <c r="F41" i="159"/>
  <c r="H23" i="159" l="1"/>
  <c r="H13" i="159"/>
  <c r="H17" i="159"/>
  <c r="H19" i="159"/>
  <c r="H16" i="159"/>
  <c r="H21" i="159"/>
  <c r="H26" i="159"/>
  <c r="H36" i="159"/>
  <c r="H32" i="159"/>
  <c r="H14" i="159"/>
  <c r="H9" i="159"/>
  <c r="H6" i="159"/>
  <c r="H20" i="159"/>
  <c r="H7" i="159"/>
  <c r="H12" i="159"/>
  <c r="H33" i="159"/>
  <c r="H25" i="159"/>
  <c r="H18" i="159"/>
  <c r="H38" i="159"/>
  <c r="H11" i="159"/>
  <c r="H35" i="159"/>
  <c r="H30" i="159"/>
  <c r="H34" i="159"/>
  <c r="H28" i="159"/>
  <c r="H22" i="159"/>
  <c r="H29" i="159"/>
  <c r="H37" i="159"/>
  <c r="H8" i="159"/>
  <c r="H10" i="159"/>
  <c r="H31" i="159"/>
  <c r="H15" i="159"/>
  <c r="H24" i="159"/>
  <c r="H27" i="159"/>
  <c r="H39" i="159"/>
  <c r="I24" i="159" l="1"/>
  <c r="I28" i="159"/>
  <c r="I33" i="159"/>
  <c r="I36" i="159"/>
  <c r="I12" i="159"/>
  <c r="I26" i="159"/>
  <c r="I15" i="159"/>
  <c r="I31" i="159"/>
  <c r="I7" i="159"/>
  <c r="I21" i="159"/>
  <c r="I10" i="159"/>
  <c r="I35" i="159"/>
  <c r="I20" i="159"/>
  <c r="I16" i="159"/>
  <c r="I8" i="159"/>
  <c r="I11" i="159"/>
  <c r="H41" i="159"/>
  <c r="I6" i="159"/>
  <c r="I19" i="159"/>
  <c r="I37" i="159"/>
  <c r="I38" i="159"/>
  <c r="I9" i="159"/>
  <c r="I17" i="159"/>
  <c r="I34" i="159"/>
  <c r="I30" i="159"/>
  <c r="I39" i="159"/>
  <c r="I29" i="159"/>
  <c r="I18" i="159"/>
  <c r="I14" i="159"/>
  <c r="I13" i="159"/>
  <c r="I27" i="159"/>
  <c r="I22" i="159"/>
  <c r="I25" i="159"/>
  <c r="I32" i="159"/>
  <c r="I23" i="159"/>
  <c r="F11" i="160" l="1"/>
  <c r="G11" i="160"/>
  <c r="G35" i="160"/>
  <c r="F35" i="160"/>
  <c r="F31" i="160"/>
  <c r="G31" i="160"/>
  <c r="G36" i="160"/>
  <c r="F36" i="160"/>
  <c r="F23" i="160"/>
  <c r="G23" i="160"/>
  <c r="G27" i="160"/>
  <c r="F27" i="160"/>
  <c r="G29" i="160"/>
  <c r="F29" i="160"/>
  <c r="F17" i="160"/>
  <c r="G17" i="160"/>
  <c r="G8" i="160"/>
  <c r="F8" i="160"/>
  <c r="F10" i="160"/>
  <c r="G10" i="160"/>
  <c r="G15" i="160"/>
  <c r="F15" i="160"/>
  <c r="F33" i="160"/>
  <c r="G33" i="160"/>
  <c r="G32" i="160"/>
  <c r="F32" i="160"/>
  <c r="G13" i="160"/>
  <c r="F13" i="160"/>
  <c r="F39" i="160"/>
  <c r="G39" i="160"/>
  <c r="G9" i="160"/>
  <c r="F9" i="160"/>
  <c r="G19" i="160"/>
  <c r="F19" i="160"/>
  <c r="G16" i="160"/>
  <c r="F16" i="160"/>
  <c r="F21" i="160"/>
  <c r="G21" i="160"/>
  <c r="G26" i="160"/>
  <c r="F26" i="160"/>
  <c r="G28" i="160"/>
  <c r="F28" i="160"/>
  <c r="G25" i="160"/>
  <c r="F25" i="160"/>
  <c r="G14" i="160"/>
  <c r="F14" i="160"/>
  <c r="G30" i="160"/>
  <c r="F30" i="160"/>
  <c r="G38" i="160"/>
  <c r="F38" i="160"/>
  <c r="F6" i="160"/>
  <c r="I41" i="159"/>
  <c r="G6" i="160"/>
  <c r="F20" i="160"/>
  <c r="G20" i="160"/>
  <c r="F7" i="160"/>
  <c r="G7" i="160"/>
  <c r="G12" i="160"/>
  <c r="F12" i="160"/>
  <c r="G24" i="160"/>
  <c r="F24" i="160"/>
  <c r="G22" i="160"/>
  <c r="F22" i="160"/>
  <c r="G18" i="160"/>
  <c r="F18" i="160"/>
  <c r="F34" i="160"/>
  <c r="G34" i="160"/>
  <c r="F37" i="160"/>
  <c r="G37" i="160"/>
  <c r="G41" i="160" l="1"/>
  <c r="F41" i="160"/>
  <c r="H10" i="160" l="1"/>
  <c r="H9" i="160"/>
  <c r="H25" i="160"/>
  <c r="H23" i="160"/>
  <c r="H14" i="160"/>
  <c r="H13" i="160"/>
  <c r="H34" i="160"/>
  <c r="H19" i="160"/>
  <c r="H30" i="160"/>
  <c r="H33" i="160"/>
  <c r="H21" i="160"/>
  <c r="H28" i="160"/>
  <c r="H29" i="160"/>
  <c r="H18" i="160"/>
  <c r="H15" i="160"/>
  <c r="H6" i="160"/>
  <c r="H35" i="160"/>
  <c r="H37" i="160"/>
  <c r="H20" i="160"/>
  <c r="H31" i="160"/>
  <c r="H39" i="160"/>
  <c r="H26" i="160"/>
  <c r="H7" i="160"/>
  <c r="H38" i="160"/>
  <c r="H24" i="160"/>
  <c r="H16" i="160"/>
  <c r="H8" i="160"/>
  <c r="H27" i="160"/>
  <c r="H12" i="160"/>
  <c r="H32" i="160"/>
  <c r="H36" i="160"/>
  <c r="H17" i="160"/>
  <c r="H11" i="160"/>
  <c r="H22" i="160"/>
  <c r="I19" i="160" l="1"/>
  <c r="I36" i="160"/>
  <c r="I7" i="160"/>
  <c r="I15" i="160"/>
  <c r="I34" i="160"/>
  <c r="H41" i="160"/>
  <c r="I6" i="160"/>
  <c r="I12" i="160"/>
  <c r="I39" i="160"/>
  <c r="I29" i="160"/>
  <c r="I14" i="160"/>
  <c r="I32" i="160"/>
  <c r="I27" i="160"/>
  <c r="I31" i="160"/>
  <c r="I28" i="160"/>
  <c r="I23" i="160"/>
  <c r="I13" i="160"/>
  <c r="I8" i="160"/>
  <c r="I20" i="160"/>
  <c r="I21" i="160"/>
  <c r="I25" i="160"/>
  <c r="I38" i="160"/>
  <c r="I18" i="160"/>
  <c r="I22" i="160"/>
  <c r="I16" i="160"/>
  <c r="I37" i="160"/>
  <c r="I33" i="160"/>
  <c r="I9" i="160"/>
  <c r="I17" i="160"/>
  <c r="I26" i="160"/>
  <c r="I11" i="160"/>
  <c r="I24" i="160"/>
  <c r="I35" i="160"/>
  <c r="I30" i="160"/>
  <c r="I10" i="160"/>
  <c r="G15" i="161" l="1"/>
  <c r="F15" i="161"/>
  <c r="G24" i="161"/>
  <c r="F24" i="161"/>
  <c r="G9" i="161"/>
  <c r="F9" i="161"/>
  <c r="G22" i="161"/>
  <c r="F22" i="161"/>
  <c r="G21" i="161"/>
  <c r="F21" i="161"/>
  <c r="G23" i="161"/>
  <c r="F23" i="161"/>
  <c r="G32" i="161"/>
  <c r="F32" i="161"/>
  <c r="F12" i="161"/>
  <c r="G12" i="161"/>
  <c r="G7" i="161"/>
  <c r="F7" i="161"/>
  <c r="F10" i="161"/>
  <c r="G10" i="161"/>
  <c r="F11" i="161"/>
  <c r="G11" i="161"/>
  <c r="G33" i="161"/>
  <c r="F33" i="161"/>
  <c r="G18" i="161"/>
  <c r="F18" i="161"/>
  <c r="F20" i="161"/>
  <c r="G20" i="161"/>
  <c r="G28" i="161"/>
  <c r="F28" i="161"/>
  <c r="F14" i="161"/>
  <c r="G14" i="161"/>
  <c r="F6" i="161"/>
  <c r="G6" i="161"/>
  <c r="I41" i="160"/>
  <c r="G36" i="161"/>
  <c r="F36" i="161"/>
  <c r="F30" i="161"/>
  <c r="G30" i="161"/>
  <c r="F26" i="161"/>
  <c r="G26" i="161"/>
  <c r="G37" i="161"/>
  <c r="F37" i="161"/>
  <c r="F38" i="161"/>
  <c r="G38" i="161"/>
  <c r="F8" i="161"/>
  <c r="G8" i="161"/>
  <c r="F31" i="161"/>
  <c r="G31" i="161"/>
  <c r="G29" i="161"/>
  <c r="F29" i="161"/>
  <c r="F34" i="161"/>
  <c r="G34" i="161"/>
  <c r="F19" i="161"/>
  <c r="G19" i="161"/>
  <c r="G35" i="161"/>
  <c r="F35" i="161"/>
  <c r="F17" i="161"/>
  <c r="G17" i="161"/>
  <c r="G16" i="161"/>
  <c r="F16" i="161"/>
  <c r="G25" i="161"/>
  <c r="F25" i="161"/>
  <c r="G13" i="161"/>
  <c r="F13" i="161"/>
  <c r="F27" i="161"/>
  <c r="G27" i="161"/>
  <c r="G39" i="161"/>
  <c r="F39" i="161"/>
  <c r="G41" i="161" l="1"/>
  <c r="F41" i="161"/>
  <c r="H26" i="161" l="1"/>
  <c r="H15" i="161"/>
  <c r="H22" i="161"/>
  <c r="H20" i="161"/>
  <c r="H18" i="161"/>
  <c r="H39" i="161"/>
  <c r="H19" i="161"/>
  <c r="H29" i="161"/>
  <c r="H7" i="161"/>
  <c r="H35" i="161"/>
  <c r="H8" i="161"/>
  <c r="H6" i="161"/>
  <c r="H37" i="161"/>
  <c r="H23" i="161"/>
  <c r="H32" i="161"/>
  <c r="H9" i="161"/>
  <c r="H27" i="161"/>
  <c r="H11" i="161"/>
  <c r="H14" i="161"/>
  <c r="H16" i="161"/>
  <c r="H17" i="161"/>
  <c r="H25" i="161"/>
  <c r="H31" i="161"/>
  <c r="H34" i="161"/>
  <c r="H24" i="161"/>
  <c r="H10" i="161"/>
  <c r="H12" i="161"/>
  <c r="H28" i="161"/>
  <c r="H38" i="161"/>
  <c r="H30" i="161"/>
  <c r="H33" i="161"/>
  <c r="H13" i="161"/>
  <c r="H36" i="161"/>
  <c r="H21" i="161"/>
  <c r="I31" i="161" l="1"/>
  <c r="I19" i="161"/>
  <c r="I34" i="161"/>
  <c r="I39" i="161"/>
  <c r="I9" i="161"/>
  <c r="I38" i="161"/>
  <c r="I18" i="161"/>
  <c r="I32" i="161"/>
  <c r="I16" i="161"/>
  <c r="H41" i="161"/>
  <c r="I6" i="161"/>
  <c r="I20" i="161"/>
  <c r="I29" i="161"/>
  <c r="I25" i="161"/>
  <c r="I37" i="161"/>
  <c r="I12" i="161"/>
  <c r="I14" i="161"/>
  <c r="I8" i="161"/>
  <c r="I22" i="161"/>
  <c r="I13" i="161"/>
  <c r="I30" i="161"/>
  <c r="I17" i="161"/>
  <c r="I21" i="161"/>
  <c r="I10" i="161"/>
  <c r="I11" i="161"/>
  <c r="I35" i="161"/>
  <c r="I15" i="161"/>
  <c r="I33" i="161"/>
  <c r="I23" i="161"/>
  <c r="I28" i="161"/>
  <c r="I36" i="161"/>
  <c r="I24" i="161"/>
  <c r="I27" i="161"/>
  <c r="I7" i="161"/>
  <c r="I26" i="161"/>
  <c r="G32" i="162" l="1"/>
  <c r="F32" i="162"/>
  <c r="G39" i="162"/>
  <c r="F39" i="162"/>
  <c r="G24" i="162"/>
  <c r="F24" i="162"/>
  <c r="G33" i="162"/>
  <c r="F33" i="162"/>
  <c r="G10" i="162"/>
  <c r="F10" i="162"/>
  <c r="F13" i="162"/>
  <c r="G13" i="162"/>
  <c r="G12" i="162"/>
  <c r="F12" i="162"/>
  <c r="F20" i="162"/>
  <c r="G20" i="162"/>
  <c r="F18" i="162"/>
  <c r="G18" i="162"/>
  <c r="F34" i="162"/>
  <c r="G34" i="162"/>
  <c r="G26" i="162"/>
  <c r="F26" i="162"/>
  <c r="F36" i="162"/>
  <c r="G36" i="162"/>
  <c r="F15" i="162"/>
  <c r="G15" i="162"/>
  <c r="G21" i="162"/>
  <c r="F21" i="162"/>
  <c r="G22" i="162"/>
  <c r="F22" i="162"/>
  <c r="G37" i="162"/>
  <c r="F37" i="162"/>
  <c r="I41" i="161"/>
  <c r="G6" i="162"/>
  <c r="F6" i="162"/>
  <c r="G38" i="162"/>
  <c r="F38" i="162"/>
  <c r="G19" i="162"/>
  <c r="F19" i="162"/>
  <c r="G7" i="162"/>
  <c r="F7" i="162"/>
  <c r="G28" i="162"/>
  <c r="F28" i="162"/>
  <c r="F35" i="162"/>
  <c r="G35" i="162"/>
  <c r="F17" i="162"/>
  <c r="G17" i="162"/>
  <c r="F8" i="162"/>
  <c r="G8" i="162"/>
  <c r="F25" i="162"/>
  <c r="G25" i="162"/>
  <c r="F16" i="162"/>
  <c r="G16" i="162"/>
  <c r="G9" i="162"/>
  <c r="F9" i="162"/>
  <c r="G31" i="162"/>
  <c r="F31" i="162"/>
  <c r="G27" i="162"/>
  <c r="F27" i="162"/>
  <c r="F23" i="162"/>
  <c r="G23" i="162"/>
  <c r="G11" i="162"/>
  <c r="F11" i="162"/>
  <c r="F30" i="162"/>
  <c r="G30" i="162"/>
  <c r="G14" i="162"/>
  <c r="F14" i="162"/>
  <c r="G29" i="162"/>
  <c r="F29" i="162"/>
  <c r="F41" i="162" l="1"/>
  <c r="G41" i="162"/>
  <c r="H34" i="162" l="1"/>
  <c r="H21" i="162"/>
  <c r="H35" i="162"/>
  <c r="H33" i="162"/>
  <c r="H11" i="162"/>
  <c r="H12" i="162"/>
  <c r="H26" i="162"/>
  <c r="H28" i="162"/>
  <c r="H37" i="162"/>
  <c r="H6" i="162"/>
  <c r="H30" i="162"/>
  <c r="H32" i="162"/>
  <c r="H24" i="162"/>
  <c r="H17" i="162"/>
  <c r="H38" i="162"/>
  <c r="H20" i="162"/>
  <c r="H23" i="162"/>
  <c r="H16" i="162"/>
  <c r="H25" i="162"/>
  <c r="H31" i="162"/>
  <c r="H15" i="162"/>
  <c r="H13" i="162"/>
  <c r="H18" i="162"/>
  <c r="H19" i="162"/>
  <c r="H10" i="162"/>
  <c r="H27" i="162"/>
  <c r="H39" i="162"/>
  <c r="H7" i="162"/>
  <c r="H29" i="162"/>
  <c r="H36" i="162"/>
  <c r="H14" i="162"/>
  <c r="H22" i="162"/>
  <c r="H9" i="162"/>
  <c r="H8" i="162"/>
  <c r="I14" i="162" l="1"/>
  <c r="I18" i="162"/>
  <c r="I38" i="162"/>
  <c r="I26" i="162"/>
  <c r="I13" i="162"/>
  <c r="I17" i="162"/>
  <c r="I12" i="162"/>
  <c r="I22" i="162"/>
  <c r="I24" i="162"/>
  <c r="I11" i="162"/>
  <c r="I7" i="162"/>
  <c r="I31" i="162"/>
  <c r="I32" i="162"/>
  <c r="I33" i="162"/>
  <c r="I19" i="162"/>
  <c r="I15" i="162"/>
  <c r="I39" i="162"/>
  <c r="I25" i="162"/>
  <c r="I30" i="162"/>
  <c r="I35" i="162"/>
  <c r="I28" i="162"/>
  <c r="I36" i="162"/>
  <c r="I8" i="162"/>
  <c r="I27" i="162"/>
  <c r="I16" i="162"/>
  <c r="H41" i="162"/>
  <c r="I6" i="162"/>
  <c r="I21" i="162"/>
  <c r="I20" i="162"/>
  <c r="I29" i="162"/>
  <c r="I9" i="162"/>
  <c r="I10" i="162"/>
  <c r="I23" i="162"/>
  <c r="I37" i="162"/>
  <c r="I34" i="162"/>
  <c r="F10" i="163" l="1"/>
  <c r="G10" i="163"/>
  <c r="G11" i="164" s="1"/>
  <c r="G21" i="163"/>
  <c r="G22" i="164" s="1"/>
  <c r="F21" i="163"/>
  <c r="F27" i="163"/>
  <c r="G27" i="163"/>
  <c r="G28" i="164" s="1"/>
  <c r="G35" i="163"/>
  <c r="G36" i="164" s="1"/>
  <c r="F35" i="163"/>
  <c r="F15" i="163"/>
  <c r="G15" i="163"/>
  <c r="G16" i="164" s="1"/>
  <c r="F31" i="163"/>
  <c r="G31" i="163"/>
  <c r="G32" i="164" s="1"/>
  <c r="F22" i="163"/>
  <c r="G22" i="163"/>
  <c r="G23" i="164" s="1"/>
  <c r="G26" i="163"/>
  <c r="G27" i="164" s="1"/>
  <c r="F26" i="163"/>
  <c r="F8" i="163"/>
  <c r="G8" i="163"/>
  <c r="G9" i="164" s="1"/>
  <c r="F30" i="163"/>
  <c r="G30" i="163"/>
  <c r="G31" i="164" s="1"/>
  <c r="G19" i="163"/>
  <c r="G20" i="164" s="1"/>
  <c r="F19" i="163"/>
  <c r="G7" i="163"/>
  <c r="G8" i="164" s="1"/>
  <c r="F7" i="163"/>
  <c r="F12" i="163"/>
  <c r="G12" i="163"/>
  <c r="G13" i="164" s="1"/>
  <c r="F38" i="163"/>
  <c r="G38" i="163"/>
  <c r="G39" i="164" s="1"/>
  <c r="F34" i="163"/>
  <c r="G34" i="163"/>
  <c r="G35" i="164" s="1"/>
  <c r="F9" i="163"/>
  <c r="G9" i="163"/>
  <c r="G10" i="164" s="1"/>
  <c r="G6" i="163"/>
  <c r="I41" i="162"/>
  <c r="F6" i="163"/>
  <c r="G36" i="163"/>
  <c r="G37" i="164" s="1"/>
  <c r="F36" i="163"/>
  <c r="F25" i="163"/>
  <c r="G25" i="163"/>
  <c r="G26" i="164" s="1"/>
  <c r="F33" i="163"/>
  <c r="G33" i="163"/>
  <c r="G34" i="164" s="1"/>
  <c r="F11" i="163"/>
  <c r="G11" i="163"/>
  <c r="G12" i="164" s="1"/>
  <c r="F17" i="163"/>
  <c r="G17" i="163"/>
  <c r="G18" i="164" s="1"/>
  <c r="F18" i="163"/>
  <c r="G18" i="163"/>
  <c r="G19" i="164" s="1"/>
  <c r="G37" i="163"/>
  <c r="G38" i="164" s="1"/>
  <c r="F37" i="163"/>
  <c r="G29" i="163"/>
  <c r="G30" i="164" s="1"/>
  <c r="F29" i="163"/>
  <c r="F16" i="163"/>
  <c r="G16" i="163"/>
  <c r="G17" i="164" s="1"/>
  <c r="F28" i="163"/>
  <c r="G28" i="163"/>
  <c r="G29" i="164" s="1"/>
  <c r="G39" i="163"/>
  <c r="G40" i="164" s="1"/>
  <c r="F39" i="163"/>
  <c r="G32" i="163"/>
  <c r="G33" i="164" s="1"/>
  <c r="F32" i="163"/>
  <c r="F24" i="163"/>
  <c r="G24" i="163"/>
  <c r="G25" i="164" s="1"/>
  <c r="G13" i="163"/>
  <c r="G14" i="164" s="1"/>
  <c r="F13" i="163"/>
  <c r="G14" i="163"/>
  <c r="G15" i="164" s="1"/>
  <c r="F14" i="163"/>
  <c r="G23" i="163"/>
  <c r="G24" i="164" s="1"/>
  <c r="F23" i="163"/>
  <c r="G20" i="163"/>
  <c r="G21" i="164" s="1"/>
  <c r="F20" i="163"/>
  <c r="F10" i="164" l="1"/>
  <c r="F29" i="164"/>
  <c r="F19" i="164"/>
  <c r="F26" i="164"/>
  <c r="F20" i="164"/>
  <c r="F37" i="164"/>
  <c r="F35" i="164"/>
  <c r="F23" i="164"/>
  <c r="F28" i="164"/>
  <c r="F34" i="164"/>
  <c r="F25" i="164"/>
  <c r="F17" i="164"/>
  <c r="F18" i="164"/>
  <c r="F22" i="164"/>
  <c r="F8" i="164"/>
  <c r="F14" i="164"/>
  <c r="F24" i="164"/>
  <c r="F33" i="164"/>
  <c r="F30" i="164"/>
  <c r="F7" i="164"/>
  <c r="F41" i="163"/>
  <c r="F39" i="164"/>
  <c r="F31" i="164"/>
  <c r="F32" i="164"/>
  <c r="F27" i="164"/>
  <c r="F12" i="164"/>
  <c r="F36" i="164"/>
  <c r="F21" i="164"/>
  <c r="F15" i="164"/>
  <c r="F40" i="164"/>
  <c r="F38" i="164"/>
  <c r="G41" i="163"/>
  <c r="G7" i="164"/>
  <c r="G42" i="164" s="1"/>
  <c r="F13" i="164"/>
  <c r="F9" i="164"/>
  <c r="F16" i="164"/>
  <c r="F11" i="164"/>
  <c r="F42" i="164" l="1"/>
  <c r="H9" i="163"/>
  <c r="H21" i="163"/>
  <c r="H34" i="163"/>
  <c r="H13" i="163"/>
  <c r="H8" i="163"/>
  <c r="H16" i="163"/>
  <c r="H22" i="163"/>
  <c r="H11" i="163"/>
  <c r="H28" i="163"/>
  <c r="H32" i="163"/>
  <c r="H26" i="163"/>
  <c r="H15" i="163"/>
  <c r="H14" i="163"/>
  <c r="H36" i="163"/>
  <c r="H18" i="163"/>
  <c r="H10" i="163"/>
  <c r="H7" i="163"/>
  <c r="H20" i="163"/>
  <c r="H29" i="163"/>
  <c r="H17" i="163"/>
  <c r="H31" i="163"/>
  <c r="H33" i="163"/>
  <c r="H27" i="163"/>
  <c r="H6" i="163"/>
  <c r="H24" i="163"/>
  <c r="H30" i="163"/>
  <c r="H37" i="163"/>
  <c r="H39" i="163"/>
  <c r="H23" i="163"/>
  <c r="H35" i="163"/>
  <c r="H12" i="163"/>
  <c r="H38" i="163"/>
  <c r="H19" i="163"/>
  <c r="H25" i="163"/>
  <c r="H13" i="164" l="1"/>
  <c r="I12" i="163"/>
  <c r="H36" i="164"/>
  <c r="I35" i="163"/>
  <c r="H34" i="164"/>
  <c r="I33" i="163"/>
  <c r="H37" i="164"/>
  <c r="I36" i="163"/>
  <c r="H17" i="164"/>
  <c r="I16" i="163"/>
  <c r="H24" i="164"/>
  <c r="I23" i="163"/>
  <c r="H32" i="164"/>
  <c r="I31" i="163"/>
  <c r="H15" i="164"/>
  <c r="I14" i="163"/>
  <c r="H9" i="164"/>
  <c r="I8" i="163"/>
  <c r="H28" i="164"/>
  <c r="I27" i="163"/>
  <c r="H40" i="164"/>
  <c r="I39" i="163"/>
  <c r="H18" i="164"/>
  <c r="I17" i="163"/>
  <c r="H16" i="164"/>
  <c r="I15" i="163"/>
  <c r="H14" i="164"/>
  <c r="I13" i="163"/>
  <c r="H23" i="164"/>
  <c r="I22" i="163"/>
  <c r="H38" i="164"/>
  <c r="I37" i="163"/>
  <c r="H30" i="164"/>
  <c r="I29" i="163"/>
  <c r="H27" i="164"/>
  <c r="I26" i="163"/>
  <c r="H35" i="164"/>
  <c r="I34" i="163"/>
  <c r="H26" i="164"/>
  <c r="I25" i="163"/>
  <c r="H31" i="164"/>
  <c r="I30" i="163"/>
  <c r="H21" i="164"/>
  <c r="I20" i="163"/>
  <c r="H33" i="164"/>
  <c r="I32" i="163"/>
  <c r="H22" i="164"/>
  <c r="I21" i="163"/>
  <c r="H19" i="164"/>
  <c r="I18" i="163"/>
  <c r="H20" i="164"/>
  <c r="I19" i="163"/>
  <c r="H25" i="164"/>
  <c r="I24" i="163"/>
  <c r="H8" i="164"/>
  <c r="I7" i="163"/>
  <c r="H29" i="164"/>
  <c r="I28" i="163"/>
  <c r="H10" i="164"/>
  <c r="I9" i="163"/>
  <c r="H39" i="164"/>
  <c r="I38" i="163"/>
  <c r="H41" i="163"/>
  <c r="H7" i="164"/>
  <c r="I6" i="163"/>
  <c r="H11" i="164"/>
  <c r="I10" i="163"/>
  <c r="H12" i="164"/>
  <c r="I11" i="163"/>
  <c r="I41" i="163" l="1"/>
  <c r="I22" i="164"/>
  <c r="I26" i="164"/>
  <c r="I18" i="164"/>
  <c r="I37" i="164"/>
  <c r="I29" i="164"/>
  <c r="I8" i="164"/>
  <c r="I38" i="164"/>
  <c r="I15" i="164"/>
  <c r="I25" i="164"/>
  <c r="I35" i="164"/>
  <c r="I23" i="164"/>
  <c r="I32" i="164"/>
  <c r="I34" i="164"/>
  <c r="I39" i="164"/>
  <c r="I33" i="164"/>
  <c r="I40" i="164"/>
  <c r="I12" i="164"/>
  <c r="I10" i="164"/>
  <c r="I21" i="164"/>
  <c r="I14" i="164"/>
  <c r="I24" i="164"/>
  <c r="I36" i="164"/>
  <c r="I20" i="164"/>
  <c r="I27" i="164"/>
  <c r="I28" i="164"/>
  <c r="I11" i="164"/>
  <c r="I19" i="164"/>
  <c r="I31" i="164"/>
  <c r="I30" i="164"/>
  <c r="I16" i="164"/>
  <c r="I9" i="164"/>
  <c r="I17" i="164"/>
  <c r="I13" i="164"/>
  <c r="H42" i="164"/>
  <c r="I7" i="164"/>
  <c r="I42" i="16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S16" authorId="0" shapeId="0" xr:uid="{99BD4331-5C83-407E-8EF8-3485366284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RETENU DEC 23 AUX MEMBRE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3" authorId="0" shapeId="0" xr:uid="{28E70168-EB49-4284-A6CD-114F9BB334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8" authorId="0" shapeId="0" xr:uid="{41CA59A3-8896-444C-89F5-96A48E4C0C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DEDUCTION EPARGNE 3 000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18" authorId="0" shapeId="0" xr:uid="{030BFD12-2729-487D-BA51-5138F60C40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SEPT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S9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T30 147 000
T60 46 000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ASSURANCE 
 1 155 000
T30 88 000
T100 1 275 500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54 400
PENALITE  131 750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T30 285 000
T60 488 000
PENALITE 108 500</t>
        </r>
      </text>
    </comment>
    <comment ref="C7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VERST EFFECTUE PAR DOMO FABIEN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T30 100 000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G44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1 155 000
SAISIE INTERET 42 500
DETTE T100 554 500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
 1 040 000
DETTE T100 536 000
COTISATION T30  23 000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1 080 000
DETTE T30 98 500
COITSATION T30 46 000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E43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G39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S8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5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sharedStrings.xml><?xml version="1.0" encoding="utf-8"?>
<sst xmlns="http://schemas.openxmlformats.org/spreadsheetml/2006/main" count="2637" uniqueCount="338">
  <si>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</si>
  <si>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</si>
  <si>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</si>
  <si>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</si>
  <si>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</si>
  <si>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</si>
  <si>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</si>
  <si>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</si>
  <si>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</si>
  <si>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</si>
  <si>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</si>
  <si>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</si>
  <si>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</si>
  <si>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</si>
  <si>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</si>
  <si>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</si>
  <si>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</si>
  <si>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</si>
  <si>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</si>
  <si>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</si>
  <si>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</si>
  <si>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</si>
  <si>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</si>
  <si>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</si>
  <si>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</si>
  <si>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</si>
  <si>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</si>
  <si>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</si>
  <si>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</si>
  <si>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</si>
  <si>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</si>
  <si>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</si>
  <si>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</si>
  <si>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</si>
  <si>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</si>
  <si>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</si>
  <si>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</si>
  <si>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</si>
  <si>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</si>
  <si>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</si>
  <si>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</si>
  <si>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</si>
  <si>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</si>
  <si>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</si>
  <si>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</si>
  <si>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</si>
  <si>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</si>
  <si>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</si>
  <si>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</si>
  <si>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</si>
  <si>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</si>
  <si>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</si>
  <si>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</si>
  <si>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</si>
  <si>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</si>
  <si>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</si>
  <si>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</si>
  <si>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</si>
  <si>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</si>
  <si>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</si>
  <si>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</si>
  <si>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</si>
  <si>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</si>
  <si>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</si>
  <si>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</si>
  <si>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</si>
  <si>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</si>
  <si>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</si>
  <si>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</si>
  <si>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</si>
  <si>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</si>
  <si>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</si>
  <si>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</si>
  <si>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</si>
  <si>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</si>
  <si>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</si>
  <si>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</si>
  <si>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</si>
  <si>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</si>
  <si>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</si>
  <si>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</si>
  <si>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</si>
  <si>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</si>
  <si>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</si>
  <si>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</si>
  <si>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</si>
  <si>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</si>
  <si>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</si>
  <si>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</si>
  <si>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</si>
  <si>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</si>
  <si>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</si>
  <si>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</si>
  <si>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</si>
  <si>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</si>
  <si>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</si>
  <si>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</si>
  <si>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</si>
  <si>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</si>
  <si>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</si>
  <si>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</si>
  <si>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</si>
  <si>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</si>
  <si>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</si>
  <si>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</si>
  <si>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</si>
  <si>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</si>
  <si>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</si>
  <si>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</si>
  <si>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</si>
  <si>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</si>
  <si>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</si>
  <si>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</si>
  <si>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</si>
  <si>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</si>
  <si>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</si>
  <si>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</si>
  <si>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</si>
  <si>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</si>
  <si>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</si>
  <si>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</si>
  <si>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</si>
  <si>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</si>
  <si>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</si>
  <si>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</si>
  <si>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</si>
  <si>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</si>
  <si>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</si>
  <si>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</si>
  <si>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</si>
  <si>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</si>
  <si>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</si>
  <si>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</si>
  <si>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</si>
  <si>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</si>
  <si>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</si>
  <si>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</si>
  <si>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</si>
  <si>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</si>
  <si>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</si>
  <si>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</si>
  <si>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</si>
  <si>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</si>
  <si>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</si>
  <si>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</si>
  <si>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</si>
  <si>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</si>
  <si>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</si>
  <si>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</si>
  <si>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</si>
  <si>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</si>
  <si>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</si>
  <si>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</si>
  <si>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</si>
  <si>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</si>
  <si>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</si>
  <si>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</si>
  <si>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</si>
  <si>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</si>
  <si>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</si>
  <si>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</si>
  <si>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</si>
  <si>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</si>
  <si>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</si>
  <si>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</si>
  <si>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</si>
  <si>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</si>
  <si>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</si>
  <si>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</si>
  <si>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</si>
  <si>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</si>
  <si>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</si>
  <si>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</si>
  <si>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</si>
  <si>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</si>
  <si>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</si>
  <si>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</si>
  <si>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</si>
  <si>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</si>
  <si>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</si>
  <si>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</si>
  <si>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</si>
  <si>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</si>
  <si>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</si>
  <si>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</si>
  <si>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</si>
  <si>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</si>
  <si>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</si>
  <si>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</si>
  <si>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</si>
  <si>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</si>
  <si>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</si>
  <si>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</si>
  <si>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</si>
  <si>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</si>
  <si>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</si>
  <si>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</si>
  <si>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</si>
  <si>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</si>
  <si>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</si>
  <si>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</si>
  <si>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</si>
  <si>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</si>
  <si>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</si>
  <si>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</si>
  <si>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</si>
  <si>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</si>
  <si>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</si>
  <si>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</si>
  <si>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</si>
  <si>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</si>
  <si>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</si>
  <si>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</si>
  <si>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</si>
  <si>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</si>
  <si>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</si>
  <si>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</si>
  <si>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</si>
  <si>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</si>
  <si>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</si>
  <si>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</si>
  <si>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</si>
  <si>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</si>
  <si>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</si>
  <si>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</si>
  <si>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</si>
  <si>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</si>
  <si>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</si>
  <si>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</si>
  <si>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</si>
  <si>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</si>
  <si>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</si>
  <si>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</si>
  <si>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</si>
  <si>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</si>
  <si>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</si>
  <si>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</si>
  <si>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</si>
  <si>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</si>
  <si>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</si>
  <si>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</si>
  <si>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</si>
  <si>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</si>
  <si>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</si>
  <si>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</si>
  <si>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</si>
  <si>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</si>
  <si>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</si>
  <si>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</si>
  <si>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</si>
  <si>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</si>
  <si>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</si>
  <si>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</si>
  <si>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</si>
  <si>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</si>
  <si>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</si>
  <si>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</si>
  <si>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</si>
  <si>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</si>
  <si>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</si>
  <si>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</si>
  <si>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</si>
  <si>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</si>
  <si>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</si>
  <si>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</si>
  <si>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</si>
  <si>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</si>
  <si>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</si>
  <si>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</si>
  <si>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</si>
  <si>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</si>
  <si>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</si>
  <si>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</si>
  <si>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</si>
  <si>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</si>
  <si>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</si>
  <si>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</si>
  <si>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</si>
  <si>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</si>
  <si>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</si>
  <si>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</si>
  <si>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</si>
  <si>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</si>
  <si>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</si>
  <si>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</si>
  <si>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</si>
  <si>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</si>
  <si>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</si>
  <si>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</si>
  <si>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</si>
  <si>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</si>
  <si>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</si>
  <si>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</si>
  <si>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</si>
  <si>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</si>
  <si>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</si>
  <si>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</si>
  <si>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</si>
  <si>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</si>
  <si>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</si>
  <si>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</si>
  <si>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</si>
  <si>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</si>
  <si>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</si>
  <si>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</si>
  <si>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</si>
  <si>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</si>
  <si>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</si>
  <si>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</si>
  <si>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</si>
  <si>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</si>
  <si>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</si>
  <si>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</si>
  <si>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</si>
  <si>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</si>
  <si>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</si>
  <si>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</si>
  <si>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</si>
  <si>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</si>
  <si>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</si>
  <si>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</si>
  <si>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</si>
  <si>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</si>
  <si>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</si>
  <si>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</si>
  <si>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</si>
  <si>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</si>
  <si>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</si>
  <si>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</si>
  <si>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</si>
  <si>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</si>
  <si>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</si>
  <si>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</si>
  <si>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INTERET  PRÊT EXERCISE</t>
  </si>
  <si>
    <t>DETTE DEFINITIVE</t>
  </si>
  <si>
    <t>AUTRES DEPENSES</t>
  </si>
  <si>
    <t>BILAN MI PARCOURS AUTRES MOUVEMENT</t>
  </si>
  <si>
    <t>TERRAIN/ADHERENT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</si>
</sst>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#,##0;[Red]#,##0"/>
    <numFmt numFmtId="166" formatCode="[$-40C]mmm\-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16" fillId="0" borderId="1" xfId="0" applyNumberFormat="1" applyFont="1" applyBorder="1"/>
    <xf numFmtId="0" fontId="0" fillId="0" borderId="1" xfId="0" applyBorder="1" applyAlignment="1">
      <alignment horizontal="center"/>
    </xf>
    <xf numFmtId="3" fontId="5" fillId="0" borderId="8" xfId="0" applyNumberFormat="1" applyFont="1" applyBorder="1"/>
    <xf numFmtId="3" fontId="38" fillId="0" borderId="1" xfId="0" applyNumberFormat="1" applyFont="1" applyBorder="1"/>
    <xf numFmtId="166" fontId="3" fillId="0" borderId="1" xfId="0" applyNumberFormat="1" applyFont="1" applyBorder="1"/>
    <xf numFmtId="3" fontId="3" fillId="0" borderId="5" xfId="0" applyNumberFormat="1" applyFont="1" applyBorder="1"/>
    <xf numFmtId="0" fontId="4" fillId="0" borderId="5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3" fontId="1" fillId="3" borderId="3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3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63" Type="http://schemas.openxmlformats.org/officeDocument/2006/relationships/externalLink" Target="externalLinks/externalLink17.xml"/><Relationship Id="rId68" Type="http://schemas.openxmlformats.org/officeDocument/2006/relationships/externalLink" Target="externalLinks/externalLink2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7.xml"/><Relationship Id="rId58" Type="http://schemas.openxmlformats.org/officeDocument/2006/relationships/externalLink" Target="externalLinks/externalLink12.xml"/><Relationship Id="rId74" Type="http://schemas.openxmlformats.org/officeDocument/2006/relationships/externalLink" Target="externalLinks/externalLink28.xml"/><Relationship Id="rId79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5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56" Type="http://schemas.openxmlformats.org/officeDocument/2006/relationships/externalLink" Target="externalLinks/externalLink10.xml"/><Relationship Id="rId64" Type="http://schemas.openxmlformats.org/officeDocument/2006/relationships/externalLink" Target="externalLinks/externalLink18.xml"/><Relationship Id="rId69" Type="http://schemas.openxmlformats.org/officeDocument/2006/relationships/externalLink" Target="externalLinks/externalLink23.xml"/><Relationship Id="rId77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5.xml"/><Relationship Id="rId72" Type="http://schemas.openxmlformats.org/officeDocument/2006/relationships/externalLink" Target="externalLinks/externalLink26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3.xml"/><Relationship Id="rId67" Type="http://schemas.openxmlformats.org/officeDocument/2006/relationships/externalLink" Target="externalLinks/externalLink2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8.xml"/><Relationship Id="rId62" Type="http://schemas.openxmlformats.org/officeDocument/2006/relationships/externalLink" Target="externalLinks/externalLink16.xml"/><Relationship Id="rId70" Type="http://schemas.openxmlformats.org/officeDocument/2006/relationships/externalLink" Target="externalLinks/externalLink24.xml"/><Relationship Id="rId75" Type="http://schemas.openxmlformats.org/officeDocument/2006/relationships/externalLink" Target="externalLinks/externalLink29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Relationship Id="rId57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6.xml"/><Relationship Id="rId60" Type="http://schemas.openxmlformats.org/officeDocument/2006/relationships/externalLink" Target="externalLinks/externalLink14.xml"/><Relationship Id="rId65" Type="http://schemas.openxmlformats.org/officeDocument/2006/relationships/externalLink" Target="externalLinks/externalLink19.xml"/><Relationship Id="rId73" Type="http://schemas.openxmlformats.org/officeDocument/2006/relationships/externalLink" Target="externalLinks/externalLink27.xml"/><Relationship Id="rId78" Type="http://schemas.openxmlformats.org/officeDocument/2006/relationships/externalLink" Target="externalLinks/externalLink32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4.xml"/><Relationship Id="rId55" Type="http://schemas.openxmlformats.org/officeDocument/2006/relationships/externalLink" Target="externalLinks/externalLink9.xml"/><Relationship Id="rId76" Type="http://schemas.openxmlformats.org/officeDocument/2006/relationships/externalLink" Target="externalLinks/externalLink3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2021\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TONTASELB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AUTREMOUVEM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AUTREMOUVEMEN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2021\AROUEST2021AUTREMOUVEM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2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2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SELBYTONTINE10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2021\ASELBYTONTINE10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2023LISTEADHER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2022TABBOR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UTRESDOC/FINANCES%20EXERCICE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2023TABBOR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2024LISTEADHER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3\TRAVAUXFINEXERCICE202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3\ASELBY2023AUTREMOUVEMEN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3\ASELBY2023TABBOR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2024LISTEFONDSCAISS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LISTEADHERENT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4\ASELBYTONTINE60000%20-%202018_2019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TONTINE1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TONTINE20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TONTINE30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TONTINE50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TONTINE100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OUESTTONTINE\AROUESTTONTINE150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_2021\ASELBY2021TONTINE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  <row r="51">
          <cell r="E51">
            <v>600000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GESTIONINTERET"/>
      <sheetName val="ECHEC TONTINE"/>
      <sheetName val="DETTE ENVELOPPE2020"/>
      <sheetName val="AIDEDEUIL"/>
      <sheetName val="RECONS_RETRAITE"/>
      <sheetName val="EMPRUNT"/>
      <sheetName val="EPARGNEASSURANCE"/>
      <sheetName val="RECAPTONTINE"/>
      <sheetName val="EMOLUMENT"/>
      <sheetName val="REPARINTERET"/>
      <sheetName val="GESTTRESORERIE"/>
      <sheetName val="DIST ESPECES KOLOKO"/>
      <sheetName val="LISTEADHERANT"/>
      <sheetName val="GESTIONINTERET BACKUP2020"/>
      <sheetName val="REPARINTERETBACKUP2020"/>
      <sheetName val="MVTRESUME20 (2)"/>
      <sheetName val="DISTINTERET"/>
      <sheetName val="MVTRESUME2020"/>
      <sheetName val="REPARINTERET (2)"/>
      <sheetName val="DETTE ENVE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>
        <row r="86">
          <cell r="G86">
            <v>33750</v>
          </cell>
        </row>
      </sheetData>
      <sheetData sheetId="5">
        <row r="86">
          <cell r="I86">
            <v>202500</v>
          </cell>
        </row>
      </sheetData>
      <sheetData sheetId="6">
        <row r="86">
          <cell r="I86">
            <v>155500</v>
          </cell>
        </row>
      </sheetData>
      <sheetData sheetId="7">
        <row r="86">
          <cell r="I86">
            <v>48000</v>
          </cell>
        </row>
      </sheetData>
      <sheetData sheetId="8">
        <row r="86">
          <cell r="I86">
            <v>0</v>
          </cell>
        </row>
      </sheetData>
      <sheetData sheetId="9">
        <row r="86">
          <cell r="I86">
            <v>616000</v>
          </cell>
        </row>
      </sheetData>
      <sheetData sheetId="10">
        <row r="86">
          <cell r="I86">
            <v>0</v>
          </cell>
        </row>
      </sheetData>
      <sheetData sheetId="11">
        <row r="86">
          <cell r="I86">
            <v>34000</v>
          </cell>
        </row>
      </sheetData>
      <sheetData sheetId="12">
        <row r="86">
          <cell r="I86">
            <v>34000</v>
          </cell>
        </row>
      </sheetData>
      <sheetData sheetId="13">
        <row r="86">
          <cell r="I86">
            <v>202000</v>
          </cell>
        </row>
      </sheetData>
      <sheetData sheetId="14"/>
      <sheetData sheetId="15"/>
      <sheetData sheetId="16"/>
      <sheetData sheetId="17">
        <row r="4">
          <cell r="G4">
            <v>1081.9642857142858</v>
          </cell>
        </row>
      </sheetData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>
        <row r="6">
          <cell r="K6">
            <v>97829.082108307513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  <cell r="I11" t="str">
            <v>ACTIF</v>
          </cell>
          <cell r="J11">
            <v>45536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  <cell r="I12" t="str">
            <v>ACTIF</v>
          </cell>
          <cell r="J12">
            <v>45627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  <cell r="I13" t="str">
            <v>ACTIF</v>
          </cell>
          <cell r="J13">
            <v>44348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  <cell r="I14" t="str">
            <v>ACTIF</v>
          </cell>
          <cell r="J14">
            <v>44986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 t="str">
            <v>ACTIF</v>
          </cell>
          <cell r="J15">
            <v>44378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  <cell r="I16" t="str">
            <v>ACTIF</v>
          </cell>
          <cell r="J16">
            <v>44256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  <cell r="I17" t="str">
            <v>ACTIF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  <cell r="I18" t="str">
            <v>ACTIF</v>
          </cell>
          <cell r="J18">
            <v>45047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  <cell r="I19" t="str">
            <v>ACTIF</v>
          </cell>
          <cell r="J19">
            <v>45078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  <cell r="I22" t="str">
            <v>ACTIF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  <cell r="I23" t="str">
            <v>ACTIF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2"/>
      <sheetName val="HISTODEC21"/>
      <sheetName val="HISTOJANV23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 refreshError="1"/>
      <sheetData sheetId="1" refreshError="1">
        <row r="39">
          <cell r="T39">
            <v>0</v>
          </cell>
        </row>
      </sheetData>
      <sheetData sheetId="2" refreshError="1"/>
      <sheetData sheetId="3" refreshError="1"/>
      <sheetData sheetId="4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171000</v>
          </cell>
          <cell r="D7">
            <v>105000</v>
          </cell>
          <cell r="E7">
            <v>105000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S7">
            <v>504000</v>
          </cell>
          <cell r="T7" t="str">
            <v>BANQUE</v>
          </cell>
          <cell r="U7">
            <v>609000</v>
          </cell>
          <cell r="Z7">
            <v>525000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399000</v>
          </cell>
          <cell r="D8">
            <v>150000</v>
          </cell>
          <cell r="E8">
            <v>399000</v>
          </cell>
          <cell r="F8">
            <v>1000000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1150000</v>
          </cell>
          <cell r="Z8">
            <v>1000000</v>
          </cell>
          <cell r="AA8" t="str">
            <v>BANQUE</v>
          </cell>
          <cell r="AB8" t="str">
            <v>OK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</row>
        <row r="9">
          <cell r="A9" t="str">
            <v>AS201654</v>
          </cell>
          <cell r="B9" t="str">
            <v>DJOMOU TCHANDA</v>
          </cell>
          <cell r="C9">
            <v>180000</v>
          </cell>
          <cell r="D9">
            <v>30000</v>
          </cell>
          <cell r="E9">
            <v>67000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51000</v>
          </cell>
          <cell r="D10">
            <v>110000</v>
          </cell>
          <cell r="E10">
            <v>0</v>
          </cell>
          <cell r="F10">
            <v>1051000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1110000</v>
          </cell>
          <cell r="Z10">
            <v>1000000</v>
          </cell>
          <cell r="AA10" t="str">
            <v>BANQUE</v>
          </cell>
          <cell r="AB10" t="str">
            <v>OK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AS201608</v>
          </cell>
          <cell r="B11" t="str">
            <v>DJUOMBESSY ANTOINE</v>
          </cell>
          <cell r="C11">
            <v>1235000</v>
          </cell>
          <cell r="D11">
            <v>205000</v>
          </cell>
          <cell r="E11">
            <v>359000</v>
          </cell>
          <cell r="F11">
            <v>1966000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1029000</v>
          </cell>
          <cell r="T11" t="str">
            <v>BANQUE</v>
          </cell>
          <cell r="U11">
            <v>1234000</v>
          </cell>
          <cell r="Z11">
            <v>1029000</v>
          </cell>
          <cell r="AA11" t="str">
            <v>BANQUE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-37000</v>
          </cell>
          <cell r="D13">
            <v>30000</v>
          </cell>
          <cell r="E13">
            <v>33000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70000</v>
          </cell>
          <cell r="D15">
            <v>105000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-70000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1070000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594000</v>
          </cell>
          <cell r="D18">
            <v>411000</v>
          </cell>
          <cell r="E18">
            <v>594000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1874000</v>
          </cell>
          <cell r="D20">
            <v>455000</v>
          </cell>
          <cell r="E20">
            <v>0</v>
          </cell>
          <cell r="F20">
            <v>1874000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U20">
            <v>455000</v>
          </cell>
          <cell r="Z20">
            <v>1050000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70000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1071000</v>
          </cell>
          <cell r="D22">
            <v>1029000</v>
          </cell>
          <cell r="E22">
            <v>0</v>
          </cell>
          <cell r="F22">
            <v>1071000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Z22">
            <v>924000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101000</v>
          </cell>
          <cell r="D23">
            <v>140000</v>
          </cell>
          <cell r="E23">
            <v>101000</v>
          </cell>
          <cell r="F23">
            <v>500000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S23">
            <v>500000</v>
          </cell>
          <cell r="T23" t="str">
            <v>BANQUE</v>
          </cell>
          <cell r="U23">
            <v>640000</v>
          </cell>
          <cell r="Z23">
            <v>500000</v>
          </cell>
          <cell r="AA23" t="str">
            <v>BANQUE</v>
          </cell>
          <cell r="AB23" t="str">
            <v>OK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309500</v>
          </cell>
          <cell r="D24">
            <v>210000</v>
          </cell>
          <cell r="E24">
            <v>309500</v>
          </cell>
          <cell r="F24">
            <v>1070000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S24">
            <v>1000000</v>
          </cell>
          <cell r="T24" t="str">
            <v>BANQUE</v>
          </cell>
          <cell r="U24">
            <v>1210000</v>
          </cell>
          <cell r="Z24">
            <v>1000000</v>
          </cell>
          <cell r="AA24" t="str">
            <v>BANQUE</v>
          </cell>
          <cell r="AB24" t="str">
            <v>OK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1000000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B25" t="str">
            <v>OK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417000</v>
          </cell>
          <cell r="D26">
            <v>105000</v>
          </cell>
          <cell r="E26">
            <v>446500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1000000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S28">
            <v>1000000</v>
          </cell>
          <cell r="T28" t="str">
            <v>BANQUE</v>
          </cell>
          <cell r="U28">
            <v>1140000</v>
          </cell>
          <cell r="Z28">
            <v>1000000</v>
          </cell>
          <cell r="AA28" t="str">
            <v>BANQUE</v>
          </cell>
          <cell r="AB28" t="str">
            <v>OK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391000</v>
          </cell>
          <cell r="D30">
            <v>105000</v>
          </cell>
          <cell r="E30">
            <v>321000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-60000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560000</v>
          </cell>
          <cell r="D33">
            <v>30000</v>
          </cell>
          <cell r="E33">
            <v>0</v>
          </cell>
          <cell r="F33">
            <v>1120000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S33">
            <v>560000</v>
          </cell>
          <cell r="T33" t="str">
            <v>BANQUE</v>
          </cell>
          <cell r="U33">
            <v>590000</v>
          </cell>
          <cell r="Z33">
            <v>560000</v>
          </cell>
          <cell r="AA33" t="str">
            <v>BANQUE</v>
          </cell>
          <cell r="AB33" t="str">
            <v>OK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342750</v>
          </cell>
          <cell r="D35">
            <v>0</v>
          </cell>
          <cell r="E35">
            <v>159000</v>
          </cell>
          <cell r="F35">
            <v>213750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213000</v>
          </cell>
          <cell r="D36">
            <v>280000</v>
          </cell>
          <cell r="E36">
            <v>283000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8882250</v>
          </cell>
          <cell r="D38">
            <v>4880000</v>
          </cell>
          <cell r="E38">
            <v>3187000</v>
          </cell>
          <cell r="F38">
            <v>13898750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8517000</v>
          </cell>
          <cell r="U38">
            <v>12475500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18986500</v>
          </cell>
          <cell r="AA38">
            <v>0</v>
          </cell>
          <cell r="AB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5" refreshError="1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121000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  <cell r="AW8">
            <v>0</v>
          </cell>
          <cell r="AX8">
            <v>1205000</v>
          </cell>
          <cell r="AY8">
            <v>0</v>
          </cell>
          <cell r="AZ8">
            <v>2085000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100000</v>
          </cell>
          <cell r="AY10">
            <v>0</v>
          </cell>
          <cell r="AZ10">
            <v>980000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1140000</v>
          </cell>
          <cell r="AZ11">
            <v>50000</v>
          </cell>
          <cell r="BB11">
            <v>61000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B12">
            <v>57000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B13">
            <v>70000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1155000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70000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26000</v>
          </cell>
          <cell r="AX18">
            <v>100000</v>
          </cell>
          <cell r="AY18">
            <v>60000</v>
          </cell>
          <cell r="AZ18">
            <v>1126000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485000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261000</v>
          </cell>
          <cell r="AX20">
            <v>100000</v>
          </cell>
          <cell r="AY20">
            <v>0</v>
          </cell>
          <cell r="AZ20">
            <v>1241000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440000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0</v>
          </cell>
          <cell r="AX24">
            <v>100000</v>
          </cell>
          <cell r="AY24">
            <v>0</v>
          </cell>
          <cell r="AZ24">
            <v>980000</v>
          </cell>
          <cell r="BB24">
            <v>70000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286000</v>
          </cell>
          <cell r="AX25">
            <v>30500</v>
          </cell>
          <cell r="AY25">
            <v>100000</v>
          </cell>
          <cell r="AZ25">
            <v>1296500</v>
          </cell>
          <cell r="BB25">
            <v>70000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25000</v>
          </cell>
          <cell r="AX26">
            <v>100000</v>
          </cell>
          <cell r="AY26">
            <v>0</v>
          </cell>
          <cell r="AZ26">
            <v>1280000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1155000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0</v>
          </cell>
          <cell r="AZ28">
            <v>880000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1166000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470000</v>
          </cell>
          <cell r="BB32">
            <v>70000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492800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1112500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1155000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70000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500000</v>
          </cell>
          <cell r="AA7" t="str">
            <v>BANQUE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1</v>
          </cell>
          <cell r="M8">
            <v>75000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1000000</v>
          </cell>
          <cell r="T8" t="str">
            <v>BANQUE</v>
          </cell>
          <cell r="U8">
            <v>1105000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1000000</v>
          </cell>
          <cell r="AA8" t="str">
            <v>BANQUE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1000000</v>
          </cell>
          <cell r="AA10" t="str">
            <v>BANQUE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206000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1000000</v>
          </cell>
          <cell r="AA11" t="str">
            <v>BANQUE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8000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1000000</v>
          </cell>
          <cell r="AA12" t="str">
            <v>BANQUE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23000</v>
          </cell>
          <cell r="AD13">
            <v>0</v>
          </cell>
          <cell r="AE13">
            <v>0</v>
          </cell>
          <cell r="AF13" t="str">
            <v>BANQUE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12000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75000</v>
          </cell>
          <cell r="AE15">
            <v>0</v>
          </cell>
          <cell r="AF15" t="str">
            <v>BANQUE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1000000</v>
          </cell>
          <cell r="AA16" t="str">
            <v>BANQUE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1000000</v>
          </cell>
          <cell r="AA18" t="str">
            <v>BANQUE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1000000</v>
          </cell>
          <cell r="AA19" t="str">
            <v>BANQUE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1000000</v>
          </cell>
          <cell r="AA20" t="str">
            <v>BANQUE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30000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500000</v>
          </cell>
          <cell r="AA21" t="str">
            <v>BANQUE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  <cell r="BK21">
            <v>70000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1000000</v>
          </cell>
          <cell r="AA22" t="str">
            <v>BANQUE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600000</v>
          </cell>
          <cell r="AA23" t="str">
            <v>BANQUE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1000000</v>
          </cell>
          <cell r="AA24" t="str">
            <v>BANQUE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1000000</v>
          </cell>
          <cell r="AA25" t="str">
            <v>BANQUE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1000000</v>
          </cell>
          <cell r="BD25">
            <v>1000000</v>
          </cell>
          <cell r="BF25">
            <v>0</v>
          </cell>
          <cell r="BG25">
            <v>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41000</v>
          </cell>
          <cell r="Q26">
            <v>38500</v>
          </cell>
          <cell r="R26">
            <v>0</v>
          </cell>
          <cell r="S26">
            <v>1000000</v>
          </cell>
          <cell r="T26" t="str">
            <v>BANQUE</v>
          </cell>
          <cell r="U26">
            <v>1184500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1000000</v>
          </cell>
          <cell r="AA26" t="str">
            <v>BANQUE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1</v>
          </cell>
          <cell r="M30">
            <v>75000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23000</v>
          </cell>
          <cell r="AD30">
            <v>0</v>
          </cell>
          <cell r="AE30">
            <v>0</v>
          </cell>
          <cell r="AF30" t="str">
            <v>BANQUE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D30">
            <v>277000</v>
          </cell>
          <cell r="BF30">
            <v>0</v>
          </cell>
          <cell r="BG30">
            <v>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800000</v>
          </cell>
          <cell r="T32" t="str">
            <v>BANQUE</v>
          </cell>
          <cell r="U32">
            <v>905000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1000000</v>
          </cell>
          <cell r="AA32" t="str">
            <v>BANQUE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  <cell r="BN36" t="str">
            <v>BOISSON</v>
          </cell>
          <cell r="BO36" t="str">
            <v>COLLATION</v>
          </cell>
        </row>
        <row r="37"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16437000</v>
          </cell>
          <cell r="BA38">
            <v>0</v>
          </cell>
          <cell r="BB38">
            <v>9000</v>
          </cell>
          <cell r="BC38">
            <v>0</v>
          </cell>
          <cell r="BD38">
            <v>16499000</v>
          </cell>
          <cell r="BF38">
            <v>1118000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OUILLARD DE CAISSE 2023"/>
      <sheetName val="TONTINE PRESENCE EXO 2023 "/>
      <sheetName val="TONTINE 75000 EXO 2023"/>
      <sheetName val="TONTINE DE 100 000 EXO 2023"/>
      <sheetName val="EPARGNE 2023"/>
      <sheetName val="MOUVEMENTS PRETS 2023"/>
      <sheetName val="CAISSE 2023"/>
      <sheetName val="FOYER 2023"/>
      <sheetName val="SYNTHESE DES FINANCES"/>
    </sheetNames>
    <sheetDataSet>
      <sheetData sheetId="0"/>
      <sheetData sheetId="1"/>
      <sheetData sheetId="2"/>
      <sheetData sheetId="3"/>
      <sheetData sheetId="4">
        <row r="5">
          <cell r="A5" t="str">
            <v>AS201648</v>
          </cell>
          <cell r="B5" t="str">
            <v>ASELBY</v>
          </cell>
          <cell r="C5"/>
          <cell r="D5">
            <v>816543.52134848095</v>
          </cell>
          <cell r="E5">
            <v>816543.52134848095</v>
          </cell>
          <cell r="F5">
            <v>51868.550607761812</v>
          </cell>
          <cell r="G5">
            <v>868412.07195624278</v>
          </cell>
          <cell r="H5">
            <v>0</v>
          </cell>
          <cell r="I5">
            <v>0</v>
          </cell>
          <cell r="J5">
            <v>868412.07195624278</v>
          </cell>
          <cell r="K5">
            <v>0</v>
          </cell>
          <cell r="L5">
            <v>1189.8849021447127</v>
          </cell>
          <cell r="M5">
            <v>869601.95685838745</v>
          </cell>
          <cell r="N5">
            <v>0</v>
          </cell>
          <cell r="O5">
            <v>235.14556296699732</v>
          </cell>
          <cell r="P5">
            <v>869837.1024213545</v>
          </cell>
          <cell r="Q5">
            <v>0</v>
          </cell>
          <cell r="R5">
            <v>7894.2913955442255</v>
          </cell>
          <cell r="S5">
            <v>877731.39381689869</v>
          </cell>
          <cell r="T5">
            <v>0</v>
          </cell>
          <cell r="U5">
            <v>1141.3507323029005</v>
          </cell>
          <cell r="V5">
            <v>878872.74454920157</v>
          </cell>
          <cell r="W5">
            <v>0</v>
          </cell>
          <cell r="X5">
            <v>2783.7171643084084</v>
          </cell>
          <cell r="Y5">
            <v>881656.46171350998</v>
          </cell>
          <cell r="Z5">
            <v>0</v>
          </cell>
          <cell r="AA5">
            <v>1851.9969842982098</v>
          </cell>
          <cell r="AB5">
            <v>883508.45869780821</v>
          </cell>
          <cell r="AC5">
            <v>0</v>
          </cell>
          <cell r="AD5">
            <v>2341.4025463527437</v>
          </cell>
          <cell r="AE5">
            <v>885849.86124416091</v>
          </cell>
          <cell r="AF5">
            <v>0</v>
          </cell>
          <cell r="AG5">
            <v>0</v>
          </cell>
          <cell r="AH5">
            <v>885849.86124416091</v>
          </cell>
          <cell r="AI5">
            <v>0</v>
          </cell>
          <cell r="AJ5">
            <v>673.39765009319194</v>
          </cell>
          <cell r="AK5">
            <v>886523.2588942541</v>
          </cell>
          <cell r="AL5">
            <v>0</v>
          </cell>
          <cell r="AM5">
            <v>0</v>
          </cell>
          <cell r="AN5">
            <v>886523.2588942541</v>
          </cell>
          <cell r="AO5">
            <v>0</v>
          </cell>
          <cell r="AP5">
            <v>0</v>
          </cell>
          <cell r="AQ5">
            <v>886523.2588942541</v>
          </cell>
          <cell r="AR5">
            <v>0</v>
          </cell>
          <cell r="AS5">
            <v>816543.52134848095</v>
          </cell>
          <cell r="AT5">
            <v>0</v>
          </cell>
          <cell r="AU5">
            <v>69979.737545773198</v>
          </cell>
          <cell r="AV5">
            <v>886523.2588942541</v>
          </cell>
          <cell r="AW5"/>
          <cell r="AX5"/>
          <cell r="AY5"/>
          <cell r="AZ5"/>
          <cell r="BA5"/>
          <cell r="BB5">
            <v>886523.2588942541</v>
          </cell>
          <cell r="BC5"/>
          <cell r="BD5">
            <v>886523.2588942541</v>
          </cell>
          <cell r="BE5">
            <v>0</v>
          </cell>
          <cell r="BF5">
            <v>886523.2588942541</v>
          </cell>
        </row>
        <row r="6">
          <cell r="A6" t="str">
            <v>AS201602</v>
          </cell>
          <cell r="B6" t="str">
            <v>BOUTCHOUANG WILLIAM</v>
          </cell>
          <cell r="C6">
            <v>600000</v>
          </cell>
          <cell r="D6">
            <v>7023.6611389458412</v>
          </cell>
          <cell r="E6">
            <v>607023.66113894584</v>
          </cell>
          <cell r="F6">
            <v>38559.411304736874</v>
          </cell>
          <cell r="G6">
            <v>645583.0724436827</v>
          </cell>
          <cell r="H6">
            <v>9000</v>
          </cell>
          <cell r="I6">
            <v>0</v>
          </cell>
          <cell r="J6">
            <v>654583.0724436827</v>
          </cell>
          <cell r="K6">
            <v>9000</v>
          </cell>
          <cell r="L6">
            <v>909.2313484782195</v>
          </cell>
          <cell r="M6">
            <v>664492.30379216094</v>
          </cell>
          <cell r="N6">
            <v>9000</v>
          </cell>
          <cell r="O6">
            <v>182.11634148258665</v>
          </cell>
          <cell r="P6">
            <v>673674.42013364355</v>
          </cell>
          <cell r="Q6">
            <v>9000</v>
          </cell>
          <cell r="R6">
            <v>6195.6782319554231</v>
          </cell>
          <cell r="S6">
            <v>688870.09836559894</v>
          </cell>
          <cell r="T6">
            <v>9000</v>
          </cell>
          <cell r="U6">
            <v>907.46958970916376</v>
          </cell>
          <cell r="V6">
            <v>698777.56795530813</v>
          </cell>
          <cell r="W6">
            <v>9000</v>
          </cell>
          <cell r="X6">
            <v>2241.7950455845003</v>
          </cell>
          <cell r="Y6">
            <v>710019.36300089268</v>
          </cell>
          <cell r="Z6">
            <v>9000</v>
          </cell>
          <cell r="AA6">
            <v>1510.3634462584782</v>
          </cell>
          <cell r="AB6">
            <v>720529.72644715116</v>
          </cell>
          <cell r="AC6">
            <v>9000</v>
          </cell>
          <cell r="AD6">
            <v>1933.340583587576</v>
          </cell>
          <cell r="AE6">
            <v>731463.06703073869</v>
          </cell>
          <cell r="AF6">
            <v>9000</v>
          </cell>
          <cell r="AG6">
            <v>0</v>
          </cell>
          <cell r="AH6">
            <v>740463.06703073869</v>
          </cell>
          <cell r="AI6">
            <v>9000</v>
          </cell>
          <cell r="AJ6">
            <v>569.72032197568114</v>
          </cell>
          <cell r="AK6">
            <v>750032.78735271434</v>
          </cell>
          <cell r="AL6">
            <v>9000</v>
          </cell>
          <cell r="AM6">
            <v>0</v>
          </cell>
          <cell r="AN6">
            <v>759032.78735271434</v>
          </cell>
          <cell r="AO6">
            <v>9000</v>
          </cell>
          <cell r="AP6">
            <v>0</v>
          </cell>
          <cell r="AQ6">
            <v>768032.78735271434</v>
          </cell>
          <cell r="AR6">
            <v>600000</v>
          </cell>
          <cell r="AS6">
            <v>7023.6611389458412</v>
          </cell>
          <cell r="AT6">
            <v>108000</v>
          </cell>
          <cell r="AU6">
            <v>53009.126213768512</v>
          </cell>
          <cell r="AV6">
            <v>768032.78735271434</v>
          </cell>
          <cell r="AW6">
            <v>630000</v>
          </cell>
          <cell r="AX6"/>
          <cell r="AY6"/>
          <cell r="AZ6"/>
          <cell r="BA6"/>
          <cell r="BB6">
            <v>138032.78735271434</v>
          </cell>
          <cell r="BC6"/>
          <cell r="BD6">
            <v>138032.78735271434</v>
          </cell>
          <cell r="BE6">
            <v>0</v>
          </cell>
          <cell r="BF6">
            <v>138032.78735271434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600000</v>
          </cell>
          <cell r="D7">
            <v>4809.8069585817866</v>
          </cell>
          <cell r="E7">
            <v>604809.80695858179</v>
          </cell>
          <cell r="F7">
            <v>38418.78266144939</v>
          </cell>
          <cell r="G7">
            <v>643228.58962003118</v>
          </cell>
          <cell r="H7">
            <v>29000</v>
          </cell>
          <cell r="I7">
            <v>0</v>
          </cell>
          <cell r="J7">
            <v>672228.58962003118</v>
          </cell>
          <cell r="K7">
            <v>17000</v>
          </cell>
          <cell r="L7">
            <v>944.3704427875482</v>
          </cell>
          <cell r="M7">
            <v>690172.96006281872</v>
          </cell>
          <cell r="N7">
            <v>9000</v>
          </cell>
          <cell r="O7">
            <v>189.06054431987297</v>
          </cell>
          <cell r="P7">
            <v>699362.02060713863</v>
          </cell>
          <cell r="Q7">
            <v>14000</v>
          </cell>
          <cell r="R7">
            <v>6474.1865408024978</v>
          </cell>
          <cell r="S7">
            <v>719836.20714794111</v>
          </cell>
          <cell r="T7">
            <v>14000</v>
          </cell>
          <cell r="U7">
            <v>954.23782072606116</v>
          </cell>
          <cell r="V7">
            <v>734790.44496866711</v>
          </cell>
          <cell r="W7">
            <v>9000</v>
          </cell>
          <cell r="X7">
            <v>2355.8612337783734</v>
          </cell>
          <cell r="Y7">
            <v>746146.30620244553</v>
          </cell>
          <cell r="Z7">
            <v>9000</v>
          </cell>
          <cell r="AA7">
            <v>1586.2512696530396</v>
          </cell>
          <cell r="AB7">
            <v>756732.55747209862</v>
          </cell>
          <cell r="AC7">
            <v>9000</v>
          </cell>
          <cell r="AD7">
            <v>2029.282393665914</v>
          </cell>
          <cell r="AE7">
            <v>767761.83986576449</v>
          </cell>
          <cell r="AF7">
            <v>7000</v>
          </cell>
          <cell r="AG7">
            <v>0</v>
          </cell>
          <cell r="AH7">
            <v>774761.83986576449</v>
          </cell>
          <cell r="AI7">
            <v>9000</v>
          </cell>
          <cell r="AJ7">
            <v>595.7932650766121</v>
          </cell>
          <cell r="AK7">
            <v>784357.63313084107</v>
          </cell>
          <cell r="AL7">
            <v>9000</v>
          </cell>
          <cell r="AM7">
            <v>0</v>
          </cell>
          <cell r="AN7">
            <v>793357.63313084107</v>
          </cell>
          <cell r="AO7">
            <v>9000</v>
          </cell>
          <cell r="AP7">
            <v>0</v>
          </cell>
          <cell r="AQ7">
            <v>802357.63313084107</v>
          </cell>
          <cell r="AR7">
            <v>600000</v>
          </cell>
          <cell r="AS7">
            <v>4809.8069585817866</v>
          </cell>
          <cell r="AT7">
            <v>144000</v>
          </cell>
          <cell r="AU7">
            <v>53547.826172259302</v>
          </cell>
          <cell r="AV7">
            <v>802357.63313084107</v>
          </cell>
          <cell r="AW7">
            <v>630000</v>
          </cell>
          <cell r="AX7"/>
          <cell r="AY7"/>
          <cell r="AZ7"/>
          <cell r="BA7"/>
          <cell r="BB7">
            <v>172357.63313084107</v>
          </cell>
          <cell r="BC7"/>
          <cell r="BD7">
            <v>172357.63313084107</v>
          </cell>
          <cell r="BE7">
            <v>0</v>
          </cell>
          <cell r="BF7">
            <v>172357.63313084107</v>
          </cell>
        </row>
        <row r="8">
          <cell r="A8" t="str">
            <v>AS201654</v>
          </cell>
          <cell r="B8" t="str">
            <v>DJOMOU TCHANDA</v>
          </cell>
          <cell r="C8">
            <v>600000</v>
          </cell>
          <cell r="D8">
            <v>48710.412466726033</v>
          </cell>
          <cell r="E8">
            <v>648710.41246672603</v>
          </cell>
          <cell r="F8">
            <v>41207.440851707412</v>
          </cell>
          <cell r="G8">
            <v>689917.85331843339</v>
          </cell>
          <cell r="H8">
            <v>9000</v>
          </cell>
          <cell r="I8">
            <v>0</v>
          </cell>
          <cell r="J8">
            <v>698917.85331843339</v>
          </cell>
          <cell r="K8">
            <v>9000</v>
          </cell>
          <cell r="L8">
            <v>969.97818526956496</v>
          </cell>
          <cell r="M8">
            <v>708887.83150370291</v>
          </cell>
          <cell r="N8">
            <v>10000</v>
          </cell>
          <cell r="O8">
            <v>194.39156330761386</v>
          </cell>
          <cell r="P8">
            <v>719082.22306701052</v>
          </cell>
          <cell r="Q8">
            <v>9000</v>
          </cell>
          <cell r="R8">
            <v>6607.7811728274546</v>
          </cell>
          <cell r="S8">
            <v>734690.00423983799</v>
          </cell>
          <cell r="T8">
            <v>9000</v>
          </cell>
          <cell r="U8">
            <v>967.05112398264578</v>
          </cell>
          <cell r="V8">
            <v>744657.05536382063</v>
          </cell>
          <cell r="W8">
            <v>9000</v>
          </cell>
          <cell r="X8">
            <v>2387.1124619918742</v>
          </cell>
          <cell r="Y8">
            <v>756044.16782581247</v>
          </cell>
          <cell r="Z8">
            <v>6000</v>
          </cell>
          <cell r="AA8">
            <v>1600.7408350102241</v>
          </cell>
          <cell r="AB8">
            <v>763644.90866082266</v>
          </cell>
          <cell r="AC8">
            <v>9000</v>
          </cell>
          <cell r="AD8">
            <v>2047.6009468333814</v>
          </cell>
          <cell r="AE8">
            <v>774692.50960765604</v>
          </cell>
          <cell r="AF8">
            <v>9000</v>
          </cell>
          <cell r="AG8">
            <v>0</v>
          </cell>
          <cell r="AH8">
            <v>783692.50960765604</v>
          </cell>
          <cell r="AI8">
            <v>9000</v>
          </cell>
          <cell r="AJ8">
            <v>602.58210399961172</v>
          </cell>
          <cell r="AK8">
            <v>793295.09171165561</v>
          </cell>
          <cell r="AL8">
            <v>9000</v>
          </cell>
          <cell r="AM8">
            <v>0</v>
          </cell>
          <cell r="AN8">
            <v>802295.09171165561</v>
          </cell>
          <cell r="AO8">
            <v>9000</v>
          </cell>
          <cell r="AP8">
            <v>0</v>
          </cell>
          <cell r="AQ8">
            <v>811295.09171165561</v>
          </cell>
          <cell r="AR8">
            <v>600000</v>
          </cell>
          <cell r="AS8">
            <v>48710.412466726033</v>
          </cell>
          <cell r="AT8">
            <v>106000</v>
          </cell>
          <cell r="AU8">
            <v>56584.679244929779</v>
          </cell>
          <cell r="AV8">
            <v>811295.09171165561</v>
          </cell>
          <cell r="AW8">
            <v>630000</v>
          </cell>
          <cell r="AX8"/>
          <cell r="AY8"/>
          <cell r="AZ8"/>
          <cell r="BA8"/>
          <cell r="BB8">
            <v>181295.09171165561</v>
          </cell>
          <cell r="BC8"/>
          <cell r="BD8">
            <v>181295.09171165561</v>
          </cell>
          <cell r="BE8">
            <v>0</v>
          </cell>
          <cell r="BF8">
            <v>181295.09171165561</v>
          </cell>
        </row>
        <row r="9">
          <cell r="A9" t="str">
            <v>AS201605</v>
          </cell>
          <cell r="B9" t="str">
            <v>DJOUKWE NANGUEN GUY BLAISE</v>
          </cell>
          <cell r="C9">
            <v>600000</v>
          </cell>
          <cell r="D9">
            <v>4750.0783119258704</v>
          </cell>
          <cell r="E9">
            <v>604750.07831192587</v>
          </cell>
          <cell r="F9">
            <v>38414.988573013434</v>
          </cell>
          <cell r="G9">
            <v>643165.06688493933</v>
          </cell>
          <cell r="H9">
            <v>9000</v>
          </cell>
          <cell r="I9">
            <v>0</v>
          </cell>
          <cell r="J9">
            <v>652165.06688493933</v>
          </cell>
          <cell r="K9">
            <v>9000</v>
          </cell>
          <cell r="L9">
            <v>905.91823434661899</v>
          </cell>
          <cell r="M9">
            <v>662070.98511928599</v>
          </cell>
          <cell r="N9">
            <v>14000</v>
          </cell>
          <cell r="O9">
            <v>182.81363231501521</v>
          </cell>
          <cell r="P9">
            <v>676253.79875160102</v>
          </cell>
          <cell r="Q9">
            <v>9000</v>
          </cell>
          <cell r="R9">
            <v>6219.0876339835841</v>
          </cell>
          <cell r="S9">
            <v>691472.8863855846</v>
          </cell>
          <cell r="T9">
            <v>9000</v>
          </cell>
          <cell r="U9">
            <v>910.85410350639904</v>
          </cell>
          <cell r="V9">
            <v>701383.74048909103</v>
          </cell>
          <cell r="W9">
            <v>13000</v>
          </cell>
          <cell r="X9">
            <v>2262.7192533116458</v>
          </cell>
          <cell r="Y9">
            <v>716646.45974240266</v>
          </cell>
          <cell r="Z9">
            <v>9000</v>
          </cell>
          <cell r="AA9">
            <v>1524.2842461537975</v>
          </cell>
          <cell r="AB9">
            <v>727170.74398855644</v>
          </cell>
          <cell r="AC9">
            <v>9000</v>
          </cell>
          <cell r="AD9">
            <v>1950.9400703030033</v>
          </cell>
          <cell r="AE9">
            <v>738121.68405885948</v>
          </cell>
          <cell r="AF9">
            <v>9500</v>
          </cell>
          <cell r="AG9">
            <v>0</v>
          </cell>
          <cell r="AH9">
            <v>747621.68405885948</v>
          </cell>
          <cell r="AI9">
            <v>9000</v>
          </cell>
          <cell r="AJ9">
            <v>575.16209726464854</v>
          </cell>
          <cell r="AK9">
            <v>757196.84615612414</v>
          </cell>
          <cell r="AL9">
            <v>9000</v>
          </cell>
          <cell r="AM9">
            <v>0</v>
          </cell>
          <cell r="AN9">
            <v>766196.84615612414</v>
          </cell>
          <cell r="AO9">
            <v>9000</v>
          </cell>
          <cell r="AP9">
            <v>0</v>
          </cell>
          <cell r="AQ9">
            <v>775196.84615612414</v>
          </cell>
          <cell r="AR9">
            <v>600000</v>
          </cell>
          <cell r="AS9">
            <v>4750.0783119258704</v>
          </cell>
          <cell r="AT9">
            <v>117500</v>
          </cell>
          <cell r="AU9">
            <v>52946.767844198141</v>
          </cell>
          <cell r="AV9">
            <v>775196.84615612414</v>
          </cell>
          <cell r="AW9">
            <v>630000</v>
          </cell>
          <cell r="AX9"/>
          <cell r="AY9"/>
          <cell r="AZ9"/>
          <cell r="BA9"/>
          <cell r="BB9">
            <v>145196.84615612414</v>
          </cell>
          <cell r="BC9"/>
          <cell r="BD9">
            <v>145196.84615612414</v>
          </cell>
          <cell r="BE9">
            <v>0</v>
          </cell>
          <cell r="BF9">
            <v>145196.84615612414</v>
          </cell>
        </row>
        <row r="10">
          <cell r="A10" t="str">
            <v>AS201608</v>
          </cell>
          <cell r="B10" t="str">
            <v>DJUOMBESSY ANTOINE</v>
          </cell>
          <cell r="C10">
            <v>600000</v>
          </cell>
          <cell r="D10">
            <v>10718.850200936431</v>
          </cell>
          <cell r="E10">
            <v>610718.85020093643</v>
          </cell>
          <cell r="F10">
            <v>38794.137434889228</v>
          </cell>
          <cell r="G10">
            <v>649512.98763582564</v>
          </cell>
          <cell r="H10">
            <v>14000</v>
          </cell>
          <cell r="I10">
            <v>0</v>
          </cell>
          <cell r="J10">
            <v>663512.98763582564</v>
          </cell>
          <cell r="K10">
            <v>14000</v>
          </cell>
          <cell r="L10">
            <v>928.3179046311634</v>
          </cell>
          <cell r="M10">
            <v>678441.30554045679</v>
          </cell>
          <cell r="N10">
            <v>14000</v>
          </cell>
          <cell r="O10">
            <v>187.24026473117618</v>
          </cell>
          <cell r="P10">
            <v>692628.54580518801</v>
          </cell>
          <cell r="Q10">
            <v>14000</v>
          </cell>
          <cell r="R10">
            <v>6413.0762340069114</v>
          </cell>
          <cell r="S10">
            <v>713041.62203919492</v>
          </cell>
          <cell r="T10">
            <v>114000</v>
          </cell>
          <cell r="U10">
            <v>1075.4367083243778</v>
          </cell>
          <cell r="V10">
            <v>828117.05874751927</v>
          </cell>
          <cell r="W10">
            <v>43500</v>
          </cell>
          <cell r="X10">
            <v>2760.7357062642955</v>
          </cell>
          <cell r="Y10">
            <v>874377.79445378354</v>
          </cell>
          <cell r="Z10">
            <v>25300</v>
          </cell>
          <cell r="AA10">
            <v>1889.8523796107511</v>
          </cell>
          <cell r="AB10">
            <v>901567.6468333943</v>
          </cell>
          <cell r="AC10">
            <v>14000</v>
          </cell>
          <cell r="AD10">
            <v>2426.3632097122072</v>
          </cell>
          <cell r="AE10">
            <v>917994.01004310651</v>
          </cell>
          <cell r="AF10">
            <v>14000</v>
          </cell>
          <cell r="AG10">
            <v>0</v>
          </cell>
          <cell r="AH10">
            <v>931994.01004310651</v>
          </cell>
          <cell r="AI10">
            <v>14000</v>
          </cell>
          <cell r="AJ10">
            <v>719.11750651579428</v>
          </cell>
          <cell r="AK10">
            <v>946713.12754962232</v>
          </cell>
          <cell r="AL10">
            <v>14000</v>
          </cell>
          <cell r="AM10">
            <v>0</v>
          </cell>
          <cell r="AN10">
            <v>960713.12754962232</v>
          </cell>
          <cell r="AO10">
            <v>14000</v>
          </cell>
          <cell r="AP10">
            <v>0</v>
          </cell>
          <cell r="AQ10">
            <v>974713.12754962232</v>
          </cell>
          <cell r="AR10">
            <v>600000</v>
          </cell>
          <cell r="AS10">
            <v>10718.850200936431</v>
          </cell>
          <cell r="AT10">
            <v>308800</v>
          </cell>
          <cell r="AU10">
            <v>55194.277348685908</v>
          </cell>
          <cell r="AV10">
            <v>974713.12754962232</v>
          </cell>
          <cell r="AW10">
            <v>630000</v>
          </cell>
          <cell r="AX10"/>
          <cell r="AY10"/>
          <cell r="AZ10"/>
          <cell r="BA10"/>
          <cell r="BB10">
            <v>344713.12754962232</v>
          </cell>
          <cell r="BC10"/>
          <cell r="BD10">
            <v>344713.12754962232</v>
          </cell>
          <cell r="BE10">
            <v>0</v>
          </cell>
          <cell r="BF10">
            <v>344713.12754962232</v>
          </cell>
        </row>
        <row r="11">
          <cell r="A11" t="str">
            <v>AS201651</v>
          </cell>
          <cell r="B11" t="str">
            <v>DOMOU FABIEN</v>
          </cell>
          <cell r="C11">
            <v>600000</v>
          </cell>
          <cell r="D11">
            <v>584.0460014406126</v>
          </cell>
          <cell r="E11">
            <v>600584.04600144061</v>
          </cell>
          <cell r="F11">
            <v>38150.353495910473</v>
          </cell>
          <cell r="G11">
            <v>638734.39949735114</v>
          </cell>
          <cell r="H11">
            <v>9000</v>
          </cell>
          <cell r="I11">
            <v>0</v>
          </cell>
          <cell r="J11">
            <v>647734.39949735114</v>
          </cell>
          <cell r="K11">
            <v>9000</v>
          </cell>
          <cell r="L11">
            <v>899.84740184536167</v>
          </cell>
          <cell r="M11">
            <v>657634.24689919653</v>
          </cell>
          <cell r="N11">
            <v>9000</v>
          </cell>
          <cell r="O11">
            <v>180.26188193792115</v>
          </cell>
          <cell r="P11">
            <v>666814.5087811345</v>
          </cell>
          <cell r="Q11">
            <v>9000</v>
          </cell>
          <cell r="R11">
            <v>6133.4204379229996</v>
          </cell>
          <cell r="S11">
            <v>681947.92921905755</v>
          </cell>
          <cell r="T11">
            <v>9000</v>
          </cell>
          <cell r="U11">
            <v>898.46840451721914</v>
          </cell>
          <cell r="V11">
            <v>691846.39762357483</v>
          </cell>
          <cell r="W11">
            <v>9000</v>
          </cell>
          <cell r="X11">
            <v>2219.8414488427011</v>
          </cell>
          <cell r="Y11">
            <v>703066.23907241749</v>
          </cell>
          <cell r="Z11">
            <v>9000</v>
          </cell>
          <cell r="AA11">
            <v>1495.7577975662873</v>
          </cell>
          <cell r="AB11">
            <v>713561.99686998373</v>
          </cell>
          <cell r="AC11">
            <v>9000</v>
          </cell>
          <cell r="AD11">
            <v>1914.8752711011257</v>
          </cell>
          <cell r="AE11">
            <v>724476.87214108487</v>
          </cell>
          <cell r="AF11">
            <v>9000</v>
          </cell>
          <cell r="AG11">
            <v>0</v>
          </cell>
          <cell r="AH11">
            <v>733476.87214108487</v>
          </cell>
          <cell r="AI11">
            <v>9000</v>
          </cell>
          <cell r="AJ11">
            <v>564.40961704970357</v>
          </cell>
          <cell r="AK11">
            <v>743041.2817581346</v>
          </cell>
          <cell r="AL11">
            <v>9000</v>
          </cell>
          <cell r="AM11">
            <v>0</v>
          </cell>
          <cell r="AN11">
            <v>752041.2817581346</v>
          </cell>
          <cell r="AO11">
            <v>9000</v>
          </cell>
          <cell r="AP11">
            <v>0</v>
          </cell>
          <cell r="AQ11">
            <v>761041.2817581346</v>
          </cell>
          <cell r="AR11">
            <v>600000</v>
          </cell>
          <cell r="AS11">
            <v>584.0460014406126</v>
          </cell>
          <cell r="AT11">
            <v>108000</v>
          </cell>
          <cell r="AU11">
            <v>52457.235756693794</v>
          </cell>
          <cell r="AV11">
            <v>761041.2817581346</v>
          </cell>
          <cell r="AW11">
            <v>630000</v>
          </cell>
          <cell r="AX11"/>
          <cell r="AY11"/>
          <cell r="AZ11"/>
          <cell r="BA11"/>
          <cell r="BB11">
            <v>131041.2817581346</v>
          </cell>
          <cell r="BC11"/>
          <cell r="BD11">
            <v>131041.2817581346</v>
          </cell>
          <cell r="BE11">
            <v>0</v>
          </cell>
          <cell r="BF11">
            <v>131041.2817581346</v>
          </cell>
        </row>
        <row r="12">
          <cell r="A12" t="str">
            <v>AS201609</v>
          </cell>
          <cell r="B12" t="str">
            <v>DONHOU DAVID</v>
          </cell>
          <cell r="C12">
            <v>600000</v>
          </cell>
          <cell r="D12">
            <v>458343.17855274049</v>
          </cell>
          <cell r="E12">
            <v>1058343.1785527405</v>
          </cell>
          <cell r="F12">
            <v>67228.170063105033</v>
          </cell>
          <cell r="G12">
            <v>1125571.3486158454</v>
          </cell>
          <cell r="H12">
            <v>9000</v>
          </cell>
          <cell r="I12">
            <v>0</v>
          </cell>
          <cell r="J12">
            <v>1134571.3486158454</v>
          </cell>
          <cell r="K12">
            <v>9000</v>
          </cell>
          <cell r="L12">
            <v>1566.9039229015068</v>
          </cell>
          <cell r="M12">
            <v>1145138.2525387469</v>
          </cell>
          <cell r="N12">
            <v>9000</v>
          </cell>
          <cell r="O12">
            <v>312.08587675610005</v>
          </cell>
          <cell r="P12">
            <v>1154450.338415503</v>
          </cell>
          <cell r="Q12">
            <v>9000</v>
          </cell>
          <cell r="R12">
            <v>10559.006933745897</v>
          </cell>
          <cell r="S12">
            <v>1174009.345349249</v>
          </cell>
          <cell r="T12">
            <v>9000</v>
          </cell>
          <cell r="U12">
            <v>1538.3163826053235</v>
          </cell>
          <cell r="V12">
            <v>1184547.6617318543</v>
          </cell>
          <cell r="W12">
            <v>9000</v>
          </cell>
          <cell r="X12">
            <v>3780.4097726199616</v>
          </cell>
          <cell r="Y12">
            <v>1197328.0715044744</v>
          </cell>
          <cell r="Z12">
            <v>9000</v>
          </cell>
          <cell r="AA12">
            <v>2533.9982720236976</v>
          </cell>
          <cell r="AB12">
            <v>1208862.069776498</v>
          </cell>
          <cell r="AC12">
            <v>9000</v>
          </cell>
          <cell r="AD12">
            <v>3227.4794012543048</v>
          </cell>
          <cell r="AE12">
            <v>1221089.5491777523</v>
          </cell>
          <cell r="AF12">
            <v>9000</v>
          </cell>
          <cell r="AG12">
            <v>0</v>
          </cell>
          <cell r="AH12">
            <v>1230089.5491777523</v>
          </cell>
          <cell r="AI12">
            <v>9000</v>
          </cell>
          <cell r="AJ12">
            <v>941.92032665606632</v>
          </cell>
          <cell r="AK12">
            <v>1240031.4695044083</v>
          </cell>
          <cell r="AL12">
            <v>9000</v>
          </cell>
          <cell r="AM12">
            <v>0</v>
          </cell>
          <cell r="AN12">
            <v>1249031.4695044083</v>
          </cell>
          <cell r="AO12">
            <v>9000</v>
          </cell>
          <cell r="AP12">
            <v>0</v>
          </cell>
          <cell r="AQ12">
            <v>1258031.4695044083</v>
          </cell>
          <cell r="AR12">
            <v>600000</v>
          </cell>
          <cell r="AS12">
            <v>458343.17855274049</v>
          </cell>
          <cell r="AT12">
            <v>108000</v>
          </cell>
          <cell r="AU12">
            <v>91688.290951667877</v>
          </cell>
          <cell r="AV12">
            <v>1258031.4695044083</v>
          </cell>
          <cell r="AW12">
            <v>630000</v>
          </cell>
          <cell r="AX12"/>
          <cell r="AY12"/>
          <cell r="AZ12"/>
          <cell r="BA12"/>
          <cell r="BB12">
            <v>628031.46950440831</v>
          </cell>
          <cell r="BC12"/>
          <cell r="BD12">
            <v>628031.46950440831</v>
          </cell>
          <cell r="BE12">
            <v>0</v>
          </cell>
          <cell r="BF12">
            <v>628031.46950440831</v>
          </cell>
        </row>
        <row r="13">
          <cell r="A13" t="str">
            <v>AS201611</v>
          </cell>
          <cell r="B13" t="str">
            <v>HENGUE PAUL OMER</v>
          </cell>
          <cell r="C13">
            <v>600000</v>
          </cell>
          <cell r="D13">
            <v>51112.01036672492</v>
          </cell>
          <cell r="E13">
            <v>651112.01036672492</v>
          </cell>
          <cell r="F13">
            <v>41359.995368348325</v>
          </cell>
          <cell r="G13">
            <v>692472.00573507324</v>
          </cell>
          <cell r="H13">
            <v>9000</v>
          </cell>
          <cell r="I13">
            <v>0</v>
          </cell>
          <cell r="J13">
            <v>701472.00573507324</v>
          </cell>
          <cell r="K13">
            <v>9000</v>
          </cell>
          <cell r="L13">
            <v>973.47784573776869</v>
          </cell>
          <cell r="M13">
            <v>711445.48358081095</v>
          </cell>
          <cell r="N13">
            <v>9000</v>
          </cell>
          <cell r="O13">
            <v>194.81276173258237</v>
          </cell>
          <cell r="P13">
            <v>720640.29634254356</v>
          </cell>
          <cell r="Q13">
            <v>9000</v>
          </cell>
          <cell r="R13">
            <v>6621.9216186861431</v>
          </cell>
          <cell r="S13">
            <v>736262.21796122973</v>
          </cell>
          <cell r="T13">
            <v>9000</v>
          </cell>
          <cell r="U13">
            <v>969.09553904503048</v>
          </cell>
          <cell r="V13">
            <v>746231.31350027479</v>
          </cell>
          <cell r="W13">
            <v>9000</v>
          </cell>
          <cell r="X13">
            <v>2392.0987235669186</v>
          </cell>
          <cell r="Y13">
            <v>757623.41222384176</v>
          </cell>
          <cell r="Z13">
            <v>9000</v>
          </cell>
          <cell r="AA13">
            <v>1610.3599408454293</v>
          </cell>
          <cell r="AB13">
            <v>768233.77216468717</v>
          </cell>
          <cell r="AC13">
            <v>9000</v>
          </cell>
          <cell r="AD13">
            <v>2059.7619811585641</v>
          </cell>
          <cell r="AE13">
            <v>779293.53414584568</v>
          </cell>
          <cell r="AF13">
            <v>9000</v>
          </cell>
          <cell r="AG13">
            <v>0</v>
          </cell>
          <cell r="AH13">
            <v>788293.53414584568</v>
          </cell>
          <cell r="AI13">
            <v>9000</v>
          </cell>
          <cell r="AJ13">
            <v>606.07967085330688</v>
          </cell>
          <cell r="AK13">
            <v>797899.61381669901</v>
          </cell>
          <cell r="AL13">
            <v>9000</v>
          </cell>
          <cell r="AM13">
            <v>0</v>
          </cell>
          <cell r="AN13">
            <v>806899.61381669901</v>
          </cell>
          <cell r="AO13">
            <v>9000</v>
          </cell>
          <cell r="AP13">
            <v>0</v>
          </cell>
          <cell r="AQ13">
            <v>815899.61381669901</v>
          </cell>
          <cell r="AR13">
            <v>600000</v>
          </cell>
          <cell r="AS13">
            <v>51112.01036672492</v>
          </cell>
          <cell r="AT13">
            <v>108000</v>
          </cell>
          <cell r="AU13">
            <v>56787.603449974071</v>
          </cell>
          <cell r="AV13">
            <v>815899.61381669901</v>
          </cell>
          <cell r="AW13">
            <v>630000</v>
          </cell>
          <cell r="AX13"/>
          <cell r="AY13"/>
          <cell r="AZ13"/>
          <cell r="BA13"/>
          <cell r="BB13">
            <v>185899.61381669901</v>
          </cell>
          <cell r="BC13"/>
          <cell r="BD13">
            <v>185899.61381669901</v>
          </cell>
          <cell r="BE13">
            <v>0</v>
          </cell>
          <cell r="BF13">
            <v>185899.61381669901</v>
          </cell>
        </row>
        <row r="14">
          <cell r="A14" t="str">
            <v>AS201613</v>
          </cell>
          <cell r="B14" t="str">
            <v>HOTCHO BENJAMIN</v>
          </cell>
          <cell r="C14">
            <v>600000</v>
          </cell>
          <cell r="D14">
            <v>16229.566345777828</v>
          </cell>
          <cell r="E14">
            <v>616229.56634577783</v>
          </cell>
          <cell r="F14">
            <v>39144.189638808108</v>
          </cell>
          <cell r="G14">
            <v>655373.75598458597</v>
          </cell>
          <cell r="H14">
            <v>44000</v>
          </cell>
          <cell r="I14">
            <v>0</v>
          </cell>
          <cell r="J14">
            <v>699373.75598458597</v>
          </cell>
          <cell r="K14">
            <v>44000</v>
          </cell>
          <cell r="L14">
            <v>1018.5593193149853</v>
          </cell>
          <cell r="M14">
            <v>744392.31530390098</v>
          </cell>
          <cell r="N14">
            <v>44000</v>
          </cell>
          <cell r="O14">
            <v>213.18599085349121</v>
          </cell>
          <cell r="P14">
            <v>788605.50129475445</v>
          </cell>
          <cell r="Q14">
            <v>44000</v>
          </cell>
          <cell r="R14">
            <v>7556.3923710051704</v>
          </cell>
          <cell r="S14">
            <v>840161.89366575959</v>
          </cell>
          <cell r="T14">
            <v>24000</v>
          </cell>
          <cell r="U14">
            <v>1123.705745415582</v>
          </cell>
          <cell r="V14">
            <v>865285.59941117512</v>
          </cell>
          <cell r="W14">
            <v>44000</v>
          </cell>
          <cell r="X14">
            <v>2880.0459976007878</v>
          </cell>
          <cell r="Y14">
            <v>912165.64540877589</v>
          </cell>
          <cell r="Z14">
            <v>44000</v>
          </cell>
          <cell r="AA14">
            <v>2008.5100815174681</v>
          </cell>
          <cell r="AB14">
            <v>958174.1554902934</v>
          </cell>
          <cell r="AC14">
            <v>44000</v>
          </cell>
          <cell r="AD14">
            <v>2655.8807631704508</v>
          </cell>
          <cell r="AE14">
            <v>1004830.0362534638</v>
          </cell>
          <cell r="AF14">
            <v>44000</v>
          </cell>
          <cell r="AG14">
            <v>0</v>
          </cell>
          <cell r="AH14">
            <v>1048830.0362534639</v>
          </cell>
          <cell r="AI14">
            <v>44000</v>
          </cell>
          <cell r="AJ14">
            <v>830.73804101607982</v>
          </cell>
          <cell r="AK14">
            <v>1093660.77429448</v>
          </cell>
          <cell r="AL14">
            <v>44000</v>
          </cell>
          <cell r="AM14">
            <v>0</v>
          </cell>
          <cell r="AN14">
            <v>1137660.77429448</v>
          </cell>
          <cell r="AO14">
            <v>44000</v>
          </cell>
          <cell r="AP14">
            <v>0</v>
          </cell>
          <cell r="AQ14">
            <v>1181660.77429448</v>
          </cell>
          <cell r="AR14">
            <v>600000</v>
          </cell>
          <cell r="AS14">
            <v>16229.566345777828</v>
          </cell>
          <cell r="AT14">
            <v>508000</v>
          </cell>
          <cell r="AU14">
            <v>57431.207948702111</v>
          </cell>
          <cell r="AV14">
            <v>1181660.77429448</v>
          </cell>
          <cell r="AW14">
            <v>630000</v>
          </cell>
          <cell r="AX14"/>
          <cell r="AY14"/>
          <cell r="AZ14"/>
          <cell r="BA14"/>
          <cell r="BB14">
            <v>551660.77429447998</v>
          </cell>
          <cell r="BC14"/>
          <cell r="BD14">
            <v>551660.77429447998</v>
          </cell>
          <cell r="BE14">
            <v>0</v>
          </cell>
          <cell r="BF14">
            <v>551660.77429447998</v>
          </cell>
        </row>
        <row r="15">
          <cell r="A15" t="str">
            <v>AS201617</v>
          </cell>
          <cell r="B15" t="str">
            <v>KOUAMOU MOISE</v>
          </cell>
          <cell r="C15">
            <v>600000</v>
          </cell>
          <cell r="D15">
            <v>53292.832106360001</v>
          </cell>
          <cell r="E15">
            <v>653292.83210636</v>
          </cell>
          <cell r="F15">
            <v>41498.52572198087</v>
          </cell>
          <cell r="G15">
            <v>694791.35782834084</v>
          </cell>
          <cell r="H15">
            <v>9000</v>
          </cell>
          <cell r="I15">
            <v>0</v>
          </cell>
          <cell r="J15">
            <v>703791.35782834084</v>
          </cell>
          <cell r="K15">
            <v>9000</v>
          </cell>
          <cell r="L15">
            <v>976.65578640402407</v>
          </cell>
          <cell r="M15">
            <v>713768.01361474488</v>
          </cell>
          <cell r="N15">
            <v>9000</v>
          </cell>
          <cell r="O15">
            <v>195.44078772542875</v>
          </cell>
          <cell r="P15">
            <v>722963.45440247026</v>
          </cell>
          <cell r="Q15">
            <v>9000</v>
          </cell>
          <cell r="R15">
            <v>6643.0056660691725</v>
          </cell>
          <cell r="S15">
            <v>738606.46006853948</v>
          </cell>
          <cell r="T15">
            <v>9000</v>
          </cell>
          <cell r="U15">
            <v>972.14385481078898</v>
          </cell>
          <cell r="V15">
            <v>748578.60392335022</v>
          </cell>
          <cell r="W15">
            <v>9000</v>
          </cell>
          <cell r="X15">
            <v>2399.5334661742609</v>
          </cell>
          <cell r="Y15">
            <v>759978.13738952449</v>
          </cell>
          <cell r="Z15">
            <v>9000</v>
          </cell>
          <cell r="AA15">
            <v>1615.3062482736309</v>
          </cell>
          <cell r="AB15">
            <v>770593.44363779807</v>
          </cell>
          <cell r="AC15">
            <v>9000</v>
          </cell>
          <cell r="AD15">
            <v>2066.0153913453109</v>
          </cell>
          <cell r="AE15">
            <v>781659.45902914344</v>
          </cell>
          <cell r="AF15">
            <v>9000</v>
          </cell>
          <cell r="AG15">
            <v>0</v>
          </cell>
          <cell r="AH15">
            <v>790659.45902914344</v>
          </cell>
          <cell r="AI15">
            <v>9000</v>
          </cell>
          <cell r="AJ15">
            <v>607.87817907282852</v>
          </cell>
          <cell r="AK15">
            <v>800267.33720821631</v>
          </cell>
          <cell r="AL15">
            <v>9000</v>
          </cell>
          <cell r="AM15">
            <v>0</v>
          </cell>
          <cell r="AN15">
            <v>809267.33720821631</v>
          </cell>
          <cell r="AO15">
            <v>9000</v>
          </cell>
          <cell r="AP15">
            <v>0</v>
          </cell>
          <cell r="AQ15">
            <v>818267.33720821631</v>
          </cell>
          <cell r="AR15">
            <v>600000</v>
          </cell>
          <cell r="AS15">
            <v>53292.832106360001</v>
          </cell>
          <cell r="AT15">
            <v>108000</v>
          </cell>
          <cell r="AU15">
            <v>56974.50510185631</v>
          </cell>
          <cell r="AV15">
            <v>818267.33720821631</v>
          </cell>
          <cell r="AW15">
            <v>630000</v>
          </cell>
          <cell r="AX15"/>
          <cell r="AY15"/>
          <cell r="AZ15"/>
          <cell r="BA15"/>
          <cell r="BB15">
            <v>188267.33720821631</v>
          </cell>
          <cell r="BC15"/>
          <cell r="BD15">
            <v>188267.33720821631</v>
          </cell>
          <cell r="BE15">
            <v>0</v>
          </cell>
          <cell r="BF15">
            <v>188267.33720821631</v>
          </cell>
        </row>
        <row r="16">
          <cell r="A16" t="str">
            <v>AS201619</v>
          </cell>
          <cell r="B16" t="str">
            <v>KOUATCHO MESSACK</v>
          </cell>
          <cell r="C16">
            <v>600000</v>
          </cell>
          <cell r="D16">
            <v>6459.0432257176144</v>
          </cell>
          <cell r="E16">
            <v>606459.04322571761</v>
          </cell>
          <cell r="F16">
            <v>38523.545595144366</v>
          </cell>
          <cell r="G16">
            <v>644982.588820862</v>
          </cell>
          <cell r="H16">
            <v>9000</v>
          </cell>
          <cell r="I16">
            <v>0</v>
          </cell>
          <cell r="J16">
            <v>653982.588820862</v>
          </cell>
          <cell r="K16">
            <v>9000</v>
          </cell>
          <cell r="L16">
            <v>908.40857502785741</v>
          </cell>
          <cell r="M16">
            <v>663890.99739588983</v>
          </cell>
          <cell r="N16">
            <v>8000</v>
          </cell>
          <cell r="O16">
            <v>181.68333866898425</v>
          </cell>
          <cell r="P16">
            <v>672072.68073455885</v>
          </cell>
          <cell r="Q16">
            <v>11000</v>
          </cell>
          <cell r="R16">
            <v>6199.2926848526813</v>
          </cell>
          <cell r="S16">
            <v>689271.97341941157</v>
          </cell>
          <cell r="T16">
            <v>8000</v>
          </cell>
          <cell r="U16">
            <v>906.69182290015067</v>
          </cell>
          <cell r="V16">
            <v>698178.66524231178</v>
          </cell>
          <cell r="W16">
            <v>9000</v>
          </cell>
          <cell r="X16">
            <v>2239.8980977359538</v>
          </cell>
          <cell r="Y16">
            <v>709418.56334004772</v>
          </cell>
          <cell r="Z16">
            <v>9000</v>
          </cell>
          <cell r="AA16">
            <v>1509.1014137000261</v>
          </cell>
          <cell r="AB16">
            <v>719927.66475374775</v>
          </cell>
          <cell r="AC16">
            <v>9000</v>
          </cell>
          <cell r="AD16">
            <v>1931.7450484592835</v>
          </cell>
          <cell r="AE16">
            <v>730859.40980220702</v>
          </cell>
          <cell r="AF16">
            <v>9000</v>
          </cell>
          <cell r="AG16">
            <v>0</v>
          </cell>
          <cell r="AH16">
            <v>739859.40980220702</v>
          </cell>
          <cell r="AI16">
            <v>9000</v>
          </cell>
          <cell r="AJ16">
            <v>569.26143906906304</v>
          </cell>
          <cell r="AK16">
            <v>749428.67124127608</v>
          </cell>
          <cell r="AL16">
            <v>9000</v>
          </cell>
          <cell r="AM16">
            <v>0</v>
          </cell>
          <cell r="AN16">
            <v>758428.67124127608</v>
          </cell>
          <cell r="AO16">
            <v>9000</v>
          </cell>
          <cell r="AP16">
            <v>0</v>
          </cell>
          <cell r="AQ16">
            <v>767428.67124127608</v>
          </cell>
          <cell r="AR16">
            <v>600000</v>
          </cell>
          <cell r="AS16">
            <v>6459.0432257176144</v>
          </cell>
          <cell r="AT16">
            <v>108000</v>
          </cell>
          <cell r="AU16">
            <v>52969.628015558374</v>
          </cell>
          <cell r="AV16">
            <v>767428.67124127608</v>
          </cell>
          <cell r="AW16">
            <v>630000</v>
          </cell>
          <cell r="AX16"/>
          <cell r="AY16"/>
          <cell r="AZ16"/>
          <cell r="BA16"/>
          <cell r="BB16">
            <v>137428.67124127608</v>
          </cell>
          <cell r="BC16"/>
          <cell r="BD16">
            <v>137428.67124127608</v>
          </cell>
          <cell r="BE16">
            <v>0</v>
          </cell>
          <cell r="BF16">
            <v>137428.67124127608</v>
          </cell>
        </row>
        <row r="17">
          <cell r="A17" t="str">
            <v>AS201620</v>
          </cell>
          <cell r="B17" t="str">
            <v>LOWE JEAN</v>
          </cell>
          <cell r="C17">
            <v>600000</v>
          </cell>
          <cell r="D17">
            <v>746.1759009861853</v>
          </cell>
          <cell r="E17">
            <v>600746.17590098619</v>
          </cell>
          <cell r="F17">
            <v>38160.652325892894</v>
          </cell>
          <cell r="G17">
            <v>638906.82822687912</v>
          </cell>
          <cell r="H17">
            <v>9000</v>
          </cell>
          <cell r="I17">
            <v>0</v>
          </cell>
          <cell r="J17">
            <v>647906.82822687912</v>
          </cell>
          <cell r="K17">
            <v>9000</v>
          </cell>
          <cell r="L17">
            <v>900.08366104601873</v>
          </cell>
          <cell r="M17">
            <v>657806.91188792512</v>
          </cell>
          <cell r="N17">
            <v>9000</v>
          </cell>
          <cell r="O17">
            <v>180.30857158214178</v>
          </cell>
          <cell r="P17">
            <v>666987.22045950731</v>
          </cell>
          <cell r="Q17">
            <v>9000</v>
          </cell>
          <cell r="R17">
            <v>6134.9878995921936</v>
          </cell>
          <cell r="S17">
            <v>682122.20835909946</v>
          </cell>
          <cell r="T17">
            <v>9000</v>
          </cell>
          <cell r="U17">
            <v>898.69502695036124</v>
          </cell>
          <cell r="V17">
            <v>692020.90338604979</v>
          </cell>
          <cell r="W17">
            <v>9000</v>
          </cell>
          <cell r="X17">
            <v>2220.3941735565863</v>
          </cell>
          <cell r="Y17">
            <v>703241.29755960638</v>
          </cell>
          <cell r="Z17">
            <v>9000</v>
          </cell>
          <cell r="AA17">
            <v>1496.1255233239133</v>
          </cell>
          <cell r="AB17">
            <v>713737.42308293027</v>
          </cell>
          <cell r="AC17">
            <v>9000</v>
          </cell>
          <cell r="AD17">
            <v>1915.3401714398226</v>
          </cell>
          <cell r="AE17">
            <v>724652.76325437007</v>
          </cell>
          <cell r="AF17">
            <v>9000</v>
          </cell>
          <cell r="AG17">
            <v>0</v>
          </cell>
          <cell r="AH17">
            <v>733652.76325437007</v>
          </cell>
          <cell r="AI17">
            <v>9000</v>
          </cell>
          <cell r="AJ17">
            <v>564.54332442782766</v>
          </cell>
          <cell r="AK17">
            <v>743217.30657879787</v>
          </cell>
          <cell r="AL17">
            <v>9000</v>
          </cell>
          <cell r="AM17">
            <v>0</v>
          </cell>
          <cell r="AN17">
            <v>752217.30657879787</v>
          </cell>
          <cell r="AO17">
            <v>9000</v>
          </cell>
          <cell r="AP17">
            <v>0</v>
          </cell>
          <cell r="AQ17">
            <v>761217.30657879787</v>
          </cell>
          <cell r="AR17">
            <v>600000</v>
          </cell>
          <cell r="AS17">
            <v>746.1759009861853</v>
          </cell>
          <cell r="AT17">
            <v>108000</v>
          </cell>
          <cell r="AU17">
            <v>52471.130677811751</v>
          </cell>
          <cell r="AV17">
            <v>761217.30657879787</v>
          </cell>
          <cell r="AW17">
            <v>630000</v>
          </cell>
          <cell r="AX17"/>
          <cell r="AY17"/>
          <cell r="AZ17"/>
          <cell r="BA17"/>
          <cell r="BB17">
            <v>131217.30657879787</v>
          </cell>
          <cell r="BC17"/>
          <cell r="BD17">
            <v>131217.30657879787</v>
          </cell>
          <cell r="BE17">
            <v>0</v>
          </cell>
          <cell r="BF17">
            <v>131217.30657879787</v>
          </cell>
        </row>
        <row r="18">
          <cell r="A18" t="str">
            <v>AS201649</v>
          </cell>
          <cell r="B18" t="str">
            <v>MBOGNING TUGMA GUY</v>
          </cell>
          <cell r="C18">
            <v>600000</v>
          </cell>
          <cell r="D18">
            <v>47746</v>
          </cell>
          <cell r="E18">
            <v>647746</v>
          </cell>
          <cell r="F18">
            <v>41146.179356723624</v>
          </cell>
          <cell r="G18">
            <v>688892.17935672367</v>
          </cell>
          <cell r="H18">
            <v>9000</v>
          </cell>
          <cell r="I18">
            <v>0</v>
          </cell>
          <cell r="J18">
            <v>697892.17935672367</v>
          </cell>
          <cell r="K18">
            <v>9000</v>
          </cell>
          <cell r="L18">
            <v>968.57282253800815</v>
          </cell>
          <cell r="M18">
            <v>707860.75217926165</v>
          </cell>
          <cell r="N18">
            <v>2000</v>
          </cell>
          <cell r="O18">
            <v>191.95058714265434</v>
          </cell>
          <cell r="P18">
            <v>710052.70276640425</v>
          </cell>
          <cell r="Q18">
            <v>14000</v>
          </cell>
          <cell r="R18">
            <v>6571.2108686306146</v>
          </cell>
          <cell r="S18">
            <v>730623.91363503481</v>
          </cell>
          <cell r="T18">
            <v>9000</v>
          </cell>
          <cell r="U18">
            <v>961.76381681544865</v>
          </cell>
          <cell r="V18">
            <v>740585.67745185026</v>
          </cell>
          <cell r="W18">
            <v>8000</v>
          </cell>
          <cell r="X18">
            <v>2371.0495201976241</v>
          </cell>
          <cell r="Y18">
            <v>750956.72697204794</v>
          </cell>
          <cell r="Z18">
            <v>9000</v>
          </cell>
          <cell r="AA18">
            <v>1596.3559818004383</v>
          </cell>
          <cell r="AB18">
            <v>761553.08295384841</v>
          </cell>
          <cell r="AC18">
            <v>13000</v>
          </cell>
          <cell r="AD18">
            <v>2052.6578357681633</v>
          </cell>
          <cell r="AE18">
            <v>776605.7407896166</v>
          </cell>
          <cell r="AF18">
            <v>9000</v>
          </cell>
          <cell r="AG18">
            <v>0</v>
          </cell>
          <cell r="AH18">
            <v>785605.7407896166</v>
          </cell>
          <cell r="AI18">
            <v>9000</v>
          </cell>
          <cell r="AJ18">
            <v>604.03648745484838</v>
          </cell>
          <cell r="AK18">
            <v>795209.77727707149</v>
          </cell>
          <cell r="AL18">
            <v>9000</v>
          </cell>
          <cell r="AM18">
            <v>0</v>
          </cell>
          <cell r="AN18">
            <v>804209.77727707149</v>
          </cell>
          <cell r="AO18">
            <v>9000</v>
          </cell>
          <cell r="AP18">
            <v>0</v>
          </cell>
          <cell r="AQ18">
            <v>813209.77727707149</v>
          </cell>
          <cell r="AR18">
            <v>600000</v>
          </cell>
          <cell r="AS18">
            <v>47746</v>
          </cell>
          <cell r="AT18">
            <v>109000</v>
          </cell>
          <cell r="AU18">
            <v>56463.777277071422</v>
          </cell>
          <cell r="AV18">
            <v>813209.77727707149</v>
          </cell>
          <cell r="AW18">
            <v>630000</v>
          </cell>
          <cell r="AX18"/>
          <cell r="AY18"/>
          <cell r="AZ18"/>
          <cell r="BA18"/>
          <cell r="BB18">
            <v>183209.77727707149</v>
          </cell>
          <cell r="BC18"/>
          <cell r="BD18">
            <v>183209.77727707149</v>
          </cell>
          <cell r="BE18">
            <v>0</v>
          </cell>
          <cell r="BF18">
            <v>183209.77727707149</v>
          </cell>
        </row>
        <row r="19">
          <cell r="A19" t="str">
            <v>AS201639</v>
          </cell>
          <cell r="B19" t="str">
            <v>NANGUEN MARTIN</v>
          </cell>
          <cell r="C19">
            <v>600000</v>
          </cell>
          <cell r="D19">
            <v>51342.559108640766</v>
          </cell>
          <cell r="E19">
            <v>651342.55910864077</v>
          </cell>
          <cell r="F19">
            <v>41374.64030615626</v>
          </cell>
          <cell r="G19">
            <v>692717.19941479701</v>
          </cell>
          <cell r="H19">
            <v>9000</v>
          </cell>
          <cell r="I19">
            <v>0</v>
          </cell>
          <cell r="J19">
            <v>701717.19941479701</v>
          </cell>
          <cell r="K19">
            <v>9000</v>
          </cell>
          <cell r="L19">
            <v>973.81380635718688</v>
          </cell>
          <cell r="M19">
            <v>711691.01322115422</v>
          </cell>
          <cell r="N19">
            <v>9000</v>
          </cell>
          <cell r="O19">
            <v>194.87915441379502</v>
          </cell>
          <cell r="P19">
            <v>720885.89237556804</v>
          </cell>
          <cell r="Q19">
            <v>9000</v>
          </cell>
          <cell r="R19">
            <v>6624.150549419137</v>
          </cell>
          <cell r="S19">
            <v>736510.04292498715</v>
          </cell>
          <cell r="T19">
            <v>9000</v>
          </cell>
          <cell r="U19">
            <v>969.4177961795707</v>
          </cell>
          <cell r="V19">
            <v>746479.46072116669</v>
          </cell>
          <cell r="W19">
            <v>9000</v>
          </cell>
          <cell r="X19">
            <v>2392.8846981944812</v>
          </cell>
          <cell r="Y19">
            <v>757872.34541936114</v>
          </cell>
          <cell r="Z19">
            <v>9000</v>
          </cell>
          <cell r="AA19">
            <v>1610.8828469289365</v>
          </cell>
          <cell r="AB19">
            <v>768483.22826629004</v>
          </cell>
          <cell r="AC19">
            <v>9000</v>
          </cell>
          <cell r="AD19">
            <v>2060.4230695111955</v>
          </cell>
          <cell r="AE19">
            <v>779543.65133580123</v>
          </cell>
          <cell r="AF19">
            <v>9000</v>
          </cell>
          <cell r="AG19">
            <v>0</v>
          </cell>
          <cell r="AH19">
            <v>788543.65133580123</v>
          </cell>
          <cell r="AI19">
            <v>9000</v>
          </cell>
          <cell r="AJ19">
            <v>606.26980276542054</v>
          </cell>
          <cell r="AK19">
            <v>798149.92113856669</v>
          </cell>
          <cell r="AL19">
            <v>9000</v>
          </cell>
          <cell r="AM19">
            <v>0</v>
          </cell>
          <cell r="AN19">
            <v>807149.92113856669</v>
          </cell>
          <cell r="AO19">
            <v>9000</v>
          </cell>
          <cell r="AP19">
            <v>0</v>
          </cell>
          <cell r="AQ19">
            <v>816149.92113856669</v>
          </cell>
          <cell r="AR19">
            <v>600000</v>
          </cell>
          <cell r="AS19">
            <v>51342.559108640766</v>
          </cell>
          <cell r="AT19">
            <v>108000</v>
          </cell>
          <cell r="AU19">
            <v>56807.362029925986</v>
          </cell>
          <cell r="AV19">
            <v>816149.92113856669</v>
          </cell>
          <cell r="AW19">
            <v>630000</v>
          </cell>
          <cell r="AX19"/>
          <cell r="AY19"/>
          <cell r="AZ19"/>
          <cell r="BA19"/>
          <cell r="BB19">
            <v>186149.92113856669</v>
          </cell>
          <cell r="BC19"/>
          <cell r="BD19">
            <v>186149.92113856669</v>
          </cell>
          <cell r="BE19">
            <v>0</v>
          </cell>
          <cell r="BF19">
            <v>186149.92113856669</v>
          </cell>
        </row>
        <row r="20">
          <cell r="A20" t="str">
            <v>AS201621</v>
          </cell>
          <cell r="B20" t="str">
            <v>NANKAM APPOLINAIRE</v>
          </cell>
          <cell r="C20">
            <v>600000</v>
          </cell>
          <cell r="D20">
            <v>140918.4930248888</v>
          </cell>
          <cell r="E20">
            <v>740918.4930248888</v>
          </cell>
          <cell r="F20">
            <v>47064.690793483023</v>
          </cell>
          <cell r="G20">
            <v>787983.18381837185</v>
          </cell>
          <cell r="H20">
            <v>9000</v>
          </cell>
          <cell r="I20">
            <v>0</v>
          </cell>
          <cell r="J20">
            <v>796983.18381837185</v>
          </cell>
          <cell r="K20">
            <v>9000</v>
          </cell>
          <cell r="L20">
            <v>1104.3457970910501</v>
          </cell>
          <cell r="M20">
            <v>807087.52961546287</v>
          </cell>
          <cell r="N20">
            <v>9000</v>
          </cell>
          <cell r="O20">
            <v>220.67494221729822</v>
          </cell>
          <cell r="P20">
            <v>816308.20455768018</v>
          </cell>
          <cell r="Q20">
            <v>9000</v>
          </cell>
          <cell r="R20">
            <v>7490.1650432884535</v>
          </cell>
          <cell r="S20">
            <v>832798.36960096867</v>
          </cell>
          <cell r="T20">
            <v>9000</v>
          </cell>
          <cell r="U20">
            <v>1094.6255225273173</v>
          </cell>
          <cell r="V20">
            <v>842892.99512349593</v>
          </cell>
          <cell r="W20">
            <v>9000</v>
          </cell>
          <cell r="X20">
            <v>2698.2622539918989</v>
          </cell>
          <cell r="Y20">
            <v>854591.25737748784</v>
          </cell>
          <cell r="Z20">
            <v>9000</v>
          </cell>
          <cell r="AA20">
            <v>1814.0494328380635</v>
          </cell>
          <cell r="AB20">
            <v>865405.30681032594</v>
          </cell>
          <cell r="AC20">
            <v>9000</v>
          </cell>
          <cell r="AD20">
            <v>2317.2781106449056</v>
          </cell>
          <cell r="AE20">
            <v>876722.58492097084</v>
          </cell>
          <cell r="AF20">
            <v>9000</v>
          </cell>
          <cell r="AG20">
            <v>0</v>
          </cell>
          <cell r="AH20">
            <v>885722.58492097084</v>
          </cell>
          <cell r="AI20">
            <v>9000</v>
          </cell>
          <cell r="AJ20">
            <v>680.14244007994932</v>
          </cell>
          <cell r="AK20">
            <v>895402.72736105078</v>
          </cell>
          <cell r="AL20">
            <v>9000</v>
          </cell>
          <cell r="AM20">
            <v>0</v>
          </cell>
          <cell r="AN20">
            <v>904402.72736105078</v>
          </cell>
          <cell r="AO20">
            <v>9000</v>
          </cell>
          <cell r="AP20">
            <v>0</v>
          </cell>
          <cell r="AQ20">
            <v>913402.72736105078</v>
          </cell>
          <cell r="AR20">
            <v>600000</v>
          </cell>
          <cell r="AS20">
            <v>140918.4930248888</v>
          </cell>
          <cell r="AT20">
            <v>108000</v>
          </cell>
          <cell r="AU20">
            <v>64484.234336161971</v>
          </cell>
          <cell r="AV20">
            <v>913402.72736105078</v>
          </cell>
          <cell r="AW20">
            <v>630000</v>
          </cell>
          <cell r="AX20"/>
          <cell r="AY20"/>
          <cell r="AZ20"/>
          <cell r="BA20"/>
          <cell r="BB20">
            <v>283402.72736105078</v>
          </cell>
          <cell r="BC20"/>
          <cell r="BD20">
            <v>283402.72736105078</v>
          </cell>
          <cell r="BE20">
            <v>0</v>
          </cell>
          <cell r="BF20">
            <v>283402.72736105078</v>
          </cell>
        </row>
        <row r="21">
          <cell r="A21" t="str">
            <v>AS201622</v>
          </cell>
          <cell r="B21" t="str">
            <v>NDJOMO ETIENNE</v>
          </cell>
          <cell r="C21">
            <v>600000</v>
          </cell>
          <cell r="D21">
            <v>283210.4580118584</v>
          </cell>
          <cell r="E21">
            <v>883210.4580118584</v>
          </cell>
          <cell r="F21">
            <v>56103.373722245982</v>
          </cell>
          <cell r="G21">
            <v>939313.83173410443</v>
          </cell>
          <cell r="H21">
            <v>19000</v>
          </cell>
          <cell r="I21">
            <v>0</v>
          </cell>
          <cell r="J21">
            <v>958313.83173410443</v>
          </cell>
          <cell r="K21">
            <v>19000</v>
          </cell>
          <cell r="L21">
            <v>1339.1004231643205</v>
          </cell>
          <cell r="M21">
            <v>978652.93215726875</v>
          </cell>
          <cell r="N21">
            <v>19000</v>
          </cell>
          <cell r="O21">
            <v>269.77131149211471</v>
          </cell>
          <cell r="P21">
            <v>997922.70346876082</v>
          </cell>
          <cell r="Q21">
            <v>19000</v>
          </cell>
          <cell r="R21">
            <v>9229.1811025074585</v>
          </cell>
          <cell r="S21">
            <v>1026151.8845712683</v>
          </cell>
          <cell r="T21">
            <v>19000</v>
          </cell>
          <cell r="U21">
            <v>1359.0545777744144</v>
          </cell>
          <cell r="V21">
            <v>1046510.9391490427</v>
          </cell>
          <cell r="W21">
            <v>19000</v>
          </cell>
          <cell r="X21">
            <v>3374.8698073336518</v>
          </cell>
          <cell r="Y21">
            <v>1068885.8089563763</v>
          </cell>
          <cell r="Z21">
            <v>19000</v>
          </cell>
          <cell r="AA21">
            <v>2285.1998765282278</v>
          </cell>
          <cell r="AB21">
            <v>1090171.0088329045</v>
          </cell>
          <cell r="AC21">
            <v>15000</v>
          </cell>
          <cell r="AD21">
            <v>2928.834680372498</v>
          </cell>
          <cell r="AE21">
            <v>1108099.8435132769</v>
          </cell>
          <cell r="AF21">
            <v>19000</v>
          </cell>
          <cell r="AG21">
            <v>0</v>
          </cell>
          <cell r="AH21">
            <v>1127099.8435132769</v>
          </cell>
          <cell r="AI21">
            <v>19000</v>
          </cell>
          <cell r="AJ21">
            <v>871.23222022077493</v>
          </cell>
          <cell r="AK21">
            <v>1146971.0757334977</v>
          </cell>
          <cell r="AL21">
            <v>19000</v>
          </cell>
          <cell r="AM21">
            <v>0</v>
          </cell>
          <cell r="AN21">
            <v>1165971.0757334977</v>
          </cell>
          <cell r="AO21">
            <v>19000</v>
          </cell>
          <cell r="AP21">
            <v>0</v>
          </cell>
          <cell r="AQ21">
            <v>1184971.0757334977</v>
          </cell>
          <cell r="AR21">
            <v>600000</v>
          </cell>
          <cell r="AS21">
            <v>283210.4580118584</v>
          </cell>
          <cell r="AT21">
            <v>224000</v>
          </cell>
          <cell r="AU21">
            <v>77760.617721639457</v>
          </cell>
          <cell r="AV21">
            <v>1184971.0757334977</v>
          </cell>
          <cell r="AW21">
            <v>630000</v>
          </cell>
          <cell r="AX21"/>
          <cell r="AY21"/>
          <cell r="AZ21"/>
          <cell r="BA21"/>
          <cell r="BB21">
            <v>554971.07573349774</v>
          </cell>
          <cell r="BC21"/>
          <cell r="BD21">
            <v>554971.07573349774</v>
          </cell>
          <cell r="BE21">
            <v>0</v>
          </cell>
          <cell r="BF21">
            <v>554971.07573349774</v>
          </cell>
        </row>
        <row r="22">
          <cell r="A22" t="str">
            <v>AS201624</v>
          </cell>
          <cell r="B22" t="str">
            <v>NGONDIEP CLAUDE</v>
          </cell>
          <cell r="C22">
            <v>600000</v>
          </cell>
          <cell r="D22">
            <v>39787.038443138823</v>
          </cell>
          <cell r="E22">
            <v>639787.03844313882</v>
          </cell>
          <cell r="F22">
            <v>40640.609488732349</v>
          </cell>
          <cell r="G22">
            <v>680427.64793187112</v>
          </cell>
          <cell r="H22">
            <v>9000</v>
          </cell>
          <cell r="I22">
            <v>0</v>
          </cell>
          <cell r="J22">
            <v>689427.64793187112</v>
          </cell>
          <cell r="K22">
            <v>9000</v>
          </cell>
          <cell r="L22">
            <v>956.97485140032791</v>
          </cell>
          <cell r="M22">
            <v>699384.62278327148</v>
          </cell>
          <cell r="N22">
            <v>6000</v>
          </cell>
          <cell r="O22">
            <v>190.74021501960192</v>
          </cell>
          <cell r="P22">
            <v>705575.36299829104</v>
          </cell>
          <cell r="Q22">
            <v>14000</v>
          </cell>
          <cell r="R22">
            <v>6530.5763352128588</v>
          </cell>
          <cell r="S22">
            <v>726105.93933350395</v>
          </cell>
          <cell r="T22">
            <v>4000</v>
          </cell>
          <cell r="U22">
            <v>949.38719793680502</v>
          </cell>
          <cell r="V22">
            <v>731055.32653144072</v>
          </cell>
          <cell r="W22">
            <v>9000</v>
          </cell>
          <cell r="X22">
            <v>2344.030723196588</v>
          </cell>
          <cell r="Y22">
            <v>742399.35725463729</v>
          </cell>
          <cell r="Z22">
            <v>14000</v>
          </cell>
          <cell r="AA22">
            <v>1588.8834136576563</v>
          </cell>
          <cell r="AB22">
            <v>757988.24066829495</v>
          </cell>
          <cell r="AC22">
            <v>13000</v>
          </cell>
          <cell r="AD22">
            <v>2043.2105795222606</v>
          </cell>
          <cell r="AE22">
            <v>773031.45124781725</v>
          </cell>
          <cell r="AF22">
            <v>9000</v>
          </cell>
          <cell r="AG22">
            <v>0</v>
          </cell>
          <cell r="AH22">
            <v>782031.45124781725</v>
          </cell>
          <cell r="AI22">
            <v>9000</v>
          </cell>
          <cell r="AJ22">
            <v>601.31941508908676</v>
          </cell>
          <cell r="AK22">
            <v>791632.77066290635</v>
          </cell>
          <cell r="AL22">
            <v>12000</v>
          </cell>
          <cell r="AM22">
            <v>0</v>
          </cell>
          <cell r="AN22">
            <v>803632.77066290635</v>
          </cell>
          <cell r="AO22">
            <v>9000</v>
          </cell>
          <cell r="AP22">
            <v>0</v>
          </cell>
          <cell r="AQ22">
            <v>812632.77066290635</v>
          </cell>
          <cell r="AR22">
            <v>600000</v>
          </cell>
          <cell r="AS22">
            <v>39787.038443138823</v>
          </cell>
          <cell r="AT22">
            <v>117000</v>
          </cell>
          <cell r="AU22">
            <v>55845.732219767524</v>
          </cell>
          <cell r="AV22">
            <v>812632.77066290635</v>
          </cell>
          <cell r="AW22">
            <v>630000</v>
          </cell>
          <cell r="AX22"/>
          <cell r="AY22"/>
          <cell r="AZ22"/>
          <cell r="BA22"/>
          <cell r="BB22">
            <v>182632.77066290635</v>
          </cell>
          <cell r="BC22"/>
          <cell r="BD22">
            <v>182632.77066290635</v>
          </cell>
          <cell r="BE22">
            <v>0</v>
          </cell>
          <cell r="BF22">
            <v>182632.77066290635</v>
          </cell>
        </row>
        <row r="23">
          <cell r="A23" t="str">
            <v>AS201626</v>
          </cell>
          <cell r="B23" t="str">
            <v>NGUIEMEGNI MATHIEU BLAISE</v>
          </cell>
          <cell r="C23">
            <v>600000</v>
          </cell>
          <cell r="D23">
            <v>13695.736143450369</v>
          </cell>
          <cell r="E23">
            <v>613695.73614345037</v>
          </cell>
          <cell r="F23">
            <v>38983.235450029715</v>
          </cell>
          <cell r="G23">
            <v>652678.97159348009</v>
          </cell>
          <cell r="H23">
            <v>9000</v>
          </cell>
          <cell r="I23">
            <v>0</v>
          </cell>
          <cell r="J23">
            <v>661678.97159348009</v>
          </cell>
          <cell r="K23">
            <v>9000</v>
          </cell>
          <cell r="L23">
            <v>918.95404066335402</v>
          </cell>
          <cell r="M23">
            <v>671597.92563414341</v>
          </cell>
          <cell r="N23">
            <v>0</v>
          </cell>
          <cell r="O23">
            <v>181.6040903141915</v>
          </cell>
          <cell r="P23">
            <v>671779.52972445765</v>
          </cell>
          <cell r="Q23">
            <v>0</v>
          </cell>
          <cell r="R23">
            <v>6096.8005922534421</v>
          </cell>
          <cell r="S23">
            <v>677876.3303167111</v>
          </cell>
          <cell r="T23">
            <v>27000</v>
          </cell>
          <cell r="U23">
            <v>916.58008527126503</v>
          </cell>
          <cell r="V23">
            <v>705792.91040198237</v>
          </cell>
          <cell r="W23">
            <v>18000</v>
          </cell>
          <cell r="X23">
            <v>2292.5215972241822</v>
          </cell>
          <cell r="Y23">
            <v>726085.43199920654</v>
          </cell>
          <cell r="Z23">
            <v>17000</v>
          </cell>
          <cell r="AA23">
            <v>1560.9163420226255</v>
          </cell>
          <cell r="AB23">
            <v>744646.34834122914</v>
          </cell>
          <cell r="AC23">
            <v>18000</v>
          </cell>
          <cell r="AD23">
            <v>2021.1035722336378</v>
          </cell>
          <cell r="AE23">
            <v>764667.45191346272</v>
          </cell>
          <cell r="AF23">
            <v>159000</v>
          </cell>
          <cell r="AG23">
            <v>0</v>
          </cell>
          <cell r="AH23">
            <v>923667.45191346272</v>
          </cell>
          <cell r="AI23">
            <v>17000</v>
          </cell>
          <cell r="AJ23">
            <v>715.06840984093662</v>
          </cell>
          <cell r="AK23">
            <v>941382.52032330364</v>
          </cell>
          <cell r="AL23">
            <v>17000</v>
          </cell>
          <cell r="AM23">
            <v>0</v>
          </cell>
          <cell r="AN23">
            <v>958382.52032330364</v>
          </cell>
          <cell r="AO23">
            <v>17000</v>
          </cell>
          <cell r="AP23">
            <v>0</v>
          </cell>
          <cell r="AQ23">
            <v>975382.52032330364</v>
          </cell>
          <cell r="AR23">
            <v>600000</v>
          </cell>
          <cell r="AS23">
            <v>13695.736143450369</v>
          </cell>
          <cell r="AT23">
            <v>308000</v>
          </cell>
          <cell r="AU23">
            <v>53686.784179853348</v>
          </cell>
          <cell r="AV23">
            <v>975382.52032330364</v>
          </cell>
          <cell r="AW23">
            <v>630000</v>
          </cell>
          <cell r="AX23"/>
          <cell r="AY23"/>
          <cell r="AZ23"/>
          <cell r="BA23"/>
          <cell r="BB23">
            <v>345382.52032330364</v>
          </cell>
          <cell r="BC23"/>
          <cell r="BD23">
            <v>345382.52032330364</v>
          </cell>
          <cell r="BE23">
            <v>0</v>
          </cell>
          <cell r="BF23">
            <v>345382.52032330364</v>
          </cell>
        </row>
        <row r="24">
          <cell r="A24" t="str">
            <v>AS201628</v>
          </cell>
          <cell r="B24" t="str">
            <v>NKAMGANG JUSTIN DEJOLIE</v>
          </cell>
          <cell r="C24">
            <v>600000</v>
          </cell>
          <cell r="D24">
            <v>575.28052728832699</v>
          </cell>
          <cell r="E24">
            <v>600575.28052728833</v>
          </cell>
          <cell r="F24">
            <v>38149.79669467725</v>
          </cell>
          <cell r="G24">
            <v>638725.07722196553</v>
          </cell>
          <cell r="H24">
            <v>9000</v>
          </cell>
          <cell r="I24">
            <v>0</v>
          </cell>
          <cell r="J24">
            <v>647725.07722196553</v>
          </cell>
          <cell r="K24">
            <v>9000</v>
          </cell>
          <cell r="L24">
            <v>899.83462860660416</v>
          </cell>
          <cell r="M24">
            <v>657624.9118505721</v>
          </cell>
          <cell r="N24">
            <v>9000</v>
          </cell>
          <cell r="O24">
            <v>180.2593576850181</v>
          </cell>
          <cell r="P24">
            <v>666805.17120825709</v>
          </cell>
          <cell r="Q24">
            <v>9000</v>
          </cell>
          <cell r="R24">
            <v>6133.33569387033</v>
          </cell>
          <cell r="S24">
            <v>681938.50690212741</v>
          </cell>
          <cell r="T24">
            <v>9000</v>
          </cell>
          <cell r="U24">
            <v>898.45615228560939</v>
          </cell>
          <cell r="V24">
            <v>691836.96305441298</v>
          </cell>
          <cell r="W24">
            <v>9000</v>
          </cell>
          <cell r="X24">
            <v>2219.811566049912</v>
          </cell>
          <cell r="Y24">
            <v>703056.77462046291</v>
          </cell>
          <cell r="Z24">
            <v>9000</v>
          </cell>
          <cell r="AA24">
            <v>1495.7379166520773</v>
          </cell>
          <cell r="AB24">
            <v>713552.51253711502</v>
          </cell>
          <cell r="AC24">
            <v>9000</v>
          </cell>
          <cell r="AD24">
            <v>1914.85013649046</v>
          </cell>
          <cell r="AE24">
            <v>724467.36267360544</v>
          </cell>
          <cell r="AF24">
            <v>9000</v>
          </cell>
          <cell r="AG24">
            <v>0</v>
          </cell>
          <cell r="AH24">
            <v>733467.36267360544</v>
          </cell>
          <cell r="AI24">
            <v>9000</v>
          </cell>
          <cell r="AJ24">
            <v>564.40238822534582</v>
          </cell>
          <cell r="AK24">
            <v>743031.76506183075</v>
          </cell>
          <cell r="AL24">
            <v>7000</v>
          </cell>
          <cell r="AM24">
            <v>0</v>
          </cell>
          <cell r="AN24">
            <v>750031.76506183075</v>
          </cell>
          <cell r="AO24">
            <v>9000</v>
          </cell>
          <cell r="AP24">
            <v>0</v>
          </cell>
          <cell r="AQ24">
            <v>759031.76506183075</v>
          </cell>
          <cell r="AR24">
            <v>600000</v>
          </cell>
          <cell r="AS24">
            <v>575.28052728832699</v>
          </cell>
          <cell r="AT24">
            <v>106000</v>
          </cell>
          <cell r="AU24">
            <v>52456.4845345426</v>
          </cell>
          <cell r="AV24">
            <v>759031.76506183075</v>
          </cell>
          <cell r="AW24">
            <v>630000</v>
          </cell>
          <cell r="AX24"/>
          <cell r="AY24"/>
          <cell r="AZ24"/>
          <cell r="BA24"/>
          <cell r="BB24">
            <v>129031.76506183075</v>
          </cell>
          <cell r="BC24"/>
          <cell r="BD24">
            <v>129031.76506183075</v>
          </cell>
          <cell r="BE24">
            <v>0</v>
          </cell>
          <cell r="BF24">
            <v>129031.76506183075</v>
          </cell>
        </row>
        <row r="25">
          <cell r="A25"/>
          <cell r="B25" t="str">
            <v>NKEPSEU DIEUDONNE</v>
          </cell>
          <cell r="C25">
            <v>600000</v>
          </cell>
          <cell r="D25">
            <v>2433.3710003618617</v>
          </cell>
          <cell r="E25">
            <v>602433.37100036186</v>
          </cell>
          <cell r="F25">
            <v>38267.826483925048</v>
          </cell>
          <cell r="G25">
            <v>640701.19748428697</v>
          </cell>
          <cell r="H25">
            <v>-640701</v>
          </cell>
          <cell r="I25">
            <v>0</v>
          </cell>
          <cell r="J25">
            <v>0.19748428696766496</v>
          </cell>
          <cell r="K25">
            <v>0</v>
          </cell>
          <cell r="L25">
            <v>2.7058994118345079E-4</v>
          </cell>
          <cell r="M25">
            <v>0.19775487690884841</v>
          </cell>
          <cell r="N25">
            <v>0</v>
          </cell>
          <cell r="O25">
            <v>5.3474099837810067E-5</v>
          </cell>
          <cell r="P25">
            <v>0.19780835100868621</v>
          </cell>
          <cell r="Q25">
            <v>0</v>
          </cell>
          <cell r="R25">
            <v>1.7952289675707987E-3</v>
          </cell>
          <cell r="S25">
            <v>0.19960357997625702</v>
          </cell>
          <cell r="T25">
            <v>0</v>
          </cell>
          <cell r="U25">
            <v>2.5955285840408937E-4</v>
          </cell>
          <cell r="V25">
            <v>0.19986313283466112</v>
          </cell>
          <cell r="W25">
            <v>0</v>
          </cell>
          <cell r="X25">
            <v>6.3304094572835053E-4</v>
          </cell>
          <cell r="Y25">
            <v>0.20049617378038948</v>
          </cell>
          <cell r="Z25">
            <v>0</v>
          </cell>
          <cell r="AA25">
            <v>4.211598568482666E-4</v>
          </cell>
          <cell r="AB25">
            <v>0.20091733363723774</v>
          </cell>
          <cell r="AC25">
            <v>0</v>
          </cell>
          <cell r="AD25">
            <v>5.3245484177705618E-4</v>
          </cell>
          <cell r="AE25">
            <v>0.20144978847901479</v>
          </cell>
          <cell r="AF25">
            <v>0</v>
          </cell>
          <cell r="AG25">
            <v>0</v>
          </cell>
          <cell r="AH25">
            <v>0.20144978847901479</v>
          </cell>
          <cell r="AI25">
            <v>0</v>
          </cell>
          <cell r="AJ25">
            <v>1.531363497455572E-4</v>
          </cell>
          <cell r="AK25">
            <v>0.20160292482876035</v>
          </cell>
          <cell r="AL25">
            <v>0</v>
          </cell>
          <cell r="AM25">
            <v>0</v>
          </cell>
          <cell r="AN25">
            <v>0.20160292482876035</v>
          </cell>
          <cell r="AO25">
            <v>0</v>
          </cell>
          <cell r="AP25">
            <v>0</v>
          </cell>
          <cell r="AQ25">
            <v>0.20160292482876035</v>
          </cell>
          <cell r="AR25">
            <v>600000</v>
          </cell>
          <cell r="AS25">
            <v>2433.3710003618617</v>
          </cell>
          <cell r="AT25">
            <v>-640701</v>
          </cell>
          <cell r="AU25">
            <v>38267.830602562906</v>
          </cell>
          <cell r="AV25">
            <v>0.20160292482876035</v>
          </cell>
          <cell r="AW25">
            <v>0</v>
          </cell>
          <cell r="AX25"/>
          <cell r="AY25"/>
          <cell r="AZ25"/>
          <cell r="BA25"/>
          <cell r="BB25">
            <v>0.20160292482876035</v>
          </cell>
          <cell r="BC25"/>
          <cell r="BD25">
            <v>0.20160292482876035</v>
          </cell>
          <cell r="BE25">
            <v>0</v>
          </cell>
          <cell r="BF25">
            <v>0.20160292482876035</v>
          </cell>
        </row>
        <row r="26">
          <cell r="A26" t="str">
            <v>AS201633</v>
          </cell>
          <cell r="B26" t="str">
            <v>PATEGO NJOSSU GUSTAVE</v>
          </cell>
          <cell r="C26">
            <v>600000</v>
          </cell>
          <cell r="D26">
            <v>21451.962695348077</v>
          </cell>
          <cell r="E26">
            <v>621451.96269534808</v>
          </cell>
          <cell r="F26">
            <v>39475.927166899848</v>
          </cell>
          <cell r="G26">
            <v>660927.88986224798</v>
          </cell>
          <cell r="H26">
            <v>9000</v>
          </cell>
          <cell r="I26">
            <v>0</v>
          </cell>
          <cell r="J26">
            <v>669927.88986224798</v>
          </cell>
          <cell r="K26">
            <v>9000</v>
          </cell>
          <cell r="L26">
            <v>930.25658196142933</v>
          </cell>
          <cell r="M26">
            <v>679858.14644420939</v>
          </cell>
          <cell r="N26">
            <v>9000</v>
          </cell>
          <cell r="O26">
            <v>186.27135711057772</v>
          </cell>
          <cell r="P26">
            <v>689044.41780131997</v>
          </cell>
          <cell r="Q26">
            <v>9000</v>
          </cell>
          <cell r="R26">
            <v>6335.170143716502</v>
          </cell>
          <cell r="S26">
            <v>704379.58794503647</v>
          </cell>
          <cell r="T26">
            <v>9000</v>
          </cell>
          <cell r="U26">
            <v>927.63722574660505</v>
          </cell>
          <cell r="V26">
            <v>714307.22517078312</v>
          </cell>
          <cell r="W26">
            <v>9000</v>
          </cell>
          <cell r="X26">
            <v>2290.9832512885214</v>
          </cell>
          <cell r="Y26">
            <v>725598.20842207165</v>
          </cell>
          <cell r="Z26">
            <v>9000</v>
          </cell>
          <cell r="AA26">
            <v>1543.088182016437</v>
          </cell>
          <cell r="AB26">
            <v>736141.29660408804</v>
          </cell>
          <cell r="AC26">
            <v>9000</v>
          </cell>
          <cell r="AD26">
            <v>1974.7131021618652</v>
          </cell>
          <cell r="AE26">
            <v>747116.00970624993</v>
          </cell>
          <cell r="AF26">
            <v>9000</v>
          </cell>
          <cell r="AG26">
            <v>0</v>
          </cell>
          <cell r="AH26">
            <v>756116.00970624993</v>
          </cell>
          <cell r="AI26">
            <v>9000</v>
          </cell>
          <cell r="AJ26">
            <v>581.61923992542108</v>
          </cell>
          <cell r="AK26">
            <v>765697.62894617533</v>
          </cell>
          <cell r="AL26">
            <v>9000</v>
          </cell>
          <cell r="AM26">
            <v>0</v>
          </cell>
          <cell r="AN26">
            <v>774697.62894617533</v>
          </cell>
          <cell r="AO26">
            <v>9000</v>
          </cell>
          <cell r="AP26">
            <v>0</v>
          </cell>
          <cell r="AQ26">
            <v>783697.62894617533</v>
          </cell>
          <cell r="AR26">
            <v>600000</v>
          </cell>
          <cell r="AS26">
            <v>21451.962695348077</v>
          </cell>
          <cell r="AT26">
            <v>108000</v>
          </cell>
          <cell r="AU26">
            <v>54245.666250827206</v>
          </cell>
          <cell r="AV26">
            <v>783697.62894617533</v>
          </cell>
          <cell r="AW26">
            <v>630000</v>
          </cell>
          <cell r="AX26"/>
          <cell r="AY26"/>
          <cell r="AZ26"/>
          <cell r="BA26"/>
          <cell r="BB26">
            <v>153697.62894617533</v>
          </cell>
          <cell r="BC26"/>
          <cell r="BD26">
            <v>153697.62894617533</v>
          </cell>
          <cell r="BE26">
            <v>0</v>
          </cell>
          <cell r="BF26">
            <v>153697.62894617533</v>
          </cell>
        </row>
        <row r="27">
          <cell r="A27" t="str">
            <v>AS201653</v>
          </cell>
          <cell r="B27" t="str">
            <v>SIME BRICE</v>
          </cell>
          <cell r="C27">
            <v>600000</v>
          </cell>
          <cell r="D27">
            <v>200752.48017057346</v>
          </cell>
          <cell r="E27">
            <v>800752.48017057346</v>
          </cell>
          <cell r="F27">
            <v>50865.470677456433</v>
          </cell>
          <cell r="G27">
            <v>851617.95084802993</v>
          </cell>
          <cell r="H27">
            <v>9000</v>
          </cell>
          <cell r="I27">
            <v>0</v>
          </cell>
          <cell r="J27">
            <v>860617.95084802993</v>
          </cell>
          <cell r="K27">
            <v>9000</v>
          </cell>
          <cell r="L27">
            <v>1191.5371789076557</v>
          </cell>
          <cell r="M27">
            <v>870809.48802693759</v>
          </cell>
          <cell r="N27">
            <v>9000</v>
          </cell>
          <cell r="O27">
            <v>237.9057403610355</v>
          </cell>
          <cell r="P27">
            <v>880047.39376729866</v>
          </cell>
          <cell r="Q27">
            <v>9000</v>
          </cell>
          <cell r="R27">
            <v>8068.6362668494776</v>
          </cell>
          <cell r="S27">
            <v>897116.03003414813</v>
          </cell>
          <cell r="T27">
            <v>9000</v>
          </cell>
          <cell r="U27">
            <v>1178.260458400116</v>
          </cell>
          <cell r="V27">
            <v>907294.29049254826</v>
          </cell>
          <cell r="W27">
            <v>9000</v>
          </cell>
          <cell r="X27">
            <v>2902.2451314157306</v>
          </cell>
          <cell r="Y27">
            <v>919196.53562396404</v>
          </cell>
          <cell r="Z27">
            <v>9000</v>
          </cell>
          <cell r="AA27">
            <v>1949.7585051105923</v>
          </cell>
          <cell r="AB27">
            <v>930146.29412907467</v>
          </cell>
          <cell r="AC27">
            <v>9000</v>
          </cell>
          <cell r="AD27">
            <v>2488.8494307259011</v>
          </cell>
          <cell r="AE27">
            <v>941635.14355980058</v>
          </cell>
          <cell r="AF27">
            <v>9000</v>
          </cell>
          <cell r="AG27">
            <v>0</v>
          </cell>
          <cell r="AH27">
            <v>950635.14355980058</v>
          </cell>
          <cell r="AI27">
            <v>9000</v>
          </cell>
          <cell r="AJ27">
            <v>729.48710486042557</v>
          </cell>
          <cell r="AK27">
            <v>960364.63066466106</v>
          </cell>
          <cell r="AL27">
            <v>9000</v>
          </cell>
          <cell r="AM27">
            <v>0</v>
          </cell>
          <cell r="AN27">
            <v>969364.63066466106</v>
          </cell>
          <cell r="AO27">
            <v>9000</v>
          </cell>
          <cell r="AP27">
            <v>0</v>
          </cell>
          <cell r="AQ27">
            <v>978364.63066466106</v>
          </cell>
          <cell r="AR27">
            <v>600000</v>
          </cell>
          <cell r="AS27">
            <v>200752.48017057346</v>
          </cell>
          <cell r="AT27">
            <v>108000</v>
          </cell>
          <cell r="AU27">
            <v>69612.150494087356</v>
          </cell>
          <cell r="AV27">
            <v>978364.63066466106</v>
          </cell>
          <cell r="AW27">
            <v>630000</v>
          </cell>
          <cell r="AX27"/>
          <cell r="AY27"/>
          <cell r="AZ27"/>
          <cell r="BA27"/>
          <cell r="BB27">
            <v>348364.63066466106</v>
          </cell>
          <cell r="BC27"/>
          <cell r="BD27">
            <v>348364.63066466106</v>
          </cell>
          <cell r="BE27">
            <v>0</v>
          </cell>
          <cell r="BF27">
            <v>348364.63066466106</v>
          </cell>
        </row>
        <row r="28">
          <cell r="A28" t="str">
            <v>AS201638</v>
          </cell>
          <cell r="B28" t="str">
            <v>SIMO PIERRE</v>
          </cell>
          <cell r="C28">
            <v>600000</v>
          </cell>
          <cell r="D28">
            <v>103606.47183067317</v>
          </cell>
          <cell r="E28">
            <v>703606.47183067317</v>
          </cell>
          <cell r="F28">
            <v>44694.553245402341</v>
          </cell>
          <cell r="G28">
            <v>748301.02507607546</v>
          </cell>
          <cell r="H28">
            <v>119000</v>
          </cell>
          <cell r="I28">
            <v>0</v>
          </cell>
          <cell r="J28">
            <v>867301.02507607546</v>
          </cell>
          <cell r="K28">
            <v>9000</v>
          </cell>
          <cell r="L28">
            <v>1200.6942247165082</v>
          </cell>
          <cell r="M28">
            <v>877501.71930079197</v>
          </cell>
          <cell r="N28">
            <v>9000</v>
          </cell>
          <cell r="O28">
            <v>239.7153596678744</v>
          </cell>
          <cell r="P28">
            <v>886741.43466045987</v>
          </cell>
          <cell r="Q28">
            <v>9000</v>
          </cell>
          <cell r="R28">
            <v>8129.388687362698</v>
          </cell>
          <cell r="S28">
            <v>903870.82334782253</v>
          </cell>
          <cell r="T28">
            <v>9000</v>
          </cell>
          <cell r="U28">
            <v>1187.0439978171023</v>
          </cell>
          <cell r="V28">
            <v>914057.86734563962</v>
          </cell>
          <cell r="W28">
            <v>9000</v>
          </cell>
          <cell r="X28">
            <v>2923.6678972198138</v>
          </cell>
          <cell r="Y28">
            <v>925981.53524285939</v>
          </cell>
          <cell r="Z28">
            <v>9000</v>
          </cell>
          <cell r="AA28">
            <v>1964.0109938954381</v>
          </cell>
          <cell r="AB28">
            <v>936945.54623675486</v>
          </cell>
          <cell r="AC28">
            <v>9000</v>
          </cell>
          <cell r="AD28">
            <v>2506.8682578706698</v>
          </cell>
          <cell r="AE28">
            <v>948452.41449462553</v>
          </cell>
          <cell r="AF28">
            <v>9000</v>
          </cell>
          <cell r="AG28">
            <v>0</v>
          </cell>
          <cell r="AH28">
            <v>957452.41449462553</v>
          </cell>
          <cell r="AI28">
            <v>9000</v>
          </cell>
          <cell r="AJ28">
            <v>734.66939864225458</v>
          </cell>
          <cell r="AK28">
            <v>967187.08389326779</v>
          </cell>
          <cell r="AL28">
            <v>9500</v>
          </cell>
          <cell r="AM28">
            <v>0</v>
          </cell>
          <cell r="AN28">
            <v>976687.08389326779</v>
          </cell>
          <cell r="AO28">
            <v>9000</v>
          </cell>
          <cell r="AP28">
            <v>0</v>
          </cell>
          <cell r="AQ28">
            <v>985687.08389326779</v>
          </cell>
          <cell r="AR28">
            <v>600000</v>
          </cell>
          <cell r="AS28">
            <v>103606.47183067317</v>
          </cell>
          <cell r="AT28">
            <v>218500</v>
          </cell>
          <cell r="AU28">
            <v>63580.612062594708</v>
          </cell>
          <cell r="AV28">
            <v>985687.08389326779</v>
          </cell>
          <cell r="AW28">
            <v>630000</v>
          </cell>
          <cell r="AX28"/>
          <cell r="AY28"/>
          <cell r="AZ28"/>
          <cell r="BA28"/>
          <cell r="BB28">
            <v>355687.08389326779</v>
          </cell>
          <cell r="BC28"/>
          <cell r="BD28">
            <v>355687.08389326779</v>
          </cell>
          <cell r="BE28">
            <v>0</v>
          </cell>
          <cell r="BF28">
            <v>355687.08389326779</v>
          </cell>
        </row>
        <row r="29">
          <cell r="A29" t="str">
            <v>AS201641</v>
          </cell>
          <cell r="B29" t="str">
            <v>TCHOUAMOU MATHIEU</v>
          </cell>
          <cell r="C29">
            <v>600000</v>
          </cell>
          <cell r="D29">
            <v>4207.8699443503283</v>
          </cell>
          <cell r="E29">
            <v>604207.86994435033</v>
          </cell>
          <cell r="F29">
            <v>38380.546364584545</v>
          </cell>
          <cell r="G29">
            <v>642588.41630893492</v>
          </cell>
          <cell r="H29">
            <v>9000</v>
          </cell>
          <cell r="I29">
            <v>0</v>
          </cell>
          <cell r="J29">
            <v>651588.41630893492</v>
          </cell>
          <cell r="K29">
            <v>9000</v>
          </cell>
          <cell r="L29">
            <v>905.12811657147677</v>
          </cell>
          <cell r="M29">
            <v>661493.54442550638</v>
          </cell>
          <cell r="N29">
            <v>9000</v>
          </cell>
          <cell r="O29">
            <v>181.30545903928808</v>
          </cell>
          <cell r="P29">
            <v>670674.84988454566</v>
          </cell>
          <cell r="Q29">
            <v>9000</v>
          </cell>
          <cell r="R29">
            <v>6168.4553398278422</v>
          </cell>
          <cell r="S29">
            <v>685843.30522437347</v>
          </cell>
          <cell r="T29">
            <v>9000</v>
          </cell>
          <cell r="U29">
            <v>903.53372437199687</v>
          </cell>
          <cell r="V29">
            <v>695746.83894874551</v>
          </cell>
          <cell r="W29">
            <v>9000</v>
          </cell>
          <cell r="X29">
            <v>2232.1955985561785</v>
          </cell>
          <cell r="Y29">
            <v>706979.03454730171</v>
          </cell>
          <cell r="Z29">
            <v>9000</v>
          </cell>
          <cell r="AA29">
            <v>1503.9769687903915</v>
          </cell>
          <cell r="AB29">
            <v>717483.01151609211</v>
          </cell>
          <cell r="AC29">
            <v>9000</v>
          </cell>
          <cell r="AD29">
            <v>1925.2664264843079</v>
          </cell>
          <cell r="AE29">
            <v>728408.27794257645</v>
          </cell>
          <cell r="AF29">
            <v>9000</v>
          </cell>
          <cell r="AG29">
            <v>0</v>
          </cell>
          <cell r="AH29">
            <v>737408.27794257645</v>
          </cell>
          <cell r="AI29">
            <v>9000</v>
          </cell>
          <cell r="AJ29">
            <v>567.39815895066283</v>
          </cell>
          <cell r="AK29">
            <v>746975.67610152706</v>
          </cell>
          <cell r="AL29">
            <v>9000</v>
          </cell>
          <cell r="AM29">
            <v>0</v>
          </cell>
          <cell r="AN29">
            <v>755975.67610152706</v>
          </cell>
          <cell r="AO29">
            <v>9000</v>
          </cell>
          <cell r="AP29">
            <v>0</v>
          </cell>
          <cell r="AQ29">
            <v>764975.67610152706</v>
          </cell>
          <cell r="AR29">
            <v>600000</v>
          </cell>
          <cell r="AS29">
            <v>4207.8699443503283</v>
          </cell>
          <cell r="AT29">
            <v>108000</v>
          </cell>
          <cell r="AU29">
            <v>52767.806157176696</v>
          </cell>
          <cell r="AV29">
            <v>764975.67610152706</v>
          </cell>
          <cell r="AW29">
            <v>630000</v>
          </cell>
          <cell r="AX29"/>
          <cell r="AY29"/>
          <cell r="AZ29"/>
          <cell r="BA29"/>
          <cell r="BB29">
            <v>134975.67610152706</v>
          </cell>
          <cell r="BC29"/>
          <cell r="BD29">
            <v>134975.67610152706</v>
          </cell>
          <cell r="BE29">
            <v>0</v>
          </cell>
          <cell r="BF29">
            <v>134975.67610152706</v>
          </cell>
        </row>
        <row r="30">
          <cell r="A30" t="str">
            <v>AS201646</v>
          </cell>
          <cell r="B30" t="str">
            <v>YEPMOU JEAN JACQUES</v>
          </cell>
          <cell r="C30">
            <v>600000</v>
          </cell>
          <cell r="D30">
            <v>914734.42229355336</v>
          </cell>
          <cell r="E30">
            <v>1514734.4222935534</v>
          </cell>
          <cell r="F30">
            <v>96219.095474914066</v>
          </cell>
          <cell r="G30">
            <v>1610953.5177684673</v>
          </cell>
          <cell r="H30">
            <v>9000</v>
          </cell>
          <cell r="I30">
            <v>0</v>
          </cell>
          <cell r="J30">
            <v>1619953.5177684673</v>
          </cell>
          <cell r="K30">
            <v>9000</v>
          </cell>
          <cell r="L30">
            <v>2231.9671267603972</v>
          </cell>
          <cell r="M30">
            <v>1631185.4848952277</v>
          </cell>
          <cell r="N30">
            <v>3000</v>
          </cell>
          <cell r="O30">
            <v>441.89351554180263</v>
          </cell>
          <cell r="P30">
            <v>1634627.3784107696</v>
          </cell>
          <cell r="Q30">
            <v>0</v>
          </cell>
          <cell r="R30">
            <v>14835.220080159637</v>
          </cell>
          <cell r="S30">
            <v>1649462.5984909292</v>
          </cell>
          <cell r="T30">
            <v>17000</v>
          </cell>
          <cell r="U30">
            <v>2166.9708074037417</v>
          </cell>
          <cell r="V30">
            <v>1668629.569298333</v>
          </cell>
          <cell r="W30">
            <v>9000</v>
          </cell>
          <cell r="X30">
            <v>5313.6773854586754</v>
          </cell>
          <cell r="Y30">
            <v>1682943.2466837917</v>
          </cell>
          <cell r="Z30">
            <v>9000</v>
          </cell>
          <cell r="AA30">
            <v>3554.0756820090223</v>
          </cell>
          <cell r="AB30">
            <v>1695497.3223658009</v>
          </cell>
          <cell r="AC30">
            <v>9000</v>
          </cell>
          <cell r="AD30">
            <v>4517.1207265189942</v>
          </cell>
          <cell r="AE30">
            <v>1709014.4430923199</v>
          </cell>
          <cell r="AF30">
            <v>9000</v>
          </cell>
          <cell r="AG30">
            <v>0</v>
          </cell>
          <cell r="AH30">
            <v>1718014.4430923199</v>
          </cell>
          <cell r="AI30">
            <v>9000</v>
          </cell>
          <cell r="AJ30">
            <v>1312.8268327795447</v>
          </cell>
          <cell r="AK30">
            <v>1728327.2699250993</v>
          </cell>
          <cell r="AL30">
            <v>6000</v>
          </cell>
          <cell r="AM30">
            <v>0</v>
          </cell>
          <cell r="AN30">
            <v>1734327.2699250993</v>
          </cell>
          <cell r="AO30">
            <v>9000</v>
          </cell>
          <cell r="AP30">
            <v>0</v>
          </cell>
          <cell r="AQ30">
            <v>1743327.2699250993</v>
          </cell>
          <cell r="AR30">
            <v>600000</v>
          </cell>
          <cell r="AS30">
            <v>914734.42229355336</v>
          </cell>
          <cell r="AT30">
            <v>98000</v>
          </cell>
          <cell r="AU30">
            <v>130592.84763154587</v>
          </cell>
          <cell r="AV30">
            <v>1743327.2699250993</v>
          </cell>
          <cell r="AW30">
            <v>630000</v>
          </cell>
          <cell r="AX30"/>
          <cell r="AY30"/>
          <cell r="AZ30"/>
          <cell r="BA30"/>
          <cell r="BB30">
            <v>1113327.2699250993</v>
          </cell>
          <cell r="BC30"/>
          <cell r="BD30">
            <v>1113327.2699250993</v>
          </cell>
          <cell r="BE30">
            <v>0</v>
          </cell>
          <cell r="BF30">
            <v>1113327.2699250993</v>
          </cell>
        </row>
        <row r="31">
          <cell r="A31" t="str">
            <v>AS201647</v>
          </cell>
          <cell r="B31" t="str">
            <v>YOUMBI EMMANUEL</v>
          </cell>
          <cell r="C31">
            <v>600000</v>
          </cell>
          <cell r="D31">
            <v>1057774.2356918815</v>
          </cell>
          <cell r="E31">
            <v>1657774.2356918815</v>
          </cell>
          <cell r="F31">
            <v>105305.28329736282</v>
          </cell>
          <cell r="G31">
            <v>1763079.5189892442</v>
          </cell>
          <cell r="H31">
            <v>9000</v>
          </cell>
          <cell r="I31">
            <v>0</v>
          </cell>
          <cell r="J31">
            <v>1772079.5189892442</v>
          </cell>
          <cell r="K31">
            <v>9000</v>
          </cell>
          <cell r="L31">
            <v>2440.4078404742104</v>
          </cell>
          <cell r="M31">
            <v>1783519.9268297185</v>
          </cell>
          <cell r="N31">
            <v>9000</v>
          </cell>
          <cell r="O31">
            <v>484.70809431788769</v>
          </cell>
          <cell r="P31">
            <v>1793004.6349240365</v>
          </cell>
          <cell r="Q31">
            <v>9000</v>
          </cell>
          <cell r="R31">
            <v>16354.268683885926</v>
          </cell>
          <cell r="S31">
            <v>1818358.9036079224</v>
          </cell>
          <cell r="T31">
            <v>9000</v>
          </cell>
          <cell r="U31">
            <v>2376.1909822359744</v>
          </cell>
          <cell r="V31">
            <v>1829735.0945901584</v>
          </cell>
          <cell r="W31">
            <v>9000</v>
          </cell>
          <cell r="X31">
            <v>5823.9585596118359</v>
          </cell>
          <cell r="Y31">
            <v>1844559.0531497702</v>
          </cell>
          <cell r="Z31">
            <v>9000</v>
          </cell>
          <cell r="AA31">
            <v>3893.5639058101601</v>
          </cell>
          <cell r="AB31">
            <v>1857452.6170555805</v>
          </cell>
          <cell r="AC31">
            <v>9000</v>
          </cell>
          <cell r="AD31">
            <v>4946.3215288982501</v>
          </cell>
          <cell r="AE31">
            <v>1871398.9385844788</v>
          </cell>
          <cell r="AF31">
            <v>9000</v>
          </cell>
          <cell r="AG31">
            <v>0</v>
          </cell>
          <cell r="AH31">
            <v>1880398.9385844788</v>
          </cell>
          <cell r="AI31">
            <v>9000</v>
          </cell>
          <cell r="AJ31">
            <v>1436.2668675529419</v>
          </cell>
          <cell r="AK31">
            <v>1890835.2054520317</v>
          </cell>
          <cell r="AL31">
            <v>9000</v>
          </cell>
          <cell r="AM31">
            <v>0</v>
          </cell>
          <cell r="AN31">
            <v>1899835.2054520317</v>
          </cell>
          <cell r="AO31">
            <v>9000</v>
          </cell>
          <cell r="AP31">
            <v>0</v>
          </cell>
          <cell r="AQ31">
            <v>1908835.2054520317</v>
          </cell>
          <cell r="AR31">
            <v>600000</v>
          </cell>
          <cell r="AS31">
            <v>1057774.2356918815</v>
          </cell>
          <cell r="AT31">
            <v>108000</v>
          </cell>
          <cell r="AU31">
            <v>143060.96976015001</v>
          </cell>
          <cell r="AV31">
            <v>1908835.2054520317</v>
          </cell>
          <cell r="AW31">
            <v>630000</v>
          </cell>
          <cell r="AX31"/>
          <cell r="AY31"/>
          <cell r="AZ31"/>
          <cell r="BA31"/>
          <cell r="BB31">
            <v>1278835.2054520317</v>
          </cell>
          <cell r="BC31"/>
          <cell r="BD31">
            <v>1278835.2054520317</v>
          </cell>
          <cell r="BE31">
            <v>0</v>
          </cell>
          <cell r="BF31">
            <v>1278835.2054520317</v>
          </cell>
        </row>
        <row r="32">
          <cell r="A32" t="str">
            <v>AS201601</v>
          </cell>
          <cell r="B32" t="str">
            <v>BAKOP ACHILLE</v>
          </cell>
          <cell r="C32">
            <v>0</v>
          </cell>
          <cell r="D32"/>
          <cell r="E32"/>
          <cell r="F32"/>
          <cell r="G32"/>
          <cell r="H32">
            <v>609000</v>
          </cell>
          <cell r="I32">
            <v>0</v>
          </cell>
          <cell r="J32">
            <v>609000</v>
          </cell>
          <cell r="K32">
            <v>9000</v>
          </cell>
          <cell r="L32">
            <v>846.77412172419099</v>
          </cell>
          <cell r="M32">
            <v>618846.77412172419</v>
          </cell>
          <cell r="N32">
            <v>9000</v>
          </cell>
          <cell r="O32">
            <v>169.77351763469881</v>
          </cell>
          <cell r="P32">
            <v>628016.54763935891</v>
          </cell>
          <cell r="Q32">
            <v>9000</v>
          </cell>
          <cell r="R32">
            <v>5781.3057604120222</v>
          </cell>
          <cell r="S32">
            <v>642797.85339977092</v>
          </cell>
          <cell r="T32">
            <v>9000</v>
          </cell>
          <cell r="U32">
            <v>847.5599283924854</v>
          </cell>
          <cell r="V32">
            <v>652645.41332816344</v>
          </cell>
          <cell r="W32">
            <v>9000</v>
          </cell>
          <cell r="X32">
            <v>2095.6773380340383</v>
          </cell>
          <cell r="Y32">
            <v>663741.09066619747</v>
          </cell>
          <cell r="Z32">
            <v>6000</v>
          </cell>
          <cell r="AA32">
            <v>1406.8500986923409</v>
          </cell>
          <cell r="AB32">
            <v>671147.94076488982</v>
          </cell>
          <cell r="AC32">
            <v>9000</v>
          </cell>
          <cell r="AD32">
            <v>1802.4729754717389</v>
          </cell>
          <cell r="AE32">
            <v>681950.41374036158</v>
          </cell>
          <cell r="AF32">
            <v>9000</v>
          </cell>
          <cell r="AG32">
            <v>0</v>
          </cell>
          <cell r="AH32">
            <v>690950.41374036158</v>
          </cell>
          <cell r="AI32">
            <v>9000</v>
          </cell>
          <cell r="AJ32">
            <v>532.08222342838212</v>
          </cell>
          <cell r="AK32">
            <v>700482.49596378999</v>
          </cell>
          <cell r="AL32">
            <v>9000</v>
          </cell>
          <cell r="AM32">
            <v>0</v>
          </cell>
          <cell r="AN32">
            <v>709482.49596378999</v>
          </cell>
          <cell r="AO32">
            <v>9000</v>
          </cell>
          <cell r="AP32">
            <v>0</v>
          </cell>
          <cell r="AQ32">
            <v>718482.49596378999</v>
          </cell>
          <cell r="AR32">
            <v>0</v>
          </cell>
          <cell r="AS32">
            <v>0</v>
          </cell>
          <cell r="AT32">
            <v>705000</v>
          </cell>
          <cell r="AU32">
            <v>13482.495963789899</v>
          </cell>
          <cell r="AV32">
            <v>718482.49596378999</v>
          </cell>
          <cell r="AW32">
            <v>630000</v>
          </cell>
          <cell r="AX32"/>
          <cell r="AY32"/>
          <cell r="AZ32"/>
          <cell r="BA32"/>
          <cell r="BB32">
            <v>88482.495963789988</v>
          </cell>
          <cell r="BC32"/>
          <cell r="BD32">
            <v>88482.495963789988</v>
          </cell>
          <cell r="BE32">
            <v>0</v>
          </cell>
          <cell r="BF32">
            <v>88482.495963789988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/>
          <cell r="E33"/>
          <cell r="F33"/>
          <cell r="G33"/>
          <cell r="H33">
            <v>9000</v>
          </cell>
          <cell r="I33">
            <v>0</v>
          </cell>
          <cell r="J33">
            <v>9000</v>
          </cell>
          <cell r="K33">
            <v>9000</v>
          </cell>
          <cell r="L33"/>
          <cell r="M33">
            <v>18000</v>
          </cell>
          <cell r="N33">
            <v>9000</v>
          </cell>
          <cell r="O33">
            <v>0</v>
          </cell>
          <cell r="P33">
            <v>27000</v>
          </cell>
          <cell r="Q33">
            <v>9000</v>
          </cell>
          <cell r="R33">
            <v>0</v>
          </cell>
          <cell r="S33">
            <v>36000</v>
          </cell>
          <cell r="T33">
            <v>6000</v>
          </cell>
          <cell r="U33">
            <v>0</v>
          </cell>
          <cell r="V33">
            <v>42000</v>
          </cell>
          <cell r="W33">
            <v>9000</v>
          </cell>
          <cell r="X33">
            <v>0</v>
          </cell>
          <cell r="Y33">
            <v>51000</v>
          </cell>
          <cell r="Z33">
            <v>9000</v>
          </cell>
          <cell r="AA33">
            <v>0</v>
          </cell>
          <cell r="AB33">
            <v>60000</v>
          </cell>
          <cell r="AC33">
            <v>0</v>
          </cell>
          <cell r="AD33">
            <v>0</v>
          </cell>
          <cell r="AE33">
            <v>60000</v>
          </cell>
          <cell r="AF33">
            <v>0</v>
          </cell>
          <cell r="AG33">
            <v>0</v>
          </cell>
          <cell r="AH33">
            <v>60000</v>
          </cell>
          <cell r="AI33">
            <v>0</v>
          </cell>
          <cell r="AJ33">
            <v>0</v>
          </cell>
          <cell r="AK33">
            <v>60000</v>
          </cell>
          <cell r="AL33">
            <v>15000</v>
          </cell>
          <cell r="AM33">
            <v>0</v>
          </cell>
          <cell r="AN33">
            <v>75000</v>
          </cell>
          <cell r="AO33">
            <v>9000</v>
          </cell>
          <cell r="AP33">
            <v>0</v>
          </cell>
          <cell r="AQ33">
            <v>84000</v>
          </cell>
          <cell r="AR33">
            <v>0</v>
          </cell>
          <cell r="AS33">
            <v>0</v>
          </cell>
          <cell r="AT33">
            <v>84000</v>
          </cell>
          <cell r="AU33">
            <v>0</v>
          </cell>
          <cell r="AV33">
            <v>84000</v>
          </cell>
          <cell r="AW33">
            <v>630000</v>
          </cell>
          <cell r="AX33"/>
          <cell r="AY33"/>
          <cell r="AZ33"/>
          <cell r="BA33"/>
          <cell r="BB33">
            <v>-546000</v>
          </cell>
          <cell r="BC33"/>
          <cell r="BD33">
            <v>-546000</v>
          </cell>
          <cell r="BE33">
            <v>0</v>
          </cell>
          <cell r="BF33">
            <v>-546000</v>
          </cell>
        </row>
        <row r="34">
          <cell r="A34" t="str">
            <v>AS201657</v>
          </cell>
          <cell r="B34" t="str">
            <v>SEUMOU POLYCARPE</v>
          </cell>
          <cell r="C34">
            <v>0</v>
          </cell>
          <cell r="D34"/>
          <cell r="E34"/>
          <cell r="F34"/>
          <cell r="G34"/>
          <cell r="H34">
            <v>9000</v>
          </cell>
          <cell r="I34">
            <v>0</v>
          </cell>
          <cell r="J34">
            <v>9000</v>
          </cell>
          <cell r="K34">
            <v>9000</v>
          </cell>
          <cell r="L34"/>
          <cell r="M34">
            <v>18000</v>
          </cell>
          <cell r="N34">
            <v>9000</v>
          </cell>
          <cell r="O34">
            <v>0</v>
          </cell>
          <cell r="P34">
            <v>27000</v>
          </cell>
          <cell r="Q34">
            <v>9000</v>
          </cell>
          <cell r="R34">
            <v>0</v>
          </cell>
          <cell r="S34">
            <v>36000</v>
          </cell>
          <cell r="T34">
            <v>9000</v>
          </cell>
          <cell r="U34">
            <v>0</v>
          </cell>
          <cell r="V34">
            <v>45000</v>
          </cell>
          <cell r="W34">
            <v>9000</v>
          </cell>
          <cell r="X34">
            <v>0</v>
          </cell>
          <cell r="Y34">
            <v>54000</v>
          </cell>
          <cell r="Z34">
            <v>9000</v>
          </cell>
          <cell r="AA34">
            <v>0</v>
          </cell>
          <cell r="AB34">
            <v>63000</v>
          </cell>
          <cell r="AC34">
            <v>9000</v>
          </cell>
          <cell r="AD34">
            <v>0</v>
          </cell>
          <cell r="AE34">
            <v>72000</v>
          </cell>
          <cell r="AF34">
            <v>186500</v>
          </cell>
          <cell r="AG34">
            <v>0</v>
          </cell>
          <cell r="AH34">
            <v>258500</v>
          </cell>
          <cell r="AI34">
            <v>9000</v>
          </cell>
          <cell r="AJ34">
            <v>0</v>
          </cell>
          <cell r="AK34">
            <v>267500</v>
          </cell>
          <cell r="AL34">
            <v>9000</v>
          </cell>
          <cell r="AM34">
            <v>0</v>
          </cell>
          <cell r="AN34">
            <v>276500</v>
          </cell>
          <cell r="AO34">
            <v>9000</v>
          </cell>
          <cell r="AP34">
            <v>0</v>
          </cell>
          <cell r="AQ34">
            <v>285500</v>
          </cell>
          <cell r="AR34">
            <v>0</v>
          </cell>
          <cell r="AS34">
            <v>0</v>
          </cell>
          <cell r="AT34">
            <v>285500</v>
          </cell>
          <cell r="AU34">
            <v>0</v>
          </cell>
          <cell r="AV34">
            <v>285500</v>
          </cell>
          <cell r="AW34">
            <v>630000</v>
          </cell>
          <cell r="AX34"/>
          <cell r="AY34"/>
          <cell r="AZ34"/>
          <cell r="BA34"/>
          <cell r="BB34">
            <v>-344500</v>
          </cell>
          <cell r="BC34"/>
          <cell r="BD34">
            <v>-344500</v>
          </cell>
          <cell r="BE34">
            <v>0</v>
          </cell>
          <cell r="BF34">
            <v>-344500</v>
          </cell>
        </row>
        <row r="35">
          <cell r="A35" t="str">
            <v>AS201656</v>
          </cell>
          <cell r="B35" t="str">
            <v>NOUBE ETIENNE</v>
          </cell>
          <cell r="C35">
            <v>0</v>
          </cell>
          <cell r="D35"/>
          <cell r="E35"/>
          <cell r="F35"/>
          <cell r="G35"/>
          <cell r="H35">
            <v>9000</v>
          </cell>
          <cell r="I35">
            <v>0</v>
          </cell>
          <cell r="J35">
            <v>9000</v>
          </cell>
          <cell r="K35">
            <v>9000</v>
          </cell>
          <cell r="L35"/>
          <cell r="M35">
            <v>18000</v>
          </cell>
          <cell r="N35">
            <v>19000</v>
          </cell>
          <cell r="O35">
            <v>0</v>
          </cell>
          <cell r="P35">
            <v>37000</v>
          </cell>
          <cell r="Q35">
            <v>19000</v>
          </cell>
          <cell r="R35">
            <v>0</v>
          </cell>
          <cell r="S35">
            <v>56000</v>
          </cell>
          <cell r="T35">
            <v>409000</v>
          </cell>
          <cell r="U35">
            <v>0</v>
          </cell>
          <cell r="V35">
            <v>465000</v>
          </cell>
          <cell r="W35">
            <v>14000</v>
          </cell>
          <cell r="X35">
            <v>0</v>
          </cell>
          <cell r="Y35">
            <v>479000</v>
          </cell>
          <cell r="Z35">
            <v>19000</v>
          </cell>
          <cell r="AA35">
            <v>0</v>
          </cell>
          <cell r="AB35">
            <v>498000</v>
          </cell>
          <cell r="AC35">
            <v>19000</v>
          </cell>
          <cell r="AD35">
            <v>0</v>
          </cell>
          <cell r="AE35">
            <v>517000</v>
          </cell>
          <cell r="AF35">
            <v>146500</v>
          </cell>
          <cell r="AG35">
            <v>0</v>
          </cell>
          <cell r="AH35">
            <v>663500</v>
          </cell>
          <cell r="AI35">
            <v>19000</v>
          </cell>
          <cell r="AJ35">
            <v>518.8169195433544</v>
          </cell>
          <cell r="AK35">
            <v>683018.81691954331</v>
          </cell>
          <cell r="AL35">
            <v>19000</v>
          </cell>
          <cell r="AM35">
            <v>0</v>
          </cell>
          <cell r="AN35">
            <v>702018.81691954331</v>
          </cell>
          <cell r="AO35">
            <v>19000</v>
          </cell>
          <cell r="AP35">
            <v>0</v>
          </cell>
          <cell r="AQ35">
            <v>721018.81691954331</v>
          </cell>
          <cell r="AR35">
            <v>0</v>
          </cell>
          <cell r="AS35">
            <v>0</v>
          </cell>
          <cell r="AT35">
            <v>720500</v>
          </cell>
          <cell r="AU35">
            <v>518.8169195433544</v>
          </cell>
          <cell r="AV35">
            <v>721018.81691954331</v>
          </cell>
          <cell r="AW35">
            <v>630000</v>
          </cell>
          <cell r="AX35"/>
          <cell r="AY35"/>
          <cell r="AZ35"/>
          <cell r="BA35"/>
          <cell r="BB35">
            <v>91018.816919543315</v>
          </cell>
          <cell r="BC35"/>
          <cell r="BD35">
            <v>91018.816919543315</v>
          </cell>
          <cell r="BE35">
            <v>0</v>
          </cell>
          <cell r="BF35">
            <v>91018.816919543315</v>
          </cell>
        </row>
        <row r="36">
          <cell r="A36" t="str">
            <v>AS201658</v>
          </cell>
          <cell r="B36" t="str">
            <v>YANTCHOU GERVAIS</v>
          </cell>
          <cell r="C36">
            <v>0</v>
          </cell>
          <cell r="D36"/>
          <cell r="E36"/>
          <cell r="F36"/>
          <cell r="G36"/>
          <cell r="H36">
            <v>9000</v>
          </cell>
          <cell r="I36">
            <v>0</v>
          </cell>
          <cell r="J36">
            <v>9000</v>
          </cell>
          <cell r="K36">
            <v>9000</v>
          </cell>
          <cell r="L36"/>
          <cell r="M36">
            <v>18000</v>
          </cell>
          <cell r="N36">
            <v>44000</v>
          </cell>
          <cell r="O36">
            <v>0</v>
          </cell>
          <cell r="P36">
            <v>62000</v>
          </cell>
          <cell r="Q36">
            <v>66000</v>
          </cell>
          <cell r="R36">
            <v>0</v>
          </cell>
          <cell r="S36">
            <v>128000</v>
          </cell>
          <cell r="T36">
            <v>69000</v>
          </cell>
          <cell r="U36">
            <v>0</v>
          </cell>
          <cell r="V36">
            <v>197000</v>
          </cell>
          <cell r="W36">
            <v>69000</v>
          </cell>
          <cell r="X36">
            <v>0</v>
          </cell>
          <cell r="Y36">
            <v>266000</v>
          </cell>
          <cell r="Z36">
            <v>69000</v>
          </cell>
          <cell r="AA36">
            <v>0</v>
          </cell>
          <cell r="AB36">
            <v>335000</v>
          </cell>
          <cell r="AC36">
            <v>69000</v>
          </cell>
          <cell r="AD36">
            <v>0</v>
          </cell>
          <cell r="AE36">
            <v>404000</v>
          </cell>
          <cell r="AF36">
            <v>9000</v>
          </cell>
          <cell r="AG36">
            <v>0</v>
          </cell>
          <cell r="AH36">
            <v>413000</v>
          </cell>
          <cell r="AI36">
            <v>276000</v>
          </cell>
          <cell r="AJ36">
            <v>523.758033062815</v>
          </cell>
          <cell r="AK36">
            <v>689523.7580330628</v>
          </cell>
          <cell r="AL36">
            <v>39000</v>
          </cell>
          <cell r="AM36">
            <v>0</v>
          </cell>
          <cell r="AN36">
            <v>728523.7580330628</v>
          </cell>
          <cell r="AO36">
            <v>9000</v>
          </cell>
          <cell r="AP36">
            <v>0</v>
          </cell>
          <cell r="AQ36">
            <v>737523.7580330628</v>
          </cell>
          <cell r="AR36">
            <v>0</v>
          </cell>
          <cell r="AS36">
            <v>0</v>
          </cell>
          <cell r="AT36">
            <v>737000</v>
          </cell>
          <cell r="AU36">
            <v>523.758033062815</v>
          </cell>
          <cell r="AV36">
            <v>737523.7580330628</v>
          </cell>
          <cell r="AW36">
            <v>630000</v>
          </cell>
          <cell r="AX36"/>
          <cell r="AY36"/>
          <cell r="AZ36"/>
          <cell r="BA36"/>
          <cell r="BB36">
            <v>107523.7580330628</v>
          </cell>
          <cell r="BC36"/>
          <cell r="BD36">
            <v>107523.7580330628</v>
          </cell>
          <cell r="BE36">
            <v>0</v>
          </cell>
          <cell r="BF36">
            <v>107523.7580330628</v>
          </cell>
        </row>
        <row r="37">
          <cell r="A37" t="str">
            <v>AS201636</v>
          </cell>
          <cell r="B37" t="str">
            <v>SIME FONGANG ERIC</v>
          </cell>
          <cell r="C37"/>
          <cell r="D37"/>
          <cell r="E37"/>
          <cell r="F37"/>
          <cell r="G37"/>
          <cell r="H37"/>
          <cell r="I37">
            <v>0</v>
          </cell>
          <cell r="J37">
            <v>0</v>
          </cell>
          <cell r="K37"/>
          <cell r="L37"/>
          <cell r="M37"/>
          <cell r="N37"/>
          <cell r="O37"/>
          <cell r="P37"/>
          <cell r="Q37"/>
          <cell r="R37"/>
          <cell r="S37"/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153468</v>
          </cell>
          <cell r="AA37">
            <v>0</v>
          </cell>
          <cell r="AB37">
            <v>153468</v>
          </cell>
          <cell r="AC37">
            <v>0</v>
          </cell>
          <cell r="AD37">
            <v>0</v>
          </cell>
          <cell r="AE37">
            <v>153468</v>
          </cell>
          <cell r="AF37">
            <v>0</v>
          </cell>
          <cell r="AG37">
            <v>0</v>
          </cell>
          <cell r="AH37">
            <v>153468</v>
          </cell>
          <cell r="AI37">
            <v>0</v>
          </cell>
          <cell r="AJ37">
            <v>0</v>
          </cell>
          <cell r="AK37">
            <v>153468</v>
          </cell>
          <cell r="AL37">
            <v>0</v>
          </cell>
          <cell r="AM37">
            <v>0</v>
          </cell>
          <cell r="AN37">
            <v>153468</v>
          </cell>
          <cell r="AO37">
            <v>0</v>
          </cell>
          <cell r="AP37">
            <v>0</v>
          </cell>
          <cell r="AQ37">
            <v>153468</v>
          </cell>
          <cell r="AR37">
            <v>0</v>
          </cell>
          <cell r="AS37">
            <v>0</v>
          </cell>
          <cell r="AT37">
            <v>153468</v>
          </cell>
          <cell r="AU37">
            <v>0</v>
          </cell>
          <cell r="AV37">
            <v>153468</v>
          </cell>
          <cell r="AW37"/>
          <cell r="AX37"/>
          <cell r="AY37"/>
          <cell r="AZ37"/>
          <cell r="BA37"/>
          <cell r="BB37">
            <v>153468</v>
          </cell>
          <cell r="BC37"/>
          <cell r="BD37">
            <v>153468</v>
          </cell>
          <cell r="BE37">
            <v>0</v>
          </cell>
          <cell r="BF37">
            <v>153468</v>
          </cell>
        </row>
        <row r="38">
          <cell r="A38"/>
          <cell r="B38"/>
          <cell r="C38"/>
          <cell r="D38"/>
          <cell r="E38"/>
          <cell r="F38"/>
          <cell r="G38"/>
          <cell r="H38"/>
          <cell r="I38">
            <v>0</v>
          </cell>
          <cell r="J38">
            <v>0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/>
          <cell r="AX38"/>
          <cell r="AY38"/>
          <cell r="AZ38"/>
          <cell r="BA38"/>
          <cell r="BB38">
            <v>0</v>
          </cell>
          <cell r="BC38"/>
          <cell r="BD38">
            <v>0</v>
          </cell>
          <cell r="BE38">
            <v>0</v>
          </cell>
          <cell r="BF38">
            <v>0</v>
          </cell>
        </row>
        <row r="39">
          <cell r="A39" t="str">
            <v>TOTAL 1</v>
          </cell>
          <cell r="B39"/>
          <cell r="C39">
            <v>15600000</v>
          </cell>
          <cell r="D39">
            <v>4361559.5618113521</v>
          </cell>
          <cell r="E39">
            <v>19961559.561811358</v>
          </cell>
          <cell r="F39">
            <v>1267999.9721653415</v>
          </cell>
          <cell r="G39">
            <v>21229559.533976696</v>
          </cell>
          <cell r="H39">
            <v>1050000</v>
          </cell>
          <cell r="I39">
            <v>0</v>
          </cell>
          <cell r="J39">
            <v>21638858.533976696</v>
          </cell>
          <cell r="K39">
            <v>328000</v>
          </cell>
          <cell r="L39">
            <v>29999.999361462018</v>
          </cell>
          <cell r="M39">
            <v>21996858.533338156</v>
          </cell>
          <cell r="N39">
            <v>345000</v>
          </cell>
          <cell r="O39">
            <v>5999.999873811852</v>
          </cell>
          <cell r="P39">
            <v>22347858.533211969</v>
          </cell>
          <cell r="Q39">
            <v>386000</v>
          </cell>
          <cell r="R39">
            <v>203999.99576361969</v>
          </cell>
          <cell r="S39">
            <v>22937858.528975591</v>
          </cell>
          <cell r="T39">
            <v>882000</v>
          </cell>
          <cell r="U39">
            <v>29999.999387507316</v>
          </cell>
          <cell r="V39">
            <v>23849858.528363094</v>
          </cell>
          <cell r="W39">
            <v>426500</v>
          </cell>
          <cell r="X39">
            <v>74199.998506150325</v>
          </cell>
          <cell r="Y39">
            <v>24350558.526869249</v>
          </cell>
          <cell r="Z39">
            <v>561768</v>
          </cell>
          <cell r="AA39">
            <v>49999.999006147213</v>
          </cell>
          <cell r="AB39">
            <v>24962326.52587539</v>
          </cell>
          <cell r="AC39">
            <v>394000</v>
          </cell>
          <cell r="AD39">
            <v>63999.998743513395</v>
          </cell>
          <cell r="AE39">
            <v>25420326.524618912</v>
          </cell>
          <cell r="AF39">
            <v>774500</v>
          </cell>
          <cell r="AG39">
            <v>0</v>
          </cell>
          <cell r="AH39">
            <v>26194826.524618916</v>
          </cell>
          <cell r="AI39">
            <v>596000</v>
          </cell>
          <cell r="AJ39">
            <v>19999.999638628928</v>
          </cell>
          <cell r="AK39">
            <v>26810826.524257537</v>
          </cell>
          <cell r="AL39">
            <v>372500</v>
          </cell>
          <cell r="AM39">
            <v>0</v>
          </cell>
          <cell r="AN39">
            <v>27183326.524257537</v>
          </cell>
          <cell r="AO39">
            <v>338000</v>
          </cell>
          <cell r="AP39">
            <v>0</v>
          </cell>
          <cell r="AQ39">
            <v>27521326.524257533</v>
          </cell>
          <cell r="AR39">
            <v>15600000</v>
          </cell>
          <cell r="AS39">
            <v>4361559.5618113521</v>
          </cell>
          <cell r="AT39">
            <v>5813567</v>
          </cell>
          <cell r="AU39">
            <v>1746199.9624461823</v>
          </cell>
          <cell r="AV39">
            <v>27521326.524257533</v>
          </cell>
          <cell r="AW39">
            <v>18900000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8621326.5242575333</v>
          </cell>
          <cell r="BC39"/>
          <cell r="BD39">
            <v>-8621326.5242575333</v>
          </cell>
          <cell r="BE39">
            <v>0</v>
          </cell>
          <cell r="BF39">
            <v>8621326.5242575351</v>
          </cell>
        </row>
        <row r="40">
          <cell r="A40">
            <v>28</v>
          </cell>
          <cell r="B40" t="str">
            <v>SIME FONGANG ERIC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/>
          <cell r="I40">
            <v>0</v>
          </cell>
          <cell r="J40">
            <v>0</v>
          </cell>
          <cell r="K40"/>
          <cell r="L40">
            <v>0</v>
          </cell>
          <cell r="M40">
            <v>0</v>
          </cell>
          <cell r="N40"/>
          <cell r="O40">
            <v>0</v>
          </cell>
          <cell r="P40">
            <v>0</v>
          </cell>
          <cell r="Q40"/>
          <cell r="R40">
            <v>0</v>
          </cell>
          <cell r="S40">
            <v>0</v>
          </cell>
          <cell r="T40"/>
          <cell r="U40">
            <v>0</v>
          </cell>
          <cell r="V40">
            <v>0</v>
          </cell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/>
          <cell r="AD40">
            <v>0</v>
          </cell>
          <cell r="AE40">
            <v>0</v>
          </cell>
          <cell r="AF40"/>
          <cell r="AG40">
            <v>0</v>
          </cell>
          <cell r="AH40">
            <v>0</v>
          </cell>
          <cell r="AI40"/>
          <cell r="AJ40">
            <v>0</v>
          </cell>
          <cell r="AK40">
            <v>0</v>
          </cell>
          <cell r="AL40"/>
          <cell r="AM40">
            <v>0</v>
          </cell>
          <cell r="AN40">
            <v>0</v>
          </cell>
          <cell r="AO40"/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/>
          <cell r="AX40"/>
          <cell r="AY40"/>
          <cell r="AZ40"/>
          <cell r="BA40">
            <v>0</v>
          </cell>
          <cell r="BB40">
            <v>0</v>
          </cell>
          <cell r="BC40"/>
          <cell r="BD40"/>
          <cell r="BE40"/>
          <cell r="BF40">
            <v>0</v>
          </cell>
        </row>
        <row r="41">
          <cell r="A41">
            <v>29</v>
          </cell>
          <cell r="B41" t="str">
            <v>TIEYAM ERNEST</v>
          </cell>
          <cell r="C41">
            <v>0</v>
          </cell>
          <cell r="D41"/>
          <cell r="E41">
            <v>0</v>
          </cell>
          <cell r="F41">
            <v>0</v>
          </cell>
          <cell r="G41">
            <v>0</v>
          </cell>
          <cell r="H41"/>
          <cell r="I41">
            <v>0</v>
          </cell>
          <cell r="J41">
            <v>0</v>
          </cell>
          <cell r="K41"/>
          <cell r="L41">
            <v>0</v>
          </cell>
          <cell r="M41">
            <v>0</v>
          </cell>
          <cell r="N41"/>
          <cell r="O41">
            <v>0</v>
          </cell>
          <cell r="P41">
            <v>0</v>
          </cell>
          <cell r="Q41"/>
          <cell r="R41">
            <v>0</v>
          </cell>
          <cell r="S41">
            <v>0</v>
          </cell>
          <cell r="T41"/>
          <cell r="U41">
            <v>0</v>
          </cell>
          <cell r="V41">
            <v>0</v>
          </cell>
          <cell r="W41"/>
          <cell r="X41">
            <v>0</v>
          </cell>
          <cell r="Y41">
            <v>0</v>
          </cell>
          <cell r="Z41"/>
          <cell r="AA41">
            <v>0</v>
          </cell>
          <cell r="AB41">
            <v>0</v>
          </cell>
          <cell r="AC41"/>
          <cell r="AD41">
            <v>0</v>
          </cell>
          <cell r="AE41">
            <v>0</v>
          </cell>
          <cell r="AF41"/>
          <cell r="AG41">
            <v>0</v>
          </cell>
          <cell r="AH41">
            <v>0</v>
          </cell>
          <cell r="AI41"/>
          <cell r="AJ41">
            <v>0</v>
          </cell>
          <cell r="AK41">
            <v>0</v>
          </cell>
          <cell r="AL41"/>
          <cell r="AM41">
            <v>0</v>
          </cell>
          <cell r="AN41">
            <v>0</v>
          </cell>
          <cell r="AO41"/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/>
          <cell r="BD41"/>
          <cell r="BE41"/>
          <cell r="BF41">
            <v>0</v>
          </cell>
        </row>
        <row r="42">
          <cell r="A42" t="str">
            <v>AS201601</v>
          </cell>
          <cell r="B42" t="str">
            <v>BAKOP ACHILLE</v>
          </cell>
          <cell r="C42">
            <v>536000</v>
          </cell>
          <cell r="D42"/>
          <cell r="E42">
            <v>536000</v>
          </cell>
          <cell r="F42">
            <v>0</v>
          </cell>
          <cell r="G42">
            <v>536000</v>
          </cell>
          <cell r="H42">
            <v>-536000</v>
          </cell>
          <cell r="I42">
            <v>0</v>
          </cell>
          <cell r="J42">
            <v>0</v>
          </cell>
          <cell r="K42"/>
          <cell r="L42"/>
          <cell r="M42">
            <v>0</v>
          </cell>
          <cell r="N42"/>
          <cell r="O42"/>
          <cell r="P42">
            <v>0</v>
          </cell>
          <cell r="Q42"/>
          <cell r="R42"/>
          <cell r="S42">
            <v>0</v>
          </cell>
          <cell r="T42"/>
          <cell r="U42"/>
          <cell r="V42">
            <v>0</v>
          </cell>
          <cell r="W42"/>
          <cell r="X42"/>
          <cell r="Y42">
            <v>0</v>
          </cell>
          <cell r="Z42"/>
          <cell r="AA42"/>
          <cell r="AB42">
            <v>0</v>
          </cell>
          <cell r="AC42"/>
          <cell r="AD42"/>
          <cell r="AE42">
            <v>0</v>
          </cell>
          <cell r="AF42"/>
          <cell r="AG42"/>
          <cell r="AH42">
            <v>0</v>
          </cell>
          <cell r="AI42"/>
          <cell r="AJ42"/>
          <cell r="AK42">
            <v>0</v>
          </cell>
          <cell r="AL42"/>
          <cell r="AM42"/>
          <cell r="AN42">
            <v>0</v>
          </cell>
          <cell r="AO42"/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/>
          <cell r="AX42"/>
          <cell r="AY42"/>
          <cell r="AZ42"/>
          <cell r="BA42"/>
          <cell r="BB42">
            <v>0</v>
          </cell>
          <cell r="BC42"/>
          <cell r="BD42">
            <v>536000</v>
          </cell>
          <cell r="BE42"/>
          <cell r="BF42">
            <v>536000</v>
          </cell>
        </row>
        <row r="43">
          <cell r="A43">
            <v>31</v>
          </cell>
          <cell r="B43" t="str">
            <v>NGONGANG JEAN THEODORE</v>
          </cell>
          <cell r="C43">
            <v>257476</v>
          </cell>
          <cell r="D43"/>
          <cell r="E43">
            <v>257476</v>
          </cell>
          <cell r="F43">
            <v>0</v>
          </cell>
          <cell r="G43">
            <v>257476</v>
          </cell>
          <cell r="H43">
            <v>-257476</v>
          </cell>
          <cell r="I43">
            <v>0</v>
          </cell>
          <cell r="J43">
            <v>0</v>
          </cell>
          <cell r="K43"/>
          <cell r="L43"/>
          <cell r="M43">
            <v>0</v>
          </cell>
          <cell r="N43"/>
          <cell r="O43"/>
          <cell r="P43">
            <v>0</v>
          </cell>
          <cell r="Q43"/>
          <cell r="R43"/>
          <cell r="S43">
            <v>0</v>
          </cell>
          <cell r="T43"/>
          <cell r="U43"/>
          <cell r="V43">
            <v>0</v>
          </cell>
          <cell r="W43"/>
          <cell r="X43"/>
          <cell r="Y43">
            <v>0</v>
          </cell>
          <cell r="Z43"/>
          <cell r="AA43"/>
          <cell r="AB43">
            <v>0</v>
          </cell>
          <cell r="AC43"/>
          <cell r="AD43"/>
          <cell r="AE43">
            <v>0</v>
          </cell>
          <cell r="AF43"/>
          <cell r="AG43"/>
          <cell r="AH43">
            <v>0</v>
          </cell>
          <cell r="AI43"/>
          <cell r="AJ43"/>
          <cell r="AK43">
            <v>0</v>
          </cell>
          <cell r="AL43"/>
          <cell r="AM43"/>
          <cell r="AN43">
            <v>0</v>
          </cell>
          <cell r="AO43"/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/>
          <cell r="BB43">
            <v>257476</v>
          </cell>
          <cell r="BC43"/>
          <cell r="BD43">
            <v>257476</v>
          </cell>
          <cell r="BE43"/>
          <cell r="BF43">
            <v>257476</v>
          </cell>
        </row>
        <row r="44">
          <cell r="A44">
            <v>32</v>
          </cell>
          <cell r="B44" t="str">
            <v>NGANHOU JEAN</v>
          </cell>
          <cell r="C44">
            <v>0</v>
          </cell>
          <cell r="D44"/>
          <cell r="E44">
            <v>0</v>
          </cell>
          <cell r="F44">
            <v>0</v>
          </cell>
          <cell r="G44">
            <v>0</v>
          </cell>
          <cell r="H44"/>
          <cell r="I44">
            <v>0</v>
          </cell>
          <cell r="J44">
            <v>0</v>
          </cell>
          <cell r="K44"/>
          <cell r="L44"/>
          <cell r="M44">
            <v>0</v>
          </cell>
          <cell r="N44"/>
          <cell r="O44"/>
          <cell r="P44">
            <v>0</v>
          </cell>
          <cell r="Q44"/>
          <cell r="R44"/>
          <cell r="S44">
            <v>0</v>
          </cell>
          <cell r="T44"/>
          <cell r="U44"/>
          <cell r="V44">
            <v>0</v>
          </cell>
          <cell r="W44"/>
          <cell r="X44"/>
          <cell r="Y44">
            <v>0</v>
          </cell>
          <cell r="Z44"/>
          <cell r="AA44"/>
          <cell r="AB44">
            <v>0</v>
          </cell>
          <cell r="AC44"/>
          <cell r="AD44"/>
          <cell r="AE44">
            <v>0</v>
          </cell>
          <cell r="AF44"/>
          <cell r="AG44"/>
          <cell r="AH44">
            <v>0</v>
          </cell>
          <cell r="AI44"/>
          <cell r="AJ44"/>
          <cell r="AK44">
            <v>0</v>
          </cell>
          <cell r="AL44"/>
          <cell r="AM44"/>
          <cell r="AN44">
            <v>0</v>
          </cell>
          <cell r="AO44"/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/>
          <cell r="AX44"/>
          <cell r="AY44"/>
          <cell r="AZ44"/>
          <cell r="BA44"/>
          <cell r="BB44">
            <v>0</v>
          </cell>
          <cell r="BC44"/>
          <cell r="BD44">
            <v>80000</v>
          </cell>
          <cell r="BE44"/>
          <cell r="BF44">
            <v>80000</v>
          </cell>
        </row>
        <row r="45">
          <cell r="A45">
            <v>33</v>
          </cell>
          <cell r="B45" t="str">
            <v>FOTSO THOMAS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/>
          <cell r="I45">
            <v>0</v>
          </cell>
          <cell r="J45">
            <v>0</v>
          </cell>
          <cell r="K45"/>
          <cell r="L45">
            <v>0</v>
          </cell>
          <cell r="M45">
            <v>0</v>
          </cell>
          <cell r="N45"/>
          <cell r="O45">
            <v>0</v>
          </cell>
          <cell r="P45">
            <v>0</v>
          </cell>
          <cell r="Q45"/>
          <cell r="R45">
            <v>0</v>
          </cell>
          <cell r="S45">
            <v>0</v>
          </cell>
          <cell r="T45"/>
          <cell r="U45">
            <v>0</v>
          </cell>
          <cell r="V45">
            <v>0</v>
          </cell>
          <cell r="W45"/>
          <cell r="X45">
            <v>0</v>
          </cell>
          <cell r="Y45">
            <v>0</v>
          </cell>
          <cell r="Z45"/>
          <cell r="AA45">
            <v>0</v>
          </cell>
          <cell r="AB45">
            <v>0</v>
          </cell>
          <cell r="AC45"/>
          <cell r="AD45">
            <v>0</v>
          </cell>
          <cell r="AE45">
            <v>0</v>
          </cell>
          <cell r="AF45"/>
          <cell r="AG45">
            <v>0</v>
          </cell>
          <cell r="AH45">
            <v>0</v>
          </cell>
          <cell r="AI45"/>
          <cell r="AJ45">
            <v>0</v>
          </cell>
          <cell r="AK45">
            <v>0</v>
          </cell>
          <cell r="AL45"/>
          <cell r="AM45">
            <v>0</v>
          </cell>
          <cell r="AN45">
            <v>0</v>
          </cell>
          <cell r="AO45"/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/>
          <cell r="BD45"/>
          <cell r="BE45"/>
          <cell r="BF45">
            <v>0</v>
          </cell>
        </row>
        <row r="46">
          <cell r="A46"/>
          <cell r="B46" t="str">
            <v>TOTAL 2</v>
          </cell>
          <cell r="C46">
            <v>793476</v>
          </cell>
          <cell r="D46">
            <v>0</v>
          </cell>
          <cell r="E46">
            <v>793476</v>
          </cell>
          <cell r="F46">
            <v>0</v>
          </cell>
          <cell r="G46">
            <v>793476</v>
          </cell>
          <cell r="H46">
            <v>-793476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257476</v>
          </cell>
          <cell r="BC46">
            <v>0</v>
          </cell>
          <cell r="BD46">
            <v>873476</v>
          </cell>
          <cell r="BE46"/>
          <cell r="BF46">
            <v>873476</v>
          </cell>
        </row>
        <row r="47">
          <cell r="A47"/>
          <cell r="B47" t="str">
            <v>TOTAL 1+2</v>
          </cell>
          <cell r="C47">
            <v>16393476</v>
          </cell>
          <cell r="D47">
            <v>4361559.5618113521</v>
          </cell>
          <cell r="E47">
            <v>20755035.561811358</v>
          </cell>
          <cell r="F47">
            <v>1267999.9721653415</v>
          </cell>
          <cell r="G47">
            <v>22023035.533976696</v>
          </cell>
          <cell r="H47">
            <v>256524</v>
          </cell>
          <cell r="I47">
            <v>0</v>
          </cell>
          <cell r="J47">
            <v>21638858.533976696</v>
          </cell>
          <cell r="K47">
            <v>328000</v>
          </cell>
          <cell r="L47">
            <v>29999.999361462018</v>
          </cell>
          <cell r="M47">
            <v>21996858.533338156</v>
          </cell>
          <cell r="N47">
            <v>345000</v>
          </cell>
          <cell r="O47">
            <v>5999.999873811852</v>
          </cell>
          <cell r="P47">
            <v>22347858.533211969</v>
          </cell>
          <cell r="Q47">
            <v>386000</v>
          </cell>
          <cell r="R47">
            <v>203999.99576361969</v>
          </cell>
          <cell r="S47">
            <v>22937858.528975591</v>
          </cell>
          <cell r="T47">
            <v>882000</v>
          </cell>
          <cell r="U47">
            <v>29999.999387507316</v>
          </cell>
          <cell r="V47">
            <v>23849858.528363094</v>
          </cell>
          <cell r="W47">
            <v>426500</v>
          </cell>
          <cell r="X47">
            <v>74199.998506150325</v>
          </cell>
          <cell r="Y47">
            <v>24350558.526869249</v>
          </cell>
          <cell r="Z47">
            <v>561768</v>
          </cell>
          <cell r="AA47">
            <v>49999.999006147213</v>
          </cell>
          <cell r="AB47">
            <v>24962326.52587539</v>
          </cell>
          <cell r="AC47">
            <v>394000</v>
          </cell>
          <cell r="AD47">
            <v>63999.998743513395</v>
          </cell>
          <cell r="AE47">
            <v>25420326.524618912</v>
          </cell>
          <cell r="AF47">
            <v>774500</v>
          </cell>
          <cell r="AG47">
            <v>0</v>
          </cell>
          <cell r="AH47">
            <v>26194826.524618916</v>
          </cell>
          <cell r="AI47">
            <v>596000</v>
          </cell>
          <cell r="AJ47">
            <v>19999.999638628928</v>
          </cell>
          <cell r="AK47">
            <v>26810826.524257537</v>
          </cell>
          <cell r="AL47">
            <v>372500</v>
          </cell>
          <cell r="AM47">
            <v>0</v>
          </cell>
          <cell r="AN47">
            <v>27183326.524257537</v>
          </cell>
          <cell r="AO47">
            <v>338000</v>
          </cell>
          <cell r="AP47">
            <v>0</v>
          </cell>
          <cell r="AQ47">
            <v>27521326.524257533</v>
          </cell>
          <cell r="AR47">
            <v>15600000</v>
          </cell>
          <cell r="AS47">
            <v>4361559.5618113521</v>
          </cell>
          <cell r="AT47">
            <v>5813567</v>
          </cell>
          <cell r="AU47">
            <v>1746199.9624461823</v>
          </cell>
          <cell r="AV47">
            <v>27521326.524257533</v>
          </cell>
          <cell r="AW47">
            <v>18900000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8878802.5242575333</v>
          </cell>
          <cell r="BC47">
            <v>0</v>
          </cell>
          <cell r="BD47">
            <v>-7747850.5242575333</v>
          </cell>
          <cell r="BE47">
            <v>0</v>
          </cell>
          <cell r="BF47">
            <v>9494802.5242575351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  <sheetName val="HISTOJANV24"/>
      <sheetName val="HISTODEC24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T7">
            <v>20000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1105000</v>
          </cell>
          <cell r="Z8">
            <v>1000000</v>
          </cell>
          <cell r="AA8" t="str">
            <v>BANQUE</v>
          </cell>
          <cell r="AQ8">
            <v>0</v>
          </cell>
          <cell r="AR8">
            <v>0</v>
          </cell>
          <cell r="AS8">
            <v>7000</v>
          </cell>
          <cell r="AT8">
            <v>20000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T9">
            <v>20000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T10">
            <v>20000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206000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8000</v>
          </cell>
          <cell r="AT11">
            <v>20000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12000</v>
          </cell>
          <cell r="AT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C13">
            <v>23000</v>
          </cell>
          <cell r="AF13" t="str">
            <v>BANQUE</v>
          </cell>
          <cell r="AQ13">
            <v>0</v>
          </cell>
          <cell r="AR13">
            <v>0</v>
          </cell>
          <cell r="AS13">
            <v>12000</v>
          </cell>
          <cell r="AT13">
            <v>20000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D15">
            <v>75000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T15">
            <v>20000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T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AQ17">
            <v>0</v>
          </cell>
          <cell r="AR17">
            <v>0</v>
          </cell>
          <cell r="AS17">
            <v>7000</v>
          </cell>
          <cell r="AT17">
            <v>20000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7000</v>
          </cell>
          <cell r="AT18">
            <v>20000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Z19">
            <v>1000000</v>
          </cell>
          <cell r="AA19" t="str">
            <v>BANQUE</v>
          </cell>
          <cell r="AQ19">
            <v>0</v>
          </cell>
          <cell r="AR19">
            <v>0</v>
          </cell>
          <cell r="AS19">
            <v>7000</v>
          </cell>
          <cell r="AT19">
            <v>20000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Z20">
            <v>1000000</v>
          </cell>
          <cell r="AA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T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Z21">
            <v>500000</v>
          </cell>
          <cell r="AA21" t="str">
            <v>BANQUE</v>
          </cell>
          <cell r="AQ21">
            <v>0</v>
          </cell>
          <cell r="AR21">
            <v>0</v>
          </cell>
          <cell r="AS21">
            <v>7000</v>
          </cell>
          <cell r="AT21">
            <v>20000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T22">
            <v>20000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Z23">
            <v>600000</v>
          </cell>
          <cell r="AA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T23">
            <v>20000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42000</v>
          </cell>
          <cell r="AT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7000</v>
          </cell>
          <cell r="AT25">
            <v>20000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F25">
            <v>120000</v>
          </cell>
          <cell r="BG25">
            <v>12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41000</v>
          </cell>
          <cell r="Q26">
            <v>38500</v>
          </cell>
          <cell r="S26">
            <v>1000000</v>
          </cell>
          <cell r="T26" t="str">
            <v>BANQUE</v>
          </cell>
          <cell r="U26">
            <v>1184500</v>
          </cell>
          <cell r="Z26">
            <v>1000000</v>
          </cell>
          <cell r="AA26" t="str">
            <v>BANQUE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T26">
            <v>20000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AQ28">
            <v>0</v>
          </cell>
          <cell r="AR28">
            <v>0</v>
          </cell>
          <cell r="AS28">
            <v>7000</v>
          </cell>
          <cell r="AT28">
            <v>20000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T29">
            <v>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-100000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C30">
            <v>23000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T30">
            <v>20000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B30">
            <v>100000</v>
          </cell>
          <cell r="BD30">
            <v>177000</v>
          </cell>
          <cell r="BF30">
            <v>0</v>
          </cell>
          <cell r="BG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20000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800000</v>
          </cell>
          <cell r="T32" t="str">
            <v>BANQUE</v>
          </cell>
          <cell r="U32">
            <v>905000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7000</v>
          </cell>
          <cell r="AT32">
            <v>20000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  <cell r="AT33">
            <v>20000</v>
          </cell>
          <cell r="AW33">
            <v>0</v>
          </cell>
          <cell r="AX33">
            <v>0</v>
          </cell>
          <cell r="AY33">
            <v>0</v>
          </cell>
          <cell r="AZ33">
            <v>970000</v>
          </cell>
          <cell r="BD33">
            <v>970000</v>
          </cell>
          <cell r="BF33">
            <v>30000</v>
          </cell>
          <cell r="BG33">
            <v>3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AQ35">
            <v>0</v>
          </cell>
          <cell r="AR35">
            <v>0</v>
          </cell>
          <cell r="AS35">
            <v>7000</v>
          </cell>
          <cell r="AT35">
            <v>20000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T36">
            <v>20000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</row>
        <row r="38">
          <cell r="B38" t="str">
            <v>TOTAUX</v>
          </cell>
          <cell r="C38">
            <v>420000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540000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17287000</v>
          </cell>
          <cell r="BA38">
            <v>0</v>
          </cell>
          <cell r="BB38">
            <v>109000</v>
          </cell>
          <cell r="BC38">
            <v>0</v>
          </cell>
          <cell r="BD38">
            <v>17249000</v>
          </cell>
          <cell r="BF38">
            <v>1268000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3"/>
      <sheetName val="ENTREE"/>
      <sheetName val="SORTIE"/>
      <sheetName val="DETAILFICHECASSATION"/>
      <sheetName val="SITUATION GUY"/>
      <sheetName val="SYNTHESECOMPTE"/>
      <sheetName val="DISPOFONDS"/>
      <sheetName val="DETAILFPNDSROULT"/>
      <sheetName val="DETAILFRAISEXCEPTIONNEL"/>
      <sheetName val="DETAILFONDSMUTUEL"/>
      <sheetName val="DETAILPENALITES"/>
      <sheetName val="DETAILCOLLATION"/>
      <sheetName val="DETAILFOYER"/>
      <sheetName val="DETAIL PRETENCIRCULATION"/>
      <sheetName val="DETAILLISTEROUGE"/>
      <sheetName val="DETAILINSCRIPTION"/>
      <sheetName val="INTERETTONT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69979.737573760693</v>
          </cell>
          <cell r="F6">
            <v>0</v>
          </cell>
          <cell r="I6">
            <v>886523.25892224163</v>
          </cell>
          <cell r="J6">
            <v>0</v>
          </cell>
          <cell r="N6">
            <v>0</v>
          </cell>
          <cell r="O6">
            <v>886523.25892224163</v>
          </cell>
          <cell r="Q6">
            <v>886523.25892224163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13482.496361002119</v>
          </cell>
          <cell r="F7">
            <v>705000</v>
          </cell>
          <cell r="I7">
            <v>718482.49636100209</v>
          </cell>
          <cell r="J7">
            <v>0</v>
          </cell>
          <cell r="K7">
            <v>40000</v>
          </cell>
          <cell r="L7">
            <v>700000</v>
          </cell>
          <cell r="N7">
            <v>740000</v>
          </cell>
          <cell r="O7">
            <v>-21517.503638997907</v>
          </cell>
          <cell r="R7">
            <v>678482.49636100209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53009.126263205231</v>
          </cell>
          <cell r="F8">
            <v>108000</v>
          </cell>
          <cell r="I8">
            <v>168033.12626320522</v>
          </cell>
          <cell r="J8">
            <v>19000</v>
          </cell>
          <cell r="K8">
            <v>40000</v>
          </cell>
          <cell r="L8">
            <v>100000</v>
          </cell>
          <cell r="N8">
            <v>159000</v>
          </cell>
          <cell r="O8">
            <v>9033.1262632052239</v>
          </cell>
          <cell r="P8">
            <v>9000</v>
          </cell>
          <cell r="Q8">
            <v>33.12626320522395</v>
          </cell>
          <cell r="R8">
            <v>700000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53547.826243040035</v>
          </cell>
          <cell r="F9">
            <v>169000</v>
          </cell>
          <cell r="I9">
            <v>227357.82624304004</v>
          </cell>
          <cell r="J9">
            <v>9000</v>
          </cell>
          <cell r="K9">
            <v>40000</v>
          </cell>
          <cell r="L9">
            <v>100000</v>
          </cell>
          <cell r="M9">
            <v>25000</v>
          </cell>
          <cell r="N9">
            <v>174000</v>
          </cell>
          <cell r="O9">
            <v>53357.826243040035</v>
          </cell>
          <cell r="Q9">
            <v>53357.826243040035</v>
          </cell>
          <cell r="R9">
            <v>700000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56584.679295905429</v>
          </cell>
          <cell r="F10">
            <v>106000</v>
          </cell>
          <cell r="I10">
            <v>211294.67929590543</v>
          </cell>
          <cell r="J10">
            <v>22000</v>
          </cell>
          <cell r="K10">
            <v>40000</v>
          </cell>
          <cell r="L10">
            <v>100000</v>
          </cell>
          <cell r="N10">
            <v>162000</v>
          </cell>
          <cell r="O10">
            <v>49294.679295905429</v>
          </cell>
          <cell r="P10">
            <v>49000</v>
          </cell>
          <cell r="Q10">
            <v>294.67929590542917</v>
          </cell>
          <cell r="R10">
            <v>700000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52946.76789740676</v>
          </cell>
          <cell r="F11">
            <v>117500</v>
          </cell>
          <cell r="I11">
            <v>175196.76789740677</v>
          </cell>
          <cell r="J11">
            <v>0</v>
          </cell>
          <cell r="K11">
            <v>40000</v>
          </cell>
          <cell r="L11">
            <v>100000</v>
          </cell>
          <cell r="N11">
            <v>140000</v>
          </cell>
          <cell r="O11">
            <v>35196.767897406768</v>
          </cell>
          <cell r="P11">
            <v>33000</v>
          </cell>
          <cell r="Q11">
            <v>2196.7678974067676</v>
          </cell>
          <cell r="R11">
            <v>700000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55194.277451620372</v>
          </cell>
          <cell r="F12">
            <v>309600</v>
          </cell>
          <cell r="I12">
            <v>375513.27745162038</v>
          </cell>
          <cell r="J12">
            <v>0</v>
          </cell>
          <cell r="K12">
            <v>40000</v>
          </cell>
          <cell r="L12">
            <v>100000</v>
          </cell>
          <cell r="M12">
            <v>20000</v>
          </cell>
          <cell r="N12">
            <v>160000</v>
          </cell>
          <cell r="O12">
            <v>215513.27745162038</v>
          </cell>
          <cell r="P12">
            <v>201000</v>
          </cell>
          <cell r="Q12">
            <v>14513.277451620379</v>
          </cell>
          <cell r="R12">
            <v>700000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52457.235805909797</v>
          </cell>
          <cell r="F13">
            <v>108000</v>
          </cell>
          <cell r="I13">
            <v>161041.23580590979</v>
          </cell>
          <cell r="J13">
            <v>0</v>
          </cell>
          <cell r="K13">
            <v>40000</v>
          </cell>
          <cell r="L13">
            <v>100000</v>
          </cell>
          <cell r="N13">
            <v>140000</v>
          </cell>
          <cell r="O13">
            <v>21041.23580590979</v>
          </cell>
          <cell r="P13">
            <v>21000</v>
          </cell>
          <cell r="Q13">
            <v>41.235805909789633</v>
          </cell>
          <cell r="R13">
            <v>700000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91688.291016573858</v>
          </cell>
          <cell r="F14">
            <v>108000</v>
          </cell>
          <cell r="I14">
            <v>658031.2910165739</v>
          </cell>
          <cell r="J14">
            <v>0</v>
          </cell>
          <cell r="K14">
            <v>40000</v>
          </cell>
          <cell r="L14">
            <v>100000</v>
          </cell>
          <cell r="N14">
            <v>140000</v>
          </cell>
          <cell r="O14">
            <v>518031.2910165739</v>
          </cell>
          <cell r="Q14">
            <v>518031.2910165739</v>
          </cell>
          <cell r="R14">
            <v>700000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56787.603500921949</v>
          </cell>
          <cell r="F15">
            <v>108000</v>
          </cell>
          <cell r="I15">
            <v>215899.60350092195</v>
          </cell>
          <cell r="J15">
            <v>18000</v>
          </cell>
          <cell r="K15">
            <v>40000</v>
          </cell>
          <cell r="L15">
            <v>100000</v>
          </cell>
          <cell r="N15">
            <v>158000</v>
          </cell>
          <cell r="O15">
            <v>57899.603500921949</v>
          </cell>
          <cell r="Q15">
            <v>57899.603500921949</v>
          </cell>
          <cell r="R15">
            <v>700000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57431.20810410157</v>
          </cell>
          <cell r="F16">
            <v>508000</v>
          </cell>
          <cell r="I16">
            <v>581661.20810410159</v>
          </cell>
          <cell r="J16">
            <v>12000</v>
          </cell>
          <cell r="K16">
            <v>40000</v>
          </cell>
          <cell r="L16">
            <v>100000</v>
          </cell>
          <cell r="N16">
            <v>152000</v>
          </cell>
          <cell r="O16">
            <v>429661.20810410159</v>
          </cell>
          <cell r="P16">
            <v>400000</v>
          </cell>
          <cell r="Q16">
            <v>29661.208104101592</v>
          </cell>
          <cell r="R16">
            <v>700000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56974.505152878948</v>
          </cell>
          <cell r="F17">
            <v>108000</v>
          </cell>
          <cell r="I17">
            <v>218267.50515287893</v>
          </cell>
          <cell r="J17">
            <v>9000</v>
          </cell>
          <cell r="K17">
            <v>40000</v>
          </cell>
          <cell r="L17">
            <v>100000</v>
          </cell>
          <cell r="N17">
            <v>149000</v>
          </cell>
          <cell r="O17">
            <v>69267.505152878934</v>
          </cell>
          <cell r="P17">
            <v>60000</v>
          </cell>
          <cell r="Q17">
            <v>9267.5051528789336</v>
          </cell>
          <cell r="R17">
            <v>700000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52969.628065245146</v>
          </cell>
          <cell r="F18">
            <v>108000</v>
          </cell>
          <cell r="I18">
            <v>167428.62806524514</v>
          </cell>
          <cell r="J18">
            <v>3000</v>
          </cell>
          <cell r="K18">
            <v>40000</v>
          </cell>
          <cell r="L18">
            <v>100000</v>
          </cell>
          <cell r="N18">
            <v>143000</v>
          </cell>
          <cell r="O18">
            <v>24428.628065245139</v>
          </cell>
          <cell r="Q18">
            <v>24428.628065245139</v>
          </cell>
          <cell r="R18">
            <v>700000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52471.13072703332</v>
          </cell>
          <cell r="F19">
            <v>108000</v>
          </cell>
          <cell r="I19">
            <v>161217.13072703331</v>
          </cell>
          <cell r="J19">
            <v>20000</v>
          </cell>
          <cell r="K19">
            <v>40000</v>
          </cell>
          <cell r="L19">
            <v>100000</v>
          </cell>
          <cell r="M19">
            <v>25000</v>
          </cell>
          <cell r="N19">
            <v>185000</v>
          </cell>
          <cell r="O19">
            <v>-23782.869272966695</v>
          </cell>
          <cell r="R19">
            <v>676217.13072703336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56463.397241182596</v>
          </cell>
          <cell r="F20">
            <v>108500</v>
          </cell>
          <cell r="I20">
            <v>212709.3972411826</v>
          </cell>
          <cell r="J20">
            <v>0</v>
          </cell>
          <cell r="K20">
            <v>40000</v>
          </cell>
          <cell r="L20">
            <v>100000</v>
          </cell>
          <cell r="N20">
            <v>140000</v>
          </cell>
          <cell r="O20">
            <v>72709.397241182596</v>
          </cell>
          <cell r="P20">
            <v>41000</v>
          </cell>
          <cell r="Q20">
            <v>31709.397241182596</v>
          </cell>
          <cell r="R20">
            <v>700000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56807.362080881765</v>
          </cell>
          <cell r="F21">
            <v>108000</v>
          </cell>
          <cell r="I21">
            <v>216150.36208088178</v>
          </cell>
          <cell r="J21">
            <v>0</v>
          </cell>
          <cell r="K21">
            <v>40000</v>
          </cell>
          <cell r="L21">
            <v>100000</v>
          </cell>
          <cell r="M21">
            <v>25000</v>
          </cell>
          <cell r="N21">
            <v>165000</v>
          </cell>
          <cell r="O21">
            <v>51150.36208088178</v>
          </cell>
          <cell r="P21">
            <v>50000</v>
          </cell>
          <cell r="Q21">
            <v>1150.3620808817795</v>
          </cell>
          <cell r="R21">
            <v>700000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64484.234390188009</v>
          </cell>
          <cell r="F22">
            <v>108000</v>
          </cell>
          <cell r="I22">
            <v>313402.23439018801</v>
          </cell>
          <cell r="J22">
            <v>20000</v>
          </cell>
          <cell r="K22">
            <v>40000</v>
          </cell>
          <cell r="L22">
            <v>100000</v>
          </cell>
          <cell r="N22">
            <v>160000</v>
          </cell>
          <cell r="O22">
            <v>153402.23439018801</v>
          </cell>
          <cell r="P22">
            <v>53000</v>
          </cell>
          <cell r="Q22">
            <v>100402.23439018801</v>
          </cell>
          <cell r="R22">
            <v>700000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77760.61781197961</v>
          </cell>
          <cell r="F23">
            <v>224000</v>
          </cell>
          <cell r="I23">
            <v>584970.61781197961</v>
          </cell>
          <cell r="J23">
            <v>0</v>
          </cell>
          <cell r="K23">
            <v>40000</v>
          </cell>
          <cell r="L23">
            <v>100000</v>
          </cell>
          <cell r="N23">
            <v>140000</v>
          </cell>
          <cell r="O23">
            <v>444970.61781197961</v>
          </cell>
          <cell r="P23">
            <v>220000</v>
          </cell>
          <cell r="Q23">
            <v>224970.61781197961</v>
          </cell>
          <cell r="R23">
            <v>700000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55845.73227114683</v>
          </cell>
          <cell r="F24">
            <v>117000</v>
          </cell>
          <cell r="I24">
            <v>212632.73227114684</v>
          </cell>
          <cell r="J24">
            <v>15000</v>
          </cell>
          <cell r="K24">
            <v>40000</v>
          </cell>
          <cell r="L24">
            <v>100000</v>
          </cell>
          <cell r="N24">
            <v>155000</v>
          </cell>
          <cell r="O24">
            <v>57632.732271146844</v>
          </cell>
          <cell r="Q24">
            <v>57632.732271146844</v>
          </cell>
          <cell r="R24">
            <v>700000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53686.784231808502</v>
          </cell>
          <cell r="F25">
            <v>408000</v>
          </cell>
          <cell r="I25">
            <v>475382.7842318085</v>
          </cell>
          <cell r="J25">
            <v>15000</v>
          </cell>
          <cell r="K25">
            <v>40000</v>
          </cell>
          <cell r="L25">
            <v>100000</v>
          </cell>
          <cell r="N25">
            <v>155000</v>
          </cell>
          <cell r="O25">
            <v>320382.7842318085</v>
          </cell>
          <cell r="P25">
            <v>300000</v>
          </cell>
          <cell r="Q25">
            <v>20382.784231808502</v>
          </cell>
          <cell r="R25">
            <v>700000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52456.484583758327</v>
          </cell>
          <cell r="F26">
            <v>106000</v>
          </cell>
          <cell r="I26">
            <v>159031.48458375834</v>
          </cell>
          <cell r="J26">
            <v>0</v>
          </cell>
          <cell r="K26">
            <v>40000</v>
          </cell>
          <cell r="L26">
            <v>100000</v>
          </cell>
          <cell r="N26">
            <v>140000</v>
          </cell>
          <cell r="O26">
            <v>19031.484583758342</v>
          </cell>
          <cell r="Q26">
            <v>19031.484583758342</v>
          </cell>
          <cell r="R26">
            <v>700000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518.81693285918482</v>
          </cell>
          <cell r="F27">
            <v>720500</v>
          </cell>
          <cell r="I27">
            <v>721018.81693285913</v>
          </cell>
          <cell r="J27">
            <v>0</v>
          </cell>
          <cell r="K27">
            <v>40000</v>
          </cell>
          <cell r="L27">
            <v>700000</v>
          </cell>
          <cell r="M27">
            <v>15000</v>
          </cell>
          <cell r="N27">
            <v>755000</v>
          </cell>
          <cell r="O27">
            <v>-33981.183067140868</v>
          </cell>
          <cell r="R27">
            <v>666018.81693285913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54245.666300758479</v>
          </cell>
          <cell r="F28">
            <v>108000</v>
          </cell>
          <cell r="I28">
            <v>183697.66630075849</v>
          </cell>
          <cell r="J28">
            <v>0</v>
          </cell>
          <cell r="K28">
            <v>40000</v>
          </cell>
          <cell r="L28">
            <v>100000</v>
          </cell>
          <cell r="N28">
            <v>140000</v>
          </cell>
          <cell r="O28">
            <v>43697.666300758487</v>
          </cell>
          <cell r="Q28">
            <v>43697.666300758487</v>
          </cell>
          <cell r="R28">
            <v>700000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285500</v>
          </cell>
          <cell r="I29">
            <v>285500</v>
          </cell>
          <cell r="J29">
            <v>0</v>
          </cell>
          <cell r="K29">
            <v>40000</v>
          </cell>
          <cell r="N29">
            <v>40000</v>
          </cell>
          <cell r="O29">
            <v>245500</v>
          </cell>
          <cell r="Q29">
            <v>245500</v>
          </cell>
          <cell r="R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69612.150550164253</v>
          </cell>
          <cell r="F30">
            <v>108000</v>
          </cell>
          <cell r="I30">
            <v>378364.15055016428</v>
          </cell>
          <cell r="J30">
            <v>34000</v>
          </cell>
          <cell r="K30">
            <v>40000</v>
          </cell>
          <cell r="L30">
            <v>100000</v>
          </cell>
          <cell r="N30">
            <v>174000</v>
          </cell>
          <cell r="O30">
            <v>204364.15055016428</v>
          </cell>
          <cell r="P30">
            <v>100000</v>
          </cell>
          <cell r="Q30">
            <v>104364.15055016428</v>
          </cell>
          <cell r="R30">
            <v>700000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63580.612182999699</v>
          </cell>
          <cell r="F31">
            <v>218500</v>
          </cell>
          <cell r="I31">
            <v>385686.61218299973</v>
          </cell>
          <cell r="J31">
            <v>0</v>
          </cell>
          <cell r="K31">
            <v>40000</v>
          </cell>
          <cell r="L31">
            <v>100000</v>
          </cell>
          <cell r="M31">
            <v>15000</v>
          </cell>
          <cell r="N31">
            <v>155000</v>
          </cell>
          <cell r="O31">
            <v>230686.61218299973</v>
          </cell>
          <cell r="P31">
            <v>230000</v>
          </cell>
          <cell r="Q31">
            <v>686.61218299972825</v>
          </cell>
          <cell r="R31">
            <v>700000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52767.8062065169</v>
          </cell>
          <cell r="F32">
            <v>108000</v>
          </cell>
          <cell r="I32">
            <v>164975.80620651689</v>
          </cell>
          <cell r="J32">
            <v>0</v>
          </cell>
          <cell r="K32">
            <v>40000</v>
          </cell>
          <cell r="L32">
            <v>100000</v>
          </cell>
          <cell r="N32">
            <v>140000</v>
          </cell>
          <cell r="O32">
            <v>24975.806206516892</v>
          </cell>
          <cell r="P32">
            <v>24000</v>
          </cell>
          <cell r="Q32">
            <v>975.80620651689242</v>
          </cell>
          <cell r="R32">
            <v>700000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103000</v>
          </cell>
          <cell r="I33">
            <v>103000</v>
          </cell>
          <cell r="J33">
            <v>0</v>
          </cell>
          <cell r="N33">
            <v>0</v>
          </cell>
          <cell r="O33">
            <v>103000</v>
          </cell>
          <cell r="Q33">
            <v>103000</v>
          </cell>
          <cell r="R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524.13813217056111</v>
          </cell>
          <cell r="F34">
            <v>737500</v>
          </cell>
          <cell r="I34">
            <v>738024.13813217054</v>
          </cell>
          <cell r="J34">
            <v>0</v>
          </cell>
          <cell r="K34">
            <v>40000</v>
          </cell>
          <cell r="L34">
            <v>700000</v>
          </cell>
          <cell r="N34">
            <v>740000</v>
          </cell>
          <cell r="O34">
            <v>-1975.8618678294588</v>
          </cell>
          <cell r="R34">
            <v>698024.13813217054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130592.84770588134</v>
          </cell>
          <cell r="F35">
            <v>98000</v>
          </cell>
          <cell r="I35">
            <v>1143326.8477058813</v>
          </cell>
          <cell r="J35">
            <v>0</v>
          </cell>
          <cell r="K35">
            <v>40000</v>
          </cell>
          <cell r="L35">
            <v>100000</v>
          </cell>
          <cell r="N35">
            <v>140000</v>
          </cell>
          <cell r="O35">
            <v>1003326.8477058813</v>
          </cell>
          <cell r="Q35">
            <v>1003326.8477058813</v>
          </cell>
          <cell r="R35">
            <v>700000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143060.96984560182</v>
          </cell>
          <cell r="F36">
            <v>108000</v>
          </cell>
          <cell r="I36">
            <v>1308834.9698456018</v>
          </cell>
          <cell r="J36">
            <v>11000</v>
          </cell>
          <cell r="K36">
            <v>40000</v>
          </cell>
          <cell r="L36">
            <v>100000</v>
          </cell>
          <cell r="N36">
            <v>151000</v>
          </cell>
          <cell r="O36">
            <v>1157834.9698456018</v>
          </cell>
          <cell r="Q36">
            <v>1157834.9698456018</v>
          </cell>
          <cell r="R36">
            <v>700000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JANV23"/>
      <sheetName val="MVTFEV23"/>
      <sheetName val="MVTMARS23"/>
      <sheetName val="MVTAVRIL23"/>
      <sheetName val="MVTMAI23"/>
      <sheetName val="MVTJUIN23"/>
      <sheetName val="MVTJUIL23"/>
      <sheetName val="MVTAOUT23"/>
      <sheetName val="MVTSEPT23"/>
      <sheetName val="MVTOCT23"/>
      <sheetName val="MVTNOV23"/>
      <sheetName val="MVTDEC23"/>
      <sheetName val="MVTRESUME23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G39">
            <v>1267999.9999999998</v>
          </cell>
        </row>
      </sheetData>
      <sheetData sheetId="5">
        <row r="40">
          <cell r="C40">
            <v>15600000</v>
          </cell>
        </row>
      </sheetData>
      <sheetData sheetId="6">
        <row r="40">
          <cell r="G40">
            <v>30000</v>
          </cell>
        </row>
      </sheetData>
      <sheetData sheetId="7">
        <row r="40">
          <cell r="G40">
            <v>6000</v>
          </cell>
        </row>
      </sheetData>
      <sheetData sheetId="8">
        <row r="40">
          <cell r="G40">
            <v>204000.00000000009</v>
          </cell>
        </row>
      </sheetData>
      <sheetData sheetId="9">
        <row r="40">
          <cell r="G40">
            <v>29999.999999999993</v>
          </cell>
        </row>
      </sheetData>
      <sheetData sheetId="10">
        <row r="40">
          <cell r="G40">
            <v>74199.999999999985</v>
          </cell>
        </row>
      </sheetData>
      <sheetData sheetId="11">
        <row r="40">
          <cell r="G40">
            <v>49999.999999999985</v>
          </cell>
        </row>
      </sheetData>
      <sheetData sheetId="12">
        <row r="40">
          <cell r="G40">
            <v>64000</v>
          </cell>
        </row>
      </sheetData>
      <sheetData sheetId="13">
        <row r="40">
          <cell r="G40">
            <v>0</v>
          </cell>
        </row>
      </sheetData>
      <sheetData sheetId="14">
        <row r="40">
          <cell r="G40">
            <v>19999.999999999993</v>
          </cell>
        </row>
      </sheetData>
      <sheetData sheetId="15">
        <row r="6">
          <cell r="F6">
            <v>886523.25892224174</v>
          </cell>
          <cell r="G6">
            <v>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">
          <cell r="B6">
            <v>763899.37129714503</v>
          </cell>
        </row>
      </sheetData>
      <sheetData sheetId="25">
        <row r="6">
          <cell r="B6">
            <v>2518500</v>
          </cell>
        </row>
      </sheetData>
      <sheetData sheetId="26" refreshError="1"/>
      <sheetData sheetId="27">
        <row r="6">
          <cell r="B6">
            <v>319855</v>
          </cell>
        </row>
      </sheetData>
      <sheetData sheetId="28">
        <row r="6">
          <cell r="B6">
            <v>996118</v>
          </cell>
        </row>
      </sheetData>
      <sheetData sheetId="29">
        <row r="6">
          <cell r="B6">
            <v>51453.696796924203</v>
          </cell>
        </row>
      </sheetData>
      <sheetData sheetId="30" refreshError="1"/>
      <sheetData sheetId="31">
        <row r="6">
          <cell r="B6">
            <v>1667000</v>
          </cell>
        </row>
      </sheetData>
      <sheetData sheetId="32">
        <row r="6">
          <cell r="B6">
            <v>1553000</v>
          </cell>
        </row>
      </sheetData>
      <sheetData sheetId="33">
        <row r="6">
          <cell r="B6">
            <v>1132500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D6">
            <v>2088500</v>
          </cell>
          <cell r="BF6">
            <v>0</v>
          </cell>
          <cell r="BG6">
            <v>12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  <cell r="BD7">
            <v>564000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D8">
            <v>485000</v>
          </cell>
          <cell r="BF8">
            <v>15000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D9">
            <v>880000</v>
          </cell>
          <cell r="BF9">
            <v>120000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929000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D11">
            <v>980000</v>
          </cell>
          <cell r="BF11">
            <v>20000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D12">
            <v>1090000</v>
          </cell>
          <cell r="BF12">
            <v>60000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  <cell r="BD13">
            <v>901000</v>
          </cell>
          <cell r="BF13">
            <v>120000</v>
          </cell>
          <cell r="BG13">
            <v>12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  <cell r="BD16">
            <v>763500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  <cell r="BD18">
            <v>950000</v>
          </cell>
          <cell r="BF18">
            <v>50000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  <cell r="BD21">
            <v>282000</v>
          </cell>
          <cell r="BF21">
            <v>18000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933000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690000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678000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1180000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D26">
            <v>970000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  <cell r="BD30">
            <v>168000</v>
          </cell>
          <cell r="BF30">
            <v>60000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  <cell r="BD31">
            <v>465000</v>
          </cell>
          <cell r="BF31">
            <v>15000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12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  <cell r="BD33">
            <v>176000</v>
          </cell>
          <cell r="BF33">
            <v>0</v>
          </cell>
          <cell r="BG33">
            <v>12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  <cell r="BD34">
            <v>616000</v>
          </cell>
          <cell r="BF34">
            <v>84000</v>
          </cell>
          <cell r="BG34">
            <v>12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  <cell r="BD35">
            <v>227500</v>
          </cell>
          <cell r="BF35">
            <v>0</v>
          </cell>
          <cell r="BG35">
            <v>12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  <sheetName val="FONDSCAISSE2020"/>
      <sheetName val="FONDSCAISSE2022"/>
    </sheetNames>
    <sheetDataSet>
      <sheetData sheetId="0">
        <row r="2">
          <cell r="A2" t="str">
            <v>AS201648</v>
          </cell>
          <cell r="B2"/>
          <cell r="C2" t="str">
            <v>ASELBY</v>
          </cell>
          <cell r="D2">
            <v>816546</v>
          </cell>
          <cell r="E2">
            <v>0</v>
          </cell>
          <cell r="F2">
            <v>0</v>
          </cell>
          <cell r="G2"/>
        </row>
        <row r="3">
          <cell r="A3" t="str">
            <v>AS201601</v>
          </cell>
          <cell r="B3">
            <v>1</v>
          </cell>
          <cell r="C3" t="str">
            <v>BAKOP ACHILLE</v>
          </cell>
          <cell r="D3">
            <v>678482.49636100209</v>
          </cell>
          <cell r="E3">
            <v>78482</v>
          </cell>
          <cell r="F3">
            <v>0</v>
          </cell>
          <cell r="G3"/>
        </row>
        <row r="4">
          <cell r="A4" t="str">
            <v>AS201602</v>
          </cell>
          <cell r="B4">
            <v>2</v>
          </cell>
          <cell r="C4" t="str">
            <v>BOUTCHOUANG WILLIAM</v>
          </cell>
          <cell r="D4">
            <v>700000</v>
          </cell>
          <cell r="E4">
            <v>100000</v>
          </cell>
          <cell r="F4">
            <v>0</v>
          </cell>
          <cell r="G4"/>
        </row>
        <row r="5">
          <cell r="A5" t="str">
            <v>AS201604</v>
          </cell>
          <cell r="B5">
            <v>3</v>
          </cell>
          <cell r="C5" t="str">
            <v xml:space="preserve">DJOMO JEAN PAUL </v>
          </cell>
          <cell r="D5">
            <v>700000</v>
          </cell>
          <cell r="E5">
            <v>100000</v>
          </cell>
          <cell r="F5">
            <v>0</v>
          </cell>
          <cell r="G5"/>
        </row>
        <row r="6">
          <cell r="A6" t="str">
            <v>AS201654</v>
          </cell>
          <cell r="B6">
            <v>4</v>
          </cell>
          <cell r="C6" t="str">
            <v>DJOMOU TCHAPDA</v>
          </cell>
          <cell r="D6">
            <v>700000</v>
          </cell>
          <cell r="E6">
            <v>100000</v>
          </cell>
          <cell r="F6">
            <v>0</v>
          </cell>
          <cell r="G6"/>
        </row>
        <row r="7">
          <cell r="A7" t="str">
            <v>AS201605</v>
          </cell>
          <cell r="B7">
            <v>5</v>
          </cell>
          <cell r="C7" t="str">
            <v>DJOUKWE NANGUEN GUY BLAISE</v>
          </cell>
          <cell r="D7">
            <v>700000</v>
          </cell>
          <cell r="E7">
            <v>100000</v>
          </cell>
          <cell r="F7">
            <v>0</v>
          </cell>
          <cell r="G7"/>
        </row>
        <row r="8">
          <cell r="A8" t="str">
            <v>AS201608</v>
          </cell>
          <cell r="B8">
            <v>6</v>
          </cell>
          <cell r="C8" t="str">
            <v>DJUOMBESSY ANTOINE</v>
          </cell>
          <cell r="D8">
            <v>700000</v>
          </cell>
          <cell r="E8">
            <v>100000</v>
          </cell>
          <cell r="F8">
            <v>0</v>
          </cell>
          <cell r="G8"/>
        </row>
        <row r="9">
          <cell r="A9" t="str">
            <v>AS201651</v>
          </cell>
          <cell r="B9">
            <v>7</v>
          </cell>
          <cell r="C9" t="str">
            <v>DOMOU FABIEN</v>
          </cell>
          <cell r="D9">
            <v>700000</v>
          </cell>
          <cell r="E9">
            <v>100000</v>
          </cell>
          <cell r="F9">
            <v>0</v>
          </cell>
          <cell r="G9"/>
        </row>
        <row r="10">
          <cell r="A10" t="str">
            <v>AS201609</v>
          </cell>
          <cell r="B10">
            <v>8</v>
          </cell>
          <cell r="C10" t="str">
            <v>DONHOU DAVID</v>
          </cell>
          <cell r="D10">
            <v>700000</v>
          </cell>
          <cell r="E10">
            <v>100000</v>
          </cell>
          <cell r="F10">
            <v>0</v>
          </cell>
          <cell r="G10"/>
        </row>
        <row r="11">
          <cell r="A11" t="str">
            <v>AS201611</v>
          </cell>
          <cell r="B11">
            <v>9</v>
          </cell>
          <cell r="C11" t="str">
            <v>HENGUE PAUL OMER</v>
          </cell>
          <cell r="D11">
            <v>700000</v>
          </cell>
          <cell r="E11">
            <v>100000</v>
          </cell>
          <cell r="F11">
            <v>0</v>
          </cell>
          <cell r="G11"/>
        </row>
        <row r="12">
          <cell r="A12" t="str">
            <v>AS201613</v>
          </cell>
          <cell r="B12">
            <v>10</v>
          </cell>
          <cell r="C12" t="str">
            <v>HOTCHO BENJAMIN</v>
          </cell>
          <cell r="D12">
            <v>700000</v>
          </cell>
          <cell r="E12">
            <v>100000</v>
          </cell>
          <cell r="F12">
            <v>0</v>
          </cell>
          <cell r="G12"/>
        </row>
        <row r="13">
          <cell r="A13" t="str">
            <v>AS201617</v>
          </cell>
          <cell r="B13">
            <v>11</v>
          </cell>
          <cell r="C13" t="str">
            <v>KOUAMOU MOISE</v>
          </cell>
          <cell r="D13">
            <v>700000</v>
          </cell>
          <cell r="E13">
            <v>100000</v>
          </cell>
          <cell r="F13">
            <v>0</v>
          </cell>
          <cell r="G13"/>
        </row>
        <row r="14">
          <cell r="A14" t="str">
            <v>AS201619</v>
          </cell>
          <cell r="B14">
            <v>12</v>
          </cell>
          <cell r="C14" t="str">
            <v>KOUATCHO MESSACK</v>
          </cell>
          <cell r="D14">
            <v>700000</v>
          </cell>
          <cell r="E14">
            <v>100000</v>
          </cell>
          <cell r="F14">
            <v>0</v>
          </cell>
          <cell r="G14"/>
        </row>
        <row r="15">
          <cell r="A15" t="str">
            <v>AS201620</v>
          </cell>
          <cell r="B15">
            <v>13</v>
          </cell>
          <cell r="C15" t="str">
            <v>LOWE JEAN</v>
          </cell>
          <cell r="D15">
            <v>676217.13072703336</v>
          </cell>
          <cell r="E15">
            <v>76217</v>
          </cell>
          <cell r="F15">
            <v>0</v>
          </cell>
          <cell r="G15"/>
        </row>
        <row r="16">
          <cell r="A16" t="str">
            <v>AS201649</v>
          </cell>
          <cell r="B16">
            <v>14</v>
          </cell>
          <cell r="C16" t="str">
            <v>MBOGNING TUGMA GUY</v>
          </cell>
          <cell r="D16">
            <v>700000</v>
          </cell>
          <cell r="E16">
            <v>100000</v>
          </cell>
          <cell r="F16">
            <v>0</v>
          </cell>
          <cell r="G16"/>
        </row>
        <row r="17">
          <cell r="A17" t="str">
            <v>AS201639</v>
          </cell>
          <cell r="B17">
            <v>15</v>
          </cell>
          <cell r="C17" t="str">
            <v>NANGUEN MARTIN</v>
          </cell>
          <cell r="D17">
            <v>700000</v>
          </cell>
          <cell r="E17">
            <v>100000</v>
          </cell>
          <cell r="F17">
            <v>0</v>
          </cell>
          <cell r="G17"/>
        </row>
        <row r="18">
          <cell r="A18" t="str">
            <v>AS201621</v>
          </cell>
          <cell r="B18">
            <v>16</v>
          </cell>
          <cell r="C18" t="str">
            <v>NANKAM APPOLINAIRE</v>
          </cell>
          <cell r="D18">
            <v>700000</v>
          </cell>
          <cell r="E18">
            <v>100000</v>
          </cell>
          <cell r="F18">
            <v>0</v>
          </cell>
          <cell r="G18"/>
        </row>
        <row r="19">
          <cell r="A19" t="str">
            <v>AS201622</v>
          </cell>
          <cell r="B19">
            <v>17</v>
          </cell>
          <cell r="C19" t="str">
            <v>NDJOMO ETIENNE</v>
          </cell>
          <cell r="D19">
            <v>700000</v>
          </cell>
          <cell r="E19">
            <v>100000</v>
          </cell>
          <cell r="F19">
            <v>0</v>
          </cell>
          <cell r="G19"/>
        </row>
        <row r="20">
          <cell r="A20" t="str">
            <v>AS201624</v>
          </cell>
          <cell r="B20">
            <v>18</v>
          </cell>
          <cell r="C20" t="str">
            <v>NGONDIEP CLAUDE</v>
          </cell>
          <cell r="D20">
            <v>700000</v>
          </cell>
          <cell r="E20">
            <v>100000</v>
          </cell>
          <cell r="F20">
            <v>0</v>
          </cell>
          <cell r="G20"/>
        </row>
        <row r="21">
          <cell r="A21" t="str">
            <v>AS201626</v>
          </cell>
          <cell r="B21">
            <v>19</v>
          </cell>
          <cell r="C21" t="str">
            <v>NGUIEMEGNI MATHIEU BLAISE</v>
          </cell>
          <cell r="D21">
            <v>700000</v>
          </cell>
          <cell r="E21">
            <v>100000</v>
          </cell>
          <cell r="F21">
            <v>0</v>
          </cell>
          <cell r="G21"/>
        </row>
        <row r="22">
          <cell r="A22" t="str">
            <v>AS201628</v>
          </cell>
          <cell r="B22">
            <v>20</v>
          </cell>
          <cell r="C22" t="str">
            <v>NKAMGANG JUSTIN DEJOLIE</v>
          </cell>
          <cell r="D22">
            <v>700000</v>
          </cell>
          <cell r="E22">
            <v>100000</v>
          </cell>
          <cell r="F22">
            <v>0</v>
          </cell>
          <cell r="G22"/>
        </row>
        <row r="23">
          <cell r="A23" t="str">
            <v>AS201656</v>
          </cell>
          <cell r="B23">
            <v>21</v>
          </cell>
          <cell r="C23" t="str">
            <v>NOUBE ETIENNE</v>
          </cell>
          <cell r="D23">
            <v>666018.81693285913</v>
          </cell>
          <cell r="E23">
            <v>700000</v>
          </cell>
          <cell r="F23">
            <v>0</v>
          </cell>
          <cell r="G23"/>
        </row>
        <row r="24">
          <cell r="A24" t="str">
            <v>AS201633</v>
          </cell>
          <cell r="B24">
            <v>22</v>
          </cell>
          <cell r="C24" t="str">
            <v>PATEGO NJOSSU GUSTAVE</v>
          </cell>
          <cell r="D24">
            <v>700000</v>
          </cell>
          <cell r="E24">
            <v>100000</v>
          </cell>
          <cell r="F24">
            <v>0</v>
          </cell>
          <cell r="G24"/>
        </row>
        <row r="25">
          <cell r="A25" t="str">
            <v>AS201657</v>
          </cell>
          <cell r="B25">
            <v>23</v>
          </cell>
          <cell r="C25" t="str">
            <v>SEUMO POLYCARPE</v>
          </cell>
          <cell r="D25">
            <v>0</v>
          </cell>
          <cell r="E25">
            <v>0</v>
          </cell>
          <cell r="F25">
            <v>0</v>
          </cell>
          <cell r="G25"/>
        </row>
        <row r="26">
          <cell r="A26" t="str">
            <v>AS201653</v>
          </cell>
          <cell r="B26">
            <v>24</v>
          </cell>
          <cell r="C26" t="str">
            <v>SIME BRICE</v>
          </cell>
          <cell r="D26">
            <v>700000</v>
          </cell>
          <cell r="E26">
            <v>100000</v>
          </cell>
          <cell r="F26">
            <v>0</v>
          </cell>
          <cell r="G26"/>
        </row>
        <row r="27">
          <cell r="A27" t="str">
            <v>AS201638</v>
          </cell>
          <cell r="B27">
            <v>25</v>
          </cell>
          <cell r="C27" t="str">
            <v>SIMO PIERRE</v>
          </cell>
          <cell r="D27">
            <v>700000</v>
          </cell>
          <cell r="E27">
            <v>100000</v>
          </cell>
          <cell r="F27">
            <v>0</v>
          </cell>
          <cell r="G27"/>
        </row>
        <row r="28">
          <cell r="A28" t="str">
            <v>AS201641</v>
          </cell>
          <cell r="B28">
            <v>26</v>
          </cell>
          <cell r="C28" t="str">
            <v>TCHOUAMOU MATHIEU</v>
          </cell>
          <cell r="D28">
            <v>700000</v>
          </cell>
          <cell r="E28">
            <v>100000</v>
          </cell>
          <cell r="F28">
            <v>0</v>
          </cell>
          <cell r="G28"/>
        </row>
        <row r="29">
          <cell r="A29" t="str">
            <v>AS201660</v>
          </cell>
          <cell r="B29">
            <v>27</v>
          </cell>
          <cell r="C29" t="str">
            <v>TCHOUATEU AUGUSTIN</v>
          </cell>
          <cell r="D29"/>
          <cell r="E29"/>
          <cell r="F29"/>
          <cell r="G29"/>
        </row>
        <row r="30">
          <cell r="A30" t="str">
            <v>AS201643</v>
          </cell>
          <cell r="B30">
            <v>28</v>
          </cell>
          <cell r="C30" t="str">
            <v>TCHOUTOU NANA CLAUDE</v>
          </cell>
          <cell r="D30">
            <v>0</v>
          </cell>
          <cell r="E30">
            <v>0</v>
          </cell>
          <cell r="F30">
            <v>0</v>
          </cell>
          <cell r="G30"/>
        </row>
        <row r="31">
          <cell r="A31" t="str">
            <v>AS201658</v>
          </cell>
          <cell r="B31">
            <v>29</v>
          </cell>
          <cell r="C31" t="str">
            <v>YANTCHOU GERVAIS</v>
          </cell>
          <cell r="D31">
            <v>698024.13813217054</v>
          </cell>
          <cell r="E31">
            <v>700000</v>
          </cell>
          <cell r="F31">
            <v>0</v>
          </cell>
          <cell r="G31"/>
        </row>
        <row r="32">
          <cell r="A32" t="str">
            <v>AS201646</v>
          </cell>
          <cell r="B32">
            <v>30</v>
          </cell>
          <cell r="C32" t="str">
            <v>YEPMOU JEAN JACQUES</v>
          </cell>
          <cell r="D32">
            <v>700000</v>
          </cell>
          <cell r="E32">
            <v>100000</v>
          </cell>
          <cell r="F32">
            <v>0</v>
          </cell>
          <cell r="G32"/>
        </row>
        <row r="33">
          <cell r="A33" t="str">
            <v>AS201647</v>
          </cell>
          <cell r="B33">
            <v>31</v>
          </cell>
          <cell r="C33" t="str">
            <v>YOUMBI EMMANUEL</v>
          </cell>
          <cell r="D33">
            <v>700000</v>
          </cell>
          <cell r="E33">
            <v>100000</v>
          </cell>
          <cell r="F33">
            <v>0</v>
          </cell>
          <cell r="G33"/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  <cell r="BQ6">
            <v>8500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  <cell r="BQ9">
            <v>18500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  <cell r="BQ18">
            <v>300000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  <cell r="BQ22">
            <v>300000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  <cell r="BQ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  <cell r="BQ25"/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  <cell r="BQ28">
            <v>200000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  <cell r="BQ6">
            <v>3000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12000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  <cell r="BQ32">
            <v>100000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  <cell r="BQ34">
            <v>200000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30000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18000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  <cell r="BQ16">
            <v>48000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  <cell r="BQ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  <cell r="BQ16">
            <v>21000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  <cell r="BQ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  <cell r="BQ28">
            <v>100000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  <cell r="BQ8">
            <v>13000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  <cell r="BQ16">
            <v>19000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  <cell r="BQ16">
            <v>12000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330500</v>
          </cell>
          <cell r="BA6">
            <v>36000</v>
          </cell>
          <cell r="BD6">
            <v>-265000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288500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-3000</v>
          </cell>
          <cell r="D7">
            <v>0</v>
          </cell>
          <cell r="E7">
            <v>50000</v>
          </cell>
          <cell r="F7">
            <v>0</v>
          </cell>
          <cell r="G7">
            <v>6000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53000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  <cell r="BQ8">
            <v>36000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  <cell r="BQ16">
            <v>42000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  <cell r="BQ25">
            <v>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  <cell r="BQ27">
            <v>238500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  <cell r="BQ28">
            <v>288500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-251600</v>
          </cell>
          <cell r="D40">
            <v>7609000</v>
          </cell>
          <cell r="E40">
            <v>150000</v>
          </cell>
          <cell r="F40">
            <v>500000</v>
          </cell>
          <cell r="G40">
            <v>12000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8510600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  <cell r="BR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  <cell r="BQ33">
            <v>0</v>
          </cell>
          <cell r="BR33">
            <v>164000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  <cell r="BR37">
            <v>820000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427500</v>
          </cell>
          <cell r="BD6">
            <v>1578500</v>
          </cell>
          <cell r="BF6">
            <v>0</v>
          </cell>
          <cell r="BG6">
            <v>2</v>
          </cell>
          <cell r="BH6">
            <v>6000</v>
          </cell>
          <cell r="BI6">
            <v>321500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REMB DETTE NGONDIEP PLAQUETTE</v>
          </cell>
          <cell r="BP26" t="str">
            <v>FRAIS EXEPTIONNEL</v>
          </cell>
          <cell r="BQ26">
            <v>321500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  <cell r="BQ28">
            <v>321500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6000</v>
          </cell>
          <cell r="BI6">
            <v>50000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  <cell r="BQ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  <cell r="BQ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  <cell r="BQ30">
            <v>100000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  <cell r="BQ34">
            <v>100000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-3000</v>
          </cell>
          <cell r="D36">
            <v>50000</v>
          </cell>
          <cell r="E36">
            <v>0</v>
          </cell>
          <cell r="F36">
            <v>0</v>
          </cell>
          <cell r="G36">
            <v>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-195500</v>
          </cell>
          <cell r="D40">
            <v>6116500</v>
          </cell>
          <cell r="E40">
            <v>669000</v>
          </cell>
          <cell r="F40">
            <v>1190000</v>
          </cell>
          <cell r="G40">
            <v>15000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8171000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  <cell r="BR6">
            <v>-175000</v>
          </cell>
          <cell r="BS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  <cell r="BR7">
            <v>0</v>
          </cell>
          <cell r="BS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A8">
            <v>440000</v>
          </cell>
          <cell r="BD8">
            <v>45000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  <cell r="BQ8">
            <v>25000</v>
          </cell>
          <cell r="BR8">
            <v>0</v>
          </cell>
          <cell r="BS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  <cell r="BR9">
            <v>0</v>
          </cell>
          <cell r="BS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  <cell r="BR10">
            <v>0</v>
          </cell>
          <cell r="BS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  <cell r="BR11">
            <v>0</v>
          </cell>
          <cell r="BS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  <cell r="BR12">
            <v>0</v>
          </cell>
          <cell r="BS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  <cell r="BQ13">
            <v>6000</v>
          </cell>
          <cell r="BR13">
            <v>1000000</v>
          </cell>
          <cell r="BS13">
            <v>1000000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  <cell r="BQ14">
            <v>4000000</v>
          </cell>
          <cell r="BR14">
            <v>0</v>
          </cell>
          <cell r="B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  <cell r="BR15">
            <v>0</v>
          </cell>
          <cell r="BS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  <cell r="BQ16">
            <v>4031000</v>
          </cell>
          <cell r="BR16">
            <v>0</v>
          </cell>
          <cell r="BS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  <cell r="BR17">
            <v>110000</v>
          </cell>
          <cell r="BS17">
            <v>110000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  <cell r="BQ18">
            <v>1026618</v>
          </cell>
          <cell r="BR18">
            <v>461000</v>
          </cell>
          <cell r="BS18">
            <v>461000</v>
          </cell>
        </row>
        <row r="19">
          <cell r="A19" t="str">
            <v>AS201661</v>
          </cell>
          <cell r="B19" t="str">
            <v>MASSEUNGOUE DAGOBERT</v>
          </cell>
          <cell r="C19">
            <v>-487500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  <cell r="BR19">
            <v>0</v>
          </cell>
          <cell r="BS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-66700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  <cell r="BR20">
            <v>0</v>
          </cell>
          <cell r="BS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  <cell r="BR21">
            <v>0</v>
          </cell>
          <cell r="BS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  <cell r="BQ22">
            <v>1026618</v>
          </cell>
          <cell r="BR22">
            <v>0</v>
          </cell>
          <cell r="BS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  <cell r="BR23">
            <v>904000</v>
          </cell>
          <cell r="BS23">
            <v>904000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  <cell r="BR24">
            <v>0</v>
          </cell>
          <cell r="BS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  <cell r="BR25">
            <v>0</v>
          </cell>
          <cell r="BS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  <cell r="BR26">
            <v>0</v>
          </cell>
          <cell r="BS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  <cell r="BR27">
            <v>0</v>
          </cell>
          <cell r="BS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  <cell r="BQ28">
            <v>0</v>
          </cell>
          <cell r="BR28">
            <v>0</v>
          </cell>
          <cell r="BS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-115000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  <cell r="BR29">
            <v>60000</v>
          </cell>
          <cell r="BS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  <cell r="BR30">
            <v>0</v>
          </cell>
          <cell r="BS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  <cell r="BR31">
            <v>1000000</v>
          </cell>
          <cell r="BS31">
            <v>1000000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  <cell r="BR32">
            <v>0</v>
          </cell>
          <cell r="BS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  <cell r="BQ33">
            <v>0</v>
          </cell>
          <cell r="BR33">
            <v>10000</v>
          </cell>
          <cell r="BS33">
            <v>10000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  <cell r="BQ34">
            <v>0</v>
          </cell>
          <cell r="BR34">
            <v>0</v>
          </cell>
          <cell r="BS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  <cell r="BR35">
            <v>290000</v>
          </cell>
          <cell r="BS35">
            <v>290000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  <cell r="BR36">
            <v>0</v>
          </cell>
          <cell r="BS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  <cell r="BR37">
            <v>0</v>
          </cell>
          <cell r="BS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  <cell r="BR38">
            <v>0</v>
          </cell>
          <cell r="BS38">
            <v>0</v>
          </cell>
        </row>
        <row r="40">
          <cell r="B40" t="str">
            <v>TOTAUX</v>
          </cell>
          <cell r="C40">
            <v>-2706700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VERSEMENT"/>
      <sheetName val="MODEPAID"/>
      <sheetName val="TONTAVRIL"/>
      <sheetName val="TONTMAI"/>
      <sheetName val="TONTJUIN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2019"/>
      <sheetName val="TONTMAI2019"/>
      <sheetName val="TONTJUIN2019"/>
      <sheetName val="TONT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M6">
            <v>336000</v>
          </cell>
        </row>
        <row r="32">
          <cell r="M32">
            <v>16000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/>
      <sheetData sheetId="1">
        <row r="59">
          <cell r="E59">
            <v>90000</v>
          </cell>
          <cell r="K59">
            <v>0</v>
          </cell>
        </row>
        <row r="60">
          <cell r="E60">
            <v>180000</v>
          </cell>
          <cell r="K60">
            <v>113500</v>
          </cell>
        </row>
      </sheetData>
      <sheetData sheetId="2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116000</v>
          </cell>
        </row>
      </sheetData>
      <sheetData sheetId="3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4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119000</v>
          </cell>
        </row>
      </sheetData>
      <sheetData sheetId="5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6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0</v>
          </cell>
        </row>
      </sheetData>
      <sheetData sheetId="7">
        <row r="59">
          <cell r="E59">
            <v>80000</v>
          </cell>
          <cell r="K59">
            <v>0</v>
          </cell>
        </row>
        <row r="60">
          <cell r="E60">
            <v>190000</v>
          </cell>
          <cell r="K60">
            <v>238000</v>
          </cell>
        </row>
      </sheetData>
      <sheetData sheetId="8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0</v>
          </cell>
        </row>
      </sheetData>
      <sheetData sheetId="9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0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1">
        <row r="59">
          <cell r="E59">
            <v>60000</v>
          </cell>
          <cell r="K59">
            <v>0</v>
          </cell>
        </row>
        <row r="60">
          <cell r="E60">
            <v>180000</v>
          </cell>
          <cell r="K60">
            <v>476000</v>
          </cell>
        </row>
      </sheetData>
      <sheetData sheetId="12">
        <row r="59">
          <cell r="E59">
            <v>60000</v>
          </cell>
          <cell r="K59">
            <v>0</v>
          </cell>
        </row>
        <row r="60">
          <cell r="E60">
            <v>160000</v>
          </cell>
          <cell r="K60">
            <v>714000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225000</v>
          </cell>
        </row>
      </sheetData>
      <sheetData sheetId="2">
        <row r="48">
          <cell r="E48">
            <v>80000</v>
          </cell>
          <cell r="K48">
            <v>0</v>
          </cell>
        </row>
        <row r="49">
          <cell r="E49">
            <v>500000</v>
          </cell>
          <cell r="K49">
            <v>476000</v>
          </cell>
        </row>
      </sheetData>
      <sheetData sheetId="3">
        <row r="48">
          <cell r="E48">
            <v>40000</v>
          </cell>
          <cell r="K48">
            <v>0</v>
          </cell>
        </row>
        <row r="49">
          <cell r="E49">
            <v>520000</v>
          </cell>
          <cell r="K49">
            <v>714000</v>
          </cell>
        </row>
      </sheetData>
      <sheetData sheetId="4">
        <row r="48">
          <cell r="E48">
            <v>80000</v>
          </cell>
          <cell r="K48">
            <v>0</v>
          </cell>
        </row>
        <row r="49">
          <cell r="E49">
            <v>460000</v>
          </cell>
          <cell r="K49">
            <v>238000</v>
          </cell>
        </row>
      </sheetData>
      <sheetData sheetId="5">
        <row r="48">
          <cell r="E48">
            <v>60000</v>
          </cell>
          <cell r="K48">
            <v>0</v>
          </cell>
        </row>
        <row r="49">
          <cell r="E49">
            <v>500000</v>
          </cell>
          <cell r="K49">
            <v>475000</v>
          </cell>
        </row>
      </sheetData>
      <sheetData sheetId="6">
        <row r="48">
          <cell r="E48">
            <v>120000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7">
        <row r="48">
          <cell r="E48">
            <v>140000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8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0</v>
          </cell>
        </row>
      </sheetData>
      <sheetData sheetId="9">
        <row r="48">
          <cell r="E48">
            <v>140000</v>
          </cell>
          <cell r="K48">
            <v>0</v>
          </cell>
        </row>
        <row r="49">
          <cell r="E49">
            <v>380000</v>
          </cell>
          <cell r="K49">
            <v>238000</v>
          </cell>
        </row>
      </sheetData>
      <sheetData sheetId="10">
        <row r="48">
          <cell r="E48">
            <v>140000</v>
          </cell>
          <cell r="K48">
            <v>0</v>
          </cell>
        </row>
        <row r="49">
          <cell r="E49">
            <v>400000</v>
          </cell>
          <cell r="K49">
            <v>1428000</v>
          </cell>
        </row>
      </sheetData>
      <sheetData sheetId="11">
        <row r="48">
          <cell r="E48">
            <v>160000</v>
          </cell>
          <cell r="K48">
            <v>0</v>
          </cell>
        </row>
        <row r="49">
          <cell r="E49">
            <v>360000</v>
          </cell>
          <cell r="K49">
            <v>237000</v>
          </cell>
        </row>
      </sheetData>
      <sheetData sheetId="12">
        <row r="48">
          <cell r="E48">
            <v>80000</v>
          </cell>
          <cell r="K48">
            <v>0</v>
          </cell>
        </row>
        <row r="49">
          <cell r="E49">
            <v>360000</v>
          </cell>
          <cell r="K49">
            <v>1426000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37">
          <cell r="E37">
            <v>120000</v>
          </cell>
          <cell r="K37">
            <v>0</v>
          </cell>
        </row>
        <row r="38">
          <cell r="E38">
            <v>360000</v>
          </cell>
          <cell r="K38">
            <v>345000</v>
          </cell>
        </row>
      </sheetData>
      <sheetData sheetId="2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3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661000</v>
          </cell>
        </row>
      </sheetData>
      <sheetData sheetId="4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342000</v>
          </cell>
        </row>
      </sheetData>
      <sheetData sheetId="5">
        <row r="37">
          <cell r="E37">
            <v>90000</v>
          </cell>
          <cell r="K37">
            <v>0</v>
          </cell>
        </row>
        <row r="38">
          <cell r="E38">
            <v>360000</v>
          </cell>
          <cell r="K38">
            <v>342000</v>
          </cell>
        </row>
      </sheetData>
      <sheetData sheetId="6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7">
        <row r="37">
          <cell r="E37">
            <v>150000</v>
          </cell>
          <cell r="K37">
            <v>0</v>
          </cell>
        </row>
        <row r="38">
          <cell r="E38">
            <v>270000</v>
          </cell>
          <cell r="K38">
            <v>0</v>
          </cell>
        </row>
      </sheetData>
      <sheetData sheetId="8">
        <row r="37">
          <cell r="E37">
            <v>180000</v>
          </cell>
          <cell r="K37">
            <v>0</v>
          </cell>
        </row>
        <row r="38">
          <cell r="E38">
            <v>270000</v>
          </cell>
          <cell r="K38">
            <v>357000</v>
          </cell>
        </row>
      </sheetData>
      <sheetData sheetId="9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0</v>
          </cell>
        </row>
      </sheetData>
      <sheetData sheetId="10">
        <row r="37">
          <cell r="E37">
            <v>120000</v>
          </cell>
          <cell r="K37">
            <v>0</v>
          </cell>
        </row>
        <row r="38">
          <cell r="E38">
            <v>300000</v>
          </cell>
          <cell r="K38">
            <v>357000</v>
          </cell>
        </row>
      </sheetData>
      <sheetData sheetId="11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714000</v>
          </cell>
        </row>
      </sheetData>
      <sheetData sheetId="12">
        <row r="37">
          <cell r="E37">
            <v>60000</v>
          </cell>
          <cell r="K37">
            <v>0</v>
          </cell>
        </row>
        <row r="38">
          <cell r="E38">
            <v>300000</v>
          </cell>
          <cell r="K38">
            <v>1071000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3">
          <cell r="E43">
            <v>300000</v>
          </cell>
          <cell r="K43">
            <v>0</v>
          </cell>
        </row>
        <row r="44">
          <cell r="E44">
            <v>950000</v>
          </cell>
          <cell r="K44">
            <v>557500</v>
          </cell>
        </row>
      </sheetData>
      <sheetData sheetId="2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3">
        <row r="43">
          <cell r="E43">
            <v>50000</v>
          </cell>
          <cell r="K43">
            <v>0</v>
          </cell>
        </row>
        <row r="44">
          <cell r="E44">
            <v>1200000</v>
          </cell>
          <cell r="K44">
            <v>1190000</v>
          </cell>
        </row>
      </sheetData>
      <sheetData sheetId="4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5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0</v>
          </cell>
        </row>
      </sheetData>
      <sheetData sheetId="6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7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1710000</v>
          </cell>
        </row>
      </sheetData>
      <sheetData sheetId="8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0</v>
          </cell>
        </row>
      </sheetData>
      <sheetData sheetId="9">
        <row r="43">
          <cell r="E43">
            <v>250000</v>
          </cell>
          <cell r="K43">
            <v>0</v>
          </cell>
        </row>
        <row r="44">
          <cell r="E44">
            <v>1000000</v>
          </cell>
          <cell r="K44">
            <v>595000</v>
          </cell>
        </row>
      </sheetData>
      <sheetData sheetId="10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2380000</v>
          </cell>
        </row>
      </sheetData>
      <sheetData sheetId="11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1780000</v>
          </cell>
        </row>
      </sheetData>
      <sheetData sheetId="12">
        <row r="43">
          <cell r="E43">
            <v>100000</v>
          </cell>
          <cell r="K43">
            <v>0</v>
          </cell>
        </row>
        <row r="44">
          <cell r="E44">
            <v>1000000</v>
          </cell>
          <cell r="K44">
            <v>2975000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  <sheetName val="TONTOCT (3)"/>
    </sheetNames>
    <sheetDataSet>
      <sheetData sheetId="0"/>
      <sheetData sheetId="1">
        <row r="31">
          <cell r="E31">
            <v>200000</v>
          </cell>
          <cell r="K31">
            <v>0</v>
          </cell>
        </row>
        <row r="32">
          <cell r="E32">
            <v>1100000</v>
          </cell>
          <cell r="K32">
            <v>1110000</v>
          </cell>
        </row>
      </sheetData>
      <sheetData sheetId="2">
        <row r="31">
          <cell r="E31">
            <v>100000</v>
          </cell>
        </row>
      </sheetData>
      <sheetData sheetId="3">
        <row r="31">
          <cell r="E31">
            <v>200000</v>
          </cell>
        </row>
      </sheetData>
      <sheetData sheetId="4">
        <row r="31">
          <cell r="E31">
            <v>200000</v>
          </cell>
        </row>
      </sheetData>
      <sheetData sheetId="5">
        <row r="31">
          <cell r="E31">
            <v>200000</v>
          </cell>
        </row>
      </sheetData>
      <sheetData sheetId="6">
        <row r="31">
          <cell r="E31">
            <v>300000</v>
          </cell>
        </row>
      </sheetData>
      <sheetData sheetId="7">
        <row r="31">
          <cell r="E31">
            <v>300000</v>
          </cell>
        </row>
      </sheetData>
      <sheetData sheetId="8">
        <row r="31">
          <cell r="E31">
            <v>200000</v>
          </cell>
        </row>
      </sheetData>
      <sheetData sheetId="9">
        <row r="31">
          <cell r="E31">
            <v>200000</v>
          </cell>
        </row>
      </sheetData>
      <sheetData sheetId="10">
        <row r="31">
          <cell r="E31">
            <v>200000</v>
          </cell>
        </row>
      </sheetData>
      <sheetData sheetId="11">
        <row r="31">
          <cell r="E31">
            <v>200000</v>
          </cell>
        </row>
      </sheetData>
      <sheetData sheetId="12">
        <row r="31">
          <cell r="E31">
            <v>400000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GESTIONINTERET"/>
    </sheetNames>
    <sheetDataSet>
      <sheetData sheetId="0">
        <row r="1">
          <cell r="A1" t="str">
            <v>BANQUE</v>
          </cell>
        </row>
      </sheetData>
      <sheetData sheetId="1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1685000</v>
          </cell>
        </row>
      </sheetData>
      <sheetData sheetId="2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1685000</v>
          </cell>
        </row>
      </sheetData>
      <sheetData sheetId="3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3565000</v>
          </cell>
        </row>
      </sheetData>
      <sheetData sheetId="4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1785000</v>
          </cell>
        </row>
      </sheetData>
      <sheetData sheetId="5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3570000</v>
          </cell>
        </row>
      </sheetData>
      <sheetData sheetId="6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0</v>
          </cell>
        </row>
      </sheetData>
      <sheetData sheetId="7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3530000</v>
          </cell>
        </row>
      </sheetData>
      <sheetData sheetId="8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1785000</v>
          </cell>
        </row>
      </sheetData>
      <sheetData sheetId="9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0</v>
          </cell>
        </row>
      </sheetData>
      <sheetData sheetId="10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3570000</v>
          </cell>
        </row>
      </sheetData>
      <sheetData sheetId="11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0</v>
          </cell>
        </row>
      </sheetData>
      <sheetData sheetId="12">
        <row r="34">
          <cell r="E34">
            <v>600000</v>
          </cell>
          <cell r="K34">
            <v>0</v>
          </cell>
        </row>
        <row r="35">
          <cell r="E35">
            <v>1650000</v>
          </cell>
          <cell r="K35">
            <v>5355000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MARS21"/>
      <sheetName val="TONTAVRIL21"/>
      <sheetName val="TONTMAI21"/>
      <sheetName val="TONTJUIN21"/>
      <sheetName val="TONTJUIL21"/>
      <sheetName val="TONTAOUT21"/>
      <sheetName val="TONTSEPT21"/>
      <sheetName val="TONTOCT21"/>
      <sheetName val="TONTNOV21"/>
      <sheetName val="TONTDEC21"/>
      <sheetName val="TONTRESUME21"/>
      <sheetName val="DEFAILLANCETONTINE"/>
    </sheetNames>
    <sheetDataSet>
      <sheetData sheetId="0"/>
      <sheetData sheetId="1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257000</v>
          </cell>
          <cell r="R7">
            <v>43000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38000</v>
          </cell>
          <cell r="F8">
            <v>3000</v>
          </cell>
          <cell r="G8" t="str">
            <v>ESPECES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48000</v>
          </cell>
          <cell r="F9">
            <v>0</v>
          </cell>
          <cell r="G9" t="str">
            <v>BANQUE</v>
          </cell>
          <cell r="H9">
            <v>30000</v>
          </cell>
          <cell r="I9">
            <v>1000</v>
          </cell>
          <cell r="J9" t="str">
            <v>BANQUE</v>
          </cell>
          <cell r="K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35000</v>
          </cell>
          <cell r="F10">
            <v>0</v>
          </cell>
          <cell r="G10" t="str">
            <v>BANQUE</v>
          </cell>
          <cell r="H10">
            <v>31000</v>
          </cell>
          <cell r="I10">
            <v>1500</v>
          </cell>
          <cell r="J10" t="str">
            <v>ESPECES</v>
          </cell>
          <cell r="K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AS201610</v>
          </cell>
          <cell r="B13">
            <v>0</v>
          </cell>
          <cell r="C13" t="str">
            <v>FOTSO THOMAS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23000</v>
          </cell>
          <cell r="E14">
            <v>30000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23000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23000</v>
          </cell>
          <cell r="E16">
            <v>38000</v>
          </cell>
          <cell r="F16">
            <v>3000</v>
          </cell>
          <cell r="G16" t="str">
            <v>ESPECES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23000</v>
          </cell>
          <cell r="E17">
            <v>38000</v>
          </cell>
          <cell r="F17">
            <v>3000</v>
          </cell>
          <cell r="G17" t="str">
            <v>ESPECES</v>
          </cell>
          <cell r="H17">
            <v>70000</v>
          </cell>
          <cell r="I17">
            <v>2000</v>
          </cell>
          <cell r="J17" t="str">
            <v>BANQUE</v>
          </cell>
          <cell r="K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23000</v>
          </cell>
          <cell r="E19">
            <v>35000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23000</v>
          </cell>
          <cell r="E21">
            <v>30000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23000</v>
          </cell>
          <cell r="E22">
            <v>37000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23000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23000</v>
          </cell>
          <cell r="E24">
            <v>38000</v>
          </cell>
          <cell r="F24">
            <v>3000</v>
          </cell>
          <cell r="G24" t="str">
            <v>ESPECES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23000</v>
          </cell>
          <cell r="E25">
            <v>38000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256000</v>
          </cell>
          <cell r="R25">
            <v>44000</v>
          </cell>
        </row>
        <row r="26">
          <cell r="A26" t="str">
            <v>AS201629</v>
          </cell>
          <cell r="B26">
            <v>1</v>
          </cell>
          <cell r="C26" t="str">
            <v>NKEPSEU DIEUDONNE</v>
          </cell>
          <cell r="D26">
            <v>23000</v>
          </cell>
          <cell r="E26">
            <v>35000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AS201653</v>
          </cell>
          <cell r="B28">
            <v>1</v>
          </cell>
          <cell r="C28" t="str">
            <v>SIME BRICE</v>
          </cell>
          <cell r="D28">
            <v>23000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AS201637</v>
          </cell>
          <cell r="B29">
            <v>1</v>
          </cell>
          <cell r="C29" t="str">
            <v>SIME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AS201636</v>
          </cell>
          <cell r="B30">
            <v>1</v>
          </cell>
          <cell r="C30" t="str">
            <v>SIMO FONGANG ERIC</v>
          </cell>
          <cell r="D30">
            <v>23000</v>
          </cell>
          <cell r="E30">
            <v>30000</v>
          </cell>
          <cell r="F30">
            <v>3000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AS201638</v>
          </cell>
          <cell r="B31">
            <v>1</v>
          </cell>
          <cell r="C31" t="str">
            <v>SIMO PIERRE</v>
          </cell>
          <cell r="D31">
            <v>23000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AS201641</v>
          </cell>
          <cell r="B32">
            <v>1</v>
          </cell>
          <cell r="C32" t="str">
            <v>TCHOUAMOU MATHIEU</v>
          </cell>
          <cell r="D32">
            <v>23000</v>
          </cell>
          <cell r="E32">
            <v>35000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AS201646</v>
          </cell>
          <cell r="B33">
            <v>1</v>
          </cell>
          <cell r="C33" t="str">
            <v>YEPMOU JEAN JACQUES</v>
          </cell>
          <cell r="D33">
            <v>23000</v>
          </cell>
          <cell r="E33">
            <v>35000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AS201647</v>
          </cell>
          <cell r="B34">
            <v>1</v>
          </cell>
          <cell r="C34" t="str">
            <v>YOUMBI EMMANUEL</v>
          </cell>
          <cell r="D34">
            <v>23000</v>
          </cell>
          <cell r="E34">
            <v>30000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7">
          <cell r="B37">
            <v>27</v>
          </cell>
          <cell r="C37">
            <v>0</v>
          </cell>
          <cell r="D37">
            <v>644000</v>
          </cell>
          <cell r="E37">
            <v>1005000</v>
          </cell>
          <cell r="F37">
            <v>18000</v>
          </cell>
          <cell r="H37">
            <v>131000</v>
          </cell>
          <cell r="I37">
            <v>4500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513000</v>
          </cell>
          <cell r="R37">
            <v>87000</v>
          </cell>
        </row>
        <row r="39">
          <cell r="D39" t="str">
            <v>MONTANT TONTINE</v>
          </cell>
          <cell r="E39" t="str">
            <v>MONTANT VERSE</v>
          </cell>
          <cell r="G39" t="str">
            <v>REMBOURSEMENT PETIT LOT</v>
          </cell>
          <cell r="H39" t="str">
            <v>VENTE PETIT LOT</v>
          </cell>
          <cell r="I39" t="str">
            <v>VENTE LOT PRINCIPAL</v>
          </cell>
          <cell r="J39" t="str">
            <v>SOLDE EN CAISSE</v>
          </cell>
          <cell r="L39" t="str">
            <v>TONTINE + REMB + INTERET VENTE</v>
          </cell>
          <cell r="M39">
            <v>731000</v>
          </cell>
          <cell r="N39" t="str">
            <v>NBRE PART</v>
          </cell>
        </row>
        <row r="40">
          <cell r="D40">
            <v>138000</v>
          </cell>
          <cell r="E40">
            <v>220000</v>
          </cell>
          <cell r="F40" t="str">
            <v>ESPECES</v>
          </cell>
          <cell r="G40">
            <v>0</v>
          </cell>
          <cell r="H40">
            <v>31000</v>
          </cell>
          <cell r="I40">
            <v>0</v>
          </cell>
          <cell r="J40">
            <v>107000</v>
          </cell>
          <cell r="L40" t="str">
            <v>LOT PRINCIPAL</v>
          </cell>
          <cell r="M40">
            <v>600000</v>
          </cell>
          <cell r="N40">
            <v>2</v>
          </cell>
        </row>
        <row r="41">
          <cell r="D41">
            <v>506000</v>
          </cell>
          <cell r="E41">
            <v>785000</v>
          </cell>
          <cell r="F41" t="str">
            <v>BANQUE</v>
          </cell>
          <cell r="G41">
            <v>0</v>
          </cell>
          <cell r="H41">
            <v>100000</v>
          </cell>
          <cell r="I41">
            <v>513000</v>
          </cell>
          <cell r="J41">
            <v>-107000</v>
          </cell>
        </row>
      </sheetData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/>
      <sheetData sheetId="6"/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8" sqref="A8"/>
    </sheetView>
  </sheetViews>
  <sheetFormatPr baseColWidth="10" defaultRowHeight="14.5" x14ac:dyDescent="0.35"/>
  <sheetData>
    <row r="1" spans="1:1" x14ac:dyDescent="0.35">
      <c r="A1" t="s">
        <v>270</v>
      </c>
    </row>
    <row r="2" spans="1:1" x14ac:dyDescent="0.35">
      <c r="A2" t="s">
        <v>222</v>
      </c>
    </row>
    <row r="3" spans="1:1" x14ac:dyDescent="0.35">
      <c r="A3" t="s">
        <v>160</v>
      </c>
    </row>
    <row r="4" spans="1:1" x14ac:dyDescent="0.35">
      <c r="A4" t="s">
        <v>271</v>
      </c>
    </row>
    <row r="5" spans="1:1" x14ac:dyDescent="0.35">
      <c r="A5" t="s">
        <v>272</v>
      </c>
    </row>
    <row r="6" spans="1:1" x14ac:dyDescent="0.3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sqref="A1:A4"/>
    </sheetView>
  </sheetViews>
  <sheetFormatPr baseColWidth="10" defaultColWidth="11" defaultRowHeight="14.5" x14ac:dyDescent="0.35"/>
  <sheetData>
    <row r="1" spans="1:1" x14ac:dyDescent="0.35">
      <c r="A1" t="s">
        <v>22</v>
      </c>
    </row>
    <row r="2" spans="1:1" x14ac:dyDescent="0.35">
      <c r="A2" t="s">
        <v>20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D29" sqref="D29"/>
    </sheetView>
  </sheetViews>
  <sheetFormatPr baseColWidth="10" defaultColWidth="11" defaultRowHeight="14.5" x14ac:dyDescent="0.35"/>
  <sheetData>
    <row r="1" spans="1:1" x14ac:dyDescent="0.35">
      <c r="A1" t="s">
        <v>22</v>
      </c>
    </row>
    <row r="2" spans="1:1" x14ac:dyDescent="0.35">
      <c r="A2" t="s">
        <v>20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6" width="18.26953125" customWidth="1"/>
    <col min="7" max="7" width="18.453125" customWidth="1"/>
    <col min="8" max="8" width="16.81640625" bestFit="1" customWidth="1"/>
    <col min="9" max="9" width="15" bestFit="1" customWidth="1"/>
    <col min="10" max="10" width="17.54296875" style="3" bestFit="1" customWidth="1"/>
    <col min="11" max="11" width="17.54296875" style="3" customWidth="1"/>
    <col min="12" max="12" width="15.7265625" style="2" customWidth="1"/>
    <col min="13" max="15" width="12.453125" style="2" customWidth="1"/>
    <col min="16" max="16" width="16.81640625" style="2" bestFit="1" customWidth="1"/>
    <col min="17" max="17" width="16.81640625" style="2" customWidth="1"/>
    <col min="18" max="18" width="17" customWidth="1"/>
    <col min="19" max="19" width="15" customWidth="1"/>
    <col min="20" max="21" width="18.1796875" customWidth="1"/>
    <col min="30" max="30" width="12.453125" bestFit="1" customWidth="1"/>
  </cols>
  <sheetData>
    <row r="1" spans="1:32" x14ac:dyDescent="0.3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35">
      <c r="A3" s="1" t="s">
        <v>3</v>
      </c>
      <c r="B3" s="5"/>
      <c r="C3" s="5"/>
      <c r="D3" s="5"/>
      <c r="E3" s="5"/>
      <c r="F3" s="5"/>
      <c r="G3" s="5"/>
      <c r="H3" s="5"/>
    </row>
    <row r="4" spans="1:32" ht="26" x14ac:dyDescent="0.6">
      <c r="B4" s="16"/>
      <c r="C4" s="16"/>
      <c r="D4" s="16"/>
      <c r="E4" s="16"/>
      <c r="F4" s="16"/>
      <c r="G4" s="16"/>
      <c r="H4" s="16"/>
      <c r="I4" s="102"/>
      <c r="J4" s="174">
        <v>44578</v>
      </c>
      <c r="K4" s="174"/>
      <c r="L4" s="174"/>
      <c r="M4" s="174"/>
      <c r="N4" s="174"/>
      <c r="O4" s="174"/>
      <c r="P4"/>
      <c r="Q4"/>
    </row>
    <row r="5" spans="1:32" ht="70.5" x14ac:dyDescent="0.3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35">
      <c r="A6" s="1" t="s">
        <v>16</v>
      </c>
      <c r="B6" s="1" t="str">
        <f>VLOOKUP(A6,[15]LISTADHERENT!$A$5:$J$50,3,0)</f>
        <v>ASELBY</v>
      </c>
      <c r="C6" s="5" t="e">
        <f>#REF!</f>
        <v>#REF!</v>
      </c>
      <c r="D6" s="5" t="e">
        <f>#REF!</f>
        <v>#REF!</v>
      </c>
      <c r="E6" s="36"/>
      <c r="F6" s="5" t="e">
        <f>C6+D6-E6+K6</f>
        <v>#REF!</v>
      </c>
      <c r="G6" s="6" t="e">
        <f t="shared" ref="G6:G36" si="0">$S$40/$H$40*H6</f>
        <v>#REF!</v>
      </c>
      <c r="H6" s="6" t="e">
        <f>F6+D6+K6</f>
        <v>#REF!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35">
      <c r="A7" s="1" t="s">
        <v>17</v>
      </c>
      <c r="B7" s="1" t="str">
        <f>VLOOKUP(A7,[15]LISTADHERENT!$A$5:$J$50,3,0)</f>
        <v>BAKOP ACHILLE</v>
      </c>
      <c r="C7" s="5" t="e">
        <f>#REF!</f>
        <v>#REF!</v>
      </c>
      <c r="D7" s="5" t="e">
        <f>#REF!</f>
        <v>#REF!</v>
      </c>
      <c r="E7" s="36"/>
      <c r="F7" s="5" t="e">
        <f t="shared" ref="F7:F36" si="1">C7+D7-E7+K7</f>
        <v>#REF!</v>
      </c>
      <c r="G7" s="6" t="e">
        <f t="shared" si="0"/>
        <v>#REF!</v>
      </c>
      <c r="H7" s="6" t="e">
        <f t="shared" ref="H7:H36" si="2">F7+D7+K7</f>
        <v>#REF!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35">
      <c r="A8" s="1" t="s">
        <v>19</v>
      </c>
      <c r="B8" s="1" t="str">
        <f>VLOOKUP(A8,[15]LISTADHERENT!$A$5:$J$50,3,0)</f>
        <v>BOUTCHOUANG WILLIAM</v>
      </c>
      <c r="C8" s="5" t="e">
        <f>#REF!</f>
        <v>#REF!</v>
      </c>
      <c r="D8" s="5" t="e">
        <f>#REF!</f>
        <v>#REF!</v>
      </c>
      <c r="E8" s="36"/>
      <c r="F8" s="5" t="e">
        <f t="shared" si="1"/>
        <v>#REF!</v>
      </c>
      <c r="G8" s="6" t="e">
        <f t="shared" si="0"/>
        <v>#REF!</v>
      </c>
      <c r="H8" s="6" t="e">
        <f t="shared" si="2"/>
        <v>#REF!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35">
      <c r="A9" s="1" t="s">
        <v>23</v>
      </c>
      <c r="B9" s="1" t="str">
        <f>VLOOKUP(A9,[15]LISTADHERENT!$A$5:$J$50,3,0)</f>
        <v xml:space="preserve">DJOMO JEAN PAUL </v>
      </c>
      <c r="C9" s="5" t="e">
        <f>#REF!</f>
        <v>#REF!</v>
      </c>
      <c r="D9" s="5" t="e">
        <f>#REF!</f>
        <v>#REF!</v>
      </c>
      <c r="E9" s="36"/>
      <c r="F9" s="5" t="e">
        <f t="shared" si="1"/>
        <v>#REF!</v>
      </c>
      <c r="G9" s="6" t="e">
        <f t="shared" si="0"/>
        <v>#REF!</v>
      </c>
      <c r="H9" s="6" t="e">
        <f t="shared" si="2"/>
        <v>#REF!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35">
      <c r="A10" s="1" t="s">
        <v>154</v>
      </c>
      <c r="B10" s="1" t="str">
        <f>VLOOKUP(A10,[15]LISTADHERENT!$A$5:$J$50,3,0)</f>
        <v>DJOMOU TCHAPDA</v>
      </c>
      <c r="C10" s="5" t="e">
        <f>#REF!</f>
        <v>#REF!</v>
      </c>
      <c r="D10" s="5" t="e">
        <f>#REF!</f>
        <v>#REF!</v>
      </c>
      <c r="E10" s="36"/>
      <c r="F10" s="5" t="e">
        <f t="shared" si="1"/>
        <v>#REF!</v>
      </c>
      <c r="G10" s="6" t="e">
        <f t="shared" si="0"/>
        <v>#REF!</v>
      </c>
      <c r="H10" s="6" t="e">
        <f t="shared" si="2"/>
        <v>#REF!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35">
      <c r="A11" s="1" t="s">
        <v>24</v>
      </c>
      <c r="B11" s="1" t="str">
        <f>VLOOKUP(A11,[15]LISTADHERENT!$A$5:$J$50,3,0)</f>
        <v>DJOUKWE NANGUEN GUY BLAISE</v>
      </c>
      <c r="C11" s="5" t="e">
        <f>#REF!</f>
        <v>#REF!</v>
      </c>
      <c r="D11" s="5" t="e">
        <f>#REF!</f>
        <v>#REF!</v>
      </c>
      <c r="E11" s="36"/>
      <c r="F11" s="5" t="e">
        <f t="shared" si="1"/>
        <v>#REF!</v>
      </c>
      <c r="G11" s="6" t="e">
        <f t="shared" si="0"/>
        <v>#REF!</v>
      </c>
      <c r="H11" s="6" t="e">
        <f t="shared" si="2"/>
        <v>#REF!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35">
      <c r="A12" s="1" t="s">
        <v>25</v>
      </c>
      <c r="B12" s="1" t="str">
        <f>VLOOKUP(A12,[15]LISTADHERENT!$A$5:$J$50,3,0)</f>
        <v>DJUOMBESSY ANTOINE</v>
      </c>
      <c r="C12" s="5" t="e">
        <f>#REF!</f>
        <v>#REF!</v>
      </c>
      <c r="D12" s="5" t="e">
        <f>#REF!</f>
        <v>#REF!</v>
      </c>
      <c r="E12" s="36"/>
      <c r="F12" s="5" t="e">
        <f t="shared" si="1"/>
        <v>#REF!</v>
      </c>
      <c r="G12" s="6" t="e">
        <f t="shared" si="0"/>
        <v>#REF!</v>
      </c>
      <c r="H12" s="6" t="e">
        <f t="shared" si="2"/>
        <v>#REF!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35">
      <c r="A13" s="1" t="s">
        <v>79</v>
      </c>
      <c r="B13" s="1" t="str">
        <f>VLOOKUP(A13,[15]LISTADHERENT!$A$5:$J$50,3,0)</f>
        <v>DOMOU FABIEN</v>
      </c>
      <c r="C13" s="5" t="e">
        <f>#REF!</f>
        <v>#REF!</v>
      </c>
      <c r="D13" s="5" t="e">
        <f>#REF!</f>
        <v>#REF!</v>
      </c>
      <c r="E13" s="36"/>
      <c r="F13" s="5" t="e">
        <f t="shared" si="1"/>
        <v>#REF!</v>
      </c>
      <c r="G13" s="6" t="e">
        <f t="shared" si="0"/>
        <v>#REF!</v>
      </c>
      <c r="H13" s="6" t="e">
        <f t="shared" si="2"/>
        <v>#REF!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35">
      <c r="A14" s="1" t="s">
        <v>26</v>
      </c>
      <c r="B14" s="1" t="str">
        <f>VLOOKUP(A14,[15]LISTADHERENT!$A$5:$J$50,3,0)</f>
        <v>DONHOU DAVID</v>
      </c>
      <c r="C14" s="5" t="e">
        <f>#REF!</f>
        <v>#REF!</v>
      </c>
      <c r="D14" s="5" t="e">
        <f>#REF!</f>
        <v>#REF!</v>
      </c>
      <c r="E14" s="36"/>
      <c r="F14" s="5" t="e">
        <f t="shared" si="1"/>
        <v>#REF!</v>
      </c>
      <c r="G14" s="6" t="e">
        <f t="shared" si="0"/>
        <v>#REF!</v>
      </c>
      <c r="H14" s="6" t="e">
        <f t="shared" si="2"/>
        <v>#REF!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35">
      <c r="A15" s="1" t="s">
        <v>28</v>
      </c>
      <c r="B15" s="1" t="str">
        <f>VLOOKUP(A15,[15]LISTADHERENT!$A$5:$J$50,3,0)</f>
        <v>HENGUE PAUL OMER</v>
      </c>
      <c r="C15" s="5" t="e">
        <f>#REF!</f>
        <v>#REF!</v>
      </c>
      <c r="D15" s="5" t="e">
        <f>#REF!</f>
        <v>#REF!</v>
      </c>
      <c r="E15" s="36"/>
      <c r="F15" s="5" t="e">
        <f t="shared" si="1"/>
        <v>#REF!</v>
      </c>
      <c r="G15" s="6" t="e">
        <f t="shared" si="0"/>
        <v>#REF!</v>
      </c>
      <c r="H15" s="6" t="e">
        <f t="shared" si="2"/>
        <v>#REF!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35">
      <c r="A16" s="1" t="s">
        <v>29</v>
      </c>
      <c r="B16" s="1" t="str">
        <f>VLOOKUP(A16,[15]LISTADHERENT!$A$5:$J$50,3,0)</f>
        <v>HOTCHO BENJAMIN</v>
      </c>
      <c r="C16" s="5" t="e">
        <f>#REF!</f>
        <v>#REF!</v>
      </c>
      <c r="D16" s="5" t="e">
        <f>#REF!</f>
        <v>#REF!</v>
      </c>
      <c r="E16" s="36"/>
      <c r="F16" s="5" t="e">
        <f t="shared" si="1"/>
        <v>#REF!</v>
      </c>
      <c r="G16" s="6" t="e">
        <f t="shared" si="0"/>
        <v>#REF!</v>
      </c>
      <c r="H16" s="6" t="e">
        <f t="shared" si="2"/>
        <v>#REF!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35">
      <c r="A17" s="1" t="s">
        <v>33</v>
      </c>
      <c r="B17" s="1" t="str">
        <f>VLOOKUP(A17,[15]LISTADHERENT!$A$5:$J$50,3,0)</f>
        <v>KOUAMOU MOISE</v>
      </c>
      <c r="C17" s="5" t="e">
        <f>#REF!</f>
        <v>#REF!</v>
      </c>
      <c r="D17" s="5" t="e">
        <f>#REF!</f>
        <v>#REF!</v>
      </c>
      <c r="E17" s="36"/>
      <c r="F17" s="5" t="e">
        <f t="shared" si="1"/>
        <v>#REF!</v>
      </c>
      <c r="G17" s="6" t="e">
        <f t="shared" si="0"/>
        <v>#REF!</v>
      </c>
      <c r="H17" s="6" t="e">
        <f t="shared" si="2"/>
        <v>#REF!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35">
      <c r="A18" s="1" t="s">
        <v>35</v>
      </c>
      <c r="B18" s="1" t="str">
        <f>VLOOKUP(A18,[15]LISTADHERENT!$A$5:$J$50,3,0)</f>
        <v>KOUATCHO MESSACK</v>
      </c>
      <c r="C18" s="5" t="e">
        <f>#REF!</f>
        <v>#REF!</v>
      </c>
      <c r="D18" s="5" t="e">
        <f>#REF!</f>
        <v>#REF!</v>
      </c>
      <c r="E18" s="36"/>
      <c r="F18" s="5" t="e">
        <f t="shared" si="1"/>
        <v>#REF!</v>
      </c>
      <c r="G18" s="6" t="e">
        <f t="shared" si="0"/>
        <v>#REF!</v>
      </c>
      <c r="H18" s="6" t="e">
        <f t="shared" si="2"/>
        <v>#REF!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35">
      <c r="A19" s="1" t="s">
        <v>36</v>
      </c>
      <c r="B19" s="1" t="str">
        <f>VLOOKUP(A19,[15]LISTADHERENT!$A$5:$J$50,3,0)</f>
        <v>LOWE JEAN</v>
      </c>
      <c r="C19" s="5" t="e">
        <f>#REF!</f>
        <v>#REF!</v>
      </c>
      <c r="D19" s="5" t="e">
        <f>#REF!</f>
        <v>#REF!</v>
      </c>
      <c r="E19" s="36"/>
      <c r="F19" s="5" t="e">
        <f t="shared" si="1"/>
        <v>#REF!</v>
      </c>
      <c r="G19" s="6" t="e">
        <f t="shared" si="0"/>
        <v>#REF!</v>
      </c>
      <c r="H19" s="6" t="e">
        <f t="shared" si="2"/>
        <v>#REF!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35">
      <c r="A20" s="1" t="s">
        <v>75</v>
      </c>
      <c r="B20" s="1" t="str">
        <f>VLOOKUP(A20,[15]LISTADHERENT!$A$5:$J$50,3,0)</f>
        <v>MBOGNING TUGMA GUY</v>
      </c>
      <c r="C20" s="5" t="e">
        <f>#REF!</f>
        <v>#REF!</v>
      </c>
      <c r="D20" s="5" t="e">
        <f>#REF!</f>
        <v>#REF!</v>
      </c>
      <c r="E20" s="36"/>
      <c r="F20" s="5" t="e">
        <f t="shared" si="1"/>
        <v>#REF!</v>
      </c>
      <c r="G20" s="6" t="e">
        <f t="shared" si="0"/>
        <v>#REF!</v>
      </c>
      <c r="H20" s="6" t="e">
        <f t="shared" si="2"/>
        <v>#REF!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35">
      <c r="A21" s="1" t="s">
        <v>50</v>
      </c>
      <c r="B21" s="1" t="str">
        <f>VLOOKUP(A21,[15]LISTADHERENT!$A$5:$J$50,3,0)</f>
        <v>NANGUEN MARTIN</v>
      </c>
      <c r="C21" s="5" t="e">
        <f>#REF!</f>
        <v>#REF!</v>
      </c>
      <c r="D21" s="5" t="e">
        <f>#REF!</f>
        <v>#REF!</v>
      </c>
      <c r="E21" s="36"/>
      <c r="F21" s="5" t="e">
        <f t="shared" si="1"/>
        <v>#REF!</v>
      </c>
      <c r="G21" s="6" t="e">
        <f t="shared" si="0"/>
        <v>#REF!</v>
      </c>
      <c r="H21" s="6" t="e">
        <f t="shared" si="2"/>
        <v>#REF!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35">
      <c r="A22" s="1" t="s">
        <v>37</v>
      </c>
      <c r="B22" s="1" t="str">
        <f>VLOOKUP(A22,[15]LISTADHERENT!$A$5:$J$50,3,0)</f>
        <v>NANKAM APPOLINAIRE</v>
      </c>
      <c r="C22" s="5" t="e">
        <f>#REF!</f>
        <v>#REF!</v>
      </c>
      <c r="D22" s="5" t="e">
        <f>#REF!</f>
        <v>#REF!</v>
      </c>
      <c r="E22" s="36"/>
      <c r="F22" s="5" t="e">
        <f t="shared" si="1"/>
        <v>#REF!</v>
      </c>
      <c r="G22" s="6" t="e">
        <f t="shared" si="0"/>
        <v>#REF!</v>
      </c>
      <c r="H22" s="6" t="e">
        <f t="shared" si="2"/>
        <v>#REF!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35">
      <c r="A23" s="1" t="s">
        <v>38</v>
      </c>
      <c r="B23" s="1" t="str">
        <f>VLOOKUP(A23,[15]LISTADHERENT!$A$5:$J$50,3,0)</f>
        <v>NDJOMO ETIENNE</v>
      </c>
      <c r="C23" s="5" t="e">
        <f>#REF!</f>
        <v>#REF!</v>
      </c>
      <c r="D23" s="5" t="e">
        <f>#REF!</f>
        <v>#REF!</v>
      </c>
      <c r="E23" s="36"/>
      <c r="F23" s="5" t="e">
        <f t="shared" si="1"/>
        <v>#REF!</v>
      </c>
      <c r="G23" s="6" t="e">
        <f t="shared" si="0"/>
        <v>#REF!</v>
      </c>
      <c r="H23" s="6" t="e">
        <f t="shared" si="2"/>
        <v>#REF!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35">
      <c r="A24" s="1" t="s">
        <v>39</v>
      </c>
      <c r="B24" s="1" t="str">
        <f>VLOOKUP(A24,[15]LISTADHERENT!$A$5:$J$50,3,0)</f>
        <v>NGONDIEP CLAUDE</v>
      </c>
      <c r="C24" s="5" t="e">
        <f>#REF!</f>
        <v>#REF!</v>
      </c>
      <c r="D24" s="5" t="e">
        <f>#REF!</f>
        <v>#REF!</v>
      </c>
      <c r="E24" s="36"/>
      <c r="F24" s="5" t="e">
        <f t="shared" si="1"/>
        <v>#REF!</v>
      </c>
      <c r="G24" s="6" t="e">
        <f t="shared" si="0"/>
        <v>#REF!</v>
      </c>
      <c r="H24" s="6" t="e">
        <f t="shared" si="2"/>
        <v>#REF!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35">
      <c r="A25" s="1" t="s">
        <v>41</v>
      </c>
      <c r="B25" s="1" t="str">
        <f>VLOOKUP(A25,[15]LISTADHERENT!$A$5:$J$50,3,0)</f>
        <v>NGUIEMEGNI MATHIEU BLAISE</v>
      </c>
      <c r="C25" s="5" t="e">
        <f>#REF!</f>
        <v>#REF!</v>
      </c>
      <c r="D25" s="5" t="e">
        <f>#REF!</f>
        <v>#REF!</v>
      </c>
      <c r="E25" s="36"/>
      <c r="F25" s="5" t="e">
        <f t="shared" si="1"/>
        <v>#REF!</v>
      </c>
      <c r="G25" s="6" t="e">
        <f t="shared" si="0"/>
        <v>#REF!</v>
      </c>
      <c r="H25" s="6" t="e">
        <f t="shared" si="2"/>
        <v>#REF!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35">
      <c r="A26" s="1" t="s">
        <v>43</v>
      </c>
      <c r="B26" s="1" t="str">
        <f>VLOOKUP(A26,[15]LISTADHERENT!$A$5:$J$50,3,0)</f>
        <v>NKAMGANG JUSTIN DEJOLIE</v>
      </c>
      <c r="C26" s="5" t="e">
        <f>#REF!</f>
        <v>#REF!</v>
      </c>
      <c r="D26" s="5" t="e">
        <f>#REF!</f>
        <v>#REF!</v>
      </c>
      <c r="E26" s="36"/>
      <c r="F26" s="5" t="e">
        <f t="shared" si="1"/>
        <v>#REF!</v>
      </c>
      <c r="G26" s="6" t="e">
        <f t="shared" si="0"/>
        <v>#REF!</v>
      </c>
      <c r="H26" s="6" t="e">
        <f t="shared" si="2"/>
        <v>#REF!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35">
      <c r="A27" s="1" t="s">
        <v>172</v>
      </c>
      <c r="B27" s="1" t="str">
        <f>VLOOKUP(A27,[15]LISTADHERENT!$A$5:$J$50,3,0)</f>
        <v>NOUBE ETIENNE</v>
      </c>
      <c r="C27" s="5" t="e">
        <f>#REF!</f>
        <v>#REF!</v>
      </c>
      <c r="D27" s="5" t="e">
        <f>#REF!</f>
        <v>#REF!</v>
      </c>
      <c r="E27" s="36"/>
      <c r="F27" s="5" t="e">
        <f t="shared" si="1"/>
        <v>#REF!</v>
      </c>
      <c r="G27" s="6" t="e">
        <f t="shared" si="0"/>
        <v>#REF!</v>
      </c>
      <c r="H27" s="6" t="e">
        <f t="shared" si="2"/>
        <v>#REF!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35">
      <c r="A28" s="1" t="s">
        <v>45</v>
      </c>
      <c r="B28" s="1" t="str">
        <f>VLOOKUP(A28,[15]LISTADHERENT!$A$5:$J$50,3,0)</f>
        <v>PATEGO NJOSSU GUSTAVE</v>
      </c>
      <c r="C28" s="5" t="e">
        <f>#REF!</f>
        <v>#REF!</v>
      </c>
      <c r="D28" s="5" t="e">
        <f>#REF!</f>
        <v>#REF!</v>
      </c>
      <c r="E28" s="36"/>
      <c r="F28" s="5" t="e">
        <f t="shared" si="1"/>
        <v>#REF!</v>
      </c>
      <c r="G28" s="6" t="e">
        <f t="shared" si="0"/>
        <v>#REF!</v>
      </c>
      <c r="H28" s="6" t="e">
        <f t="shared" si="2"/>
        <v>#REF!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35">
      <c r="A29" s="1" t="s">
        <v>312</v>
      </c>
      <c r="B29" s="1" t="str">
        <f>VLOOKUP(A29,[15]LISTADHERENT!$A$5:$J$50,3,0)</f>
        <v>SEUMO POLYCARPE</v>
      </c>
      <c r="C29" s="5" t="e">
        <f>#REF!</f>
        <v>#REF!</v>
      </c>
      <c r="D29" s="5" t="e">
        <f>#REF!</f>
        <v>#REF!</v>
      </c>
      <c r="E29" s="36"/>
      <c r="F29" s="5" t="e">
        <f t="shared" si="1"/>
        <v>#REF!</v>
      </c>
      <c r="G29" s="6" t="e">
        <f t="shared" si="0"/>
        <v>#REF!</v>
      </c>
      <c r="H29" s="6" t="e">
        <f t="shared" si="2"/>
        <v>#REF!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35">
      <c r="A30" s="1" t="s">
        <v>81</v>
      </c>
      <c r="B30" s="1" t="str">
        <f>VLOOKUP(A30,[15]LISTADHERENT!$A$5:$J$50,3,0)</f>
        <v>SIME BRICE</v>
      </c>
      <c r="C30" s="5" t="e">
        <f>#REF!</f>
        <v>#REF!</v>
      </c>
      <c r="D30" s="5" t="e">
        <f>#REF!</f>
        <v>#REF!</v>
      </c>
      <c r="E30" s="36"/>
      <c r="F30" s="5" t="e">
        <f t="shared" si="1"/>
        <v>#REF!</v>
      </c>
      <c r="G30" s="6" t="e">
        <f t="shared" si="0"/>
        <v>#REF!</v>
      </c>
      <c r="H30" s="6" t="e">
        <f t="shared" si="2"/>
        <v>#REF!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35">
      <c r="A31" s="1" t="s">
        <v>49</v>
      </c>
      <c r="B31" s="1" t="str">
        <f>VLOOKUP(A31,[15]LISTADHERENT!$A$5:$J$50,3,0)</f>
        <v>SIMO PIERRE</v>
      </c>
      <c r="C31" s="5" t="e">
        <f>#REF!</f>
        <v>#REF!</v>
      </c>
      <c r="D31" s="5" t="e">
        <f>#REF!</f>
        <v>#REF!</v>
      </c>
      <c r="E31" s="36"/>
      <c r="F31" s="5" t="e">
        <f t="shared" si="1"/>
        <v>#REF!</v>
      </c>
      <c r="G31" s="6" t="e">
        <f t="shared" si="0"/>
        <v>#REF!</v>
      </c>
      <c r="H31" s="6" t="e">
        <f t="shared" si="2"/>
        <v>#REF!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35">
      <c r="A32" s="1" t="s">
        <v>51</v>
      </c>
      <c r="B32" s="1" t="str">
        <f>VLOOKUP(A32,[15]LISTADHERENT!$A$5:$J$50,3,0)</f>
        <v>TCHOUAMOU MATHIEU</v>
      </c>
      <c r="C32" s="5" t="e">
        <f>#REF!</f>
        <v>#REF!</v>
      </c>
      <c r="D32" s="5" t="e">
        <f>#REF!</f>
        <v>#REF!</v>
      </c>
      <c r="E32" s="36"/>
      <c r="F32" s="5" t="e">
        <f t="shared" si="1"/>
        <v>#REF!</v>
      </c>
      <c r="G32" s="6" t="e">
        <f t="shared" si="0"/>
        <v>#REF!</v>
      </c>
      <c r="H32" s="6" t="e">
        <f t="shared" si="2"/>
        <v>#REF!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35">
      <c r="A33" s="1" t="s">
        <v>53</v>
      </c>
      <c r="B33" s="1" t="str">
        <f>VLOOKUP(A33,[15]LISTADHERENT!$A$5:$J$50,3,0)</f>
        <v>TCHOUTOU NANA CLAUDE</v>
      </c>
      <c r="C33" s="5" t="e">
        <f>#REF!</f>
        <v>#REF!</v>
      </c>
      <c r="D33" s="5" t="e">
        <f>#REF!</f>
        <v>#REF!</v>
      </c>
      <c r="E33" s="36"/>
      <c r="F33" s="5" t="e">
        <f t="shared" si="1"/>
        <v>#REF!</v>
      </c>
      <c r="G33" s="6" t="e">
        <f t="shared" si="0"/>
        <v>#REF!</v>
      </c>
      <c r="H33" s="6" t="e">
        <f t="shared" si="2"/>
        <v>#REF!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35">
      <c r="A34" s="1" t="s">
        <v>313</v>
      </c>
      <c r="B34" s="1" t="str">
        <f>VLOOKUP(A34,[15]LISTADHERENT!$A$5:$J$50,3,0)</f>
        <v>YANTCHOU GERVAIS</v>
      </c>
      <c r="C34" s="5" t="e">
        <f>#REF!</f>
        <v>#REF!</v>
      </c>
      <c r="D34" s="5" t="e">
        <f>#REF!</f>
        <v>#REF!</v>
      </c>
      <c r="E34" s="36"/>
      <c r="F34" s="5" t="e">
        <f t="shared" si="1"/>
        <v>#REF!</v>
      </c>
      <c r="G34" s="6" t="e">
        <f t="shared" si="0"/>
        <v>#REF!</v>
      </c>
      <c r="H34" s="6" t="e">
        <f t="shared" si="2"/>
        <v>#REF!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35">
      <c r="A35" s="1" t="s">
        <v>55</v>
      </c>
      <c r="B35" s="1" t="str">
        <f>VLOOKUP(A35,[15]LISTADHERENT!$A$5:$J$50,3,0)</f>
        <v>YEPMOU JEAN JACQUES</v>
      </c>
      <c r="C35" s="5" t="e">
        <f>#REF!</f>
        <v>#REF!</v>
      </c>
      <c r="D35" s="5" t="e">
        <f>#REF!</f>
        <v>#REF!</v>
      </c>
      <c r="E35" s="36"/>
      <c r="F35" s="5" t="e">
        <f t="shared" si="1"/>
        <v>#REF!</v>
      </c>
      <c r="G35" s="6" t="e">
        <f t="shared" si="0"/>
        <v>#REF!</v>
      </c>
      <c r="H35" s="6" t="e">
        <f t="shared" si="2"/>
        <v>#REF!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35">
      <c r="A36" s="1" t="s">
        <v>56</v>
      </c>
      <c r="B36" s="1" t="str">
        <f>VLOOKUP(A36,[15]LISTADHERENT!$A$5:$J$50,3,0)</f>
        <v>YOUMBI EMMANUEL</v>
      </c>
      <c r="C36" s="5" t="e">
        <f>#REF!</f>
        <v>#REF!</v>
      </c>
      <c r="D36" s="5" t="e">
        <f>#REF!</f>
        <v>#REF!</v>
      </c>
      <c r="E36" s="36"/>
      <c r="F36" s="5" t="e">
        <f t="shared" si="1"/>
        <v>#REF!</v>
      </c>
      <c r="G36" s="6" t="e">
        <f t="shared" si="0"/>
        <v>#REF!</v>
      </c>
      <c r="H36" s="6" t="e">
        <f t="shared" si="2"/>
        <v>#REF!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3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3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35">
      <c r="A39" s="1"/>
      <c r="B39" s="1"/>
      <c r="C39" s="1"/>
      <c r="D39" s="1"/>
      <c r="E39" s="1"/>
      <c r="F39" s="1"/>
      <c r="G39" s="1"/>
      <c r="H39" s="1"/>
    </row>
    <row r="40" spans="1:32" ht="17.5" x14ac:dyDescent="0.35">
      <c r="A40" s="1" t="s">
        <v>57</v>
      </c>
      <c r="B40" s="1"/>
      <c r="C40" s="9" t="e">
        <f t="shared" ref="C40:AE40" si="8">SUM(C6:C39)</f>
        <v>#REF!</v>
      </c>
      <c r="D40" s="9" t="e">
        <f t="shared" si="8"/>
        <v>#REF!</v>
      </c>
      <c r="E40" s="9">
        <f t="shared" si="8"/>
        <v>0</v>
      </c>
      <c r="F40" s="9" t="e">
        <f t="shared" si="8"/>
        <v>#REF!</v>
      </c>
      <c r="G40" s="9" t="e">
        <f t="shared" si="8"/>
        <v>#REF!</v>
      </c>
      <c r="H40" s="9" t="e">
        <f t="shared" si="8"/>
        <v>#REF!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 xr:uid="{00000000-0009-0000-0000-000003000000}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 xr:uid="{00000000-0002-0000-03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E13" sqref="E13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6" width="18.26953125" customWidth="1"/>
    <col min="7" max="7" width="18.453125" customWidth="1"/>
    <col min="8" max="8" width="16.81640625" bestFit="1" customWidth="1"/>
    <col min="9" max="9" width="15" bestFit="1" customWidth="1"/>
    <col min="10" max="10" width="17.54296875" style="138" bestFit="1" customWidth="1"/>
    <col min="11" max="11" width="17.54296875" style="138" customWidth="1"/>
    <col min="12" max="12" width="15.7265625" style="2" customWidth="1"/>
    <col min="13" max="15" width="12.453125" style="2" customWidth="1"/>
    <col min="16" max="16" width="16.81640625" style="2" bestFit="1" customWidth="1"/>
    <col min="17" max="17" width="16.81640625" style="2" customWidth="1"/>
    <col min="18" max="18" width="16.81640625" bestFit="1" customWidth="1"/>
    <col min="19" max="19" width="15" customWidth="1"/>
    <col min="20" max="21" width="18.1796875" customWidth="1"/>
    <col min="30" max="30" width="12.453125" bestFit="1" customWidth="1"/>
    <col min="35" max="35" width="12.453125" bestFit="1" customWidth="1"/>
    <col min="36" max="36" width="17.54296875" customWidth="1"/>
  </cols>
  <sheetData>
    <row r="1" spans="1:36" x14ac:dyDescent="0.3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3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" x14ac:dyDescent="0.6">
      <c r="B4" s="16"/>
      <c r="C4" s="16"/>
      <c r="D4" s="16"/>
      <c r="E4" s="16"/>
      <c r="F4" s="16"/>
      <c r="G4" s="16"/>
      <c r="H4" s="16"/>
      <c r="I4" s="137"/>
      <c r="J4" s="174">
        <v>44912</v>
      </c>
      <c r="K4" s="174"/>
      <c r="L4" s="174"/>
      <c r="M4" s="174"/>
      <c r="N4" s="174"/>
      <c r="O4" s="174"/>
      <c r="P4"/>
      <c r="Q4"/>
      <c r="AJ4" s="104"/>
    </row>
    <row r="5" spans="1:36" ht="70.5" x14ac:dyDescent="0.3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3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3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3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3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3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3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3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3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3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3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3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3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3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3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3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3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3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3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3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3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3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3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3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3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3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3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3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3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3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3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3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35">
      <c r="A37" s="147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35">
      <c r="A38" s="148"/>
      <c r="B38" s="1"/>
      <c r="C38" s="5"/>
      <c r="D38" s="5"/>
      <c r="E38" s="5"/>
      <c r="F38" s="5"/>
      <c r="G38" s="6"/>
      <c r="H38" s="6"/>
      <c r="J38" s="146"/>
      <c r="K38" s="146"/>
    </row>
    <row r="39" spans="1:36" ht="17.5" x14ac:dyDescent="0.3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7.5" x14ac:dyDescent="0.35">
      <c r="C41">
        <v>536000</v>
      </c>
      <c r="D41">
        <v>4361500</v>
      </c>
      <c r="H41" s="9"/>
    </row>
    <row r="42" spans="1:36" ht="17.5" x14ac:dyDescent="0.3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35">
      <c r="H43" s="2">
        <f>H39-H41</f>
        <v>21229560.19081099</v>
      </c>
    </row>
  </sheetData>
  <autoFilter ref="A5:U34" xr:uid="{00000000-0009-0000-0000-000004000000}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44"/>
  <sheetViews>
    <sheetView workbookViewId="0">
      <pane xSplit="2" ySplit="5" topLeftCell="C15" activePane="bottomRight" state="frozen"/>
      <selection activeCell="J4" sqref="J4:O4"/>
      <selection pane="topRight" activeCell="J4" sqref="J4:O4"/>
      <selection pane="bottomLeft" activeCell="J4" sqref="J4:O4"/>
      <selection pane="bottomRight" activeCell="H6" sqref="H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9" width="18.26953125" customWidth="1"/>
    <col min="10" max="10" width="15" bestFit="1" customWidth="1"/>
    <col min="11" max="11" width="17.54296875" style="142" bestFit="1" customWidth="1"/>
    <col min="12" max="12" width="17.54296875" style="142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2023</v>
      </c>
      <c r="C2" s="1"/>
      <c r="D2" s="1"/>
      <c r="E2" s="1"/>
      <c r="F2" s="1"/>
      <c r="G2" s="1"/>
      <c r="H2" s="1"/>
      <c r="I2" s="152">
        <f>IF(E2&gt;=700000,($T$41/$G$41*H2),0)</f>
        <v>0</v>
      </c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59">
        <f>H12+MVTJANV24!H12+MVTFEV24!H12+MVTMARS24!H12</f>
        <v>47606.764611162223</v>
      </c>
      <c r="I4" s="16"/>
      <c r="J4" s="141"/>
      <c r="K4" s="174">
        <v>45277</v>
      </c>
      <c r="L4" s="174"/>
      <c r="M4" s="174"/>
      <c r="N4" s="174"/>
      <c r="O4" s="174"/>
      <c r="P4" s="174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325</v>
      </c>
      <c r="AM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D6" s="36">
        <f>VLOOKUP($A6,[20]DETAILFICHECASSATION!$A$6:$R$36,17,0)</f>
        <v>886523.25892224163</v>
      </c>
      <c r="E6" s="36"/>
      <c r="F6" s="36">
        <f>C6+D6-E6</f>
        <v>886523.25892224163</v>
      </c>
      <c r="G6" s="5">
        <f>[21]MVTNOV23!F6+[21]MVTNOV23!G6-[21]MVTDEC23!E6+L6</f>
        <v>886523.25892224174</v>
      </c>
      <c r="H6" s="36">
        <f>($T$41/$G$41*G6)</f>
        <v>47366.807698803961</v>
      </c>
      <c r="I6" s="6">
        <f>(F6+H6)</f>
        <v>933890.06662104558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f>VLOOKUP($A6,[22]HISTODEC23!$A$6:$CA$36,60,0)</f>
        <v>6000</v>
      </c>
      <c r="AG6" s="36">
        <f>VLOOKUP($A6,[22]HISTODEC23!$A$6:$CA$36,61,0)</f>
        <v>0</v>
      </c>
      <c r="AH6" s="36">
        <f>VLOOKUP($A6,[22]HISTODEC23!$A$6:$CA$36,62,0)</f>
        <v>0</v>
      </c>
      <c r="AI6" s="36">
        <f>VLOOKUP($A6,[22]HISTODEC23!$A$6:$CA$36,63,0)</f>
        <v>0</v>
      </c>
      <c r="AJ6" s="36">
        <f>VLOOKUP($A6,[22]HISTODEC23!$A$6:$CA$36,64,0)</f>
        <v>0</v>
      </c>
      <c r="AK6" s="36">
        <f>VLOOKUP($A6,[22]HISTODEC23!$A$6:$CA$36,65,0)</f>
        <v>0</v>
      </c>
      <c r="AL6" s="36">
        <f>VLOOKUP($A6,[20]DETAILFICHECASSATION!$A$6:$R$36,12,0)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>
        <v>678482</v>
      </c>
      <c r="E7" s="36"/>
      <c r="F7" s="36">
        <f t="shared" ref="F7:F39" si="0">C7+D7-E7</f>
        <v>678482</v>
      </c>
      <c r="G7" s="5">
        <f>IF(F7&gt;=700000,(C7+D7-E7),0)</f>
        <v>0</v>
      </c>
      <c r="H7" s="36">
        <f t="shared" ref="H7:H39" si="1">($T$41/$G$41*G7)</f>
        <v>0</v>
      </c>
      <c r="I7" s="6">
        <f t="shared" ref="I7:I39" si="2">(F7+H7)</f>
        <v>678482</v>
      </c>
      <c r="J7" s="36">
        <f>VLOOKUP($A7,[22]HISTODEC23!$A$6:$AQ$40,22,0)</f>
        <v>0</v>
      </c>
      <c r="K7" s="36">
        <f>VLOOKUP($A7,[22]HISTODEC23!$A$6:$AU$36,45,0)</f>
        <v>15000</v>
      </c>
      <c r="L7" s="36">
        <f t="shared" ref="L7:L36" si="3">IF(K7=0,0,K7-(M7+N7+O7))</f>
        <v>9000</v>
      </c>
      <c r="M7" s="36">
        <f>IF(K7=0,0,1000)</f>
        <v>1000</v>
      </c>
      <c r="N7" s="36">
        <f t="shared" ref="N7:N36" si="4">IF(K7=0,0,1000)</f>
        <v>1000</v>
      </c>
      <c r="O7" s="36">
        <f>IF(K7=0,0,4000)</f>
        <v>4000</v>
      </c>
      <c r="P7" s="36">
        <f>VLOOKUP($A7,[22]HISTODEC23!$A$6:$AU$36,7,0)</f>
        <v>0</v>
      </c>
      <c r="Q7" s="36">
        <f>VLOOKUP($A7,[22]HISTODEC23!$A$6:$AU$36,23,0)</f>
        <v>0</v>
      </c>
      <c r="R7" s="36">
        <f>VLOOKUP($A7,[22]HISTODEC23!$A$6:$AU$36,46,0)</f>
        <v>0</v>
      </c>
      <c r="S7" s="36">
        <f>VLOOKUP($A7,[22]HISTODEC23!$A$6:$AU$36,26,0)</f>
        <v>600000</v>
      </c>
      <c r="T7" s="36">
        <f>VLOOKUP($A7,[22]HISTODEC23!$A$6:$BG$36,58,0)-30000</f>
        <v>6000</v>
      </c>
      <c r="U7" s="36">
        <f>VLOOKUP($A7,[22]HISTODEC23!$A$6:$AU$36,28,0)</f>
        <v>0</v>
      </c>
      <c r="V7" s="36">
        <f>VLOOKUP($A7,[22]HISTODEC23!$A$6:$AU$36,19,0)</f>
        <v>600000</v>
      </c>
      <c r="W7" s="36" t="str">
        <f>VLOOKUP($A7,[22]HISTODEC23!$A$6:$AU$36,20,0)</f>
        <v>BANQUE</v>
      </c>
      <c r="X7" s="36" t="str">
        <f>VLOOKUP($A7,[22]HISTODEC23!$A$6:$AU$36,27,0)</f>
        <v>BANQUE</v>
      </c>
      <c r="Y7" s="36">
        <f>VLOOKUP($A7,[22]HISTODEC23!$A$6:$BM$36,33,0)</f>
        <v>0</v>
      </c>
      <c r="Z7" s="36">
        <f>VLOOKUP($A7,[22]HISTODEC23!$A$6:$BM$36,65,0)</f>
        <v>0</v>
      </c>
      <c r="AA7" s="36"/>
      <c r="AB7" s="36">
        <f>VLOOKUP($A7,[22]HISTODEC23!$A$6:$AU$36,43,0)</f>
        <v>0</v>
      </c>
      <c r="AC7" s="36">
        <f>VLOOKUP($A7,[22]HISTODEC23!$A$6:$AU$36,44,0)</f>
        <v>0</v>
      </c>
      <c r="AD7" s="36">
        <f>VLOOKUP($A7,[22]HISTODEC23!$A$6:$AU$36,47,0)</f>
        <v>0</v>
      </c>
      <c r="AE7" s="36">
        <f>VLOOKUP(A7,[22]HISTODEC23!$A$6:$BB$36,54,0)</f>
        <v>0</v>
      </c>
      <c r="AF7" s="36">
        <f>VLOOKUP($A7,[22]HISTODEC23!$A$6:$CA$36,60,0)</f>
        <v>0</v>
      </c>
      <c r="AG7" s="36">
        <f>VLOOKUP($A7,[22]HISTODEC23!$A$6:$CA$36,61,0)</f>
        <v>0</v>
      </c>
      <c r="AH7" s="36">
        <f>VLOOKUP($A7,[22]HISTODEC23!$A$6:$CA$36,62,0)</f>
        <v>0</v>
      </c>
      <c r="AI7" s="36">
        <f>VLOOKUP($A7,[22]HISTODEC23!$A$6:$CA$36,63,0)</f>
        <v>0</v>
      </c>
      <c r="AJ7" s="36">
        <f>VLOOKUP($A7,[22]HISTODEC23!$A$6:$CA$36,64,0)</f>
        <v>0</v>
      </c>
      <c r="AK7" s="36">
        <f>VLOOKUP($A7,[22]HISTODEC23!$A$6:$CA$36,65,0)</f>
        <v>0</v>
      </c>
      <c r="AL7" s="36">
        <f>VLOOKUP($A7,[20]DETAILFICHECASSATION!$A$6:$R$36,12,0)</f>
        <v>700000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>
        <f>VLOOKUP($A8,[23]FONDSCAISSE!$A$2:$G$33,4,0)</f>
        <v>700000</v>
      </c>
      <c r="D8" s="36">
        <f>VLOOKUP($A8,[20]DETAILFICHECASSATION!$A$6:$R$36,17,0)</f>
        <v>33.12626320522395</v>
      </c>
      <c r="E8" s="36"/>
      <c r="F8" s="36">
        <f t="shared" si="0"/>
        <v>700033.12626320519</v>
      </c>
      <c r="G8" s="5">
        <f t="shared" ref="G8:G39" si="5">IF(C8+D8+L8-E8&gt;=700000,(C8+D8-E8),0)</f>
        <v>700033.12626320519</v>
      </c>
      <c r="H8" s="36">
        <f t="shared" si="1"/>
        <v>37402.667263138508</v>
      </c>
      <c r="I8" s="6">
        <f t="shared" si="2"/>
        <v>737435.79352634365</v>
      </c>
      <c r="J8" s="36">
        <f>VLOOKUP($A8,[22]HISTODEC23!$A$6:$AQ$40,22,0)</f>
        <v>19000</v>
      </c>
      <c r="K8" s="36">
        <f>VLOOKUP($A8,[22]HISTODEC23!$A$6:$AU$36,45,0)</f>
        <v>15000</v>
      </c>
      <c r="L8" s="36">
        <f t="shared" si="3"/>
        <v>9000</v>
      </c>
      <c r="M8" s="36">
        <f>IF(K8=0,0,1000)</f>
        <v>1000</v>
      </c>
      <c r="N8" s="36">
        <f t="shared" si="4"/>
        <v>1000</v>
      </c>
      <c r="O8" s="36">
        <f>IF(K8=0,0,4000)</f>
        <v>4000</v>
      </c>
      <c r="P8" s="36">
        <f>VLOOKUP($A8,[22]HISTODEC23!$A$6:$AU$36,7,0)</f>
        <v>0</v>
      </c>
      <c r="Q8" s="36">
        <f>VLOOKUP($A8,[22]HISTODEC23!$A$6:$AU$36,23,0)</f>
        <v>0</v>
      </c>
      <c r="R8" s="36">
        <f>VLOOKUP($A8,[22]HISTODEC23!$A$6:$AU$36,46,0)</f>
        <v>0</v>
      </c>
      <c r="S8" s="36">
        <f>VLOOKUP($A8,[22]HISTODEC23!$A$6:$AU$36,26,0)</f>
        <v>500000</v>
      </c>
      <c r="T8" s="36">
        <f>VLOOKUP($A8,[22]HISTODEC23!$A$6:$BG$36,58,0)</f>
        <v>15000</v>
      </c>
      <c r="U8" s="36">
        <f>VLOOKUP($A8,[22]HISTODEC23!$A$6:$AU$36,28,0)</f>
        <v>0</v>
      </c>
      <c r="V8" s="36">
        <f>VLOOKUP($A8,[22]HISTODEC23!$A$6:$AU$36,19,0)</f>
        <v>0</v>
      </c>
      <c r="W8" s="36">
        <f>VLOOKUP($A8,[22]HISTODEC23!$A$6:$AU$36,20,0)</f>
        <v>0</v>
      </c>
      <c r="X8" s="36" t="str">
        <f>VLOOKUP($A8,[22]HISTODEC23!$A$6:$AU$36,27,0)</f>
        <v>BANQUE</v>
      </c>
      <c r="Y8" s="36">
        <f>VLOOKUP($A8,[22]HISTODEC23!$A$6:$BM$36,33,0)</f>
        <v>0</v>
      </c>
      <c r="Z8" s="36">
        <f>VLOOKUP($A8,[22]HISTODEC23!$A$6:$BM$36,65,0)</f>
        <v>0</v>
      </c>
      <c r="AA8" s="36"/>
      <c r="AB8" s="36">
        <f>VLOOKUP($A8,[22]HISTODEC23!$A$6:$AU$36,43,0)</f>
        <v>0</v>
      </c>
      <c r="AC8" s="36">
        <f>VLOOKUP($A8,[22]HISTODEC23!$A$6:$AU$36,44,0)</f>
        <v>0</v>
      </c>
      <c r="AD8" s="36">
        <f>VLOOKUP($A8,[22]HISTODEC23!$A$6:$AU$36,47,0)</f>
        <v>0</v>
      </c>
      <c r="AE8" s="36">
        <f>VLOOKUP(A8,[22]HISTODEC23!$A$6:$BB$36,54,0)</f>
        <v>0</v>
      </c>
      <c r="AF8" s="36">
        <f>VLOOKUP($A8,[22]HISTODEC23!$A$6:$CA$36,60,0)</f>
        <v>0</v>
      </c>
      <c r="AG8" s="36">
        <f>VLOOKUP($A8,[22]HISTODEC23!$A$6:$CA$36,61,0)</f>
        <v>0</v>
      </c>
      <c r="AH8" s="36">
        <f>VLOOKUP($A8,[22]HISTODEC23!$A$6:$CA$36,62,0)</f>
        <v>0</v>
      </c>
      <c r="AI8" s="36">
        <f>VLOOKUP($A8,[22]HISTODEC23!$A$6:$CA$36,63,0)</f>
        <v>0</v>
      </c>
      <c r="AJ8" s="36">
        <f>VLOOKUP($A8,[22]HISTODEC23!$A$6:$CA$36,64,0)</f>
        <v>0</v>
      </c>
      <c r="AK8" s="36">
        <f>VLOOKUP($A8,[22]HISTODEC23!$A$6:$CA$36,65,0)</f>
        <v>0</v>
      </c>
      <c r="AL8" s="36">
        <f>VLOOKUP($A8,[20]DETAILFICHECASSATION!$A$6:$R$36,12,0)</f>
        <v>100000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>
        <f>VLOOKUP($A9,[23]FONDSCAISSE!$A$2:$G$33,4,0)</f>
        <v>700000</v>
      </c>
      <c r="D9" s="36">
        <f>VLOOKUP($A9,[20]DETAILFICHECASSATION!$A$6:$R$36,17,0)</f>
        <v>53357.826243040035</v>
      </c>
      <c r="E9" s="36"/>
      <c r="F9" s="36">
        <f t="shared" si="0"/>
        <v>753357.82624304004</v>
      </c>
      <c r="G9" s="5">
        <f t="shared" si="5"/>
        <v>753357.82624304004</v>
      </c>
      <c r="H9" s="36">
        <f t="shared" si="1"/>
        <v>40251.798161984778</v>
      </c>
      <c r="I9" s="6">
        <f t="shared" si="2"/>
        <v>793609.62440502481</v>
      </c>
      <c r="J9" s="36">
        <f>VLOOKUP($A9,[22]HISTODEC23!$A$6:$AQ$40,22,0)</f>
        <v>9000</v>
      </c>
      <c r="K9" s="36">
        <f>VLOOKUP($A9,[22]HISTODEC23!$A$6:$AU$36,45,0)</f>
        <v>40000</v>
      </c>
      <c r="L9" s="36">
        <f t="shared" si="3"/>
        <v>34000</v>
      </c>
      <c r="M9" s="36">
        <f t="shared" ref="M9:M36" si="6">IF(K9=0,0,1000)</f>
        <v>1000</v>
      </c>
      <c r="N9" s="36">
        <f t="shared" si="4"/>
        <v>1000</v>
      </c>
      <c r="O9" s="36">
        <f t="shared" ref="O9:O36" si="7">IF(K9=0,0,4000)</f>
        <v>4000</v>
      </c>
      <c r="P9" s="36">
        <f>VLOOKUP($A9,[22]HISTODEC23!$A$6:$AU$36,7,0)</f>
        <v>0</v>
      </c>
      <c r="Q9" s="36">
        <f>VLOOKUP($A9,[22]HISTODEC23!$A$6:$AU$36,23,0)</f>
        <v>0</v>
      </c>
      <c r="R9" s="36">
        <f>VLOOKUP($A9,[22]HISTODEC23!$A$6:$AU$36,46,0)</f>
        <v>0</v>
      </c>
      <c r="S9" s="36">
        <f>VLOOKUP($A9,[22]HISTODEC23!$A$6:$AU$36,26,0)</f>
        <v>1000000</v>
      </c>
      <c r="T9" s="36">
        <f>VLOOKUP($A9,[22]HISTODEC23!$A$6:$BG$36,58,0)</f>
        <v>120000</v>
      </c>
      <c r="U9" s="36">
        <f>VLOOKUP($A9,[22]HISTODEC23!$A$6:$AU$36,28,0)</f>
        <v>0</v>
      </c>
      <c r="V9" s="36">
        <f>VLOOKUP($A9,[22]HISTODEC23!$A$6:$AU$36,19,0)</f>
        <v>1000000</v>
      </c>
      <c r="W9" s="36" t="str">
        <f>VLOOKUP($A9,[22]HISTODEC23!$A$6:$AU$36,20,0)</f>
        <v>BANQUE</v>
      </c>
      <c r="X9" s="36" t="str">
        <f>VLOOKUP($A9,[22]HISTODEC23!$A$6:$AU$36,27,0)</f>
        <v>BANQUE</v>
      </c>
      <c r="Y9" s="36">
        <f>VLOOKUP($A9,[22]HISTODEC23!$A$6:$BM$36,33,0)</f>
        <v>0</v>
      </c>
      <c r="Z9" s="36">
        <f>VLOOKUP($A9,[22]HISTODEC23!$A$6:$BM$36,65,0)</f>
        <v>0</v>
      </c>
      <c r="AA9" s="36"/>
      <c r="AB9" s="36">
        <f>VLOOKUP($A9,[22]HISTODEC23!$A$6:$AU$36,43,0)</f>
        <v>0</v>
      </c>
      <c r="AC9" s="36">
        <f>VLOOKUP($A9,[22]HISTODEC23!$A$6:$AU$36,44,0)</f>
        <v>0</v>
      </c>
      <c r="AD9" s="36">
        <f>VLOOKUP($A9,[22]HISTODEC23!$A$6:$AU$36,47,0)</f>
        <v>0</v>
      </c>
      <c r="AE9" s="36">
        <f>VLOOKUP(A9,[22]HISTODEC23!$A$6:$BB$36,54,0)</f>
        <v>0</v>
      </c>
      <c r="AF9" s="36">
        <f>VLOOKUP($A9,[22]HISTODEC23!$A$6:$CA$36,60,0)</f>
        <v>0</v>
      </c>
      <c r="AG9" s="36">
        <f>VLOOKUP($A9,[22]HISTODEC23!$A$6:$CA$36,61,0)</f>
        <v>0</v>
      </c>
      <c r="AH9" s="36">
        <f>VLOOKUP($A9,[22]HISTODEC23!$A$6:$CA$36,62,0)</f>
        <v>0</v>
      </c>
      <c r="AI9" s="36">
        <f>VLOOKUP($A9,[22]HISTODEC23!$A$6:$CA$36,63,0)</f>
        <v>0</v>
      </c>
      <c r="AJ9" s="36">
        <f>VLOOKUP($A9,[22]HISTODEC23!$A$6:$CA$36,64,0)</f>
        <v>0</v>
      </c>
      <c r="AK9" s="36">
        <f>VLOOKUP($A9,[22]HISTODEC23!$A$6:$CA$36,65,0)</f>
        <v>0</v>
      </c>
      <c r="AL9" s="36">
        <f>VLOOKUP($A9,[20]DETAILFICHECASSATION!$A$6:$R$36,12,0)</f>
        <v>100000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>
        <f>VLOOKUP($A10,[23]FONDSCAISSE!$A$2:$G$33,4,0)</f>
        <v>700000</v>
      </c>
      <c r="D10" s="36">
        <f>VLOOKUP($A10,[20]DETAILFICHECASSATION!$A$6:$R$36,17,0)</f>
        <v>294.67929590542917</v>
      </c>
      <c r="E10" s="36"/>
      <c r="F10" s="36">
        <f t="shared" si="0"/>
        <v>700294.6792959054</v>
      </c>
      <c r="G10" s="5">
        <f t="shared" si="5"/>
        <v>700294.6792959054</v>
      </c>
      <c r="H10" s="36">
        <f t="shared" si="1"/>
        <v>37416.642003313973</v>
      </c>
      <c r="I10" s="6">
        <f t="shared" si="2"/>
        <v>737711.32129921939</v>
      </c>
      <c r="J10" s="36">
        <f>VLOOKUP($A10,[22]HISTODEC23!$A$6:$AQ$40,22,0)</f>
        <v>22000</v>
      </c>
      <c r="K10" s="36">
        <f>VLOOKUP($A10,[22]HISTODEC23!$A$6:$AU$36,45,0)</f>
        <v>15000</v>
      </c>
      <c r="L10" s="36">
        <f t="shared" si="3"/>
        <v>9000</v>
      </c>
      <c r="M10" s="36">
        <f t="shared" si="6"/>
        <v>1000</v>
      </c>
      <c r="N10" s="36">
        <f t="shared" si="4"/>
        <v>1000</v>
      </c>
      <c r="O10" s="36">
        <f t="shared" si="7"/>
        <v>4000</v>
      </c>
      <c r="P10" s="36">
        <f>VLOOKUP($A10,[22]HISTODEC23!$A$6:$AU$36,7,0)</f>
        <v>0</v>
      </c>
      <c r="Q10" s="36">
        <f>VLOOKUP($A10,[22]HISTODEC23!$A$6:$AU$36,23,0)</f>
        <v>0</v>
      </c>
      <c r="R10" s="36">
        <f>VLOOKUP($A10,[22]HISTODEC23!$A$6:$AU$36,46,0)</f>
        <v>0</v>
      </c>
      <c r="S10" s="36">
        <f>VLOOKUP($A10,[22]HISTODEC23!$A$6:$AU$36,26,0)</f>
        <v>1000000</v>
      </c>
      <c r="T10" s="36">
        <f>VLOOKUP($A10,[22]HISTODEC23!$A$6:$BG$36,58,0)</f>
        <v>120000</v>
      </c>
      <c r="U10" s="36">
        <f>VLOOKUP($A10,[22]HISTODEC23!$A$6:$AU$36,28,0)</f>
        <v>0</v>
      </c>
      <c r="V10" s="36">
        <f>VLOOKUP($A10,[22]HISTODEC23!$A$6:$AU$36,19,0)</f>
        <v>0</v>
      </c>
      <c r="W10" s="36">
        <f>VLOOKUP($A10,[22]HISTODEC23!$A$6:$AU$36,20,0)</f>
        <v>0</v>
      </c>
      <c r="X10" s="36" t="str">
        <f>VLOOKUP($A10,[22]HISTODEC23!$A$6:$AU$36,27,0)</f>
        <v>BANQUE</v>
      </c>
      <c r="Y10" s="36">
        <f>VLOOKUP($A10,[22]HISTODEC23!$A$6:$BM$36,33,0)</f>
        <v>0</v>
      </c>
      <c r="Z10" s="36">
        <f>VLOOKUP($A10,[22]HISTODEC23!$A$6:$BM$36,65,0)</f>
        <v>0</v>
      </c>
      <c r="AA10" s="36"/>
      <c r="AB10" s="36">
        <f>VLOOKUP($A10,[22]HISTODEC23!$A$6:$AU$36,43,0)</f>
        <v>0</v>
      </c>
      <c r="AC10" s="36">
        <f>VLOOKUP($A10,[22]HISTODEC23!$A$6:$AU$36,44,0)</f>
        <v>0</v>
      </c>
      <c r="AD10" s="36">
        <f>VLOOKUP($A10,[22]HISTODEC23!$A$6:$AU$36,47,0)</f>
        <v>0</v>
      </c>
      <c r="AE10" s="36">
        <f>VLOOKUP(A10,[22]HISTODEC23!$A$6:$BB$36,54,0)</f>
        <v>0</v>
      </c>
      <c r="AF10" s="36">
        <f>VLOOKUP($A10,[22]HISTODEC23!$A$6:$CA$36,60,0)</f>
        <v>0</v>
      </c>
      <c r="AG10" s="36">
        <f>VLOOKUP($A10,[22]HISTODEC23!$A$6:$CA$36,61,0)</f>
        <v>0</v>
      </c>
      <c r="AH10" s="36">
        <f>VLOOKUP($A10,[22]HISTODEC23!$A$6:$CA$36,62,0)</f>
        <v>0</v>
      </c>
      <c r="AI10" s="36">
        <f>VLOOKUP($A10,[22]HISTODEC23!$A$6:$CA$36,63,0)</f>
        <v>0</v>
      </c>
      <c r="AJ10" s="36">
        <f>VLOOKUP($A10,[22]HISTODEC23!$A$6:$CA$36,64,0)</f>
        <v>0</v>
      </c>
      <c r="AK10" s="36">
        <f>VLOOKUP($A10,[22]HISTODEC23!$A$6:$CA$36,65,0)</f>
        <v>0</v>
      </c>
      <c r="AL10" s="36">
        <f>VLOOKUP($A10,[20]DETAILFICHECASSATION!$A$6:$R$36,12,0)</f>
        <v>100000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>
        <f>VLOOKUP($A11,[23]FONDSCAISSE!$A$2:$G$33,4,0)</f>
        <v>700000</v>
      </c>
      <c r="D11" s="36">
        <f>VLOOKUP($A11,[20]DETAILFICHECASSATION!$A$6:$R$36,17,0)</f>
        <v>2196.7678974067676</v>
      </c>
      <c r="E11" s="36"/>
      <c r="F11" s="36">
        <f t="shared" si="0"/>
        <v>702196.76789740683</v>
      </c>
      <c r="G11" s="5">
        <f t="shared" si="5"/>
        <v>702196.76789740683</v>
      </c>
      <c r="H11" s="36">
        <f t="shared" si="1"/>
        <v>37518.270318314913</v>
      </c>
      <c r="I11" s="6">
        <f t="shared" si="2"/>
        <v>739715.03821572172</v>
      </c>
      <c r="J11" s="36">
        <f>VLOOKUP($A11,[22]HISTODEC23!$A$6:$AQ$40,22,0)</f>
        <v>0</v>
      </c>
      <c r="K11" s="36">
        <f>VLOOKUP($A11,[22]HISTODEC23!$A$6:$AU$36,45,0)</f>
        <v>15000</v>
      </c>
      <c r="L11" s="36">
        <f t="shared" si="3"/>
        <v>9000</v>
      </c>
      <c r="M11" s="36">
        <f t="shared" si="6"/>
        <v>1000</v>
      </c>
      <c r="N11" s="36">
        <f t="shared" si="4"/>
        <v>1000</v>
      </c>
      <c r="O11" s="36">
        <f t="shared" si="7"/>
        <v>4000</v>
      </c>
      <c r="P11" s="36">
        <f>VLOOKUP($A11,[22]HISTODEC23!$A$6:$AU$36,7,0)</f>
        <v>0</v>
      </c>
      <c r="Q11" s="36">
        <f>VLOOKUP($A11,[22]HISTODEC23!$A$6:$AU$36,23,0)</f>
        <v>0</v>
      </c>
      <c r="R11" s="36">
        <f>VLOOKUP($A11,[22]HISTODEC23!$A$6:$AU$36,46,0)</f>
        <v>0</v>
      </c>
      <c r="S11" s="36">
        <f>VLOOKUP($A11,[22]HISTODEC23!$A$6:$AU$36,26,0)</f>
        <v>1000000</v>
      </c>
      <c r="T11" s="36">
        <f>VLOOKUP($A11,[22]HISTODEC23!$A$6:$BG$36,58,0)</f>
        <v>20000</v>
      </c>
      <c r="U11" s="36">
        <f>VLOOKUP($A11,[22]HISTODEC23!$A$6:$AU$36,28,0)</f>
        <v>0</v>
      </c>
      <c r="V11" s="36">
        <f>VLOOKUP($A11,[22]HISTODEC23!$A$6:$AU$36,19,0)</f>
        <v>1000000</v>
      </c>
      <c r="W11" s="36" t="str">
        <f>VLOOKUP($A11,[22]HISTODEC23!$A$6:$AU$36,20,0)</f>
        <v>BANQUE</v>
      </c>
      <c r="X11" s="36" t="str">
        <f>VLOOKUP($A11,[22]HISTODEC23!$A$6:$AU$36,27,0)</f>
        <v>BANQUE</v>
      </c>
      <c r="Y11" s="36">
        <f>VLOOKUP($A11,[22]HISTODEC23!$A$6:$BM$36,33,0)</f>
        <v>0</v>
      </c>
      <c r="Z11" s="36">
        <f>VLOOKUP($A11,[22]HISTODEC23!$A$6:$BM$36,65,0)</f>
        <v>0</v>
      </c>
      <c r="AA11" s="36"/>
      <c r="AB11" s="36">
        <f>VLOOKUP($A11,[22]HISTODEC23!$A$6:$AU$36,43,0)</f>
        <v>0</v>
      </c>
      <c r="AC11" s="36">
        <f>VLOOKUP($A11,[22]HISTODEC23!$A$6:$AU$36,44,0)</f>
        <v>0</v>
      </c>
      <c r="AD11" s="36">
        <f>VLOOKUP($A11,[22]HISTODEC23!$A$6:$AU$36,47,0)</f>
        <v>0</v>
      </c>
      <c r="AE11" s="36">
        <f>VLOOKUP(A11,[22]HISTODEC23!$A$6:$BB$36,54,0)</f>
        <v>0</v>
      </c>
      <c r="AF11" s="36">
        <f>VLOOKUP($A11,[22]HISTODEC23!$A$6:$CA$36,60,0)</f>
        <v>0</v>
      </c>
      <c r="AG11" s="36">
        <f>VLOOKUP($A11,[22]HISTODEC23!$A$6:$CA$36,61,0)</f>
        <v>0</v>
      </c>
      <c r="AH11" s="36">
        <f>VLOOKUP($A11,[22]HISTODEC23!$A$6:$CA$36,62,0)</f>
        <v>0</v>
      </c>
      <c r="AI11" s="36">
        <f>VLOOKUP($A11,[22]HISTODEC23!$A$6:$CA$36,63,0)</f>
        <v>0</v>
      </c>
      <c r="AJ11" s="36">
        <f>VLOOKUP($A11,[22]HISTODEC23!$A$6:$CA$36,64,0)</f>
        <v>0</v>
      </c>
      <c r="AK11" s="36">
        <f>VLOOKUP($A11,[22]HISTODEC23!$A$6:$CA$36,65,0)</f>
        <v>0</v>
      </c>
      <c r="AL11" s="36">
        <f>VLOOKUP($A11,[20]DETAILFICHECASSATION!$A$6:$R$36,12,0)</f>
        <v>100000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>
        <f>VLOOKUP($A12,[23]FONDSCAISSE!$A$2:$G$33,4,0)</f>
        <v>700000</v>
      </c>
      <c r="D12" s="36">
        <f>VLOOKUP($A12,[20]DETAILFICHECASSATION!$A$6:$R$36,17,0)</f>
        <v>14513.277451620379</v>
      </c>
      <c r="E12" s="36"/>
      <c r="F12" s="36">
        <f t="shared" si="0"/>
        <v>714513.27745162044</v>
      </c>
      <c r="G12" s="5">
        <f t="shared" si="5"/>
        <v>714513.27745162044</v>
      </c>
      <c r="H12" s="36">
        <f t="shared" si="1"/>
        <v>38176.339617347352</v>
      </c>
      <c r="I12" s="6">
        <f t="shared" si="2"/>
        <v>752689.61706896778</v>
      </c>
      <c r="J12" s="36">
        <f>VLOOKUP($A12,[22]HISTODEC23!$A$6:$AQ$40,22,0)</f>
        <v>0</v>
      </c>
      <c r="K12" s="36">
        <f>VLOOKUP($A12,[22]HISTODEC23!$A$6:$AU$36,45,0)</f>
        <v>20800</v>
      </c>
      <c r="L12" s="36">
        <f>IF(K12=0,0,K12-(M12+N12+O12))</f>
        <v>14800</v>
      </c>
      <c r="M12" s="36">
        <f t="shared" si="6"/>
        <v>1000</v>
      </c>
      <c r="N12" s="36">
        <f t="shared" si="4"/>
        <v>1000</v>
      </c>
      <c r="O12" s="36">
        <f t="shared" si="7"/>
        <v>4000</v>
      </c>
      <c r="P12" s="36">
        <f>VLOOKUP($A12,[22]HISTODEC23!$A$6:$AU$36,7,0)</f>
        <v>0</v>
      </c>
      <c r="Q12" s="36">
        <f>VLOOKUP($A12,[22]HISTODEC23!$A$6:$AU$36,23,0)</f>
        <v>0</v>
      </c>
      <c r="R12" s="36">
        <f>VLOOKUP($A12,[22]HISTODEC23!$A$6:$AU$36,46,0)</f>
        <v>0</v>
      </c>
      <c r="S12" s="36">
        <f>VLOOKUP($A12,[22]HISTODEC23!$A$6:$AU$36,26,0)</f>
        <v>1000000</v>
      </c>
      <c r="T12" s="36">
        <f>VLOOKUP($A12,[22]HISTODEC23!$A$6:$BG$36,58,0)</f>
        <v>60000</v>
      </c>
      <c r="U12" s="36">
        <f>VLOOKUP($A12,[22]HISTODEC23!$A$6:$AU$36,28,0)</f>
        <v>0</v>
      </c>
      <c r="V12" s="36">
        <f>VLOOKUP($A12,[22]HISTODEC23!$A$6:$AU$36,19,0)</f>
        <v>719200</v>
      </c>
      <c r="W12" s="36" t="str">
        <f>VLOOKUP($A12,[22]HISTODEC23!$A$6:$AU$36,20,0)</f>
        <v>BANQUE</v>
      </c>
      <c r="X12" s="36" t="str">
        <f>VLOOKUP($A12,[22]HISTODEC23!$A$6:$AU$36,27,0)</f>
        <v>BANQUE</v>
      </c>
      <c r="Y12" s="36">
        <f>VLOOKUP($A12,[22]HISTODEC23!$A$6:$BM$36,33,0)</f>
        <v>0</v>
      </c>
      <c r="Z12" s="36">
        <f>VLOOKUP($A12,[22]HISTODEC23!$A$6:$BM$36,65,0)</f>
        <v>0</v>
      </c>
      <c r="AA12" s="36"/>
      <c r="AB12" s="36">
        <f>VLOOKUP($A12,[22]HISTODEC23!$A$6:$AU$36,43,0)</f>
        <v>0</v>
      </c>
      <c r="AC12" s="36">
        <f>VLOOKUP($A12,[22]HISTODEC23!$A$6:$AU$36,44,0)</f>
        <v>0</v>
      </c>
      <c r="AD12" s="36">
        <f>VLOOKUP($A12,[22]HISTODEC23!$A$6:$AU$36,47,0)</f>
        <v>0</v>
      </c>
      <c r="AE12" s="36">
        <f>VLOOKUP(A12,[22]HISTODEC23!$A$6:$BB$36,54,0)</f>
        <v>0</v>
      </c>
      <c r="AF12" s="36">
        <f>VLOOKUP($A12,[22]HISTODEC23!$A$6:$CA$36,60,0)</f>
        <v>0</v>
      </c>
      <c r="AG12" s="36">
        <f>VLOOKUP($A12,[22]HISTODEC23!$A$6:$CA$36,61,0)</f>
        <v>0</v>
      </c>
      <c r="AH12" s="36">
        <f>VLOOKUP($A12,[22]HISTODEC23!$A$6:$CA$36,62,0)</f>
        <v>0</v>
      </c>
      <c r="AI12" s="36">
        <f>VLOOKUP($A12,[22]HISTODEC23!$A$6:$CA$36,63,0)</f>
        <v>0</v>
      </c>
      <c r="AJ12" s="36">
        <f>VLOOKUP($A12,[22]HISTODEC23!$A$6:$CA$36,64,0)</f>
        <v>0</v>
      </c>
      <c r="AK12" s="36">
        <f>VLOOKUP($A12,[22]HISTODEC23!$A$6:$CA$36,65,0)</f>
        <v>0</v>
      </c>
      <c r="AL12" s="36">
        <f>VLOOKUP($A12,[20]DETAILFICHECASSATION!$A$6:$R$36,12,0)</f>
        <v>100000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>
        <f>VLOOKUP($A13,[23]FONDSCAISSE!$A$2:$G$33,4,0)</f>
        <v>700000</v>
      </c>
      <c r="D13" s="36">
        <f>VLOOKUP($A13,[20]DETAILFICHECASSATION!$A$6:$R$36,17,0)</f>
        <v>41.235805909789633</v>
      </c>
      <c r="E13" s="36"/>
      <c r="F13" s="36">
        <f t="shared" si="0"/>
        <v>700041.23580590985</v>
      </c>
      <c r="G13" s="5">
        <f t="shared" si="5"/>
        <v>700041.23580590985</v>
      </c>
      <c r="H13" s="36">
        <f t="shared" si="1"/>
        <v>37403.100554815799</v>
      </c>
      <c r="I13" s="6">
        <f t="shared" si="2"/>
        <v>737444.33636072569</v>
      </c>
      <c r="J13" s="36">
        <f>VLOOKUP($A13,[22]HISTODEC23!$A$6:$AQ$40,22,0)</f>
        <v>0</v>
      </c>
      <c r="K13" s="36">
        <f>VLOOKUP($A13,[22]HISTODEC23!$A$6:$AU$36,45,0)</f>
        <v>15000</v>
      </c>
      <c r="L13" s="36">
        <f t="shared" si="3"/>
        <v>9000</v>
      </c>
      <c r="M13" s="36">
        <f t="shared" si="6"/>
        <v>1000</v>
      </c>
      <c r="N13" s="36">
        <f t="shared" si="4"/>
        <v>1000</v>
      </c>
      <c r="O13" s="36">
        <f t="shared" si="7"/>
        <v>4000</v>
      </c>
      <c r="P13" s="36">
        <f>VLOOKUP($A13,[22]HISTODEC23!$A$6:$AU$36,7,0)</f>
        <v>0</v>
      </c>
      <c r="Q13" s="36">
        <f>VLOOKUP($A13,[22]HISTODEC23!$A$6:$AU$36,23,0)</f>
        <v>0</v>
      </c>
      <c r="R13" s="36">
        <f>VLOOKUP($A13,[22]HISTODEC23!$A$6:$AU$36,46,0)</f>
        <v>0</v>
      </c>
      <c r="S13" s="36">
        <f>VLOOKUP($A13,[22]HISTODEC23!$A$6:$AU$36,26,0)</f>
        <v>1000000</v>
      </c>
      <c r="T13" s="36">
        <f>VLOOKUP($A13,[22]HISTODEC23!$A$6:$BG$36,58,0)</f>
        <v>120000</v>
      </c>
      <c r="U13" s="36">
        <f>VLOOKUP($A13,[22]HISTODEC23!$A$6:$AU$36,28,0)</f>
        <v>0</v>
      </c>
      <c r="V13" s="36">
        <f>VLOOKUP($A13,[22]HISTODEC23!$A$6:$AU$36,19,0)</f>
        <v>1000000</v>
      </c>
      <c r="W13" s="36" t="str">
        <f>VLOOKUP($A13,[22]HISTODEC23!$A$6:$AU$36,20,0)</f>
        <v>BANQUE</v>
      </c>
      <c r="X13" s="36" t="str">
        <f>VLOOKUP($A13,[22]HISTODEC23!$A$6:$AU$36,27,0)</f>
        <v>BANQUE</v>
      </c>
      <c r="Y13" s="36">
        <f>VLOOKUP($A13,[22]HISTODEC23!$A$6:$BM$36,33,0)</f>
        <v>0</v>
      </c>
      <c r="Z13" s="36">
        <f>VLOOKUP($A13,[22]HISTODEC23!$A$6:$BM$36,65,0)</f>
        <v>0</v>
      </c>
      <c r="AA13" s="36"/>
      <c r="AB13" s="36">
        <f>VLOOKUP($A13,[22]HISTODEC23!$A$6:$AU$36,43,0)</f>
        <v>0</v>
      </c>
      <c r="AC13" s="36">
        <f>VLOOKUP($A13,[22]HISTODEC23!$A$6:$AU$36,44,0)</f>
        <v>0</v>
      </c>
      <c r="AD13" s="36">
        <f>VLOOKUP($A13,[22]HISTODEC23!$A$6:$AU$36,47,0)</f>
        <v>0</v>
      </c>
      <c r="AE13" s="36">
        <f>VLOOKUP(A13,[22]HISTODEC23!$A$6:$BB$36,54,0)</f>
        <v>0</v>
      </c>
      <c r="AF13" s="36">
        <f>VLOOKUP($A13,[22]HISTODEC23!$A$6:$CA$36,60,0)</f>
        <v>0</v>
      </c>
      <c r="AG13" s="36">
        <f>VLOOKUP($A13,[22]HISTODEC23!$A$6:$CA$36,61,0)</f>
        <v>0</v>
      </c>
      <c r="AH13" s="36">
        <f>VLOOKUP($A13,[22]HISTODEC23!$A$6:$CA$36,62,0)</f>
        <v>0</v>
      </c>
      <c r="AI13" s="36">
        <f>VLOOKUP($A13,[22]HISTODEC23!$A$6:$CA$36,63,0)</f>
        <v>0</v>
      </c>
      <c r="AJ13" s="36">
        <f>VLOOKUP($A13,[22]HISTODEC23!$A$6:$CA$36,64,0)</f>
        <v>0</v>
      </c>
      <c r="AK13" s="36">
        <f>VLOOKUP($A13,[22]HISTODEC23!$A$6:$CA$36,65,0)</f>
        <v>0</v>
      </c>
      <c r="AL13" s="36">
        <f>VLOOKUP($A13,[20]DETAILFICHECASSATION!$A$6:$R$36,12,0)</f>
        <v>100000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>
        <f>VLOOKUP($A14,[23]FONDSCAISSE!$A$2:$G$33,4,0)</f>
        <v>700000</v>
      </c>
      <c r="D14" s="36">
        <f>VLOOKUP($A14,[20]DETAILFICHECASSATION!$A$6:$R$36,17,0)</f>
        <v>518031.2910165739</v>
      </c>
      <c r="E14" s="36"/>
      <c r="F14" s="36">
        <f t="shared" si="0"/>
        <v>1218031.291016574</v>
      </c>
      <c r="G14" s="5">
        <f t="shared" si="5"/>
        <v>1218031.291016574</v>
      </c>
      <c r="H14" s="36">
        <f t="shared" si="1"/>
        <v>65079.233231678169</v>
      </c>
      <c r="I14" s="6">
        <f t="shared" si="2"/>
        <v>1283110.5242482522</v>
      </c>
      <c r="J14" s="36">
        <f>VLOOKUP($A14,[22]HISTODEC23!$A$6:$AQ$40,22,0)</f>
        <v>0</v>
      </c>
      <c r="K14" s="36">
        <f>VLOOKUP($A14,[22]HISTODEC23!$A$6:$AU$36,45,0)</f>
        <v>15000</v>
      </c>
      <c r="L14" s="36">
        <f t="shared" si="3"/>
        <v>9000</v>
      </c>
      <c r="M14" s="36">
        <f t="shared" si="6"/>
        <v>1000</v>
      </c>
      <c r="N14" s="36">
        <f t="shared" si="4"/>
        <v>1000</v>
      </c>
      <c r="O14" s="36">
        <f t="shared" si="7"/>
        <v>4000</v>
      </c>
      <c r="P14" s="36">
        <f>VLOOKUP($A14,[22]HISTODEC23!$A$6:$AU$36,7,0)</f>
        <v>0</v>
      </c>
      <c r="Q14" s="36">
        <f>VLOOKUP($A14,[22]HISTODEC23!$A$6:$AU$36,23,0)</f>
        <v>0</v>
      </c>
      <c r="R14" s="36">
        <f>VLOOKUP($A14,[22]HISTODEC23!$A$6:$AU$36,46,0)</f>
        <v>0</v>
      </c>
      <c r="S14" s="36">
        <f>VLOOKUP($A14,[22]HISTODEC23!$A$6:$AU$36,26,0)</f>
        <v>0</v>
      </c>
      <c r="T14" s="36">
        <f>VLOOKUP($A14,[22]HISTODEC23!$A$6:$BG$36,58,0)</f>
        <v>0</v>
      </c>
      <c r="U14" s="36">
        <f>VLOOKUP($A14,[22]HISTODEC23!$A$6:$AU$36,28,0)</f>
        <v>0</v>
      </c>
      <c r="V14" s="36">
        <f>VLOOKUP($A14,[22]HISTODEC23!$A$6:$AU$36,19,0)</f>
        <v>0</v>
      </c>
      <c r="W14" s="36">
        <f>VLOOKUP($A14,[22]HISTODEC23!$A$6:$AU$36,20,0)</f>
        <v>0</v>
      </c>
      <c r="X14" s="36">
        <f>VLOOKUP($A14,[22]HISTODEC23!$A$6:$AU$36,27,0)</f>
        <v>0</v>
      </c>
      <c r="Y14" s="36">
        <f>VLOOKUP($A14,[22]HISTODEC23!$A$6:$BM$36,33,0)</f>
        <v>0</v>
      </c>
      <c r="Z14" s="36">
        <f>VLOOKUP($A14,[22]HISTODEC23!$A$6:$BM$36,65,0)</f>
        <v>0</v>
      </c>
      <c r="AA14" s="36"/>
      <c r="AB14" s="36">
        <f>VLOOKUP($A14,[22]HISTODEC23!$A$6:$AU$36,43,0)</f>
        <v>0</v>
      </c>
      <c r="AC14" s="36">
        <f>VLOOKUP($A14,[22]HISTODEC23!$A$6:$AU$36,44,0)</f>
        <v>0</v>
      </c>
      <c r="AD14" s="36">
        <f>VLOOKUP($A14,[22]HISTODEC23!$A$6:$AU$36,47,0)</f>
        <v>0</v>
      </c>
      <c r="AE14" s="36">
        <f>VLOOKUP(A14,[22]HISTODEC23!$A$6:$BB$36,54,0)</f>
        <v>0</v>
      </c>
      <c r="AF14" s="36">
        <f>VLOOKUP($A14,[22]HISTODEC23!$A$6:$CA$36,60,0)</f>
        <v>0</v>
      </c>
      <c r="AG14" s="36">
        <f>VLOOKUP($A14,[22]HISTODEC23!$A$6:$CA$36,61,0)</f>
        <v>0</v>
      </c>
      <c r="AH14" s="36">
        <f>VLOOKUP($A14,[22]HISTODEC23!$A$6:$CA$36,62,0)</f>
        <v>0</v>
      </c>
      <c r="AI14" s="36">
        <f>VLOOKUP($A14,[22]HISTODEC23!$A$6:$CA$36,63,0)</f>
        <v>0</v>
      </c>
      <c r="AJ14" s="36">
        <f>VLOOKUP($A14,[22]HISTODEC23!$A$6:$CA$36,64,0)</f>
        <v>0</v>
      </c>
      <c r="AK14" s="36">
        <f>VLOOKUP($A14,[22]HISTODEC23!$A$6:$CA$36,65,0)</f>
        <v>0</v>
      </c>
      <c r="AL14" s="36">
        <f>VLOOKUP($A14,[20]DETAILFICHECASSATION!$A$6:$R$36,12,0)</f>
        <v>100000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>
        <f>VLOOKUP($A15,[23]FONDSCAISSE!$A$2:$G$33,4,0)</f>
        <v>700000</v>
      </c>
      <c r="D15" s="36">
        <f>VLOOKUP($A15,[20]DETAILFICHECASSATION!$A$6:$R$36,17,0)</f>
        <v>57899.603500921949</v>
      </c>
      <c r="E15" s="36"/>
      <c r="F15" s="36">
        <f t="shared" si="0"/>
        <v>757899.60350092198</v>
      </c>
      <c r="G15" s="5">
        <f t="shared" si="5"/>
        <v>757899.60350092198</v>
      </c>
      <c r="H15" s="36">
        <f t="shared" si="1"/>
        <v>40494.464654735828</v>
      </c>
      <c r="I15" s="6">
        <f t="shared" si="2"/>
        <v>798394.06815565785</v>
      </c>
      <c r="J15" s="36">
        <f>VLOOKUP($A15,[22]HISTODEC23!$A$6:$AQ$40,22,0)</f>
        <v>18000</v>
      </c>
      <c r="K15" s="36">
        <f>VLOOKUP($A15,[22]HISTODEC23!$A$6:$AU$36,45,0)</f>
        <v>15000</v>
      </c>
      <c r="L15" s="36">
        <f t="shared" si="3"/>
        <v>9000</v>
      </c>
      <c r="M15" s="36">
        <f t="shared" si="6"/>
        <v>1000</v>
      </c>
      <c r="N15" s="36">
        <f t="shared" si="4"/>
        <v>1000</v>
      </c>
      <c r="O15" s="36">
        <f t="shared" si="7"/>
        <v>4000</v>
      </c>
      <c r="P15" s="36">
        <f>VLOOKUP($A15,[22]HISTODEC23!$A$6:$AU$36,7,0)</f>
        <v>0</v>
      </c>
      <c r="Q15" s="36">
        <f>VLOOKUP($A15,[22]HISTODEC23!$A$6:$AU$36,23,0)</f>
        <v>0</v>
      </c>
      <c r="R15" s="36">
        <f>VLOOKUP($A15,[22]HISTODEC23!$A$6:$AU$36,46,0)</f>
        <v>0</v>
      </c>
      <c r="S15" s="36">
        <f>VLOOKUP($A15,[22]HISTODEC23!$A$6:$AU$36,26,0)</f>
        <v>0</v>
      </c>
      <c r="T15" s="36">
        <f>VLOOKUP($A15,[22]HISTODEC23!$A$6:$BG$36,58,0)</f>
        <v>0</v>
      </c>
      <c r="U15" s="36">
        <f>VLOOKUP($A15,[22]HISTODEC23!$A$6:$AU$36,28,0)</f>
        <v>0</v>
      </c>
      <c r="V15" s="36">
        <f>VLOOKUP($A15,[22]HISTODEC23!$A$6:$AU$36,19,0)</f>
        <v>0</v>
      </c>
      <c r="W15" s="36">
        <f>VLOOKUP($A15,[22]HISTODEC23!$A$6:$AU$36,20,0)</f>
        <v>0</v>
      </c>
      <c r="X15" s="36">
        <f>VLOOKUP($A15,[22]HISTODEC23!$A$6:$AU$36,27,0)</f>
        <v>0</v>
      </c>
      <c r="Y15" s="36">
        <f>VLOOKUP($A15,[22]HISTODEC23!$A$6:$BM$36,33,0)</f>
        <v>0</v>
      </c>
      <c r="Z15" s="36">
        <f>VLOOKUP($A15,[22]HISTODEC23!$A$6:$BM$36,65,0)</f>
        <v>0</v>
      </c>
      <c r="AA15" s="36"/>
      <c r="AB15" s="36">
        <f>VLOOKUP($A15,[22]HISTODEC23!$A$6:$AU$36,43,0)</f>
        <v>0</v>
      </c>
      <c r="AC15" s="36">
        <f>VLOOKUP($A15,[22]HISTODEC23!$A$6:$AU$36,44,0)</f>
        <v>0</v>
      </c>
      <c r="AD15" s="36">
        <f>VLOOKUP($A15,[22]HISTODEC23!$A$6:$AU$36,47,0)</f>
        <v>0</v>
      </c>
      <c r="AE15" s="36">
        <f>VLOOKUP(A15,[22]HISTODEC23!$A$6:$BB$36,54,0)</f>
        <v>0</v>
      </c>
      <c r="AF15" s="36">
        <f>VLOOKUP($A15,[22]HISTODEC23!$A$6:$CA$36,60,0)</f>
        <v>0</v>
      </c>
      <c r="AG15" s="36">
        <f>VLOOKUP($A15,[22]HISTODEC23!$A$6:$CA$36,61,0)</f>
        <v>0</v>
      </c>
      <c r="AH15" s="36">
        <f>VLOOKUP($A15,[22]HISTODEC23!$A$6:$CA$36,62,0)</f>
        <v>0</v>
      </c>
      <c r="AI15" s="36">
        <f>VLOOKUP($A15,[22]HISTODEC23!$A$6:$CA$36,63,0)</f>
        <v>0</v>
      </c>
      <c r="AJ15" s="36">
        <f>VLOOKUP($A15,[22]HISTODEC23!$A$6:$CA$36,64,0)</f>
        <v>0</v>
      </c>
      <c r="AK15" s="36">
        <f>VLOOKUP($A15,[22]HISTODEC23!$A$6:$CA$36,65,0)</f>
        <v>0</v>
      </c>
      <c r="AL15" s="36">
        <f>VLOOKUP($A15,[20]DETAILFICHECASSATION!$A$6:$R$36,12,0)</f>
        <v>100000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>
        <f>VLOOKUP($A16,[23]FONDSCAISSE!$A$2:$G$33,4,0)</f>
        <v>700000</v>
      </c>
      <c r="D16" s="36">
        <f>VLOOKUP($A16,[20]DETAILFICHECASSATION!$A$6:$R$36,17,0)</f>
        <v>29661.208104101592</v>
      </c>
      <c r="E16" s="36"/>
      <c r="F16" s="36">
        <f t="shared" si="0"/>
        <v>729661.20810410159</v>
      </c>
      <c r="G16" s="5">
        <f t="shared" si="5"/>
        <v>729661.20810410159</v>
      </c>
      <c r="H16" s="36">
        <f t="shared" si="1"/>
        <v>38985.691330378751</v>
      </c>
      <c r="I16" s="6">
        <f t="shared" si="2"/>
        <v>768646.89943448035</v>
      </c>
      <c r="J16" s="36">
        <f>VLOOKUP($A16,[22]HISTODEC23!$A$6:$AQ$40,22,0)</f>
        <v>12000</v>
      </c>
      <c r="K16" s="36">
        <f>VLOOKUP($A16,[22]HISTODEC23!$A$6:$AU$36,45,0)</f>
        <v>50000</v>
      </c>
      <c r="L16" s="36">
        <f t="shared" si="3"/>
        <v>44000</v>
      </c>
      <c r="M16" s="36">
        <f t="shared" si="6"/>
        <v>1000</v>
      </c>
      <c r="N16" s="36">
        <f t="shared" si="4"/>
        <v>1000</v>
      </c>
      <c r="O16" s="36">
        <f t="shared" si="7"/>
        <v>4000</v>
      </c>
      <c r="P16" s="36">
        <f>VLOOKUP($A16,[22]HISTODEC23!$A$6:$AU$36,7,0)</f>
        <v>0</v>
      </c>
      <c r="Q16" s="36">
        <f>VLOOKUP($A16,[22]HISTODEC23!$A$6:$AU$36,23,0)</f>
        <v>0</v>
      </c>
      <c r="R16" s="36">
        <f>VLOOKUP($A16,[22]HISTODEC23!$A$6:$AU$36,46,0)</f>
        <v>0</v>
      </c>
      <c r="S16" s="36">
        <f>VLOOKUP($A16,[22]HISTODEC23!$A$6:$AU$36,26,0)-125000</f>
        <v>238500</v>
      </c>
      <c r="T16" s="36">
        <f>VLOOKUP($A16,[22]HISTODEC23!$A$6:$BG$36,58,0)</f>
        <v>0</v>
      </c>
      <c r="U16" s="36">
        <f>VLOOKUP($A16,[22]HISTODEC23!$A$6:$AU$36,28,0)</f>
        <v>0</v>
      </c>
      <c r="V16" s="36">
        <f>VLOOKUP($A16,[22]HISTODEC23!$A$6:$AU$36,19,0)-125000</f>
        <v>238500</v>
      </c>
      <c r="W16" s="36" t="str">
        <f>VLOOKUP($A16,[22]HISTODEC23!$A$6:$AU$36,20,0)</f>
        <v>BANQUE</v>
      </c>
      <c r="X16" s="36">
        <f>VLOOKUP($A16,[22]HISTODEC23!$A$6:$AU$36,27,0)</f>
        <v>0</v>
      </c>
      <c r="Y16" s="36">
        <f>VLOOKUP($A16,[22]HISTODEC23!$A$6:$BM$36,33,0)</f>
        <v>0</v>
      </c>
      <c r="Z16" s="36">
        <f>VLOOKUP($A16,[22]HISTODEC23!$A$6:$BM$36,65,0)</f>
        <v>0</v>
      </c>
      <c r="AA16" s="36"/>
      <c r="AB16" s="36">
        <f>VLOOKUP($A16,[22]HISTODEC23!$A$6:$AU$36,43,0)</f>
        <v>0</v>
      </c>
      <c r="AC16" s="36">
        <f>VLOOKUP($A16,[22]HISTODEC23!$A$6:$AU$36,44,0)</f>
        <v>0</v>
      </c>
      <c r="AD16" s="36">
        <f>VLOOKUP($A16,[22]HISTODEC23!$A$6:$AU$36,47,0)</f>
        <v>0</v>
      </c>
      <c r="AE16" s="36">
        <f>VLOOKUP(A16,[22]HISTODEC23!$A$6:$BB$36,54,0)</f>
        <v>0</v>
      </c>
      <c r="AF16" s="36">
        <f>VLOOKUP($A16,[22]HISTODEC23!$A$6:$CA$36,60,0)</f>
        <v>0</v>
      </c>
      <c r="AG16" s="36">
        <f>VLOOKUP($A16,[22]HISTODEC23!$A$6:$CA$36,61,0)</f>
        <v>0</v>
      </c>
      <c r="AH16" s="36">
        <f>VLOOKUP($A16,[22]HISTODEC23!$A$6:$CA$36,62,0)</f>
        <v>0</v>
      </c>
      <c r="AI16" s="36">
        <f>VLOOKUP($A16,[22]HISTODEC23!$A$6:$CA$36,63,0)</f>
        <v>0</v>
      </c>
      <c r="AJ16" s="36">
        <f>VLOOKUP($A16,[22]HISTODEC23!$A$6:$CA$36,64,0)</f>
        <v>0</v>
      </c>
      <c r="AK16" s="36">
        <f>VLOOKUP($A16,[22]HISTODEC23!$A$6:$CA$36,65,0)</f>
        <v>0</v>
      </c>
      <c r="AL16" s="36">
        <f>VLOOKUP($A16,[20]DETAILFICHECASSATION!$A$6:$R$36,12,0)</f>
        <v>100000</v>
      </c>
    </row>
    <row r="17" spans="1:38" x14ac:dyDescent="0.35">
      <c r="A17" s="1" t="s">
        <v>33</v>
      </c>
      <c r="B17" s="1" t="str">
        <f>VLOOKUP(A17,[19]LISTADHERENT!A$5:H$60,3,0)</f>
        <v>KOUAMOU MOISE</v>
      </c>
      <c r="C17" s="36">
        <f>VLOOKUP($A17,[23]FONDSCAISSE!$A$2:$G$33,4,0)</f>
        <v>700000</v>
      </c>
      <c r="D17" s="36">
        <f>VLOOKUP($A17,[20]DETAILFICHECASSATION!$A$6:$R$36,17,0)</f>
        <v>9267.5051528789336</v>
      </c>
      <c r="E17" s="36"/>
      <c r="F17" s="36">
        <f t="shared" si="0"/>
        <v>709267.50515287893</v>
      </c>
      <c r="G17" s="5">
        <f t="shared" si="5"/>
        <v>709267.50515287893</v>
      </c>
      <c r="H17" s="36">
        <f t="shared" si="1"/>
        <v>37896.05877281737</v>
      </c>
      <c r="I17" s="6">
        <f t="shared" si="2"/>
        <v>747163.5639256963</v>
      </c>
      <c r="J17" s="36">
        <f>VLOOKUP($A17,[22]HISTODEC23!$A$6:$AQ$40,22,0)</f>
        <v>9000</v>
      </c>
      <c r="K17" s="36">
        <f>VLOOKUP($A17,[22]HISTODEC23!$A$6:$AU$36,45,0)</f>
        <v>15000</v>
      </c>
      <c r="L17" s="36">
        <f t="shared" si="3"/>
        <v>9000</v>
      </c>
      <c r="M17" s="36">
        <f t="shared" si="6"/>
        <v>1000</v>
      </c>
      <c r="N17" s="36">
        <f t="shared" si="4"/>
        <v>1000</v>
      </c>
      <c r="O17" s="36">
        <f t="shared" si="7"/>
        <v>4000</v>
      </c>
      <c r="P17" s="36">
        <f>VLOOKUP($A17,[22]HISTODEC23!$A$6:$AU$36,7,0)</f>
        <v>0</v>
      </c>
      <c r="Q17" s="36">
        <f>VLOOKUP($A17,[22]HISTODEC23!$A$6:$AU$36,23,0)</f>
        <v>0</v>
      </c>
      <c r="R17" s="36">
        <f>VLOOKUP($A17,[22]HISTODEC23!$A$6:$AU$36,46,0)</f>
        <v>0</v>
      </c>
      <c r="S17" s="36">
        <f>VLOOKUP($A17,[22]HISTODEC23!$A$6:$AU$36,26,0)</f>
        <v>0</v>
      </c>
      <c r="T17" s="36">
        <f>VLOOKUP($A17,[22]HISTODEC23!$A$6:$BG$36,58,0)</f>
        <v>0</v>
      </c>
      <c r="U17" s="36">
        <f>VLOOKUP($A17,[22]HISTODEC23!$A$6:$AU$36,28,0)</f>
        <v>0</v>
      </c>
      <c r="V17" s="36">
        <f>VLOOKUP($A17,[22]HISTODEC23!$A$6:$AU$36,19,0)</f>
        <v>1000000</v>
      </c>
      <c r="W17" s="36" t="str">
        <f>VLOOKUP($A17,[22]HISTODEC23!$A$6:$AU$36,20,0)</f>
        <v>BANQUE</v>
      </c>
      <c r="X17" s="36">
        <f>VLOOKUP($A17,[22]HISTODEC23!$A$6:$AU$36,27,0)</f>
        <v>0</v>
      </c>
      <c r="Y17" s="36">
        <f>VLOOKUP($A17,[22]HISTODEC23!$A$6:$BM$36,33,0)</f>
        <v>0</v>
      </c>
      <c r="Z17" s="36">
        <f>VLOOKUP($A17,[22]HISTODEC23!$A$6:$BM$36,65,0)</f>
        <v>0</v>
      </c>
      <c r="AA17" s="36"/>
      <c r="AB17" s="36">
        <f>VLOOKUP($A17,[22]HISTODEC23!$A$6:$AU$36,43,0)</f>
        <v>0</v>
      </c>
      <c r="AC17" s="36">
        <f>VLOOKUP($A17,[22]HISTODEC23!$A$6:$AU$36,44,0)</f>
        <v>0</v>
      </c>
      <c r="AD17" s="36">
        <f>VLOOKUP($A17,[22]HISTODEC23!$A$6:$AU$36,47,0)</f>
        <v>0</v>
      </c>
      <c r="AE17" s="36">
        <f>VLOOKUP(A17,[22]HISTODEC23!$A$6:$BB$36,54,0)</f>
        <v>0</v>
      </c>
      <c r="AF17" s="36">
        <f>VLOOKUP($A17,[22]HISTODEC23!$A$6:$CA$36,60,0)</f>
        <v>0</v>
      </c>
      <c r="AG17" s="36">
        <f>VLOOKUP($A17,[22]HISTODEC23!$A$6:$CA$36,61,0)</f>
        <v>0</v>
      </c>
      <c r="AH17" s="36">
        <f>VLOOKUP($A17,[22]HISTODEC23!$A$6:$CA$36,62,0)</f>
        <v>0</v>
      </c>
      <c r="AI17" s="36">
        <f>VLOOKUP($A17,[22]HISTODEC23!$A$6:$CA$36,63,0)</f>
        <v>0</v>
      </c>
      <c r="AJ17" s="36">
        <f>VLOOKUP($A17,[22]HISTODEC23!$A$6:$CA$36,64,0)</f>
        <v>0</v>
      </c>
      <c r="AK17" s="36">
        <f>VLOOKUP($A17,[22]HISTODEC23!$A$6:$CA$36,65,0)</f>
        <v>0</v>
      </c>
      <c r="AL17" s="36">
        <f>VLOOKUP($A17,[20]DETAILFICHECASSATION!$A$6:$R$36,12,0)</f>
        <v>100000</v>
      </c>
    </row>
    <row r="18" spans="1:38" x14ac:dyDescent="0.35">
      <c r="A18" s="1" t="s">
        <v>35</v>
      </c>
      <c r="B18" s="1" t="str">
        <f>VLOOKUP(A18,[19]LISTADHERENT!A$5:H$60,3,0)</f>
        <v>KOUATCHO MESSACK</v>
      </c>
      <c r="C18" s="36">
        <f>VLOOKUP($A18,[23]FONDSCAISSE!$A$2:$G$33,4,0)</f>
        <v>700000</v>
      </c>
      <c r="D18" s="36">
        <f>VLOOKUP($A18,[20]DETAILFICHECASSATION!$A$6:$R$36,17,0)</f>
        <v>24428.628065245139</v>
      </c>
      <c r="E18" s="36"/>
      <c r="F18" s="36">
        <f t="shared" si="0"/>
        <v>724428.62806524511</v>
      </c>
      <c r="G18" s="5">
        <f t="shared" si="5"/>
        <v>724428.62806524511</v>
      </c>
      <c r="H18" s="36">
        <f t="shared" si="1"/>
        <v>38706.115346359526</v>
      </c>
      <c r="I18" s="6">
        <f t="shared" si="2"/>
        <v>763134.74341160466</v>
      </c>
      <c r="J18" s="36">
        <f>VLOOKUP($A18,[22]HISTODEC23!$A$6:$AQ$40,22,0)</f>
        <v>3000</v>
      </c>
      <c r="K18" s="36">
        <f>VLOOKUP($A18,[22]HISTODEC23!$A$6:$AU$36,45,0)</f>
        <v>15000</v>
      </c>
      <c r="L18" s="36">
        <f t="shared" si="3"/>
        <v>9000</v>
      </c>
      <c r="M18" s="36">
        <f t="shared" si="6"/>
        <v>1000</v>
      </c>
      <c r="N18" s="36">
        <f t="shared" si="4"/>
        <v>1000</v>
      </c>
      <c r="O18" s="36">
        <f t="shared" si="7"/>
        <v>4000</v>
      </c>
      <c r="P18" s="36">
        <f>VLOOKUP($A18,[22]HISTODEC23!$A$6:$AU$36,7,0)</f>
        <v>0</v>
      </c>
      <c r="Q18" s="36">
        <f>VLOOKUP($A18,[22]HISTODEC23!$A$6:$AU$36,23,0)</f>
        <v>0</v>
      </c>
      <c r="R18" s="36">
        <f>VLOOKUP($A18,[22]HISTODEC23!$A$6:$AU$36,46,0)</f>
        <v>0</v>
      </c>
      <c r="S18" s="36">
        <f>VLOOKUP($A18,[22]HISTODEC23!$A$6:$AU$36,26,0)</f>
        <v>1000000</v>
      </c>
      <c r="T18" s="36">
        <f>VLOOKUP($A18,[22]HISTODEC23!$A$6:$BG$36,58,0)</f>
        <v>50000</v>
      </c>
      <c r="U18" s="36">
        <f>VLOOKUP($A18,[22]HISTODEC23!$A$6:$AU$36,28,0)</f>
        <v>0</v>
      </c>
      <c r="V18" s="36">
        <f>VLOOKUP($A18,[22]HISTODEC23!$A$6:$AU$36,19,0)</f>
        <v>1000000</v>
      </c>
      <c r="W18" s="36" t="str">
        <f>VLOOKUP($A18,[22]HISTODEC23!$A$6:$AU$36,20,0)</f>
        <v>BANQUE</v>
      </c>
      <c r="X18" s="36" t="str">
        <f>VLOOKUP($A18,[22]HISTODEC23!$A$6:$AU$36,27,0)</f>
        <v>BANQUE</v>
      </c>
      <c r="Y18" s="36">
        <f>VLOOKUP($A18,[22]HISTODEC23!$A$6:$BM$36,33,0)</f>
        <v>0</v>
      </c>
      <c r="Z18" s="36">
        <f>VLOOKUP($A18,[22]HISTODEC23!$A$6:$BM$36,65,0)</f>
        <v>0</v>
      </c>
      <c r="AA18" s="36"/>
      <c r="AB18" s="36">
        <f>VLOOKUP($A18,[22]HISTODEC23!$A$6:$AU$36,43,0)</f>
        <v>0</v>
      </c>
      <c r="AC18" s="36">
        <f>VLOOKUP($A18,[22]HISTODEC23!$A$6:$AU$36,44,0)</f>
        <v>0</v>
      </c>
      <c r="AD18" s="36">
        <f>VLOOKUP($A18,[22]HISTODEC23!$A$6:$AU$36,47,0)</f>
        <v>0</v>
      </c>
      <c r="AE18" s="36">
        <f>VLOOKUP(A18,[22]HISTODEC23!$A$6:$BB$36,54,0)</f>
        <v>0</v>
      </c>
      <c r="AF18" s="36">
        <f>VLOOKUP($A18,[22]HISTODEC23!$A$6:$CA$36,60,0)</f>
        <v>0</v>
      </c>
      <c r="AG18" s="36">
        <f>VLOOKUP($A18,[22]HISTODEC23!$A$6:$CA$36,61,0)</f>
        <v>0</v>
      </c>
      <c r="AH18" s="36">
        <f>VLOOKUP($A18,[22]HISTODEC23!$A$6:$CA$36,62,0)</f>
        <v>0</v>
      </c>
      <c r="AI18" s="36">
        <f>VLOOKUP($A18,[22]HISTODEC23!$A$6:$CA$36,63,0)</f>
        <v>0</v>
      </c>
      <c r="AJ18" s="36">
        <f>VLOOKUP($A18,[22]HISTODEC23!$A$6:$CA$36,64,0)</f>
        <v>0</v>
      </c>
      <c r="AK18" s="36">
        <f>VLOOKUP($A18,[22]HISTODEC23!$A$6:$CA$36,65,0)</f>
        <v>0</v>
      </c>
      <c r="AL18" s="36">
        <f>VLOOKUP($A18,[20]DETAILFICHECASSATION!$A$6:$R$36,12,0)</f>
        <v>100000</v>
      </c>
    </row>
    <row r="19" spans="1:38" x14ac:dyDescent="0.35">
      <c r="A19" s="1" t="s">
        <v>36</v>
      </c>
      <c r="B19" s="1" t="str">
        <f>VLOOKUP(A19,[19]LISTADHERENT!A$5:H$60,3,0)</f>
        <v>LOWE JEAN</v>
      </c>
      <c r="C19" s="36"/>
      <c r="D19" s="36">
        <v>676217</v>
      </c>
      <c r="E19" s="36"/>
      <c r="F19" s="36">
        <f t="shared" si="0"/>
        <v>676217</v>
      </c>
      <c r="G19" s="5">
        <f t="shared" si="5"/>
        <v>0</v>
      </c>
      <c r="H19" s="36">
        <f t="shared" si="1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/>
      <c r="F20" s="36">
        <f t="shared" si="0"/>
        <v>0</v>
      </c>
      <c r="G20" s="5">
        <f t="shared" si="5"/>
        <v>0</v>
      </c>
      <c r="H20" s="36">
        <f t="shared" si="1"/>
        <v>0</v>
      </c>
      <c r="I20" s="6">
        <f t="shared" si="2"/>
        <v>0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35">
      <c r="A21" s="1" t="s">
        <v>75</v>
      </c>
      <c r="B21" s="1" t="str">
        <f>VLOOKUP(A21,[19]LISTADHERENT!A$5:H$60,3,0)</f>
        <v>MBOGNING TUGMA GUY</v>
      </c>
      <c r="C21" s="36">
        <f>VLOOKUP($A21,[23]FONDSCAISSE!$A$2:$G$33,4,0)</f>
        <v>700000</v>
      </c>
      <c r="D21" s="36">
        <f>VLOOKUP($A21,[20]DETAILFICHECASSATION!$A$6:$R$36,17,0)</f>
        <v>31709.397241182596</v>
      </c>
      <c r="E21" s="36"/>
      <c r="F21" s="36">
        <f t="shared" si="0"/>
        <v>731709.39724118263</v>
      </c>
      <c r="G21" s="5">
        <f t="shared" si="5"/>
        <v>731709.39724118263</v>
      </c>
      <c r="H21" s="36">
        <f t="shared" si="1"/>
        <v>39095.1257755673</v>
      </c>
      <c r="I21" s="6">
        <f t="shared" si="2"/>
        <v>770804.52301674988</v>
      </c>
      <c r="J21" s="36">
        <f>VLOOKUP($A21,[22]HISTODEC23!$A$6:$AQ$40,22,0)</f>
        <v>0</v>
      </c>
      <c r="K21" s="36">
        <f>VLOOKUP($A21,[22]HISTODEC23!$A$6:$AU$36,45,0)</f>
        <v>15000</v>
      </c>
      <c r="L21" s="36">
        <f t="shared" si="3"/>
        <v>9000</v>
      </c>
      <c r="M21" s="36">
        <f t="shared" si="6"/>
        <v>1000</v>
      </c>
      <c r="N21" s="36">
        <f t="shared" si="4"/>
        <v>1000</v>
      </c>
      <c r="O21" s="36">
        <f t="shared" si="7"/>
        <v>4000</v>
      </c>
      <c r="P21" s="36">
        <f>VLOOKUP($A21,[22]HISTODEC23!$A$6:$AU$36,7,0)</f>
        <v>0</v>
      </c>
      <c r="Q21" s="36">
        <f>VLOOKUP($A21,[22]HISTODEC23!$A$6:$AU$36,23,0)</f>
        <v>0</v>
      </c>
      <c r="R21" s="36">
        <f>VLOOKUP($A21,[22]HISTODEC23!$A$6:$AU$36,46,0)</f>
        <v>0</v>
      </c>
      <c r="S21" s="36">
        <f>VLOOKUP($A21,[22]HISTODEC23!$A$6:$AU$36,26,0)</f>
        <v>1000000</v>
      </c>
      <c r="T21" s="36">
        <f>VLOOKUP($A21,[22]HISTODEC23!$A$6:$BG$36,58,0)</f>
        <v>60000</v>
      </c>
      <c r="U21" s="36">
        <f>VLOOKUP($A21,[22]HISTODEC23!$A$6:$AU$36,28,0)</f>
        <v>0</v>
      </c>
      <c r="V21" s="36">
        <f>VLOOKUP($A21,[22]HISTODEC23!$A$6:$AU$36,19,0)</f>
        <v>1000000</v>
      </c>
      <c r="W21" s="36" t="str">
        <f>VLOOKUP($A21,[22]HISTODEC23!$A$6:$AU$36,20,0)</f>
        <v>BANQUE</v>
      </c>
      <c r="X21" s="36" t="str">
        <f>VLOOKUP($A21,[22]HISTODEC23!$A$6:$AU$36,27,0)</f>
        <v>BANQUE</v>
      </c>
      <c r="Y21" s="36">
        <f>VLOOKUP($A21,[22]HISTODEC23!$A$6:$BM$36,33,0)</f>
        <v>0</v>
      </c>
      <c r="Z21" s="36">
        <f>VLOOKUP($A21,[22]HISTODEC23!$A$6:$BM$36,65,0)</f>
        <v>0</v>
      </c>
      <c r="AA21" s="36"/>
      <c r="AB21" s="36">
        <f>VLOOKUP($A21,[22]HISTODEC23!$A$6:$AU$36,43,0)</f>
        <v>0</v>
      </c>
      <c r="AC21" s="36">
        <f>VLOOKUP($A21,[22]HISTODEC23!$A$6:$AU$36,44,0)</f>
        <v>0</v>
      </c>
      <c r="AD21" s="36">
        <f>VLOOKUP($A21,[22]HISTODEC23!$A$6:$AU$36,47,0)</f>
        <v>0</v>
      </c>
      <c r="AE21" s="36">
        <f>VLOOKUP(A21,[22]HISTODEC23!$A$6:$BB$36,54,0)</f>
        <v>0</v>
      </c>
      <c r="AF21" s="36">
        <f>VLOOKUP($A21,[22]HISTODEC23!$A$6:$CA$36,60,0)</f>
        <v>0</v>
      </c>
      <c r="AG21" s="36">
        <f>VLOOKUP($A21,[22]HISTODEC23!$A$6:$CA$36,61,0)</f>
        <v>0</v>
      </c>
      <c r="AH21" s="36">
        <f>VLOOKUP($A21,[22]HISTODEC23!$A$6:$CA$36,62,0)</f>
        <v>0</v>
      </c>
      <c r="AI21" s="36">
        <f>VLOOKUP($A21,[22]HISTODEC23!$A$6:$CA$36,63,0)</f>
        <v>0</v>
      </c>
      <c r="AJ21" s="36">
        <f>VLOOKUP($A21,[22]HISTODEC23!$A$6:$CA$36,64,0)</f>
        <v>0</v>
      </c>
      <c r="AK21" s="36">
        <f>VLOOKUP($A21,[22]HISTODEC23!$A$6:$CA$36,65,0)</f>
        <v>0</v>
      </c>
      <c r="AL21" s="36">
        <f>VLOOKUP($A21,[20]DETAILFICHECASSATION!$A$6:$R$36,12,0)</f>
        <v>100000</v>
      </c>
    </row>
    <row r="22" spans="1:38" x14ac:dyDescent="0.35">
      <c r="A22" s="1" t="s">
        <v>50</v>
      </c>
      <c r="B22" s="1" t="str">
        <f>VLOOKUP(A22,[19]LISTADHERENT!A$5:H$60,3,0)</f>
        <v>NANGUEN MARTIN</v>
      </c>
      <c r="C22" s="36">
        <f>VLOOKUP($A22,[23]FONDSCAISSE!$A$2:$G$33,4,0)</f>
        <v>700000</v>
      </c>
      <c r="D22" s="36">
        <f>VLOOKUP($A22,[20]DETAILFICHECASSATION!$A$6:$R$36,17,0)</f>
        <v>1150.3620808817795</v>
      </c>
      <c r="E22" s="36"/>
      <c r="F22" s="36">
        <f t="shared" si="0"/>
        <v>701150.36208088184</v>
      </c>
      <c r="G22" s="5">
        <f t="shared" si="5"/>
        <v>701150.36208088184</v>
      </c>
      <c r="H22" s="36">
        <f t="shared" si="1"/>
        <v>37462.361009013192</v>
      </c>
      <c r="I22" s="6">
        <f t="shared" si="2"/>
        <v>738612.72308989498</v>
      </c>
      <c r="J22" s="36">
        <f>VLOOKUP($A22,[22]HISTODEC23!$A$6:$AQ$40,22,0)</f>
        <v>0</v>
      </c>
      <c r="K22" s="36">
        <f>VLOOKUP($A22,[22]HISTODEC23!$A$6:$AU$36,45,0)</f>
        <v>15000</v>
      </c>
      <c r="L22" s="36">
        <f t="shared" si="3"/>
        <v>9000</v>
      </c>
      <c r="M22" s="36">
        <f t="shared" si="6"/>
        <v>1000</v>
      </c>
      <c r="N22" s="36">
        <f t="shared" si="4"/>
        <v>1000</v>
      </c>
      <c r="O22" s="36">
        <f t="shared" si="7"/>
        <v>4000</v>
      </c>
      <c r="P22" s="36">
        <f>VLOOKUP($A22,[22]HISTODEC23!$A$6:$AU$36,7,0)</f>
        <v>0</v>
      </c>
      <c r="Q22" s="36">
        <f>VLOOKUP($A22,[22]HISTODEC23!$A$6:$AU$36,23,0)</f>
        <v>0</v>
      </c>
      <c r="R22" s="36">
        <f>VLOOKUP($A22,[22]HISTODEC23!$A$6:$AU$36,46,0)</f>
        <v>0</v>
      </c>
      <c r="S22" s="36">
        <f>VLOOKUP($A22,[22]HISTODEC23!$A$6:$AU$36,26,0)</f>
        <v>300000</v>
      </c>
      <c r="T22" s="36">
        <f>VLOOKUP($A22,[22]HISTODEC23!$A$6:$BG$36,58,0)</f>
        <v>18000</v>
      </c>
      <c r="U22" s="36">
        <f>VLOOKUP($A22,[22]HISTODEC23!$A$6:$AU$36,28,0)</f>
        <v>0</v>
      </c>
      <c r="V22" s="36">
        <f>VLOOKUP($A22,[22]HISTODEC23!$A$6:$AU$36,19,0)</f>
        <v>500000</v>
      </c>
      <c r="W22" s="36" t="str">
        <f>VLOOKUP($A22,[22]HISTODEC23!$A$6:$AU$36,20,0)</f>
        <v>BANQUE</v>
      </c>
      <c r="X22" s="36" t="str">
        <f>VLOOKUP($A22,[22]HISTODEC23!$A$6:$AU$36,27,0)</f>
        <v>BANQUE</v>
      </c>
      <c r="Y22" s="36">
        <f>VLOOKUP($A22,[22]HISTODEC23!$A$6:$BM$36,33,0)</f>
        <v>0</v>
      </c>
      <c r="Z22" s="36">
        <f>VLOOKUP($A22,[22]HISTODEC23!$A$6:$BM$36,65,0)</f>
        <v>0</v>
      </c>
      <c r="AA22" s="36"/>
      <c r="AB22" s="36">
        <f>VLOOKUP($A22,[22]HISTODEC23!$A$6:$AU$36,43,0)</f>
        <v>0</v>
      </c>
      <c r="AC22" s="36">
        <f>VLOOKUP($A22,[22]HISTODEC23!$A$6:$AU$36,44,0)</f>
        <v>0</v>
      </c>
      <c r="AD22" s="36">
        <f>VLOOKUP($A22,[22]HISTODEC23!$A$6:$AU$36,47,0)</f>
        <v>0</v>
      </c>
      <c r="AE22" s="36">
        <f>VLOOKUP(A22,[22]HISTODEC23!$A$6:$BB$36,54,0)</f>
        <v>0</v>
      </c>
      <c r="AF22" s="36">
        <f>VLOOKUP($A22,[22]HISTODEC23!$A$6:$CA$36,60,0)</f>
        <v>0</v>
      </c>
      <c r="AG22" s="36">
        <f>VLOOKUP($A22,[22]HISTODEC23!$A$6:$CA$36,61,0)</f>
        <v>0</v>
      </c>
      <c r="AH22" s="36">
        <f>VLOOKUP($A22,[22]HISTODEC23!$A$6:$CA$36,62,0)</f>
        <v>0</v>
      </c>
      <c r="AI22" s="36">
        <f>VLOOKUP($A22,[22]HISTODEC23!$A$6:$CA$36,63,0)</f>
        <v>0</v>
      </c>
      <c r="AJ22" s="36">
        <f>VLOOKUP($A22,[22]HISTODEC23!$A$6:$CA$36,64,0)</f>
        <v>0</v>
      </c>
      <c r="AK22" s="36">
        <f>VLOOKUP($A22,[22]HISTODEC23!$A$6:$CA$36,65,0)</f>
        <v>0</v>
      </c>
      <c r="AL22" s="36">
        <f>VLOOKUP($A22,[20]DETAILFICHECASSATION!$A$6:$R$36,12,0)</f>
        <v>100000</v>
      </c>
    </row>
    <row r="23" spans="1:38" x14ac:dyDescent="0.35">
      <c r="A23" s="1" t="s">
        <v>37</v>
      </c>
      <c r="B23" s="1" t="str">
        <f>VLOOKUP(A23,[19]LISTADHERENT!A$5:H$60,3,0)</f>
        <v>NANKAM APPOLINAIRE</v>
      </c>
      <c r="C23" s="36">
        <f>VLOOKUP($A23,[23]FONDSCAISSE!$A$2:$G$33,4,0)</f>
        <v>700000</v>
      </c>
      <c r="D23" s="36">
        <f>VLOOKUP($A23,[20]DETAILFICHECASSATION!$A$6:$R$36,17,0)</f>
        <v>100402.23439018801</v>
      </c>
      <c r="E23" s="36"/>
      <c r="F23" s="36">
        <f t="shared" si="0"/>
        <v>800402.23439018801</v>
      </c>
      <c r="G23" s="5">
        <f t="shared" si="5"/>
        <v>800402.23439018801</v>
      </c>
      <c r="H23" s="36">
        <f t="shared" si="1"/>
        <v>42765.373989334228</v>
      </c>
      <c r="I23" s="6">
        <f t="shared" si="2"/>
        <v>843167.60837952222</v>
      </c>
      <c r="J23" s="36">
        <f>VLOOKUP($A23,[22]HISTODEC23!$A$6:$AQ$40,22,0)</f>
        <v>20000</v>
      </c>
      <c r="K23" s="36">
        <f>VLOOKUP($A23,[22]HISTODEC23!$A$6:$AU$36,45,0)</f>
        <v>15000</v>
      </c>
      <c r="L23" s="36">
        <f t="shared" si="3"/>
        <v>9000</v>
      </c>
      <c r="M23" s="36">
        <f t="shared" si="6"/>
        <v>1000</v>
      </c>
      <c r="N23" s="36">
        <f t="shared" si="4"/>
        <v>1000</v>
      </c>
      <c r="O23" s="36">
        <f t="shared" si="7"/>
        <v>4000</v>
      </c>
      <c r="P23" s="36">
        <f>VLOOKUP($A23,[22]HISTODEC23!$A$6:$AU$36,7,0)</f>
        <v>0</v>
      </c>
      <c r="Q23" s="36">
        <f>VLOOKUP($A23,[22]HISTODEC23!$A$6:$AU$36,23,0)</f>
        <v>0</v>
      </c>
      <c r="R23" s="36">
        <f>VLOOKUP($A23,[22]HISTODEC23!$A$6:$AU$36,46,0)</f>
        <v>0</v>
      </c>
      <c r="S23" s="36">
        <f>VLOOKUP($A23,[22]HISTODEC23!$A$6:$AU$36,26,0)</f>
        <v>1000000</v>
      </c>
      <c r="T23" s="36">
        <f>VLOOKUP($A23,[22]HISTODEC23!$A$6:$BG$36,58,0)</f>
        <v>120000</v>
      </c>
      <c r="U23" s="36">
        <f>VLOOKUP($A23,[22]HISTODEC23!$A$6:$AU$36,28,0)</f>
        <v>0</v>
      </c>
      <c r="V23" s="36">
        <f>VLOOKUP($A23,[22]HISTODEC23!$A$6:$AU$36,19,0)</f>
        <v>107500</v>
      </c>
      <c r="W23" s="36" t="str">
        <f>VLOOKUP($A23,[22]HISTODEC23!$A$6:$AU$36,20,0)</f>
        <v>BANQUE</v>
      </c>
      <c r="X23" s="36" t="str">
        <f>VLOOKUP($A23,[22]HISTODEC23!$A$6:$AU$36,27,0)</f>
        <v>BANQUE</v>
      </c>
      <c r="Y23" s="36">
        <f>VLOOKUP($A23,[22]HISTODEC23!$A$6:$BM$36,33,0)</f>
        <v>0</v>
      </c>
      <c r="Z23" s="36">
        <f>VLOOKUP($A23,[22]HISTODEC23!$A$6:$BM$36,65,0)</f>
        <v>0</v>
      </c>
      <c r="AA23" s="36"/>
      <c r="AB23" s="36">
        <f>VLOOKUP($A23,[22]HISTODEC23!$A$6:$AU$36,43,0)</f>
        <v>0</v>
      </c>
      <c r="AC23" s="36">
        <f>VLOOKUP($A23,[22]HISTODEC23!$A$6:$AU$36,44,0)</f>
        <v>0</v>
      </c>
      <c r="AD23" s="36">
        <f>VLOOKUP($A23,[22]HISTODEC23!$A$6:$AU$36,47,0)</f>
        <v>0</v>
      </c>
      <c r="AE23" s="36">
        <f>VLOOKUP(A23,[22]HISTODEC23!$A$6:$BB$36,54,0)</f>
        <v>0</v>
      </c>
      <c r="AF23" s="36">
        <f>VLOOKUP($A23,[22]HISTODEC23!$A$6:$CA$36,60,0)</f>
        <v>0</v>
      </c>
      <c r="AG23" s="36">
        <f>VLOOKUP($A23,[22]HISTODEC23!$A$6:$CA$36,61,0)</f>
        <v>0</v>
      </c>
      <c r="AH23" s="36">
        <f>VLOOKUP($A23,[22]HISTODEC23!$A$6:$CA$36,62,0)</f>
        <v>0</v>
      </c>
      <c r="AI23" s="36">
        <f>VLOOKUP($A23,[22]HISTODEC23!$A$6:$CA$36,63,0)</f>
        <v>0</v>
      </c>
      <c r="AJ23" s="36">
        <f>VLOOKUP($A23,[22]HISTODEC23!$A$6:$CA$36,64,0)</f>
        <v>0</v>
      </c>
      <c r="AK23" s="36">
        <f>VLOOKUP($A23,[22]HISTODEC23!$A$6:$CA$36,65,0)</f>
        <v>0</v>
      </c>
      <c r="AL23" s="36">
        <f>VLOOKUP($A23,[20]DETAILFICHECASSATION!$A$6:$R$36,12,0)</f>
        <v>100000</v>
      </c>
    </row>
    <row r="24" spans="1:38" x14ac:dyDescent="0.35">
      <c r="A24" s="1" t="s">
        <v>38</v>
      </c>
      <c r="B24" s="1" t="str">
        <f>VLOOKUP(A24,[19]LISTADHERENT!A$5:H$60,3,0)</f>
        <v>NDJOMO ETIENNE</v>
      </c>
      <c r="C24" s="36">
        <f>VLOOKUP($A24,[23]FONDSCAISSE!$A$2:$G$33,4,0)</f>
        <v>700000</v>
      </c>
      <c r="D24" s="36">
        <f>VLOOKUP($A24,[20]DETAILFICHECASSATION!$A$6:$R$36,17,0)</f>
        <v>224970.61781197961</v>
      </c>
      <c r="E24" s="36"/>
      <c r="F24" s="36">
        <f t="shared" si="0"/>
        <v>924970.61781197961</v>
      </c>
      <c r="G24" s="5">
        <f t="shared" si="5"/>
        <v>924970.61781197961</v>
      </c>
      <c r="H24" s="36">
        <f t="shared" si="1"/>
        <v>49421.044445249943</v>
      </c>
      <c r="I24" s="6">
        <f t="shared" si="2"/>
        <v>974391.66225722956</v>
      </c>
      <c r="J24" s="36">
        <f>VLOOKUP($A24,[22]HISTODEC23!$A$6:$AQ$40,22,0)</f>
        <v>0</v>
      </c>
      <c r="K24" s="36">
        <f>VLOOKUP($A24,[22]HISTODEC23!$A$6:$AU$36,45,0)</f>
        <v>25000</v>
      </c>
      <c r="L24" s="36">
        <f t="shared" si="3"/>
        <v>19000</v>
      </c>
      <c r="M24" s="36">
        <f t="shared" si="6"/>
        <v>1000</v>
      </c>
      <c r="N24" s="36">
        <f t="shared" si="4"/>
        <v>1000</v>
      </c>
      <c r="O24" s="36">
        <f t="shared" si="7"/>
        <v>4000</v>
      </c>
      <c r="P24" s="36">
        <f>VLOOKUP($A24,[22]HISTODEC23!$A$6:$AU$36,7,0)</f>
        <v>0</v>
      </c>
      <c r="Q24" s="36">
        <f>VLOOKUP($A24,[22]HISTODEC23!$A$6:$AU$36,23,0)</f>
        <v>0</v>
      </c>
      <c r="R24" s="36">
        <f>VLOOKUP($A24,[22]HISTODEC23!$A$6:$AU$36,46,0)</f>
        <v>0</v>
      </c>
      <c r="S24" s="36">
        <f>VLOOKUP($A24,[22]HISTODEC23!$A$6:$AU$36,26,0)</f>
        <v>500000</v>
      </c>
      <c r="T24" s="36">
        <f>VLOOKUP($A24,[22]HISTODEC23!$A$6:$BG$36,58,0)</f>
        <v>30000</v>
      </c>
      <c r="U24" s="36">
        <f>VLOOKUP($A24,[22]HISTODEC23!$A$6:$AU$36,28,0)</f>
        <v>0</v>
      </c>
      <c r="V24" s="36">
        <f>VLOOKUP($A24,[22]HISTODEC23!$A$6:$AU$36,19,0)</f>
        <v>600000</v>
      </c>
      <c r="W24" s="36" t="str">
        <f>VLOOKUP($A24,[22]HISTODEC23!$A$6:$AU$36,20,0)</f>
        <v>BANQUE</v>
      </c>
      <c r="X24" s="36" t="str">
        <f>VLOOKUP($A24,[22]HISTODEC23!$A$6:$AU$36,27,0)</f>
        <v>BANQUE</v>
      </c>
      <c r="Y24" s="36">
        <f>VLOOKUP($A24,[22]HISTODEC23!$A$6:$BM$36,33,0)</f>
        <v>0</v>
      </c>
      <c r="Z24" s="36">
        <f>VLOOKUP($A24,[22]HISTODEC23!$A$6:$BM$36,65,0)</f>
        <v>0</v>
      </c>
      <c r="AA24" s="36"/>
      <c r="AB24" s="36">
        <f>VLOOKUP($A24,[22]HISTODEC23!$A$6:$AU$36,43,0)</f>
        <v>0</v>
      </c>
      <c r="AC24" s="36">
        <f>VLOOKUP($A24,[22]HISTODEC23!$A$6:$AU$36,44,0)</f>
        <v>0</v>
      </c>
      <c r="AD24" s="36">
        <f>VLOOKUP($A24,[22]HISTODEC23!$A$6:$AU$36,47,0)</f>
        <v>0</v>
      </c>
      <c r="AE24" s="36">
        <f>VLOOKUP(A24,[22]HISTODEC23!$A$6:$BB$36,54,0)</f>
        <v>0</v>
      </c>
      <c r="AF24" s="36">
        <f>VLOOKUP($A24,[22]HISTODEC23!$A$6:$CA$36,60,0)</f>
        <v>0</v>
      </c>
      <c r="AG24" s="36">
        <f>VLOOKUP($A24,[22]HISTODEC23!$A$6:$CA$36,61,0)</f>
        <v>0</v>
      </c>
      <c r="AH24" s="36">
        <f>VLOOKUP($A24,[22]HISTODEC23!$A$6:$CA$36,62,0)</f>
        <v>0</v>
      </c>
      <c r="AI24" s="36">
        <f>VLOOKUP($A24,[22]HISTODEC23!$A$6:$CA$36,63,0)</f>
        <v>0</v>
      </c>
      <c r="AJ24" s="36">
        <f>VLOOKUP($A24,[22]HISTODEC23!$A$6:$CA$36,64,0)</f>
        <v>0</v>
      </c>
      <c r="AK24" s="36">
        <f>VLOOKUP($A24,[22]HISTODEC23!$A$6:$CA$36,65,0)</f>
        <v>0</v>
      </c>
      <c r="AL24" s="36">
        <f>VLOOKUP($A24,[20]DETAILFICHECASSATION!$A$6:$R$36,12,0)</f>
        <v>100000</v>
      </c>
    </row>
    <row r="25" spans="1:38" x14ac:dyDescent="0.35">
      <c r="A25" s="1" t="s">
        <v>39</v>
      </c>
      <c r="B25" s="1" t="str">
        <f>VLOOKUP(A25,[19]LISTADHERENT!A$5:H$60,3,0)</f>
        <v>NGONDIEP CLAUDE</v>
      </c>
      <c r="C25" s="36">
        <f>VLOOKUP($A25,[23]FONDSCAISSE!$A$2:$G$33,4,0)</f>
        <v>700000</v>
      </c>
      <c r="D25" s="36">
        <f>VLOOKUP($A25,[20]DETAILFICHECASSATION!$A$6:$R$36,17,0)</f>
        <v>57632.732271146844</v>
      </c>
      <c r="E25" s="36"/>
      <c r="F25" s="36">
        <f t="shared" si="0"/>
        <v>757632.73227114684</v>
      </c>
      <c r="G25" s="5">
        <f t="shared" si="5"/>
        <v>757632.73227114684</v>
      </c>
      <c r="H25" s="36">
        <f t="shared" si="1"/>
        <v>40480.205764070663</v>
      </c>
      <c r="I25" s="6">
        <f t="shared" si="2"/>
        <v>798112.93803521746</v>
      </c>
      <c r="J25" s="36">
        <f>VLOOKUP($A25,[22]HISTODEC23!$A$6:$AQ$40,22,0)</f>
        <v>15000</v>
      </c>
      <c r="K25" s="36">
        <f>VLOOKUP($A25,[22]HISTODEC23!$A$6:$AU$36,45,0)</f>
        <v>15000</v>
      </c>
      <c r="L25" s="36">
        <f t="shared" si="3"/>
        <v>9000</v>
      </c>
      <c r="M25" s="36">
        <f t="shared" si="6"/>
        <v>1000</v>
      </c>
      <c r="N25" s="36">
        <f t="shared" si="4"/>
        <v>1000</v>
      </c>
      <c r="O25" s="36">
        <f t="shared" si="7"/>
        <v>4000</v>
      </c>
      <c r="P25" s="36">
        <f>VLOOKUP($A25,[22]HISTODEC23!$A$6:$AU$36,7,0)</f>
        <v>0</v>
      </c>
      <c r="Q25" s="36">
        <f>VLOOKUP($A25,[22]HISTODEC23!$A$6:$AU$36,23,0)</f>
        <v>0</v>
      </c>
      <c r="R25" s="36">
        <f>VLOOKUP($A25,[22]HISTODEC23!$A$6:$AU$36,46,0)</f>
        <v>0</v>
      </c>
      <c r="S25" s="36">
        <f>VLOOKUP($A25,[22]HISTODEC23!$A$6:$AU$36,26,0)</f>
        <v>1000000</v>
      </c>
      <c r="T25" s="36">
        <f>VLOOKUP($A25,[22]HISTODEC23!$A$6:$BG$36,58,0)</f>
        <v>120000</v>
      </c>
      <c r="U25" s="36">
        <f>VLOOKUP($A25,[22]HISTODEC23!$A$6:$AU$36,28,0)</f>
        <v>0</v>
      </c>
      <c r="V25" s="36">
        <f>VLOOKUP($A25,[22]HISTODEC23!$A$6:$AU$36,19,0)</f>
        <v>1000000</v>
      </c>
      <c r="W25" s="36" t="str">
        <f>VLOOKUP($A25,[22]HISTODEC23!$A$6:$AU$36,20,0)</f>
        <v>BANQUE</v>
      </c>
      <c r="X25" s="36" t="str">
        <f>VLOOKUP($A25,[22]HISTODEC23!$A$6:$AU$36,27,0)</f>
        <v>BANQUE</v>
      </c>
      <c r="Y25" s="36">
        <f>VLOOKUP($A25,[22]HISTODEC23!$A$6:$BM$36,33,0)</f>
        <v>0</v>
      </c>
      <c r="Z25" s="36">
        <f>VLOOKUP($A25,[22]HISTODEC23!$A$6:$BM$36,65,0)</f>
        <v>0</v>
      </c>
      <c r="AA25" s="36"/>
      <c r="AB25" s="36">
        <f>VLOOKUP($A25,[22]HISTODEC23!$A$6:$AU$36,43,0)</f>
        <v>0</v>
      </c>
      <c r="AC25" s="36">
        <f>VLOOKUP($A25,[22]HISTODEC23!$A$6:$AU$36,44,0)</f>
        <v>0</v>
      </c>
      <c r="AD25" s="36">
        <f>VLOOKUP($A25,[22]HISTODEC23!$A$6:$AU$36,47,0)</f>
        <v>0</v>
      </c>
      <c r="AE25" s="36">
        <f>VLOOKUP(A25,[22]HISTODEC23!$A$6:$BB$36,54,0)</f>
        <v>0</v>
      </c>
      <c r="AF25" s="36">
        <f>VLOOKUP($A25,[22]HISTODEC23!$A$6:$CA$36,60,0)</f>
        <v>0</v>
      </c>
      <c r="AG25" s="36">
        <f>VLOOKUP($A25,[22]HISTODEC23!$A$6:$CA$36,61,0)</f>
        <v>0</v>
      </c>
      <c r="AH25" s="36">
        <f>VLOOKUP($A25,[22]HISTODEC23!$A$6:$CA$36,62,0)</f>
        <v>0</v>
      </c>
      <c r="AI25" s="36">
        <f>VLOOKUP($A25,[22]HISTODEC23!$A$6:$CA$36,63,0)</f>
        <v>0</v>
      </c>
      <c r="AJ25" s="36">
        <f>VLOOKUP($A25,[22]HISTODEC23!$A$6:$CA$36,64,0)</f>
        <v>0</v>
      </c>
      <c r="AK25" s="36">
        <f>VLOOKUP($A25,[22]HISTODEC23!$A$6:$CA$36,65,0)</f>
        <v>0</v>
      </c>
      <c r="AL25" s="36">
        <f>VLOOKUP($A25,[20]DETAILFICHECASSATION!$A$6:$R$36,12,0)</f>
        <v>100000</v>
      </c>
    </row>
    <row r="26" spans="1:38" x14ac:dyDescent="0.35">
      <c r="A26" s="1" t="s">
        <v>41</v>
      </c>
      <c r="B26" s="1" t="str">
        <f>VLOOKUP(A26,[19]LISTADHERENT!A$5:H$60,3,0)</f>
        <v>NGUIEMEGNI MATHIEU BLAISE</v>
      </c>
      <c r="C26" s="36">
        <f>VLOOKUP($A26,[23]FONDSCAISSE!$A$2:$G$33,4,0)</f>
        <v>700000</v>
      </c>
      <c r="D26" s="36">
        <f>VLOOKUP($A26,[20]DETAILFICHECASSATION!$A$6:$R$36,17,0)</f>
        <v>20382.784231808502</v>
      </c>
      <c r="E26" s="36"/>
      <c r="F26" s="36">
        <f t="shared" si="0"/>
        <v>720382.7842318085</v>
      </c>
      <c r="G26" s="5">
        <f t="shared" si="5"/>
        <v>720382.7842318085</v>
      </c>
      <c r="H26" s="36">
        <f t="shared" si="1"/>
        <v>38489.946503738567</v>
      </c>
      <c r="I26" s="6">
        <f t="shared" si="2"/>
        <v>758872.73073554703</v>
      </c>
      <c r="J26" s="36">
        <f>VLOOKUP($A26,[22]HISTODEC23!$A$6:$AQ$40,22,0)</f>
        <v>15000</v>
      </c>
      <c r="K26" s="36">
        <f>VLOOKUP($A26,[22]HISTODEC23!$A$6:$AU$36,45,0)</f>
        <v>123000</v>
      </c>
      <c r="L26" s="36">
        <f t="shared" si="3"/>
        <v>117000</v>
      </c>
      <c r="M26" s="36">
        <f t="shared" si="6"/>
        <v>1000</v>
      </c>
      <c r="N26" s="36">
        <f t="shared" si="4"/>
        <v>1000</v>
      </c>
      <c r="O26" s="36">
        <f t="shared" si="7"/>
        <v>4000</v>
      </c>
      <c r="P26" s="36">
        <f>VLOOKUP($A26,[22]HISTODEC23!$A$6:$AU$36,7,0)</f>
        <v>0</v>
      </c>
      <c r="Q26" s="36">
        <f>VLOOKUP($A26,[22]HISTODEC23!$A$6:$AU$36,23,0)</f>
        <v>0</v>
      </c>
      <c r="R26" s="36">
        <f>VLOOKUP($A26,[22]HISTODEC23!$A$6:$AU$36,46,0)</f>
        <v>0</v>
      </c>
      <c r="S26" s="36">
        <f>VLOOKUP($A26,[22]HISTODEC23!$A$6:$AU$36,26,0)</f>
        <v>1000000</v>
      </c>
      <c r="T26" s="36">
        <f>VLOOKUP($A26,[22]HISTODEC23!$A$6:$BG$36,58,0)</f>
        <v>120000</v>
      </c>
      <c r="U26" s="36">
        <f>VLOOKUP($A26,[22]HISTODEC23!$A$6:$AU$36,28,0)</f>
        <v>0</v>
      </c>
      <c r="V26" s="36">
        <f>VLOOKUP($A26,[22]HISTODEC23!$A$6:$AU$36,19,0)</f>
        <v>1000000</v>
      </c>
      <c r="W26" s="36" t="str">
        <f>VLOOKUP($A26,[22]HISTODEC23!$A$6:$AU$36,20,0)</f>
        <v>BANQUE</v>
      </c>
      <c r="X26" s="36" t="str">
        <f>VLOOKUP($A26,[22]HISTODEC23!$A$6:$AU$36,27,0)</f>
        <v>BANQUE</v>
      </c>
      <c r="Y26" s="36">
        <f>VLOOKUP($A26,[22]HISTODEC23!$A$6:$BM$36,33,0)</f>
        <v>0</v>
      </c>
      <c r="Z26" s="36">
        <f>VLOOKUP($A26,[22]HISTODEC23!$A$6:$BM$36,65,0)</f>
        <v>0</v>
      </c>
      <c r="AA26" s="36"/>
      <c r="AB26" s="36">
        <f>VLOOKUP($A26,[22]HISTODEC23!$A$6:$AU$36,43,0)</f>
        <v>0</v>
      </c>
      <c r="AC26" s="36">
        <f>VLOOKUP($A26,[22]HISTODEC23!$A$6:$AU$36,44,0)</f>
        <v>0</v>
      </c>
      <c r="AD26" s="36">
        <f>VLOOKUP($A26,[22]HISTODEC23!$A$6:$AU$36,47,0)</f>
        <v>0</v>
      </c>
      <c r="AE26" s="36">
        <f>VLOOKUP(A26,[22]HISTODEC23!$A$6:$BB$36,54,0)</f>
        <v>0</v>
      </c>
      <c r="AF26" s="36">
        <f>VLOOKUP($A26,[22]HISTODEC23!$A$6:$CA$36,60,0)</f>
        <v>0</v>
      </c>
      <c r="AG26" s="36">
        <f>VLOOKUP($A26,[22]HISTODEC23!$A$6:$CA$36,61,0)</f>
        <v>0</v>
      </c>
      <c r="AH26" s="36">
        <f>VLOOKUP($A26,[22]HISTODEC23!$A$6:$CA$36,62,0)</f>
        <v>0</v>
      </c>
      <c r="AI26" s="36">
        <f>VLOOKUP($A26,[22]HISTODEC23!$A$6:$CA$36,63,0)</f>
        <v>0</v>
      </c>
      <c r="AJ26" s="36">
        <f>VLOOKUP($A26,[22]HISTODEC23!$A$6:$CA$36,64,0)</f>
        <v>0</v>
      </c>
      <c r="AK26" s="36">
        <f>VLOOKUP($A26,[22]HISTODEC23!$A$6:$CA$36,65,0)</f>
        <v>0</v>
      </c>
      <c r="AL26" s="36">
        <f>VLOOKUP($A26,[20]DETAILFICHECASSATION!$A$6:$R$36,12,0)</f>
        <v>100000</v>
      </c>
    </row>
    <row r="27" spans="1:38" x14ac:dyDescent="0.35">
      <c r="A27" s="1" t="s">
        <v>43</v>
      </c>
      <c r="B27" s="1" t="str">
        <f>VLOOKUP(A27,[19]LISTADHERENT!A$5:H$60,3,0)</f>
        <v>NKAMGANG JUSTIN DEJOLIE</v>
      </c>
      <c r="C27" s="36">
        <f>VLOOKUP($A27,[23]FONDSCAISSE!$A$2:$G$33,4,0)</f>
        <v>700000</v>
      </c>
      <c r="D27" s="36">
        <f>VLOOKUP($A27,[20]DETAILFICHECASSATION!$A$6:$R$36,17,0)</f>
        <v>19031.484583758342</v>
      </c>
      <c r="E27" s="36"/>
      <c r="F27" s="36">
        <f t="shared" si="0"/>
        <v>719031.48458375828</v>
      </c>
      <c r="G27" s="5">
        <f t="shared" si="5"/>
        <v>719031.48458375828</v>
      </c>
      <c r="H27" s="36">
        <f t="shared" si="1"/>
        <v>38417.746761736904</v>
      </c>
      <c r="I27" s="6">
        <f t="shared" si="2"/>
        <v>757449.23134549521</v>
      </c>
      <c r="J27" s="36">
        <f>VLOOKUP($A27,[22]HISTODEC23!$A$6:$AQ$40,22,0)</f>
        <v>0</v>
      </c>
      <c r="K27" s="36">
        <f>VLOOKUP($A27,[22]HISTODEC23!$A$6:$AU$36,45,0)</f>
        <v>15000</v>
      </c>
      <c r="L27" s="36">
        <f t="shared" si="3"/>
        <v>9000</v>
      </c>
      <c r="M27" s="36">
        <f t="shared" si="6"/>
        <v>1000</v>
      </c>
      <c r="N27" s="36">
        <f t="shared" si="4"/>
        <v>1000</v>
      </c>
      <c r="O27" s="36">
        <f t="shared" si="7"/>
        <v>4000</v>
      </c>
      <c r="P27" s="36">
        <f>VLOOKUP($A27,[22]HISTODEC23!$A$6:$AU$36,7,0)</f>
        <v>0</v>
      </c>
      <c r="Q27" s="36">
        <f>VLOOKUP($A27,[22]HISTODEC23!$A$6:$AU$36,23,0)</f>
        <v>0</v>
      </c>
      <c r="R27" s="36">
        <f>VLOOKUP($A27,[22]HISTODEC23!$A$6:$AU$36,46,0)</f>
        <v>0</v>
      </c>
      <c r="S27" s="36">
        <f>VLOOKUP($A27,[22]HISTODEC23!$A$6:$AU$36,26,0)</f>
        <v>1000000</v>
      </c>
      <c r="T27" s="36">
        <f>VLOOKUP($A27,[22]HISTODEC23!$A$6:$BG$36,58,0)</f>
        <v>30000</v>
      </c>
      <c r="U27" s="36">
        <f>VLOOKUP($A27,[22]HISTODEC23!$A$6:$AU$36,28,0)</f>
        <v>0</v>
      </c>
      <c r="V27" s="36">
        <f>VLOOKUP($A27,[22]HISTODEC23!$A$6:$AU$36,19,0)</f>
        <v>1000000</v>
      </c>
      <c r="W27" s="36" t="str">
        <f>VLOOKUP($A27,[22]HISTODEC23!$A$6:$AU$36,20,0)</f>
        <v>BANQUE</v>
      </c>
      <c r="X27" s="36" t="str">
        <f>VLOOKUP($A27,[22]HISTODEC23!$A$6:$AU$36,27,0)</f>
        <v>BANQUE</v>
      </c>
      <c r="Y27" s="36">
        <f>VLOOKUP($A27,[22]HISTODEC23!$A$6:$BM$36,33,0)</f>
        <v>0</v>
      </c>
      <c r="Z27" s="36">
        <f>VLOOKUP($A27,[22]HISTODEC23!$A$6:$BM$36,65,0)</f>
        <v>0</v>
      </c>
      <c r="AA27" s="36"/>
      <c r="AB27" s="36">
        <f>VLOOKUP($A27,[22]HISTODEC23!$A$6:$AU$36,43,0)</f>
        <v>0</v>
      </c>
      <c r="AC27" s="36">
        <f>VLOOKUP($A27,[22]HISTODEC23!$A$6:$AU$36,44,0)</f>
        <v>0</v>
      </c>
      <c r="AD27" s="36">
        <f>VLOOKUP($A27,[22]HISTODEC23!$A$6:$AU$36,47,0)</f>
        <v>0</v>
      </c>
      <c r="AE27" s="36">
        <f>VLOOKUP(A27,[22]HISTODEC23!$A$6:$BB$36,54,0)</f>
        <v>0</v>
      </c>
      <c r="AF27" s="36">
        <f>VLOOKUP($A27,[22]HISTODEC23!$A$6:$CA$36,60,0)</f>
        <v>0</v>
      </c>
      <c r="AG27" s="36">
        <f>VLOOKUP($A27,[22]HISTODEC23!$A$6:$CA$36,61,0)</f>
        <v>0</v>
      </c>
      <c r="AH27" s="36">
        <f>VLOOKUP($A27,[22]HISTODEC23!$A$6:$CA$36,62,0)</f>
        <v>0</v>
      </c>
      <c r="AI27" s="36">
        <f>VLOOKUP($A27,[22]HISTODEC23!$A$6:$CA$36,63,0)</f>
        <v>0</v>
      </c>
      <c r="AJ27" s="36">
        <f>VLOOKUP($A27,[22]HISTODEC23!$A$6:$CA$36,64,0)</f>
        <v>0</v>
      </c>
      <c r="AK27" s="36">
        <f>VLOOKUP($A27,[22]HISTODEC23!$A$6:$CA$36,65,0)</f>
        <v>0</v>
      </c>
      <c r="AL27" s="36">
        <f>VLOOKUP($A27,[20]DETAILFICHECASSATION!$A$6:$R$36,12,0)</f>
        <v>100000</v>
      </c>
    </row>
    <row r="28" spans="1:38" x14ac:dyDescent="0.35">
      <c r="A28" s="1" t="s">
        <v>172</v>
      </c>
      <c r="B28" s="1" t="str">
        <f>VLOOKUP(A28,[19]LISTADHERENT!A$5:H$60,3,0)</f>
        <v>NOUBE ETIENNE</v>
      </c>
      <c r="C28" s="36"/>
      <c r="D28" s="36">
        <v>666019</v>
      </c>
      <c r="E28" s="36"/>
      <c r="F28" s="36">
        <f t="shared" si="0"/>
        <v>666019</v>
      </c>
      <c r="G28" s="5">
        <f t="shared" si="5"/>
        <v>0</v>
      </c>
      <c r="H28" s="36">
        <f t="shared" si="1"/>
        <v>0</v>
      </c>
      <c r="I28" s="6">
        <f t="shared" si="2"/>
        <v>666019</v>
      </c>
      <c r="J28" s="36">
        <f>VLOOKUP($A28,[22]HISTODEC23!$A$6:$AQ$40,22,0)</f>
        <v>0</v>
      </c>
      <c r="K28" s="36">
        <f>VLOOKUP($A28,[22]HISTODEC23!$A$6:$AU$36,45,0)</f>
        <v>25000</v>
      </c>
      <c r="L28" s="36">
        <f t="shared" si="3"/>
        <v>19000</v>
      </c>
      <c r="M28" s="36">
        <f t="shared" si="6"/>
        <v>1000</v>
      </c>
      <c r="N28" s="36">
        <f t="shared" si="4"/>
        <v>1000</v>
      </c>
      <c r="O28" s="36">
        <f t="shared" si="7"/>
        <v>4000</v>
      </c>
      <c r="P28" s="36">
        <f>VLOOKUP($A28,[22]HISTODEC23!$A$6:$AU$36,7,0)</f>
        <v>0</v>
      </c>
      <c r="Q28" s="36">
        <f>VLOOKUP($A28,[22]HISTODEC23!$A$6:$AU$36,23,0)</f>
        <v>0</v>
      </c>
      <c r="R28" s="36">
        <f>VLOOKUP($A28,[22]HISTODEC23!$A$6:$AU$36,46,0)</f>
        <v>0</v>
      </c>
      <c r="S28" s="36">
        <f>VLOOKUP($A28,[22]HISTODEC23!$A$6:$AU$36,26,0)</f>
        <v>0</v>
      </c>
      <c r="T28" s="36">
        <f>VLOOKUP($A28,[22]HISTODEC23!$A$6:$BG$36,58,0)</f>
        <v>0</v>
      </c>
      <c r="U28" s="36">
        <f>VLOOKUP($A28,[22]HISTODEC23!$A$6:$AU$36,28,0)</f>
        <v>0</v>
      </c>
      <c r="V28" s="36">
        <f>VLOOKUP($A28,[22]HISTODEC23!$A$6:$AU$36,19,0)</f>
        <v>0</v>
      </c>
      <c r="W28" s="36">
        <f>VLOOKUP($A28,[22]HISTODEC23!$A$6:$AU$36,20,0)</f>
        <v>0</v>
      </c>
      <c r="X28" s="36">
        <f>VLOOKUP($A28,[22]HISTODEC23!$A$6:$AU$36,27,0)</f>
        <v>0</v>
      </c>
      <c r="Y28" s="36">
        <f>VLOOKUP($A28,[22]HISTODEC23!$A$6:$BM$36,33,0)</f>
        <v>0</v>
      </c>
      <c r="Z28" s="36">
        <f>VLOOKUP($A28,[22]HISTODEC23!$A$6:$BM$36,65,0)</f>
        <v>0</v>
      </c>
      <c r="AA28" s="36"/>
      <c r="AB28" s="36">
        <f>VLOOKUP($A28,[22]HISTODEC23!$A$6:$AU$36,43,0)</f>
        <v>0</v>
      </c>
      <c r="AC28" s="36">
        <f>VLOOKUP($A28,[22]HISTODEC23!$A$6:$AU$36,44,0)</f>
        <v>0</v>
      </c>
      <c r="AD28" s="36">
        <f>VLOOKUP($A28,[22]HISTODEC23!$A$6:$AU$36,47,0)</f>
        <v>0</v>
      </c>
      <c r="AE28" s="36">
        <f>VLOOKUP(A28,[22]HISTODEC23!$A$6:$BB$36,54,0)</f>
        <v>0</v>
      </c>
      <c r="AF28" s="36">
        <f>VLOOKUP($A28,[22]HISTODEC23!$A$6:$CA$36,60,0)</f>
        <v>0</v>
      </c>
      <c r="AG28" s="36">
        <f>VLOOKUP($A28,[22]HISTODEC23!$A$6:$CA$36,61,0)</f>
        <v>0</v>
      </c>
      <c r="AH28" s="36">
        <f>VLOOKUP($A28,[22]HISTODEC23!$A$6:$CA$36,62,0)</f>
        <v>0</v>
      </c>
      <c r="AI28" s="36">
        <f>VLOOKUP($A28,[22]HISTODEC23!$A$6:$CA$36,63,0)</f>
        <v>0</v>
      </c>
      <c r="AJ28" s="36">
        <f>VLOOKUP($A28,[22]HISTODEC23!$A$6:$CA$36,64,0)</f>
        <v>0</v>
      </c>
      <c r="AK28" s="36">
        <f>VLOOKUP($A28,[22]HISTODEC23!$A$6:$CA$36,65,0)</f>
        <v>0</v>
      </c>
      <c r="AL28" s="36">
        <f>VLOOKUP($A28,[20]DETAILFICHECASSATION!$A$6:$R$36,12,0)</f>
        <v>700000</v>
      </c>
    </row>
    <row r="29" spans="1:38" x14ac:dyDescent="0.35">
      <c r="A29" s="1" t="s">
        <v>45</v>
      </c>
      <c r="B29" s="1" t="str">
        <f>VLOOKUP(A29,[19]LISTADHERENT!A$5:H$60,3,0)</f>
        <v>PATEGO NJOSSU GUSTAVE</v>
      </c>
      <c r="C29" s="36">
        <f>VLOOKUP($A29,[23]FONDSCAISSE!$A$2:$G$33,4,0)</f>
        <v>700000</v>
      </c>
      <c r="D29" s="36">
        <f>VLOOKUP($A29,[20]DETAILFICHECASSATION!$A$6:$R$36,17,0)</f>
        <v>43697.666300758487</v>
      </c>
      <c r="E29" s="36"/>
      <c r="F29" s="36">
        <f t="shared" si="0"/>
        <v>743697.66630075849</v>
      </c>
      <c r="G29" s="5">
        <f t="shared" si="5"/>
        <v>743697.66630075849</v>
      </c>
      <c r="H29" s="36">
        <f t="shared" si="1"/>
        <v>39735.657233113925</v>
      </c>
      <c r="I29" s="6">
        <f t="shared" si="2"/>
        <v>783433.32353387238</v>
      </c>
      <c r="J29" s="36">
        <f>VLOOKUP($A29,[22]HISTODEC23!$A$6:$AQ$40,22,0)</f>
        <v>0</v>
      </c>
      <c r="K29" s="36">
        <f>VLOOKUP($A29,[22]HISTODEC23!$A$6:$AU$36,45,0)</f>
        <v>15000</v>
      </c>
      <c r="L29" s="36">
        <f t="shared" si="3"/>
        <v>9000</v>
      </c>
      <c r="M29" s="36">
        <f t="shared" si="6"/>
        <v>1000</v>
      </c>
      <c r="N29" s="36">
        <f t="shared" si="4"/>
        <v>1000</v>
      </c>
      <c r="O29" s="36">
        <f t="shared" si="7"/>
        <v>4000</v>
      </c>
      <c r="P29" s="36">
        <f>VLOOKUP($A29,[22]HISTODEC23!$A$6:$AU$36,7,0)</f>
        <v>0</v>
      </c>
      <c r="Q29" s="36">
        <f>VLOOKUP($A29,[22]HISTODEC23!$A$6:$AU$36,23,0)</f>
        <v>0</v>
      </c>
      <c r="R29" s="36">
        <f>VLOOKUP($A29,[22]HISTODEC23!$A$6:$AU$36,46,0)</f>
        <v>0</v>
      </c>
      <c r="S29" s="36">
        <f>VLOOKUP($A29,[22]HISTODEC23!$A$6:$AU$36,26,0)</f>
        <v>0</v>
      </c>
      <c r="T29" s="36">
        <f>VLOOKUP($A29,[22]HISTODEC23!$A$6:$BG$36,58,0)</f>
        <v>0</v>
      </c>
      <c r="U29" s="36">
        <f>VLOOKUP($A29,[22]HISTODEC23!$A$6:$AU$36,28,0)</f>
        <v>0</v>
      </c>
      <c r="V29" s="36">
        <f>VLOOKUP($A29,[22]HISTODEC23!$A$6:$AU$36,19,0)</f>
        <v>0</v>
      </c>
      <c r="W29" s="36">
        <f>VLOOKUP($A29,[22]HISTODEC23!$A$6:$AU$36,20,0)</f>
        <v>0</v>
      </c>
      <c r="X29" s="36">
        <f>VLOOKUP($A29,[22]HISTODEC23!$A$6:$AU$36,27,0)</f>
        <v>0</v>
      </c>
      <c r="Y29" s="36">
        <f>VLOOKUP($A29,[22]HISTODEC23!$A$6:$BM$36,33,0)</f>
        <v>0</v>
      </c>
      <c r="Z29" s="36">
        <f>VLOOKUP($A29,[22]HISTODEC23!$A$6:$BM$36,65,0)</f>
        <v>0</v>
      </c>
      <c r="AA29" s="36"/>
      <c r="AB29" s="36">
        <f>VLOOKUP($A29,[22]HISTODEC23!$A$6:$AU$36,43,0)</f>
        <v>0</v>
      </c>
      <c r="AC29" s="36">
        <f>VLOOKUP($A29,[22]HISTODEC23!$A$6:$AU$36,44,0)</f>
        <v>0</v>
      </c>
      <c r="AD29" s="36">
        <f>VLOOKUP($A29,[22]HISTODEC23!$A$6:$AU$36,47,0)</f>
        <v>0</v>
      </c>
      <c r="AE29" s="36">
        <f>VLOOKUP(A29,[22]HISTODEC23!$A$6:$BB$36,54,0)</f>
        <v>0</v>
      </c>
      <c r="AF29" s="36">
        <f>VLOOKUP($A29,[22]HISTODEC23!$A$6:$CA$36,60,0)</f>
        <v>0</v>
      </c>
      <c r="AG29" s="36">
        <f>VLOOKUP($A29,[22]HISTODEC23!$A$6:$CA$36,61,0)</f>
        <v>0</v>
      </c>
      <c r="AH29" s="36">
        <f>VLOOKUP($A29,[22]HISTODEC23!$A$6:$CA$36,62,0)</f>
        <v>0</v>
      </c>
      <c r="AI29" s="36">
        <f>VLOOKUP($A29,[22]HISTODEC23!$A$6:$CA$36,63,0)</f>
        <v>0</v>
      </c>
      <c r="AJ29" s="36">
        <f>VLOOKUP($A29,[22]HISTODEC23!$A$6:$CA$36,64,0)</f>
        <v>0</v>
      </c>
      <c r="AK29" s="36">
        <f>VLOOKUP($A29,[22]HISTODEC23!$A$6:$CA$36,65,0)</f>
        <v>0</v>
      </c>
      <c r="AL29" s="36">
        <f>VLOOKUP($A29,[20]DETAILFICHECASSATION!$A$6:$R$36,12,0)</f>
        <v>100000</v>
      </c>
    </row>
    <row r="30" spans="1:38" x14ac:dyDescent="0.35">
      <c r="A30" s="1" t="s">
        <v>312</v>
      </c>
      <c r="B30" s="1" t="str">
        <f>VLOOKUP(A30,[19]LISTADHERENT!A$5:H$60,3,0)</f>
        <v>SEUMO POLYCARPE</v>
      </c>
      <c r="C30" s="36">
        <f>VLOOKUP($A30,[23]FONDSCAISSE!$A$2:$G$33,4,0)</f>
        <v>0</v>
      </c>
      <c r="D30" s="36">
        <f>VLOOKUP($A30,[20]DETAILFICHECASSATION!$A$6:$R$36,17,0)</f>
        <v>245500</v>
      </c>
      <c r="E30" s="36"/>
      <c r="F30" s="36">
        <f t="shared" si="0"/>
        <v>245500</v>
      </c>
      <c r="G30" s="5">
        <f t="shared" si="5"/>
        <v>0</v>
      </c>
      <c r="H30" s="36">
        <f t="shared" si="1"/>
        <v>0</v>
      </c>
      <c r="I30" s="6">
        <f t="shared" si="2"/>
        <v>245500</v>
      </c>
      <c r="J30" s="36">
        <f>VLOOKUP($A30,[22]HISTODEC23!$A$6:$AQ$40,22,0)</f>
        <v>0</v>
      </c>
      <c r="K30" s="36">
        <f>VLOOKUP($A30,[22]HISTODEC23!$A$6:$AU$36,45,0)</f>
        <v>15000</v>
      </c>
      <c r="L30" s="36">
        <f t="shared" si="3"/>
        <v>9000</v>
      </c>
      <c r="M30" s="36">
        <f t="shared" si="6"/>
        <v>1000</v>
      </c>
      <c r="N30" s="36">
        <f t="shared" si="4"/>
        <v>1000</v>
      </c>
      <c r="O30" s="36">
        <f t="shared" si="7"/>
        <v>4000</v>
      </c>
      <c r="P30" s="36">
        <f>VLOOKUP($A30,[22]HISTODEC23!$A$6:$AU$36,7,0)</f>
        <v>0</v>
      </c>
      <c r="Q30" s="36">
        <f>VLOOKUP($A30,[22]HISTODEC23!$A$6:$AU$36,23,0)</f>
        <v>0</v>
      </c>
      <c r="R30" s="36">
        <f>VLOOKUP($A30,[22]HISTODEC23!$A$6:$AU$36,46,0)</f>
        <v>0</v>
      </c>
      <c r="S30" s="36">
        <f>VLOOKUP($A30,[22]HISTODEC23!$A$6:$AU$36,26,0)</f>
        <v>0</v>
      </c>
      <c r="T30" s="36">
        <f>VLOOKUP($A30,[22]HISTODEC23!$A$6:$BG$36,58,0)</f>
        <v>0</v>
      </c>
      <c r="U30" s="36">
        <f>VLOOKUP($A30,[22]HISTODEC23!$A$6:$AU$36,28,0)</f>
        <v>0</v>
      </c>
      <c r="V30" s="36">
        <f>VLOOKUP($A30,[22]HISTODEC23!$A$6:$AU$36,19,0)</f>
        <v>0</v>
      </c>
      <c r="W30" s="36">
        <f>VLOOKUP($A30,[22]HISTODEC23!$A$6:$AU$36,20,0)</f>
        <v>0</v>
      </c>
      <c r="X30" s="36">
        <f>VLOOKUP($A30,[22]HISTODEC23!$A$6:$AU$36,27,0)</f>
        <v>0</v>
      </c>
      <c r="Y30" s="36">
        <f>VLOOKUP($A30,[22]HISTODEC23!$A$6:$BM$36,33,0)</f>
        <v>0</v>
      </c>
      <c r="Z30" s="36">
        <f>VLOOKUP($A30,[22]HISTODEC23!$A$6:$BM$36,65,0)</f>
        <v>0</v>
      </c>
      <c r="AA30" s="36"/>
      <c r="AB30" s="36">
        <f>VLOOKUP($A30,[22]HISTODEC23!$A$6:$AU$36,43,0)</f>
        <v>0</v>
      </c>
      <c r="AC30" s="36">
        <f>VLOOKUP($A30,[22]HISTODEC23!$A$6:$AU$36,44,0)</f>
        <v>0</v>
      </c>
      <c r="AD30" s="36">
        <f>VLOOKUP($A30,[22]HISTODEC23!$A$6:$AU$36,47,0)</f>
        <v>0</v>
      </c>
      <c r="AE30" s="36">
        <f>VLOOKUP(A30,[22]HISTODEC23!$A$6:$BB$36,54,0)</f>
        <v>0</v>
      </c>
      <c r="AF30" s="36">
        <f>VLOOKUP($A30,[22]HISTODEC23!$A$6:$CA$36,60,0)</f>
        <v>0</v>
      </c>
      <c r="AG30" s="36">
        <f>VLOOKUP($A30,[22]HISTODEC23!$A$6:$CA$36,61,0)</f>
        <v>0</v>
      </c>
      <c r="AH30" s="36">
        <f>VLOOKUP($A30,[22]HISTODEC23!$A$6:$CA$36,62,0)</f>
        <v>0</v>
      </c>
      <c r="AI30" s="36">
        <f>VLOOKUP($A30,[22]HISTODEC23!$A$6:$CA$36,63,0)</f>
        <v>0</v>
      </c>
      <c r="AJ30" s="36">
        <f>VLOOKUP($A30,[22]HISTODEC23!$A$6:$CA$36,64,0)</f>
        <v>0</v>
      </c>
      <c r="AK30" s="36">
        <f>VLOOKUP($A30,[22]HISTODEC23!$A$6:$CA$36,65,0)</f>
        <v>0</v>
      </c>
      <c r="AL30" s="36">
        <f>VLOOKUP($A30,[20]DETAILFICHECASSATION!$A$6:$R$36,12,0)</f>
        <v>0</v>
      </c>
    </row>
    <row r="31" spans="1:38" x14ac:dyDescent="0.35">
      <c r="A31" s="1" t="s">
        <v>81</v>
      </c>
      <c r="B31" s="1" t="str">
        <f>VLOOKUP(A31,[19]LISTADHERENT!A$5:H$60,3,0)</f>
        <v>SIME BRICE</v>
      </c>
      <c r="C31" s="36">
        <f>VLOOKUP($A31,[23]FONDSCAISSE!$A$2:$G$33,4,0)</f>
        <v>700000</v>
      </c>
      <c r="D31" s="36">
        <f>VLOOKUP($A31,[20]DETAILFICHECASSATION!$A$6:$R$36,17,0)</f>
        <v>104364.15055016428</v>
      </c>
      <c r="E31" s="36"/>
      <c r="F31" s="36">
        <f t="shared" si="0"/>
        <v>804364.15055016428</v>
      </c>
      <c r="G31" s="5">
        <f t="shared" si="5"/>
        <v>804364.15055016428</v>
      </c>
      <c r="H31" s="36">
        <f t="shared" si="1"/>
        <v>42977.058588671782</v>
      </c>
      <c r="I31" s="6">
        <f t="shared" si="2"/>
        <v>847341.20913883601</v>
      </c>
      <c r="J31" s="36">
        <f>VLOOKUP($A31,[22]HISTODEC23!$A$6:$AQ$40,22,0)</f>
        <v>34000</v>
      </c>
      <c r="K31" s="36">
        <f>VLOOKUP($A31,[22]HISTODEC23!$A$6:$AU$36,45,0)</f>
        <v>15000</v>
      </c>
      <c r="L31" s="36">
        <f t="shared" si="3"/>
        <v>9000</v>
      </c>
      <c r="M31" s="36">
        <f t="shared" si="6"/>
        <v>1000</v>
      </c>
      <c r="N31" s="36">
        <f t="shared" si="4"/>
        <v>1000</v>
      </c>
      <c r="O31" s="36">
        <f t="shared" si="7"/>
        <v>4000</v>
      </c>
      <c r="P31" s="36">
        <f>VLOOKUP($A31,[22]HISTODEC23!$A$6:$AU$36,7,0)</f>
        <v>0</v>
      </c>
      <c r="Q31" s="36">
        <f>VLOOKUP($A31,[22]HISTODEC23!$A$6:$AU$36,23,0)</f>
        <v>0</v>
      </c>
      <c r="R31" s="36">
        <f>VLOOKUP($A31,[22]HISTODEC23!$A$6:$AU$36,46,0)</f>
        <v>0</v>
      </c>
      <c r="S31" s="36">
        <f>VLOOKUP($A31,[22]HISTODEC23!$A$6:$AU$36,26,0)</f>
        <v>1000000</v>
      </c>
      <c r="T31" s="36">
        <f>VLOOKUP($A31,[22]HISTODEC23!$A$6:$BG$36,58,0)</f>
        <v>60000</v>
      </c>
      <c r="U31" s="36">
        <f>VLOOKUP($A31,[22]HISTODEC23!$A$6:$AU$36,28,0)</f>
        <v>0</v>
      </c>
      <c r="V31" s="36">
        <f>VLOOKUP($A31,[22]HISTODEC23!$A$6:$AU$36,19,0)</f>
        <v>0</v>
      </c>
      <c r="W31" s="36">
        <f>VLOOKUP($A31,[22]HISTODEC23!$A$6:$AU$36,20,0)</f>
        <v>0</v>
      </c>
      <c r="X31" s="36" t="str">
        <f>VLOOKUP($A31,[22]HISTODEC23!$A$6:$AU$36,27,0)</f>
        <v>BANQUE</v>
      </c>
      <c r="Y31" s="36">
        <f>VLOOKUP($A31,[22]HISTODEC23!$A$6:$BM$36,33,0)</f>
        <v>0</v>
      </c>
      <c r="Z31" s="36">
        <f>VLOOKUP($A31,[22]HISTODEC23!$A$6:$BM$36,65,0)</f>
        <v>0</v>
      </c>
      <c r="AA31" s="36"/>
      <c r="AB31" s="36">
        <f>VLOOKUP($A31,[22]HISTODEC23!$A$6:$AU$36,43,0)</f>
        <v>0</v>
      </c>
      <c r="AC31" s="36">
        <f>VLOOKUP($A31,[22]HISTODEC23!$A$6:$AU$36,44,0)</f>
        <v>0</v>
      </c>
      <c r="AD31" s="36">
        <f>VLOOKUP($A31,[22]HISTODEC23!$A$6:$AU$36,47,0)</f>
        <v>0</v>
      </c>
      <c r="AE31" s="36">
        <f>VLOOKUP(A31,[22]HISTODEC23!$A$6:$BB$36,54,0)</f>
        <v>0</v>
      </c>
      <c r="AF31" s="36">
        <f>VLOOKUP($A31,[22]HISTODEC23!$A$6:$CA$36,60,0)</f>
        <v>0</v>
      </c>
      <c r="AG31" s="36">
        <f>VLOOKUP($A31,[22]HISTODEC23!$A$6:$CA$36,61,0)</f>
        <v>0</v>
      </c>
      <c r="AH31" s="36">
        <f>VLOOKUP($A31,[22]HISTODEC23!$A$6:$CA$36,62,0)</f>
        <v>0</v>
      </c>
      <c r="AI31" s="36">
        <f>VLOOKUP($A31,[22]HISTODEC23!$A$6:$CA$36,63,0)</f>
        <v>0</v>
      </c>
      <c r="AJ31" s="36">
        <f>VLOOKUP($A31,[22]HISTODEC23!$A$6:$CA$36,64,0)</f>
        <v>0</v>
      </c>
      <c r="AK31" s="36">
        <f>VLOOKUP($A31,[22]HISTODEC23!$A$6:$CA$36,65,0)</f>
        <v>0</v>
      </c>
      <c r="AL31" s="36">
        <f>VLOOKUP($A31,[20]DETAILFICHECASSATION!$A$6:$R$36,12,0)</f>
        <v>100000</v>
      </c>
    </row>
    <row r="32" spans="1:38" x14ac:dyDescent="0.35">
      <c r="A32" s="1" t="s">
        <v>49</v>
      </c>
      <c r="B32" s="1" t="str">
        <f>VLOOKUP(A32,[19]LISTADHERENT!A$5:H$60,3,0)</f>
        <v>SIMO PIERRE</v>
      </c>
      <c r="C32" s="36">
        <f>VLOOKUP($A32,[23]FONDSCAISSE!$A$2:$G$33,4,0)</f>
        <v>700000</v>
      </c>
      <c r="D32" s="36">
        <f>VLOOKUP($A32,[20]DETAILFICHECASSATION!$A$6:$R$36,17,0)</f>
        <v>686.61218299972825</v>
      </c>
      <c r="E32" s="36"/>
      <c r="F32" s="36">
        <f t="shared" si="0"/>
        <v>700686.61218299973</v>
      </c>
      <c r="G32" s="5">
        <f t="shared" si="5"/>
        <v>700686.61218299973</v>
      </c>
      <c r="H32" s="36">
        <f t="shared" si="1"/>
        <v>37437.58291998705</v>
      </c>
      <c r="I32" s="6">
        <f t="shared" si="2"/>
        <v>738124.19510298676</v>
      </c>
      <c r="J32" s="36">
        <f>VLOOKUP($A32,[22]HISTODEC23!$A$6:$AQ$40,22,0)</f>
        <v>0</v>
      </c>
      <c r="K32" s="36">
        <f>VLOOKUP($A32,[22]HISTODEC23!$A$6:$AU$36,45,0)</f>
        <v>15000</v>
      </c>
      <c r="L32" s="36">
        <f t="shared" si="3"/>
        <v>9000</v>
      </c>
      <c r="M32" s="36">
        <f t="shared" si="6"/>
        <v>1000</v>
      </c>
      <c r="N32" s="36">
        <f t="shared" si="4"/>
        <v>1000</v>
      </c>
      <c r="O32" s="36">
        <f t="shared" si="7"/>
        <v>4000</v>
      </c>
      <c r="P32" s="36">
        <f>VLOOKUP($A32,[22]HISTODEC23!$A$6:$AU$36,7,0)</f>
        <v>0</v>
      </c>
      <c r="Q32" s="36">
        <f>VLOOKUP($A32,[22]HISTODEC23!$A$6:$AU$36,23,0)</f>
        <v>0</v>
      </c>
      <c r="R32" s="36">
        <f>VLOOKUP($A32,[22]HISTODEC23!$A$6:$AU$36,46,0)</f>
        <v>0</v>
      </c>
      <c r="S32" s="36">
        <f>VLOOKUP($A32,[22]HISTODEC23!$A$6:$AU$36,26,0)</f>
        <v>250000</v>
      </c>
      <c r="T32" s="36">
        <f>VLOOKUP($A32,[22]HISTODEC23!$A$6:$BG$36,58,0)</f>
        <v>15000</v>
      </c>
      <c r="U32" s="36">
        <f>VLOOKUP($A32,[22]HISTODEC23!$A$6:$AU$36,28,0)</f>
        <v>0</v>
      </c>
      <c r="V32" s="36">
        <f>VLOOKUP($A32,[22]HISTODEC23!$A$6:$AU$36,19,0)</f>
        <v>1000000</v>
      </c>
      <c r="W32" s="36" t="str">
        <f>VLOOKUP($A32,[22]HISTODEC23!$A$6:$AU$36,20,0)</f>
        <v>BANQUE</v>
      </c>
      <c r="X32" s="36" t="str">
        <f>VLOOKUP($A32,[22]HISTODEC23!$A$6:$AU$36,27,0)</f>
        <v>BANQUE</v>
      </c>
      <c r="Y32" s="36">
        <f>VLOOKUP($A32,[22]HISTODEC23!$A$6:$BM$36,33,0)</f>
        <v>0</v>
      </c>
      <c r="Z32" s="36">
        <f>VLOOKUP($A32,[22]HISTODEC23!$A$6:$BM$36,65,0)</f>
        <v>0</v>
      </c>
      <c r="AA32" s="36"/>
      <c r="AB32" s="36">
        <f>VLOOKUP($A32,[22]HISTODEC23!$A$6:$AU$36,43,0)</f>
        <v>0</v>
      </c>
      <c r="AC32" s="36">
        <f>VLOOKUP($A32,[22]HISTODEC23!$A$6:$AU$36,44,0)</f>
        <v>0</v>
      </c>
      <c r="AD32" s="36">
        <f>VLOOKUP($A32,[22]HISTODEC23!$A$6:$AU$36,47,0)</f>
        <v>0</v>
      </c>
      <c r="AE32" s="36">
        <f>VLOOKUP(A32,[22]HISTODEC23!$A$6:$BB$36,54,0)</f>
        <v>0</v>
      </c>
      <c r="AF32" s="36">
        <f>VLOOKUP($A32,[22]HISTODEC23!$A$6:$CA$36,60,0)</f>
        <v>0</v>
      </c>
      <c r="AG32" s="36">
        <f>VLOOKUP($A32,[22]HISTODEC23!$A$6:$CA$36,61,0)</f>
        <v>0</v>
      </c>
      <c r="AH32" s="36">
        <f>VLOOKUP($A32,[22]HISTODEC23!$A$6:$CA$36,62,0)</f>
        <v>0</v>
      </c>
      <c r="AI32" s="36">
        <f>VLOOKUP($A32,[22]HISTODEC23!$A$6:$CA$36,63,0)</f>
        <v>0</v>
      </c>
      <c r="AJ32" s="36">
        <f>VLOOKUP($A32,[22]HISTODEC23!$A$6:$CA$36,64,0)</f>
        <v>0</v>
      </c>
      <c r="AK32" s="36">
        <f>VLOOKUP($A32,[22]HISTODEC23!$A$6:$CA$36,65,0)</f>
        <v>0</v>
      </c>
      <c r="AL32" s="36">
        <f>VLOOKUP($A32,[20]DETAILFICHECASSATION!$A$6:$R$36,12,0)</f>
        <v>100000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>
        <f>VLOOKUP($A33,[23]FONDSCAISSE!$A$2:$G$33,4,0)</f>
        <v>700000</v>
      </c>
      <c r="D33" s="36">
        <f>VLOOKUP($A33,[20]DETAILFICHECASSATION!$A$6:$R$36,17,0)</f>
        <v>975.80620651689242</v>
      </c>
      <c r="E33" s="36"/>
      <c r="F33" s="36">
        <f t="shared" si="0"/>
        <v>700975.80620651692</v>
      </c>
      <c r="G33" s="5">
        <f t="shared" si="5"/>
        <v>700975.80620651692</v>
      </c>
      <c r="H33" s="36">
        <f t="shared" si="1"/>
        <v>37453.034514247796</v>
      </c>
      <c r="I33" s="6">
        <f t="shared" si="2"/>
        <v>738428.84072076471</v>
      </c>
      <c r="J33" s="36">
        <f>VLOOKUP($A33,[22]HISTODEC23!$A$6:$AQ$40,22,0)</f>
        <v>0</v>
      </c>
      <c r="K33" s="36">
        <f>VLOOKUP($A33,[22]HISTODEC23!$A$6:$AU$36,45,0)</f>
        <v>15000</v>
      </c>
      <c r="L33" s="36">
        <f>18000+10000</f>
        <v>28000</v>
      </c>
      <c r="M33" s="36">
        <f>IF(K33=0,0,1000)+1000</f>
        <v>2000</v>
      </c>
      <c r="N33" s="36">
        <f>IF(K33=0,0,1000)+1000</f>
        <v>2000</v>
      </c>
      <c r="O33" s="36">
        <f>IF(K33=0,0,4000)+4000</f>
        <v>8000</v>
      </c>
      <c r="P33" s="36">
        <f>VLOOKUP($A33,[22]HISTODEC23!$A$6:$AU$36,7,0)</f>
        <v>0</v>
      </c>
      <c r="Q33" s="36">
        <f>VLOOKUP($A33,[22]HISTODEC23!$A$6:$AU$36,23,0)</f>
        <v>0</v>
      </c>
      <c r="R33" s="36">
        <f>VLOOKUP($A33,[22]HISTODEC23!$A$6:$AU$36,46,0)</f>
        <v>0</v>
      </c>
      <c r="S33" s="36">
        <f>VLOOKUP($A33,[22]HISTODEC23!$A$6:$AU$36,26,0)</f>
        <v>0</v>
      </c>
      <c r="T33" s="36">
        <f>VLOOKUP($A33,[22]HISTODEC23!$A$6:$BG$36,58,0)</f>
        <v>0</v>
      </c>
      <c r="U33" s="36">
        <f>VLOOKUP($A33,[22]HISTODEC23!$A$6:$AU$36,28,0)</f>
        <v>0</v>
      </c>
      <c r="V33" s="36">
        <f>VLOOKUP($A33,[22]HISTODEC23!$A$6:$AU$36,19,0)</f>
        <v>200000</v>
      </c>
      <c r="W33" s="36" t="str">
        <f>VLOOKUP($A33,[22]HISTODEC23!$A$6:$AU$36,20,0)</f>
        <v>BANQUE</v>
      </c>
      <c r="X33" s="36">
        <f>VLOOKUP($A33,[22]HISTODEC23!$A$6:$AU$36,27,0)</f>
        <v>0</v>
      </c>
      <c r="Y33" s="36">
        <f>VLOOKUP($A33,[22]HISTODEC23!$A$6:$BM$36,33,0)</f>
        <v>0</v>
      </c>
      <c r="Z33" s="36">
        <f>VLOOKUP($A33,[22]HISTODEC23!$A$6:$BM$36,65,0)</f>
        <v>0</v>
      </c>
      <c r="AA33" s="36"/>
      <c r="AB33" s="36">
        <f>VLOOKUP($A33,[22]HISTODEC23!$A$6:$AU$36,43,0)</f>
        <v>0</v>
      </c>
      <c r="AC33" s="36">
        <f>VLOOKUP($A33,[22]HISTODEC23!$A$6:$AU$36,44,0)</f>
        <v>0</v>
      </c>
      <c r="AD33" s="36">
        <f>VLOOKUP($A33,[22]HISTODEC23!$A$6:$AU$36,47,0)</f>
        <v>0</v>
      </c>
      <c r="AE33" s="36">
        <f>VLOOKUP(A33,[22]HISTODEC23!$A$6:$BB$36,54,0)</f>
        <v>0</v>
      </c>
      <c r="AF33" s="36">
        <f>VLOOKUP($A33,[22]HISTODEC23!$A$6:$CA$36,60,0)</f>
        <v>0</v>
      </c>
      <c r="AG33" s="36">
        <f>VLOOKUP($A33,[22]HISTODEC23!$A$6:$CA$36,61,0)</f>
        <v>0</v>
      </c>
      <c r="AH33" s="36">
        <f>VLOOKUP($A33,[22]HISTODEC23!$A$6:$CA$36,62,0)</f>
        <v>0</v>
      </c>
      <c r="AI33" s="36">
        <f>VLOOKUP($A33,[22]HISTODEC23!$A$6:$CA$36,63,0)</f>
        <v>0</v>
      </c>
      <c r="AJ33" s="36">
        <f>VLOOKUP($A33,[22]HISTODEC23!$A$6:$CA$36,64,0)</f>
        <v>0</v>
      </c>
      <c r="AK33" s="36">
        <f>VLOOKUP($A33,[22]HISTODEC23!$A$6:$CA$36,65,0)</f>
        <v>0</v>
      </c>
      <c r="AL33" s="36">
        <f>VLOOKUP($A33,[20]DETAILFICHECASSATION!$A$6:$R$36,12,0)</f>
        <v>100000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>
        <f>VLOOKUP($A34,[23]FONDSCAISSE!$A$2:$G$33,4,0)</f>
        <v>0</v>
      </c>
      <c r="D34" s="36"/>
      <c r="E34" s="36"/>
      <c r="F34" s="36">
        <f t="shared" si="0"/>
        <v>0</v>
      </c>
      <c r="G34" s="5">
        <f t="shared" si="5"/>
        <v>0</v>
      </c>
      <c r="H34" s="36">
        <f t="shared" si="1"/>
        <v>0</v>
      </c>
      <c r="I34" s="6">
        <f t="shared" si="2"/>
        <v>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>
        <f>VLOOKUP($A35,[23]FONDSCAISSE!$A$2:$G$33,4,0)</f>
        <v>0</v>
      </c>
      <c r="D35" s="36">
        <f>VLOOKUP($A35,[20]DETAILFICHECASSATION!$A$6:$R$36,17,0)</f>
        <v>103000</v>
      </c>
      <c r="E35" s="36"/>
      <c r="F35" s="36">
        <f t="shared" si="0"/>
        <v>103000</v>
      </c>
      <c r="G35" s="5">
        <f t="shared" si="5"/>
        <v>0</v>
      </c>
      <c r="H35" s="36">
        <f t="shared" si="1"/>
        <v>0</v>
      </c>
      <c r="I35" s="6">
        <f t="shared" si="2"/>
        <v>103000</v>
      </c>
      <c r="J35" s="36">
        <f>VLOOKUP($A35,[22]HISTODEC23!$A$6:$AQ$40,22,0)</f>
        <v>0</v>
      </c>
      <c r="K35" s="36">
        <f>VLOOKUP($A35,[22]HISTODEC23!$A$6:$AU$36,45,0)</f>
        <v>25000</v>
      </c>
      <c r="L35" s="36">
        <f t="shared" si="3"/>
        <v>19000</v>
      </c>
      <c r="M35" s="36">
        <f t="shared" si="6"/>
        <v>1000</v>
      </c>
      <c r="N35" s="36">
        <f t="shared" si="4"/>
        <v>1000</v>
      </c>
      <c r="O35" s="36">
        <f t="shared" si="7"/>
        <v>4000</v>
      </c>
      <c r="P35" s="36">
        <f>VLOOKUP($A35,[22]HISTODEC23!$A$6:$AU$36,7,0)</f>
        <v>0</v>
      </c>
      <c r="Q35" s="36">
        <f>VLOOKUP($A35,[22]HISTODEC23!$A$6:$AU$36,23,0)</f>
        <v>0</v>
      </c>
      <c r="R35" s="36">
        <f>VLOOKUP($A35,[22]HISTODEC23!$A$6:$AU$36,46,0)</f>
        <v>0</v>
      </c>
      <c r="S35" s="36">
        <f>VLOOKUP($A35,[22]HISTODEC23!$A$6:$AU$36,26,0)</f>
        <v>0</v>
      </c>
      <c r="T35" s="36">
        <f>VLOOKUP($A35,[22]HISTODEC23!$A$6:$BG$36,58,0)</f>
        <v>0</v>
      </c>
      <c r="U35" s="36">
        <f>VLOOKUP($A35,[22]HISTODEC23!$A$6:$AU$36,28,0)</f>
        <v>0</v>
      </c>
      <c r="V35" s="36">
        <f>VLOOKUP($A35,[22]HISTODEC23!$A$6:$AU$36,19,0)</f>
        <v>0</v>
      </c>
      <c r="W35" s="36">
        <f>VLOOKUP($A35,[22]HISTODEC23!$A$6:$AU$36,20,0)</f>
        <v>0</v>
      </c>
      <c r="X35" s="36">
        <f>VLOOKUP($A35,[22]HISTODEC23!$A$6:$AU$36,27,0)</f>
        <v>0</v>
      </c>
      <c r="Y35" s="36">
        <f>VLOOKUP($A35,[22]HISTODEC23!$A$6:$BM$36,33,0)</f>
        <v>0</v>
      </c>
      <c r="Z35" s="36">
        <f>VLOOKUP($A35,[22]HISTODEC23!$A$6:$BM$36,65,0)</f>
        <v>0</v>
      </c>
      <c r="AA35" s="36"/>
      <c r="AB35" s="36">
        <f>VLOOKUP($A35,[22]HISTODEC23!$A$6:$AU$36,43,0)</f>
        <v>0</v>
      </c>
      <c r="AC35" s="36">
        <f>VLOOKUP($A35,[22]HISTODEC23!$A$6:$AU$36,44,0)</f>
        <v>0</v>
      </c>
      <c r="AD35" s="36">
        <f>VLOOKUP($A35,[22]HISTODEC23!$A$6:$AU$36,47,0)</f>
        <v>0</v>
      </c>
      <c r="AE35" s="36">
        <f>VLOOKUP(A35,[22]HISTODEC23!$A$6:$BB$36,54,0)</f>
        <v>70000</v>
      </c>
      <c r="AF35" s="36">
        <f>VLOOKUP($A35,[22]HISTODEC23!$A$6:$CA$36,60,0)</f>
        <v>0</v>
      </c>
      <c r="AG35" s="36">
        <f>VLOOKUP($A35,[22]HISTODEC23!$A$6:$CA$36,61,0)</f>
        <v>0</v>
      </c>
      <c r="AH35" s="36">
        <f>VLOOKUP($A35,[22]HISTODEC23!$A$6:$CA$36,62,0)</f>
        <v>0</v>
      </c>
      <c r="AI35" s="36">
        <f>VLOOKUP($A35,[22]HISTODEC23!$A$6:$CA$36,63,0)</f>
        <v>0</v>
      </c>
      <c r="AJ35" s="36">
        <f>VLOOKUP($A35,[22]HISTODEC23!$A$6:$CA$36,64,0)</f>
        <v>0</v>
      </c>
      <c r="AK35" s="36">
        <f>VLOOKUP($A35,[22]HISTODEC23!$A$6:$CA$36,65,0)</f>
        <v>0</v>
      </c>
      <c r="AL35" s="36">
        <f>VLOOKUP($A35,[20]DETAILFICHECASSATION!$A$6:$R$36,12,0)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>
        <v>698024</v>
      </c>
      <c r="E36" s="36"/>
      <c r="F36" s="36">
        <f t="shared" si="0"/>
        <v>698024</v>
      </c>
      <c r="G36" s="5">
        <f t="shared" si="5"/>
        <v>698024</v>
      </c>
      <c r="H36" s="36">
        <f t="shared" si="1"/>
        <v>37295.319941571834</v>
      </c>
      <c r="I36" s="6">
        <f t="shared" si="2"/>
        <v>735319.3199415718</v>
      </c>
      <c r="J36" s="36">
        <f>VLOOKUP($A36,[22]HISTODEC23!$A$6:$AQ$40,22,0)</f>
        <v>0</v>
      </c>
      <c r="K36" s="36">
        <f>VLOOKUP($A36,[22]HISTODEC23!$A$6:$AU$36,45,0)</f>
        <v>15000</v>
      </c>
      <c r="L36" s="36">
        <f t="shared" si="3"/>
        <v>9000</v>
      </c>
      <c r="M36" s="36">
        <f t="shared" si="6"/>
        <v>1000</v>
      </c>
      <c r="N36" s="36">
        <f t="shared" si="4"/>
        <v>1000</v>
      </c>
      <c r="O36" s="36">
        <f t="shared" si="7"/>
        <v>4000</v>
      </c>
      <c r="P36" s="36">
        <f>VLOOKUP($A36,[22]HISTODEC23!$A$6:$AU$36,7,0)</f>
        <v>0</v>
      </c>
      <c r="Q36" s="36">
        <f>VLOOKUP($A36,[22]HISTODEC23!$A$6:$AU$36,23,0)</f>
        <v>0</v>
      </c>
      <c r="R36" s="36">
        <f>VLOOKUP($A36,[22]HISTODEC23!$A$6:$AU$36,46,0)</f>
        <v>0</v>
      </c>
      <c r="S36" s="36">
        <f>VLOOKUP($A36,[22]HISTODEC23!$A$6:$AU$36,26,0)</f>
        <v>700000</v>
      </c>
      <c r="T36" s="36">
        <f>VLOOKUP($A36,[22]HISTODEC23!$A$6:$BG$36,58,0)</f>
        <v>84000</v>
      </c>
      <c r="U36" s="36">
        <f>VLOOKUP($A36,[22]HISTODEC23!$A$6:$AU$36,28,0)</f>
        <v>0</v>
      </c>
      <c r="V36" s="36">
        <f>VLOOKUP($A36,[22]HISTODEC23!$A$6:$AU$36,19,0)</f>
        <v>0</v>
      </c>
      <c r="W36" s="36">
        <f>VLOOKUP($A36,[22]HISTODEC23!$A$6:$AU$36,20,0)</f>
        <v>0</v>
      </c>
      <c r="X36" s="36" t="str">
        <f>VLOOKUP($A36,[22]HISTODEC23!$A$6:$AU$36,27,0)</f>
        <v>BANQUE</v>
      </c>
      <c r="Y36" s="36">
        <f>VLOOKUP($A36,[22]HISTODEC23!$A$6:$BM$36,33,0)</f>
        <v>0</v>
      </c>
      <c r="Z36" s="36">
        <f>VLOOKUP($A36,[22]HISTODEC23!$A$6:$BM$36,65,0)</f>
        <v>0</v>
      </c>
      <c r="AA36" s="36"/>
      <c r="AB36" s="36">
        <f>VLOOKUP($A36,[22]HISTODEC23!$A$6:$AU$36,43,0)</f>
        <v>0</v>
      </c>
      <c r="AC36" s="36">
        <f>VLOOKUP($A36,[22]HISTODEC23!$A$6:$AU$36,44,0)</f>
        <v>0</v>
      </c>
      <c r="AD36" s="36">
        <f>VLOOKUP($A36,[22]HISTODEC23!$A$6:$AU$36,47,0)</f>
        <v>0</v>
      </c>
      <c r="AE36" s="36">
        <f>VLOOKUP(A36,[22]HISTODEC23!$A$6:$BB$36,54,0)</f>
        <v>0</v>
      </c>
      <c r="AF36" s="36">
        <f>VLOOKUP($A36,[22]HISTODEC23!$A$6:$CA$36,60,0)</f>
        <v>0</v>
      </c>
      <c r="AG36" s="36">
        <f>VLOOKUP($A36,[22]HISTODEC23!$A$6:$CA$36,61,0)</f>
        <v>0</v>
      </c>
      <c r="AH36" s="36">
        <f>VLOOKUP($A36,[22]HISTODEC23!$A$6:$CA$36,62,0)</f>
        <v>0</v>
      </c>
      <c r="AI36" s="36">
        <f>VLOOKUP($A36,[22]HISTODEC23!$A$6:$CA$36,63,0)</f>
        <v>0</v>
      </c>
      <c r="AJ36" s="36">
        <f>VLOOKUP($A36,[22]HISTODEC23!$A$6:$CA$36,64,0)</f>
        <v>0</v>
      </c>
      <c r="AK36" s="36">
        <f>VLOOKUP($A36,[22]HISTODEC23!$A$6:$CA$36,65,0)</f>
        <v>0</v>
      </c>
      <c r="AL36" s="36">
        <f>VLOOKUP($A36,[20]DETAILFICHECASSATION!$A$6:$R$36,12,0)</f>
        <v>700000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>
        <f>VLOOKUP($A37,[23]FONDSCAISSE!$A$2:$G$33,4,0)</f>
        <v>700000</v>
      </c>
      <c r="D37" s="36">
        <f>VLOOKUP($A37,[20]DETAILFICHECASSATION!$A$6:$R$36,17,0)</f>
        <v>1003326.8477058813</v>
      </c>
      <c r="E37" s="36"/>
      <c r="F37" s="36">
        <f t="shared" si="0"/>
        <v>1703326.8477058813</v>
      </c>
      <c r="G37" s="5">
        <f t="shared" si="5"/>
        <v>1703326.8477058813</v>
      </c>
      <c r="H37" s="36">
        <f t="shared" si="1"/>
        <v>91008.503647811318</v>
      </c>
      <c r="I37" s="6">
        <f t="shared" si="2"/>
        <v>1794335.3513536926</v>
      </c>
      <c r="J37" s="36">
        <f>VLOOKUP($A37,[22]HISTODEC23!$A$6:$AQ$40,22,0)</f>
        <v>0</v>
      </c>
      <c r="K37" s="36">
        <f>VLOOKUP($A37,[22]HISTODEC23!$A$6:$AU$36,45,0)</f>
        <v>15000</v>
      </c>
      <c r="L37" s="36">
        <f t="shared" ref="L37:L39" si="8">IF(K37=0,0,K37-(M37+N37+O37))</f>
        <v>9000</v>
      </c>
      <c r="M37" s="36">
        <f t="shared" ref="M37:M39" si="9">IF(K37=0,0,1000)</f>
        <v>1000</v>
      </c>
      <c r="N37" s="36">
        <f t="shared" ref="N37:N39" si="10">IF(K37=0,0,1000)</f>
        <v>1000</v>
      </c>
      <c r="O37" s="36">
        <f t="shared" ref="O37:O39" si="11">IF(K37=0,0,4000)</f>
        <v>4000</v>
      </c>
      <c r="P37" s="36">
        <f>VLOOKUP($A37,[22]HISTODEC23!$A$6:$AU$36,7,0)</f>
        <v>0</v>
      </c>
      <c r="Q37" s="36">
        <f>VLOOKUP($A37,[22]HISTODEC23!$A$6:$AU$36,23,0)</f>
        <v>0</v>
      </c>
      <c r="R37" s="36">
        <f>VLOOKUP($A37,[22]HISTODEC23!$A$6:$AU$36,46,0)</f>
        <v>0</v>
      </c>
      <c r="S37" s="36">
        <f>VLOOKUP($A37,[22]HISTODEC23!$A$6:$AU$36,26,0)</f>
        <v>0</v>
      </c>
      <c r="T37" s="36">
        <f>VLOOKUP($A37,[22]HISTODEC23!$A$6:$BG$36,58,0)</f>
        <v>0</v>
      </c>
      <c r="U37" s="36">
        <f>VLOOKUP($A37,[22]HISTODEC23!$A$6:$AU$36,28,0)</f>
        <v>0</v>
      </c>
      <c r="V37" s="36">
        <f>VLOOKUP($A37,[22]HISTODEC23!$A$6:$AU$36,19,0)</f>
        <v>227500</v>
      </c>
      <c r="W37" s="36" t="str">
        <f>VLOOKUP($A37,[22]HISTODEC23!$A$6:$AU$36,20,0)</f>
        <v>BANQUE</v>
      </c>
      <c r="X37" s="36">
        <f>VLOOKUP($A37,[22]HISTODEC23!$A$6:$AU$36,27,0)</f>
        <v>0</v>
      </c>
      <c r="Y37" s="36">
        <f>VLOOKUP($A37,[22]HISTODEC23!$A$6:$BM$36,33,0)</f>
        <v>0</v>
      </c>
      <c r="Z37" s="36">
        <f>VLOOKUP($A37,[22]HISTODEC23!$A$6:$BM$36,65,0)</f>
        <v>0</v>
      </c>
      <c r="AA37" s="36"/>
      <c r="AB37" s="36">
        <f>VLOOKUP($A37,[22]HISTODEC23!$A$6:$AU$36,43,0)</f>
        <v>0</v>
      </c>
      <c r="AC37" s="36">
        <f>VLOOKUP($A37,[22]HISTODEC23!$A$6:$AU$36,44,0)</f>
        <v>0</v>
      </c>
      <c r="AD37" s="36">
        <f>VLOOKUP($A37,[22]HISTODEC23!$A$6:$AU$36,47,0)</f>
        <v>0</v>
      </c>
      <c r="AE37" s="36">
        <f>VLOOKUP(A37,[22]HISTODEC23!$A$6:$BB$36,54,0)</f>
        <v>70000</v>
      </c>
      <c r="AF37" s="36">
        <f>VLOOKUP($A37,[22]HISTODEC23!$A$6:$CA$36,60,0)</f>
        <v>0</v>
      </c>
      <c r="AG37" s="36">
        <f>VLOOKUP($A37,[22]HISTODEC23!$A$6:$CA$36,61,0)</f>
        <v>0</v>
      </c>
      <c r="AH37" s="36">
        <f>VLOOKUP($A37,[22]HISTODEC23!$A$6:$CA$36,62,0)</f>
        <v>0</v>
      </c>
      <c r="AI37" s="36">
        <f>VLOOKUP($A37,[22]HISTODEC23!$A$6:$CA$36,63,0)</f>
        <v>0</v>
      </c>
      <c r="AJ37" s="36">
        <f>VLOOKUP($A37,[22]HISTODEC23!$A$6:$CA$36,64,0)</f>
        <v>0</v>
      </c>
      <c r="AK37" s="36">
        <f>VLOOKUP($A37,[22]HISTODEC23!$A$6:$CA$36,65,0)</f>
        <v>0</v>
      </c>
      <c r="AL37" s="36">
        <f>VLOOKUP($A37,[20]DETAILFICHECASSATION!$A$6:$R$36,12,0)</f>
        <v>100000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/>
      <c r="F38" s="36">
        <f t="shared" si="0"/>
        <v>0</v>
      </c>
      <c r="G38" s="5">
        <f t="shared" si="5"/>
        <v>0</v>
      </c>
      <c r="H38" s="36">
        <f t="shared" si="1"/>
        <v>0</v>
      </c>
      <c r="I38" s="6">
        <f t="shared" si="2"/>
        <v>0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>
        <f>VLOOKUP($A39,[23]FONDSCAISSE!$A$2:$G$33,4,0)</f>
        <v>700000</v>
      </c>
      <c r="D39" s="36">
        <f>VLOOKUP($A39,[20]DETAILFICHECASSATION!$A$6:$R$36,17,0)</f>
        <v>1157834.9698456018</v>
      </c>
      <c r="E39" s="36"/>
      <c r="F39" s="36">
        <f t="shared" si="0"/>
        <v>1857834.9698456018</v>
      </c>
      <c r="G39" s="5">
        <f t="shared" si="5"/>
        <v>1857834.9698456018</v>
      </c>
      <c r="H39" s="36">
        <f t="shared" si="1"/>
        <v>99263.849952196746</v>
      </c>
      <c r="I39" s="6">
        <f t="shared" si="2"/>
        <v>1957098.8197977985</v>
      </c>
      <c r="J39" s="36">
        <f>VLOOKUP($A39,[22]HISTODEC23!$A$6:$AQ$40,22,0)</f>
        <v>11000</v>
      </c>
      <c r="K39" s="36">
        <f>VLOOKUP($A39,[22]HISTODEC23!$A$6:$AU$36,45,0)</f>
        <v>15000</v>
      </c>
      <c r="L39" s="36">
        <f t="shared" si="8"/>
        <v>9000</v>
      </c>
      <c r="M39" s="36">
        <f t="shared" si="9"/>
        <v>1000</v>
      </c>
      <c r="N39" s="36">
        <f t="shared" si="10"/>
        <v>1000</v>
      </c>
      <c r="O39" s="36">
        <f t="shared" si="11"/>
        <v>4000</v>
      </c>
      <c r="P39" s="36">
        <f>VLOOKUP($A39,[22]HISTODEC23!$A$6:$AU$36,7,0)</f>
        <v>0</v>
      </c>
      <c r="Q39" s="36">
        <f>VLOOKUP($A39,[22]HISTODEC23!$A$6:$AU$36,23,0)</f>
        <v>0</v>
      </c>
      <c r="R39" s="36">
        <f>VLOOKUP($A39,[22]HISTODEC23!$A$6:$AU$36,46,0)</f>
        <v>0</v>
      </c>
      <c r="S39" s="36">
        <f>VLOOKUP($A39,[22]HISTODEC23!$A$6:$AU$36,26,0)</f>
        <v>0</v>
      </c>
      <c r="T39" s="36">
        <f>VLOOKUP($A39,[22]HISTODEC23!$A$6:$BG$36,58,0)</f>
        <v>0</v>
      </c>
      <c r="U39" s="36">
        <f>VLOOKUP($A39,[22]HISTODEC23!$A$6:$AU$36,28,0)</f>
        <v>0</v>
      </c>
      <c r="V39" s="36">
        <f>VLOOKUP($A39,[22]HISTODEC23!$A$6:$AU$36,19,0)</f>
        <v>0</v>
      </c>
      <c r="W39" s="36">
        <f>VLOOKUP($A39,[22]HISTODEC23!$A$6:$AU$36,20,0)</f>
        <v>0</v>
      </c>
      <c r="X39" s="36">
        <f>VLOOKUP($A39,[22]HISTODEC23!$A$6:$AU$36,27,0)</f>
        <v>0</v>
      </c>
      <c r="Y39" s="36">
        <f>VLOOKUP($A39,[22]HISTODEC23!$A$6:$BM$36,33,0)</f>
        <v>0</v>
      </c>
      <c r="Z39" s="36">
        <f>VLOOKUP($A39,[22]HISTODEC23!$A$6:$BM$36,65,0)</f>
        <v>0</v>
      </c>
      <c r="AA39" s="36"/>
      <c r="AB39" s="36">
        <f>VLOOKUP($A39,[22]HISTODEC23!$A$6:$AU$36,43,0)</f>
        <v>0</v>
      </c>
      <c r="AC39" s="36">
        <f>VLOOKUP($A39,[22]HISTODEC23!$A$6:$AU$36,44,0)</f>
        <v>0</v>
      </c>
      <c r="AD39" s="36">
        <f>VLOOKUP($A39,[22]HISTODEC23!$A$6:$AU$36,47,0)</f>
        <v>0</v>
      </c>
      <c r="AE39" s="36">
        <f>VLOOKUP(A39,[22]HISTODEC23!$A$6:$BB$36,54,0)</f>
        <v>0</v>
      </c>
      <c r="AF39" s="36">
        <f>VLOOKUP($A39,[22]HISTODEC23!$A$6:$CA$36,60,0)</f>
        <v>0</v>
      </c>
      <c r="AG39" s="36">
        <f>VLOOKUP($A39,[22]HISTODEC23!$A$6:$CA$36,61,0)</f>
        <v>0</v>
      </c>
      <c r="AH39" s="36">
        <f>VLOOKUP($A39,[22]HISTODEC23!$A$6:$CA$36,62,0)</f>
        <v>0</v>
      </c>
      <c r="AI39" s="36">
        <f>VLOOKUP($A39,[22]HISTODEC23!$A$6:$CA$36,63,0)</f>
        <v>0</v>
      </c>
      <c r="AJ39" s="36">
        <f>VLOOKUP($A39,[22]HISTODEC23!$A$6:$CA$36,64,0)</f>
        <v>0</v>
      </c>
      <c r="AK39" s="36">
        <f>VLOOKUP($A39,[22]HISTODEC23!$A$6:$CA$36,65,0)</f>
        <v>0</v>
      </c>
      <c r="AL39" s="36">
        <f>VLOOKUP($A39,[20]DETAILFICHECASSATION!$A$6:$R$36,12,0)</f>
        <v>100000</v>
      </c>
    </row>
    <row r="40" spans="1:38" x14ac:dyDescent="0.35">
      <c r="A40" s="15"/>
      <c r="B40" s="1"/>
      <c r="C40" s="1"/>
      <c r="D40" s="1"/>
      <c r="E40" s="1"/>
      <c r="F40" s="1"/>
      <c r="G40" s="1"/>
      <c r="H40" s="36"/>
      <c r="I40" s="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0"/>
      <c r="W40" s="2"/>
    </row>
    <row r="41" spans="1:38" ht="17.5" x14ac:dyDescent="0.35">
      <c r="A41" s="1" t="s">
        <v>57</v>
      </c>
      <c r="B41" s="1"/>
      <c r="C41" s="9">
        <f t="shared" ref="C41:AL41" si="12">SUM(C6:C40)</f>
        <v>16800000</v>
      </c>
      <c r="D41" s="9">
        <f t="shared" si="12"/>
        <v>7429656.0731219184</v>
      </c>
      <c r="E41" s="9">
        <f t="shared" si="12"/>
        <v>0</v>
      </c>
      <c r="F41" s="9">
        <f t="shared" si="12"/>
        <v>24229656.073121917</v>
      </c>
      <c r="G41" s="9">
        <f t="shared" si="12"/>
        <v>21860438.073121917</v>
      </c>
      <c r="H41" s="36">
        <f t="shared" si="12"/>
        <v>1167999.9999999998</v>
      </c>
      <c r="I41" s="153">
        <f t="shared" si="12"/>
        <v>25397656.073121928</v>
      </c>
      <c r="J41" s="9">
        <f t="shared" si="12"/>
        <v>187000</v>
      </c>
      <c r="K41" s="9">
        <f t="shared" si="12"/>
        <v>638800</v>
      </c>
      <c r="L41" s="9">
        <f t="shared" si="12"/>
        <v>483800</v>
      </c>
      <c r="M41" s="9">
        <f t="shared" si="12"/>
        <v>30000</v>
      </c>
      <c r="N41" s="9">
        <f t="shared" si="12"/>
        <v>30000</v>
      </c>
      <c r="O41" s="9">
        <f t="shared" si="12"/>
        <v>120000</v>
      </c>
      <c r="P41" s="9">
        <f t="shared" si="12"/>
        <v>0</v>
      </c>
      <c r="Q41" s="9">
        <f t="shared" si="12"/>
        <v>0</v>
      </c>
      <c r="R41" s="9">
        <f t="shared" si="12"/>
        <v>0</v>
      </c>
      <c r="S41" s="9">
        <f t="shared" si="12"/>
        <v>15088500</v>
      </c>
      <c r="T41" s="9">
        <f t="shared" si="12"/>
        <v>1168000</v>
      </c>
      <c r="U41" s="9">
        <f t="shared" si="12"/>
        <v>0</v>
      </c>
      <c r="V41" s="9">
        <f t="shared" si="12"/>
        <v>13192700</v>
      </c>
      <c r="W41" s="9">
        <f t="shared" si="12"/>
        <v>0</v>
      </c>
      <c r="X41" s="9">
        <f t="shared" si="12"/>
        <v>0</v>
      </c>
      <c r="Y41" s="9">
        <f t="shared" si="12"/>
        <v>0</v>
      </c>
      <c r="Z41" s="9">
        <f t="shared" si="12"/>
        <v>0</v>
      </c>
      <c r="AA41" s="9">
        <f t="shared" si="12"/>
        <v>0</v>
      </c>
      <c r="AB41" s="9">
        <f t="shared" si="12"/>
        <v>0</v>
      </c>
      <c r="AC41" s="9">
        <f t="shared" si="12"/>
        <v>0</v>
      </c>
      <c r="AD41" s="9">
        <f t="shared" si="12"/>
        <v>0</v>
      </c>
      <c r="AE41" s="9">
        <f t="shared" si="12"/>
        <v>140000</v>
      </c>
      <c r="AF41" s="9">
        <f t="shared" si="12"/>
        <v>6000</v>
      </c>
      <c r="AG41" s="9">
        <f t="shared" si="12"/>
        <v>0</v>
      </c>
      <c r="AH41" s="9">
        <f t="shared" si="12"/>
        <v>0</v>
      </c>
      <c r="AI41" s="9">
        <f t="shared" si="12"/>
        <v>0</v>
      </c>
      <c r="AJ41" s="9">
        <f t="shared" si="12"/>
        <v>0</v>
      </c>
      <c r="AK41" s="9">
        <f t="shared" si="12"/>
        <v>0</v>
      </c>
      <c r="AL41" s="9">
        <f t="shared" si="12"/>
        <v>4500000</v>
      </c>
    </row>
    <row r="44" spans="1:38" x14ac:dyDescent="0.35">
      <c r="G44" s="2"/>
      <c r="H44" s="2"/>
      <c r="I44" s="2"/>
    </row>
  </sheetData>
  <autoFilter ref="A5:V36" xr:uid="{00000000-0009-0000-0000-000005000000}">
    <sortState ref="A5:L48">
      <sortCondition ref="B5:B48"/>
    </sortState>
  </autoFilter>
  <mergeCells count="2">
    <mergeCell ref="AL1:AM1"/>
    <mergeCell ref="K4:P4"/>
  </mergeCells>
  <dataValidations disablePrompts="1" count="1">
    <dataValidation type="list" allowBlank="1" showInputMessage="1" showErrorMessage="1" sqref="V40" xr:uid="{00000000-0002-0000-05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44"/>
  <sheetViews>
    <sheetView workbookViewId="0">
      <pane xSplit="2" ySplit="5" topLeftCell="E6" activePane="bottomRight" state="frozen"/>
      <selection activeCell="B43" sqref="B43"/>
      <selection pane="topRight" activeCell="B43" sqref="B43"/>
      <selection pane="bottomLeft" activeCell="B43" sqref="B43"/>
      <selection pane="bottomRight" activeCell="P27" sqref="P2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0" bestFit="1" customWidth="1"/>
    <col min="12" max="12" width="17.54296875" style="150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49"/>
      <c r="K4" s="177">
        <v>45308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/>
      <c r="F6" s="36">
        <f>MVTDEC23!I6-E6+L6</f>
        <v>933890.06662104558</v>
      </c>
      <c r="G6" s="5">
        <f>IF(MVTDEC23!I6&gt;700000,(MVTDEC23!I6-E6+L6),0)</f>
        <v>933890.06662104558</v>
      </c>
      <c r="H6" s="36">
        <f t="shared" ref="H6:H39" si="0">$T$41/$G$41*G6</f>
        <v>6975.4104309926497</v>
      </c>
      <c r="I6" s="6">
        <f>F6+H6</f>
        <v>940865.47705203819</v>
      </c>
      <c r="J6" s="36">
        <f>VLOOKUP($A6,[24]HISTOJANV24!$A$6:$AQ$42,22,0)</f>
        <v>0</v>
      </c>
      <c r="K6" s="36">
        <f>VLOOKUP($A6,[24]HISTOJANV24!$A$6:$AU$38,45,0)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VLOOKUP($A6,[24]HISTOJANV24!$A$6:$AU$38,7,0)</f>
        <v>0</v>
      </c>
      <c r="Q6" s="36">
        <f>VLOOKUP($A6,[24]HISTOJANV24!$A$6:$AU$38,23,0)</f>
        <v>0</v>
      </c>
      <c r="R6" s="36">
        <f>VLOOKUP($A6,[24]HISTOJANV24!$A$6:$AU$38,46,0)</f>
        <v>0</v>
      </c>
      <c r="S6" s="36">
        <f>VLOOKUP($A6,[24]HISTOJANV24!$A$6:$AU$38,26,0)</f>
        <v>0</v>
      </c>
      <c r="T6" s="36">
        <f>VLOOKUP($A6,[24]HISTOJANV24!$A$6:$BG$38,58,0)</f>
        <v>0</v>
      </c>
      <c r="U6" s="36">
        <f>VLOOKUP($A6,[24]HISTOJANV24!$A$6:$AU$38,28,0)</f>
        <v>0</v>
      </c>
      <c r="V6" s="36">
        <f>VLOOKUP($A6,[24]HISTOJANV24!$A$6:$AU$38,19,0)</f>
        <v>0</v>
      </c>
      <c r="W6" s="36">
        <f>VLOOKUP($A6,[24]HISTOJANV24!$A$6:$AU$38,20,0)</f>
        <v>0</v>
      </c>
      <c r="X6" s="36">
        <f>VLOOKUP($A6,[24]HISTOJANV24!$A$6:$AU$38,27,0)</f>
        <v>0</v>
      </c>
      <c r="Y6" s="36">
        <f>VLOOKUP($A6,[24]HISTOJANV24!$A$6:$BM$38,33,0)</f>
        <v>0</v>
      </c>
      <c r="Z6" s="36">
        <f>VLOOKUP($A6,[24]HISTOJANV24!$A$6:$BM$38,65,0)</f>
        <v>0</v>
      </c>
      <c r="AA6" s="36"/>
      <c r="AB6" s="36">
        <f>VLOOKUP($A6,[24]HISTOJANV24!$A$6:$AU$38,43,0)</f>
        <v>0</v>
      </c>
      <c r="AC6" s="36">
        <f>VLOOKUP($A6,[24]HISTOJANV24!$A$6:$AU$38,44,0)</f>
        <v>0</v>
      </c>
      <c r="AD6" s="36">
        <f>VLOOKUP($A6,[24]HISTOJANV24!$A$6:$AU$38,47,0)</f>
        <v>0</v>
      </c>
      <c r="AE6" s="36">
        <f>VLOOKUP(A6,[24]HISTOJANV24!$A$6:$BB$38,54,0)</f>
        <v>0</v>
      </c>
      <c r="AF6" s="36">
        <f>VLOOKUP($A6,[24]HISTOJANV24!$A$6:$CB$38,60,0)</f>
        <v>27000</v>
      </c>
      <c r="AG6" s="36">
        <f>VLOOKUP($A6,[24]HISTOJANV24!$A$6:$CB$38,61,0)</f>
        <v>200000</v>
      </c>
      <c r="AH6" s="36">
        <f>VLOOKUP($A6,[24]HISTOJANV24!$A$6:$CB$38,62,0)</f>
        <v>0</v>
      </c>
      <c r="AI6" s="36">
        <f>VLOOKUP($A6,[24]HISTOJANV24!$A$6:$CB$38,63,0)</f>
        <v>0</v>
      </c>
      <c r="AJ6" s="36">
        <f>VLOOKUP($A6,[24]HISTOJANV24!$A$6:$CB$38,64,0)</f>
        <v>0</v>
      </c>
      <c r="AK6" s="36">
        <f>VLOOKUP($A6,[24]HISTOJANV24!$A$6:$CB$38,65,0)</f>
        <v>0</v>
      </c>
      <c r="AL6" s="36">
        <f>VLOOKUP($A6,[24]HISTOJANV24!$A$6:$CB$38,66,0)</f>
        <v>300000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VLOOKUP($A7,[24]HISTOJANV24!$A$6:$BA$38,48,0)</f>
        <v>0</v>
      </c>
      <c r="F7" s="36">
        <f>MVTDEC23!I7-E7+L7</f>
        <v>697482</v>
      </c>
      <c r="G7" s="5">
        <f>IF(MVTDEC23!I7&gt;700000,(MVTDEC23!I7-E7+L7),0)</f>
        <v>0</v>
      </c>
      <c r="H7" s="36">
        <f t="shared" si="0"/>
        <v>0</v>
      </c>
      <c r="I7" s="6">
        <f t="shared" ref="I7:I39" si="2">F7+H7</f>
        <v>697482</v>
      </c>
      <c r="J7" s="36">
        <f>VLOOKUP($A7,[24]HISTOJANV24!$A$6:$AQ$42,22,0)</f>
        <v>0</v>
      </c>
      <c r="K7" s="36">
        <f>VLOOKUP($A7,[24]HISTOJANV24!$A$6:$AU$38,45,0)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" si="3">IF(K7=0,0,1000)</f>
        <v>1000</v>
      </c>
      <c r="O7" s="36">
        <f>IF(K7=0,0,4000)</f>
        <v>4000</v>
      </c>
      <c r="P7" s="36">
        <f>VLOOKUP($A7,[24]HISTOJANV24!$A$6:$AU$38,7,0)</f>
        <v>0</v>
      </c>
      <c r="Q7" s="36">
        <f>VLOOKUP($A7,[24]HISTOJANV24!$A$6:$AU$38,23,0)</f>
        <v>0</v>
      </c>
      <c r="R7" s="36">
        <f>VLOOKUP($A7,[24]HISTOJANV24!$A$6:$AU$38,46,0)</f>
        <v>0</v>
      </c>
      <c r="S7" s="36">
        <f>VLOOKUP($A7,[24]HISTOJANV24!$A$6:$AU$38,26,0)</f>
        <v>0</v>
      </c>
      <c r="T7" s="36">
        <f>VLOOKUP($A7,[24]HISTOJANV24!$A$6:$BG$38,58,0)</f>
        <v>6000</v>
      </c>
      <c r="U7" s="36">
        <f>VLOOKUP($A7,[24]HISTOJANV24!$A$6:$AU$38,28,0)</f>
        <v>0</v>
      </c>
      <c r="V7" s="36">
        <f>VLOOKUP($A7,[24]HISTOJANV24!$A$6:$AU$38,19,0)</f>
        <v>0</v>
      </c>
      <c r="W7" s="36">
        <f>VLOOKUP($A7,[24]HISTOJANV24!$A$6:$AU$38,20,0)</f>
        <v>0</v>
      </c>
      <c r="X7" s="36">
        <f>VLOOKUP($A7,[24]HISTOJANV24!$A$6:$AU$38,27,0)</f>
        <v>0</v>
      </c>
      <c r="Y7" s="36">
        <f>VLOOKUP($A7,[24]HISTOJANV24!$A$6:$BM$38,33,0)</f>
        <v>0</v>
      </c>
      <c r="Z7" s="36">
        <f>VLOOKUP($A7,[24]HISTOJANV24!$A$6:$BM$38,65,0)</f>
        <v>0</v>
      </c>
      <c r="AA7" s="36"/>
      <c r="AB7" s="36">
        <f>VLOOKUP($A7,[24]HISTOJANV24!$A$6:$AU$38,43,0)</f>
        <v>0</v>
      </c>
      <c r="AC7" s="36">
        <f>VLOOKUP($A7,[24]HISTOJANV24!$A$6:$AU$38,44,0)</f>
        <v>0</v>
      </c>
      <c r="AD7" s="36">
        <f>VLOOKUP($A7,[24]HISTOJANV24!$A$6:$AU$38,47,0)</f>
        <v>0</v>
      </c>
      <c r="AE7" s="36">
        <f>VLOOKUP(A7,[24]HISTOJANV24!$A$6:$BB$38,54,0)</f>
        <v>0</v>
      </c>
      <c r="AF7" s="36">
        <f>VLOOKUP($A7,[24]HISTOJANV24!$A$6:$CB$38,60,0)</f>
        <v>0</v>
      </c>
      <c r="AG7" s="36">
        <f>VLOOKUP($A7,[24]HISTOJANV24!$A$6:$CB$38,61,0)</f>
        <v>0</v>
      </c>
      <c r="AH7" s="36">
        <f>VLOOKUP($A7,[24]HISTOJANV24!$A$6:$CB$38,62,0)</f>
        <v>0</v>
      </c>
      <c r="AI7" s="36">
        <f>VLOOKUP($A7,[24]HISTOJANV24!$A$6:$CB$38,63,0)</f>
        <v>0</v>
      </c>
      <c r="AJ7" s="36">
        <f>VLOOKUP($A7,[24]HISTOJANV24!$A$6:$CB$38,64,0)</f>
        <v>0</v>
      </c>
      <c r="AK7" s="36">
        <f>VLOOKUP($A7,[24]HISTOJANV24!$A$6:$CB$38,65,0)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VLOOKUP($A8,[24]HISTOJANV24!$A$6:$BA$38,48,0)</f>
        <v>0</v>
      </c>
      <c r="F8" s="36">
        <f>MVTDEC23!I8-E8+L8</f>
        <v>756435.79352634365</v>
      </c>
      <c r="G8" s="5">
        <f>IF(MVTDEC23!I8&gt;700000,(MVTDEC23!I8-E8+L8),0)</f>
        <v>756435.79352634365</v>
      </c>
      <c r="H8" s="36">
        <f t="shared" si="0"/>
        <v>5649.9692127905892</v>
      </c>
      <c r="I8" s="6">
        <f t="shared" si="2"/>
        <v>762085.76273913425</v>
      </c>
      <c r="J8" s="36">
        <f>VLOOKUP($A8,[24]HISTOJANV24!$A$6:$AQ$42,22,0)</f>
        <v>0</v>
      </c>
      <c r="K8" s="36">
        <f>VLOOKUP($A8,[24]HISTOJANV24!$A$6:$AU$38,45,0)</f>
        <v>25000</v>
      </c>
      <c r="L8" s="36">
        <f t="shared" ref="L8:L39" si="4">IF(K8=0,0,K8-(M8+N8+O8))</f>
        <v>19000</v>
      </c>
      <c r="M8" s="36">
        <f t="shared" ref="M8:M39" si="5">IF(K8=0,0,1000)</f>
        <v>1000</v>
      </c>
      <c r="N8" s="36">
        <f t="shared" ref="N8:N39" si="6">IF(K8=0,0,1000)</f>
        <v>1000</v>
      </c>
      <c r="O8" s="36">
        <f t="shared" ref="O8:O39" si="7">IF(K8=0,0,4000)</f>
        <v>4000</v>
      </c>
      <c r="P8" s="36">
        <f>VLOOKUP($A8,[24]HISTOJANV24!$A$6:$AU$38,7,0)</f>
        <v>0</v>
      </c>
      <c r="Q8" s="36">
        <f>VLOOKUP($A8,[24]HISTOJANV24!$A$6:$AU$38,23,0)</f>
        <v>0</v>
      </c>
      <c r="R8" s="36">
        <f>VLOOKUP($A8,[24]HISTOJANV24!$A$6:$AU$38,46,0)</f>
        <v>0</v>
      </c>
      <c r="S8" s="36">
        <f>VLOOKUP($A8,[24]HISTOJANV24!$A$6:$AU$38,26,0)</f>
        <v>0</v>
      </c>
      <c r="T8" s="36">
        <f>VLOOKUP($A8,[24]HISTOJANV24!$A$6:$BG$38,58,0)</f>
        <v>0</v>
      </c>
      <c r="U8" s="36">
        <f>VLOOKUP($A8,[24]HISTOJANV24!$A$6:$AU$38,28,0)</f>
        <v>0</v>
      </c>
      <c r="V8" s="36">
        <f>VLOOKUP($A8,[24]HISTOJANV24!$A$6:$AU$38,19,0)</f>
        <v>0</v>
      </c>
      <c r="W8" s="36">
        <f>VLOOKUP($A8,[24]HISTOJANV24!$A$6:$AU$38,20,0)</f>
        <v>0</v>
      </c>
      <c r="X8" s="36">
        <f>VLOOKUP($A8,[24]HISTOJANV24!$A$6:$AU$38,27,0)</f>
        <v>0</v>
      </c>
      <c r="Y8" s="36">
        <f>VLOOKUP($A8,[24]HISTOJANV24!$A$6:$BM$38,33,0)</f>
        <v>0</v>
      </c>
      <c r="Z8" s="36">
        <f>VLOOKUP($A8,[24]HISTOJANV24!$A$6:$BM$38,65,0)</f>
        <v>0</v>
      </c>
      <c r="AA8" s="36"/>
      <c r="AB8" s="36">
        <f>VLOOKUP($A8,[24]HISTOJANV24!$A$6:$AU$38,43,0)</f>
        <v>0</v>
      </c>
      <c r="AC8" s="36">
        <f>VLOOKUP($A8,[24]HISTOJANV24!$A$6:$AU$38,44,0)</f>
        <v>0</v>
      </c>
      <c r="AD8" s="36">
        <f>VLOOKUP($A8,[24]HISTOJANV24!$A$6:$AU$38,47,0)</f>
        <v>0</v>
      </c>
      <c r="AE8" s="36">
        <f>VLOOKUP(A8,[24]HISTOJANV24!$A$6:$BB$38,54,0)</f>
        <v>0</v>
      </c>
      <c r="AF8" s="36">
        <f>VLOOKUP($A8,[24]HISTOJANV24!$A$6:$CB$38,60,0)</f>
        <v>0</v>
      </c>
      <c r="AG8" s="36">
        <f>VLOOKUP($A8,[24]HISTOJANV24!$A$6:$CB$38,61,0)</f>
        <v>0</v>
      </c>
      <c r="AH8" s="36">
        <f>VLOOKUP($A8,[24]HISTOJANV24!$A$6:$CB$38,62,0)</f>
        <v>0</v>
      </c>
      <c r="AI8" s="36">
        <f>VLOOKUP($A8,[24]HISTOJANV24!$A$6:$CB$38,63,0)</f>
        <v>0</v>
      </c>
      <c r="AJ8" s="36">
        <f>VLOOKUP($A8,[24]HISTOJANV24!$A$6:$CB$38,64,0)</f>
        <v>0</v>
      </c>
      <c r="AK8" s="36">
        <f>VLOOKUP($A8,[24]HISTOJANV24!$A$6:$CB$38,65,0)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VLOOKUP($A9,[24]HISTOJANV24!$A$6:$BA$38,48,0)</f>
        <v>0</v>
      </c>
      <c r="F9" s="36">
        <f>MVTDEC23!I9-E9+L9</f>
        <v>812609.62440502481</v>
      </c>
      <c r="G9" s="5">
        <f>IF(MVTDEC23!I9&gt;700000,(MVTDEC23!I9-E9+L9),0)</f>
        <v>812609.62440502481</v>
      </c>
      <c r="H9" s="36">
        <f t="shared" si="0"/>
        <v>6069.5427149241859</v>
      </c>
      <c r="I9" s="6">
        <f t="shared" si="2"/>
        <v>818679.16711994901</v>
      </c>
      <c r="J9" s="36">
        <f>VLOOKUP($A9,[24]HISTOJANV24!$A$6:$AQ$42,22,0)</f>
        <v>0</v>
      </c>
      <c r="K9" s="36">
        <f>VLOOKUP($A9,[24]HISTOJANV24!$A$6:$AU$38,45,0)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6"/>
        <v>1000</v>
      </c>
      <c r="O9" s="36">
        <f t="shared" si="7"/>
        <v>4000</v>
      </c>
      <c r="P9" s="36">
        <f>VLOOKUP($A9,[24]HISTOJANV24!$A$6:$AU$38,7,0)</f>
        <v>0</v>
      </c>
      <c r="Q9" s="36">
        <f>VLOOKUP($A9,[24]HISTOJANV24!$A$6:$AU$38,23,0)</f>
        <v>0</v>
      </c>
      <c r="R9" s="36">
        <f>VLOOKUP($A9,[24]HISTOJANV24!$A$6:$AU$38,46,0)</f>
        <v>0</v>
      </c>
      <c r="S9" s="36">
        <f>VLOOKUP($A9,[24]HISTOJANV24!$A$6:$AU$38,26,0)</f>
        <v>0</v>
      </c>
      <c r="T9" s="36">
        <f>VLOOKUP($A9,[24]HISTOJANV24!$A$6:$BG$38,58,0)</f>
        <v>0</v>
      </c>
      <c r="U9" s="36">
        <f>VLOOKUP($A9,[24]HISTOJANV24!$A$6:$AU$38,28,0)</f>
        <v>0</v>
      </c>
      <c r="V9" s="36">
        <f>VLOOKUP($A9,[24]HISTOJANV24!$A$6:$AU$38,19,0)</f>
        <v>0</v>
      </c>
      <c r="W9" s="36">
        <f>VLOOKUP($A9,[24]HISTOJANV24!$A$6:$AU$38,20,0)</f>
        <v>0</v>
      </c>
      <c r="X9" s="36">
        <f>VLOOKUP($A9,[24]HISTOJANV24!$A$6:$AU$38,27,0)</f>
        <v>0</v>
      </c>
      <c r="Y9" s="36">
        <f>VLOOKUP($A9,[24]HISTOJANV24!$A$6:$BM$38,33,0)</f>
        <v>0</v>
      </c>
      <c r="Z9" s="36">
        <f>VLOOKUP($A9,[24]HISTOJANV24!$A$6:$BM$38,65,0)</f>
        <v>0</v>
      </c>
      <c r="AA9" s="36"/>
      <c r="AB9" s="36">
        <f>VLOOKUP($A9,[24]HISTOJANV24!$A$6:$AU$38,43,0)</f>
        <v>0</v>
      </c>
      <c r="AC9" s="36">
        <f>VLOOKUP($A9,[24]HISTOJANV24!$A$6:$AU$38,44,0)</f>
        <v>0</v>
      </c>
      <c r="AD9" s="36">
        <f>VLOOKUP($A9,[24]HISTOJANV24!$A$6:$AU$38,47,0)</f>
        <v>0</v>
      </c>
      <c r="AE9" s="36">
        <f>VLOOKUP(A9,[24]HISTOJANV24!$A$6:$BB$38,54,0)</f>
        <v>0</v>
      </c>
      <c r="AF9" s="36">
        <f>VLOOKUP($A9,[24]HISTOJANV24!$A$6:$CB$38,60,0)</f>
        <v>0</v>
      </c>
      <c r="AG9" s="36">
        <f>VLOOKUP($A9,[24]HISTOJANV24!$A$6:$CB$38,61,0)</f>
        <v>0</v>
      </c>
      <c r="AH9" s="36">
        <f>VLOOKUP($A9,[24]HISTOJANV24!$A$6:$CB$38,62,0)</f>
        <v>0</v>
      </c>
      <c r="AI9" s="36">
        <f>VLOOKUP($A9,[24]HISTOJANV24!$A$6:$CB$38,63,0)</f>
        <v>0</v>
      </c>
      <c r="AJ9" s="36">
        <f>VLOOKUP($A9,[24]HISTOJANV24!$A$6:$CB$38,64,0)</f>
        <v>0</v>
      </c>
      <c r="AK9" s="36">
        <f>VLOOKUP($A9,[24]HISTOJANV24!$A$6:$CB$38,65,0)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VLOOKUP($A10,[24]HISTOJANV24!$A$6:$BA$38,48,0)</f>
        <v>0</v>
      </c>
      <c r="F10" s="36">
        <f>MVTDEC23!I10-E10+L10</f>
        <v>756711.32129921939</v>
      </c>
      <c r="G10" s="5">
        <f>IF(MVTDEC23!I10&gt;700000,(MVTDEC23!I10-E10+L10),0)</f>
        <v>756711.32129921939</v>
      </c>
      <c r="H10" s="36">
        <f t="shared" si="0"/>
        <v>5652.0271844616018</v>
      </c>
      <c r="I10" s="6">
        <f t="shared" si="2"/>
        <v>762363.34848368098</v>
      </c>
      <c r="J10" s="36">
        <f>VLOOKUP($A10,[24]HISTOJANV24!$A$6:$AQ$42,22,0)</f>
        <v>0</v>
      </c>
      <c r="K10" s="36">
        <f>VLOOKUP($A10,[24]HISTOJANV24!$A$6:$AU$38,45,0)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6"/>
        <v>1000</v>
      </c>
      <c r="O10" s="36">
        <f t="shared" si="7"/>
        <v>4000</v>
      </c>
      <c r="P10" s="36">
        <f>VLOOKUP($A10,[24]HISTOJANV24!$A$6:$AU$38,7,0)</f>
        <v>0</v>
      </c>
      <c r="Q10" s="36">
        <f>VLOOKUP($A10,[24]HISTOJANV24!$A$6:$AU$38,23,0)</f>
        <v>0</v>
      </c>
      <c r="R10" s="36">
        <f>VLOOKUP($A10,[24]HISTOJANV24!$A$6:$AU$38,46,0)</f>
        <v>0</v>
      </c>
      <c r="S10" s="36">
        <f>VLOOKUP($A10,[24]HISTOJANV24!$A$6:$AU$38,26,0)</f>
        <v>0</v>
      </c>
      <c r="T10" s="36">
        <f>VLOOKUP($A10,[24]HISTOJANV24!$A$6:$BG$38,58,0)</f>
        <v>0</v>
      </c>
      <c r="U10" s="36">
        <f>VLOOKUP($A10,[24]HISTOJANV24!$A$6:$AU$38,28,0)</f>
        <v>0</v>
      </c>
      <c r="V10" s="36">
        <f>VLOOKUP($A10,[24]HISTOJANV24!$A$6:$AU$38,19,0)</f>
        <v>0</v>
      </c>
      <c r="W10" s="36">
        <f>VLOOKUP($A10,[24]HISTOJANV24!$A$6:$AU$38,20,0)</f>
        <v>0</v>
      </c>
      <c r="X10" s="36">
        <f>VLOOKUP($A10,[24]HISTOJANV24!$A$6:$AU$38,27,0)</f>
        <v>0</v>
      </c>
      <c r="Y10" s="36">
        <f>VLOOKUP($A10,[24]HISTOJANV24!$A$6:$BM$38,33,0)</f>
        <v>0</v>
      </c>
      <c r="Z10" s="36">
        <f>VLOOKUP($A10,[24]HISTOJANV24!$A$6:$BM$38,65,0)</f>
        <v>0</v>
      </c>
      <c r="AA10" s="36"/>
      <c r="AB10" s="36">
        <f>VLOOKUP($A10,[24]HISTOJANV24!$A$6:$AU$38,43,0)</f>
        <v>0</v>
      </c>
      <c r="AC10" s="36">
        <f>VLOOKUP($A10,[24]HISTOJANV24!$A$6:$AU$38,44,0)</f>
        <v>0</v>
      </c>
      <c r="AD10" s="36">
        <f>VLOOKUP($A10,[24]HISTOJANV24!$A$6:$AU$38,47,0)</f>
        <v>0</v>
      </c>
      <c r="AE10" s="36">
        <f>VLOOKUP(A10,[24]HISTOJANV24!$A$6:$BB$38,54,0)</f>
        <v>0</v>
      </c>
      <c r="AF10" s="36">
        <f>VLOOKUP($A10,[24]HISTOJANV24!$A$6:$CB$38,60,0)</f>
        <v>0</v>
      </c>
      <c r="AG10" s="36">
        <f>VLOOKUP($A10,[24]HISTOJANV24!$A$6:$CB$38,61,0)</f>
        <v>0</v>
      </c>
      <c r="AH10" s="36">
        <f>VLOOKUP($A10,[24]HISTOJANV24!$A$6:$CB$38,62,0)</f>
        <v>0</v>
      </c>
      <c r="AI10" s="36">
        <f>VLOOKUP($A10,[24]HISTOJANV24!$A$6:$CB$38,63,0)</f>
        <v>0</v>
      </c>
      <c r="AJ10" s="36">
        <f>VLOOKUP($A10,[24]HISTOJANV24!$A$6:$CB$38,64,0)</f>
        <v>0</v>
      </c>
      <c r="AK10" s="36">
        <f>VLOOKUP($A10,[24]HISTOJANV24!$A$6:$CB$38,65,0)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VLOOKUP($A11,[24]HISTOJANV24!$A$6:$BA$38,48,0)</f>
        <v>0</v>
      </c>
      <c r="F11" s="36">
        <f>MVTDEC23!I11-E11+L11</f>
        <v>758715.03821572172</v>
      </c>
      <c r="G11" s="5">
        <f>IF(MVTDEC23!I11&gt;700000,(MVTDEC23!I11-E11+L11),0)</f>
        <v>758715.03821572172</v>
      </c>
      <c r="H11" s="36">
        <f t="shared" si="0"/>
        <v>5666.9933441624926</v>
      </c>
      <c r="I11" s="6">
        <f t="shared" si="2"/>
        <v>764382.0315598842</v>
      </c>
      <c r="J11" s="36">
        <f>VLOOKUP($A11,[24]HISTOJANV24!$A$6:$AQ$42,22,0)</f>
        <v>0</v>
      </c>
      <c r="K11" s="36">
        <f>VLOOKUP($A11,[24]HISTOJANV24!$A$6:$AU$38,45,0)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6"/>
        <v>1000</v>
      </c>
      <c r="O11" s="36">
        <f t="shared" si="7"/>
        <v>4000</v>
      </c>
      <c r="P11" s="36">
        <f>VLOOKUP($A11,[24]HISTOJANV24!$A$6:$AU$38,7,0)</f>
        <v>0</v>
      </c>
      <c r="Q11" s="36">
        <f>VLOOKUP($A11,[24]HISTOJANV24!$A$6:$AU$38,23,0)</f>
        <v>0</v>
      </c>
      <c r="R11" s="36">
        <f>VLOOKUP($A11,[24]HISTOJANV24!$A$6:$AU$38,46,0)</f>
        <v>0</v>
      </c>
      <c r="S11" s="36">
        <f>VLOOKUP($A11,[24]HISTOJANV24!$A$6:$AU$38,26,0)</f>
        <v>0</v>
      </c>
      <c r="T11" s="36">
        <f>VLOOKUP($A11,[24]HISTOJANV24!$A$6:$BG$38,58,0)</f>
        <v>0</v>
      </c>
      <c r="U11" s="36">
        <f>VLOOKUP($A11,[24]HISTOJANV24!$A$6:$AU$38,28,0)</f>
        <v>0</v>
      </c>
      <c r="V11" s="36">
        <f>VLOOKUP($A11,[24]HISTOJANV24!$A$6:$AU$38,19,0)</f>
        <v>0</v>
      </c>
      <c r="W11" s="36">
        <f>VLOOKUP($A11,[24]HISTOJANV24!$A$6:$AU$38,20,0)</f>
        <v>0</v>
      </c>
      <c r="X11" s="36">
        <f>VLOOKUP($A11,[24]HISTOJANV24!$A$6:$AU$38,27,0)</f>
        <v>0</v>
      </c>
      <c r="Y11" s="36">
        <f>VLOOKUP($A11,[24]HISTOJANV24!$A$6:$BM$38,33,0)</f>
        <v>0</v>
      </c>
      <c r="Z11" s="36">
        <f>VLOOKUP($A11,[24]HISTOJANV24!$A$6:$BM$38,65,0)</f>
        <v>0</v>
      </c>
      <c r="AA11" s="36"/>
      <c r="AB11" s="36">
        <f>VLOOKUP($A11,[24]HISTOJANV24!$A$6:$AU$38,43,0)</f>
        <v>0</v>
      </c>
      <c r="AC11" s="36">
        <f>VLOOKUP($A11,[24]HISTOJANV24!$A$6:$AU$38,44,0)</f>
        <v>0</v>
      </c>
      <c r="AD11" s="36">
        <f>VLOOKUP($A11,[24]HISTOJANV24!$A$6:$AU$38,47,0)</f>
        <v>0</v>
      </c>
      <c r="AE11" s="36">
        <f>VLOOKUP(A11,[24]HISTOJANV24!$A$6:$BB$38,54,0)</f>
        <v>0</v>
      </c>
      <c r="AF11" s="36">
        <f>VLOOKUP($A11,[24]HISTOJANV24!$A$6:$CB$38,60,0)</f>
        <v>0</v>
      </c>
      <c r="AG11" s="36">
        <f>VLOOKUP($A11,[24]HISTOJANV24!$A$6:$CB$38,61,0)</f>
        <v>0</v>
      </c>
      <c r="AH11" s="36">
        <f>VLOOKUP($A11,[24]HISTOJANV24!$A$6:$CB$38,62,0)</f>
        <v>0</v>
      </c>
      <c r="AI11" s="36">
        <f>VLOOKUP($A11,[24]HISTOJANV24!$A$6:$CB$38,63,0)</f>
        <v>0</v>
      </c>
      <c r="AJ11" s="36">
        <f>VLOOKUP($A11,[24]HISTOJANV24!$A$6:$CB$38,64,0)</f>
        <v>0</v>
      </c>
      <c r="AK11" s="36">
        <f>VLOOKUP($A11,[24]HISTOJANV24!$A$6:$CB$38,65,0)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VLOOKUP($A12,[24]HISTOJANV24!$A$6:$BA$38,48,0)</f>
        <v>0</v>
      </c>
      <c r="F12" s="36">
        <f>MVTDEC23!I12-E12+L12</f>
        <v>776689.61706896778</v>
      </c>
      <c r="G12" s="5">
        <f>IF(MVTDEC23!I12&gt;700000,(MVTDEC23!I12-E12+L12),0)</f>
        <v>776689.61706896778</v>
      </c>
      <c r="H12" s="36">
        <f t="shared" si="0"/>
        <v>5801.2490443856213</v>
      </c>
      <c r="I12" s="6">
        <f t="shared" si="2"/>
        <v>782490.8661133534</v>
      </c>
      <c r="J12" s="36">
        <f>VLOOKUP($A12,[24]HISTOJANV24!$A$6:$AQ$42,22,0)</f>
        <v>0</v>
      </c>
      <c r="K12" s="36">
        <f>VLOOKUP($A12,[24]HISTOJANV24!$A$6:$AU$38,45,0)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6"/>
        <v>1000</v>
      </c>
      <c r="O12" s="36">
        <f t="shared" si="7"/>
        <v>4000</v>
      </c>
      <c r="P12" s="36">
        <f>VLOOKUP($A12,[24]HISTOJANV24!$A$6:$AU$38,7,0)</f>
        <v>0</v>
      </c>
      <c r="Q12" s="36">
        <f>VLOOKUP($A12,[24]HISTOJANV24!$A$6:$AU$38,23,0)</f>
        <v>0</v>
      </c>
      <c r="R12" s="36">
        <f>VLOOKUP($A12,[24]HISTOJANV24!$A$6:$AU$38,46,0)</f>
        <v>0</v>
      </c>
      <c r="S12" s="36">
        <f>VLOOKUP($A12,[24]HISTOJANV24!$A$6:$AU$38,26,0)</f>
        <v>0</v>
      </c>
      <c r="T12" s="36">
        <f>VLOOKUP($A12,[24]HISTOJANV24!$A$6:$BG$38,58,0)</f>
        <v>0</v>
      </c>
      <c r="U12" s="36">
        <f>VLOOKUP($A12,[24]HISTOJANV24!$A$6:$AU$38,28,0)</f>
        <v>0</v>
      </c>
      <c r="V12" s="36">
        <f>VLOOKUP($A12,[24]HISTOJANV24!$A$6:$AU$38,19,0)</f>
        <v>0</v>
      </c>
      <c r="W12" s="36">
        <f>VLOOKUP($A12,[24]HISTOJANV24!$A$6:$AU$38,20,0)</f>
        <v>0</v>
      </c>
      <c r="X12" s="36">
        <f>VLOOKUP($A12,[24]HISTOJANV24!$A$6:$AU$38,27,0)</f>
        <v>0</v>
      </c>
      <c r="Y12" s="36">
        <f>VLOOKUP($A12,[24]HISTOJANV24!$A$6:$BM$38,33,0)</f>
        <v>0</v>
      </c>
      <c r="Z12" s="36">
        <f>VLOOKUP($A12,[24]HISTOJANV24!$A$6:$BM$38,65,0)</f>
        <v>0</v>
      </c>
      <c r="AA12" s="36"/>
      <c r="AB12" s="36">
        <f>VLOOKUP($A12,[24]HISTOJANV24!$A$6:$AU$38,43,0)</f>
        <v>0</v>
      </c>
      <c r="AC12" s="36">
        <f>VLOOKUP($A12,[24]HISTOJANV24!$A$6:$AU$38,44,0)</f>
        <v>0</v>
      </c>
      <c r="AD12" s="36">
        <f>VLOOKUP($A12,[24]HISTOJANV24!$A$6:$AU$38,47,0)</f>
        <v>0</v>
      </c>
      <c r="AE12" s="36">
        <f>VLOOKUP(A12,[24]HISTOJANV24!$A$6:$BB$38,54,0)</f>
        <v>0</v>
      </c>
      <c r="AF12" s="36">
        <f>VLOOKUP($A12,[24]HISTOJANV24!$A$6:$CB$38,60,0)</f>
        <v>0</v>
      </c>
      <c r="AG12" s="36">
        <f>VLOOKUP($A12,[24]HISTOJANV24!$A$6:$CB$38,61,0)</f>
        <v>0</v>
      </c>
      <c r="AH12" s="36">
        <f>VLOOKUP($A12,[24]HISTOJANV24!$A$6:$CB$38,62,0)</f>
        <v>0</v>
      </c>
      <c r="AI12" s="36">
        <f>VLOOKUP($A12,[24]HISTOJANV24!$A$6:$CB$38,63,0)</f>
        <v>0</v>
      </c>
      <c r="AJ12" s="36">
        <f>VLOOKUP($A12,[24]HISTOJANV24!$A$6:$CB$38,64,0)</f>
        <v>0</v>
      </c>
      <c r="AK12" s="36">
        <f>VLOOKUP($A12,[24]HISTOJANV24!$A$6:$CB$38,65,0)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VLOOKUP($A13,[24]HISTOJANV24!$A$6:$BA$38,48,0)</f>
        <v>0</v>
      </c>
      <c r="F13" s="36">
        <f>MVTDEC23!I13-E13+L13</f>
        <v>756444.33636072569</v>
      </c>
      <c r="G13" s="5">
        <f>IF(MVTDEC23!I13&gt;700000,(MVTDEC23!I13-E13+L13),0)</f>
        <v>756444.33636072569</v>
      </c>
      <c r="H13" s="36">
        <f t="shared" si="0"/>
        <v>5650.0330209176791</v>
      </c>
      <c r="I13" s="6">
        <f t="shared" si="2"/>
        <v>762094.36938164337</v>
      </c>
      <c r="J13" s="36">
        <f>VLOOKUP($A13,[24]HISTOJANV24!$A$6:$AQ$42,22,0)</f>
        <v>0</v>
      </c>
      <c r="K13" s="36">
        <f>VLOOKUP($A13,[24]HISTOJANV24!$A$6:$AU$38,45,0)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6"/>
        <v>1000</v>
      </c>
      <c r="O13" s="36">
        <f t="shared" si="7"/>
        <v>4000</v>
      </c>
      <c r="P13" s="36">
        <f>VLOOKUP($A13,[24]HISTOJANV24!$A$6:$AU$38,7,0)</f>
        <v>0</v>
      </c>
      <c r="Q13" s="36">
        <f>VLOOKUP($A13,[24]HISTOJANV24!$A$6:$AU$38,23,0)</f>
        <v>0</v>
      </c>
      <c r="R13" s="36">
        <f>VLOOKUP($A13,[24]HISTOJANV24!$A$6:$AU$38,46,0)</f>
        <v>0</v>
      </c>
      <c r="S13" s="36">
        <f>VLOOKUP($A13,[24]HISTOJANV24!$A$6:$AU$38,26,0)</f>
        <v>0</v>
      </c>
      <c r="T13" s="36">
        <f>VLOOKUP($A13,[24]HISTOJANV24!$A$6:$BG$38,58,0)</f>
        <v>0</v>
      </c>
      <c r="U13" s="36">
        <f>VLOOKUP($A13,[24]HISTOJANV24!$A$6:$AU$38,28,0)</f>
        <v>0</v>
      </c>
      <c r="V13" s="36">
        <f>VLOOKUP($A13,[24]HISTOJANV24!$A$6:$AU$38,19,0)</f>
        <v>0</v>
      </c>
      <c r="W13" s="36">
        <f>VLOOKUP($A13,[24]HISTOJANV24!$A$6:$AU$38,20,0)</f>
        <v>0</v>
      </c>
      <c r="X13" s="36">
        <f>VLOOKUP($A13,[24]HISTOJANV24!$A$6:$AU$38,27,0)</f>
        <v>0</v>
      </c>
      <c r="Y13" s="36">
        <f>VLOOKUP($A13,[24]HISTOJANV24!$A$6:$BM$38,33,0)</f>
        <v>0</v>
      </c>
      <c r="Z13" s="36">
        <f>VLOOKUP($A13,[24]HISTOJANV24!$A$6:$BM$38,65,0)</f>
        <v>0</v>
      </c>
      <c r="AA13" s="36"/>
      <c r="AB13" s="36">
        <f>VLOOKUP($A13,[24]HISTOJANV24!$A$6:$AU$38,43,0)</f>
        <v>0</v>
      </c>
      <c r="AC13" s="36">
        <f>VLOOKUP($A13,[24]HISTOJANV24!$A$6:$AU$38,44,0)</f>
        <v>0</v>
      </c>
      <c r="AD13" s="36">
        <f>VLOOKUP($A13,[24]HISTOJANV24!$A$6:$AU$38,47,0)</f>
        <v>0</v>
      </c>
      <c r="AE13" s="36">
        <f>VLOOKUP(A13,[24]HISTOJANV24!$A$6:$BB$38,54,0)</f>
        <v>0</v>
      </c>
      <c r="AF13" s="36">
        <f>VLOOKUP($A13,[24]HISTOJANV24!$A$6:$CB$38,60,0)</f>
        <v>0</v>
      </c>
      <c r="AG13" s="36">
        <f>VLOOKUP($A13,[24]HISTOJANV24!$A$6:$CB$38,61,0)</f>
        <v>0</v>
      </c>
      <c r="AH13" s="36">
        <f>VLOOKUP($A13,[24]HISTOJANV24!$A$6:$CB$38,62,0)</f>
        <v>0</v>
      </c>
      <c r="AI13" s="36">
        <f>VLOOKUP($A13,[24]HISTOJANV24!$A$6:$CB$38,63,0)</f>
        <v>0</v>
      </c>
      <c r="AJ13" s="36">
        <f>VLOOKUP($A13,[24]HISTOJANV24!$A$6:$CB$38,64,0)</f>
        <v>0</v>
      </c>
      <c r="AK13" s="36">
        <f>VLOOKUP($A13,[24]HISTOJANV24!$A$6:$CB$38,65,0)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VLOOKUP($A14,[24]HISTOJANV24!$A$6:$BA$38,48,0)</f>
        <v>0</v>
      </c>
      <c r="F14" s="36">
        <f>MVTDEC23!I14-E14+L14</f>
        <v>1302110.5242482522</v>
      </c>
      <c r="G14" s="5">
        <f>IF(MVTDEC23!I14&gt;700000,(MVTDEC23!I14-E14+L14),0)</f>
        <v>1302110.5242482522</v>
      </c>
      <c r="H14" s="36">
        <f t="shared" si="0"/>
        <v>9725.7221784244248</v>
      </c>
      <c r="I14" s="6">
        <f t="shared" si="2"/>
        <v>1311836.2464266766</v>
      </c>
      <c r="J14" s="36">
        <f>VLOOKUP($A14,[24]HISTOJANV24!$A$6:$AQ$42,22,0)</f>
        <v>0</v>
      </c>
      <c r="K14" s="36">
        <f>VLOOKUP($A14,[24]HISTOJANV24!$A$6:$AU$38,45,0)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6"/>
        <v>1000</v>
      </c>
      <c r="O14" s="36">
        <f t="shared" si="7"/>
        <v>4000</v>
      </c>
      <c r="P14" s="36">
        <f>VLOOKUP($A14,[24]HISTOJANV24!$A$6:$AU$38,7,0)</f>
        <v>0</v>
      </c>
      <c r="Q14" s="36">
        <f>VLOOKUP($A14,[24]HISTOJANV24!$A$6:$AU$38,23,0)</f>
        <v>0</v>
      </c>
      <c r="R14" s="36">
        <f>VLOOKUP($A14,[24]HISTOJANV24!$A$6:$AU$38,46,0)</f>
        <v>0</v>
      </c>
      <c r="S14" s="36">
        <f>VLOOKUP($A14,[24]HISTOJANV24!$A$6:$AU$38,26,0)</f>
        <v>0</v>
      </c>
      <c r="T14" s="36">
        <f>VLOOKUP($A14,[24]HISTOJANV24!$A$6:$BG$38,58,0)</f>
        <v>0</v>
      </c>
      <c r="U14" s="36">
        <f>VLOOKUP($A14,[24]HISTOJANV24!$A$6:$AU$38,28,0)</f>
        <v>0</v>
      </c>
      <c r="V14" s="36">
        <f>VLOOKUP($A14,[24]HISTOJANV24!$A$6:$AU$38,19,0)</f>
        <v>0</v>
      </c>
      <c r="W14" s="36">
        <f>VLOOKUP($A14,[24]HISTOJANV24!$A$6:$AU$38,20,0)</f>
        <v>0</v>
      </c>
      <c r="X14" s="36">
        <f>VLOOKUP($A14,[24]HISTOJANV24!$A$6:$AU$38,27,0)</f>
        <v>0</v>
      </c>
      <c r="Y14" s="36">
        <f>VLOOKUP($A14,[24]HISTOJANV24!$A$6:$BM$38,33,0)</f>
        <v>0</v>
      </c>
      <c r="Z14" s="36">
        <f>VLOOKUP($A14,[24]HISTOJANV24!$A$6:$BM$38,65,0)</f>
        <v>0</v>
      </c>
      <c r="AA14" s="36"/>
      <c r="AB14" s="36">
        <f>VLOOKUP($A14,[24]HISTOJANV24!$A$6:$AU$38,43,0)</f>
        <v>0</v>
      </c>
      <c r="AC14" s="36">
        <f>VLOOKUP($A14,[24]HISTOJANV24!$A$6:$AU$38,44,0)</f>
        <v>0</v>
      </c>
      <c r="AD14" s="36">
        <f>VLOOKUP($A14,[24]HISTOJANV24!$A$6:$AU$38,47,0)</f>
        <v>0</v>
      </c>
      <c r="AE14" s="36">
        <f>VLOOKUP(A14,[24]HISTOJANV24!$A$6:$BB$38,54,0)</f>
        <v>0</v>
      </c>
      <c r="AF14" s="36">
        <f>VLOOKUP($A14,[24]HISTOJANV24!$A$6:$CB$38,60,0)</f>
        <v>0</v>
      </c>
      <c r="AG14" s="36">
        <f>VLOOKUP($A14,[24]HISTOJANV24!$A$6:$CB$38,61,0)</f>
        <v>0</v>
      </c>
      <c r="AH14" s="36">
        <f>VLOOKUP($A14,[24]HISTOJANV24!$A$6:$CB$38,62,0)</f>
        <v>0</v>
      </c>
      <c r="AI14" s="36">
        <f>VLOOKUP($A14,[24]HISTOJANV24!$A$6:$CB$38,63,0)</f>
        <v>0</v>
      </c>
      <c r="AJ14" s="36">
        <f>VLOOKUP($A14,[24]HISTOJANV24!$A$6:$CB$38,64,0)</f>
        <v>0</v>
      </c>
      <c r="AK14" s="36">
        <f>VLOOKUP($A14,[24]HISTOJANV24!$A$6:$CB$38,65,0)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VLOOKUP($A15,[24]HISTOJANV24!$A$6:$BA$38,48,0)</f>
        <v>0</v>
      </c>
      <c r="F15" s="36">
        <f>MVTDEC23!I15-E15+L15</f>
        <v>817394.06815565785</v>
      </c>
      <c r="G15" s="5">
        <f>IF(MVTDEC23!I15&gt;700000,(MVTDEC23!I15-E15+L15),0)</f>
        <v>817394.06815565785</v>
      </c>
      <c r="H15" s="36">
        <f t="shared" si="0"/>
        <v>6105.2786757588619</v>
      </c>
      <c r="I15" s="6">
        <f t="shared" si="2"/>
        <v>823499.34683141671</v>
      </c>
      <c r="J15" s="36">
        <f>VLOOKUP($A15,[24]HISTOJANV24!$A$6:$AQ$42,22,0)</f>
        <v>0</v>
      </c>
      <c r="K15" s="36">
        <f>VLOOKUP($A15,[24]HISTOJANV24!$A$6:$AU$38,45,0)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6"/>
        <v>1000</v>
      </c>
      <c r="O15" s="36">
        <f t="shared" si="7"/>
        <v>4000</v>
      </c>
      <c r="P15" s="36">
        <f>VLOOKUP($A15,[24]HISTOJANV24!$A$6:$AU$38,7,0)</f>
        <v>0</v>
      </c>
      <c r="Q15" s="36">
        <f>VLOOKUP($A15,[24]HISTOJANV24!$A$6:$AU$38,23,0)</f>
        <v>0</v>
      </c>
      <c r="R15" s="36">
        <f>VLOOKUP($A15,[24]HISTOJANV24!$A$6:$AU$38,46,0)</f>
        <v>0</v>
      </c>
      <c r="S15" s="36">
        <f>VLOOKUP($A15,[24]HISTOJANV24!$A$6:$AU$38,26,0)</f>
        <v>0</v>
      </c>
      <c r="T15" s="36">
        <f>VLOOKUP($A15,[24]HISTOJANV24!$A$6:$BG$38,58,0)</f>
        <v>0</v>
      </c>
      <c r="U15" s="36">
        <f>VLOOKUP($A15,[24]HISTOJANV24!$A$6:$AU$38,28,0)</f>
        <v>0</v>
      </c>
      <c r="V15" s="36">
        <f>VLOOKUP($A15,[24]HISTOJANV24!$A$6:$AU$38,19,0)</f>
        <v>0</v>
      </c>
      <c r="W15" s="36">
        <f>VLOOKUP($A15,[24]HISTOJANV24!$A$6:$AU$38,20,0)</f>
        <v>0</v>
      </c>
      <c r="X15" s="36">
        <f>VLOOKUP($A15,[24]HISTOJANV24!$A$6:$AU$38,27,0)</f>
        <v>0</v>
      </c>
      <c r="Y15" s="36">
        <f>VLOOKUP($A15,[24]HISTOJANV24!$A$6:$BM$38,33,0)</f>
        <v>0</v>
      </c>
      <c r="Z15" s="36">
        <f>VLOOKUP($A15,[24]HISTOJANV24!$A$6:$BM$38,65,0)</f>
        <v>0</v>
      </c>
      <c r="AA15" s="36"/>
      <c r="AB15" s="36">
        <f>VLOOKUP($A15,[24]HISTOJANV24!$A$6:$AU$38,43,0)</f>
        <v>0</v>
      </c>
      <c r="AC15" s="36">
        <f>VLOOKUP($A15,[24]HISTOJANV24!$A$6:$AU$38,44,0)</f>
        <v>0</v>
      </c>
      <c r="AD15" s="36">
        <f>VLOOKUP($A15,[24]HISTOJANV24!$A$6:$AU$38,47,0)</f>
        <v>0</v>
      </c>
      <c r="AE15" s="36">
        <f>VLOOKUP(A15,[24]HISTOJANV24!$A$6:$BB$38,54,0)</f>
        <v>0</v>
      </c>
      <c r="AF15" s="36">
        <f>VLOOKUP($A15,[24]HISTOJANV24!$A$6:$CB$38,60,0)</f>
        <v>0</v>
      </c>
      <c r="AG15" s="36">
        <f>VLOOKUP($A15,[24]HISTOJANV24!$A$6:$CB$38,61,0)</f>
        <v>0</v>
      </c>
      <c r="AH15" s="36">
        <f>VLOOKUP($A15,[24]HISTOJANV24!$A$6:$CB$38,62,0)</f>
        <v>0</v>
      </c>
      <c r="AI15" s="36">
        <f>VLOOKUP($A15,[24]HISTOJANV24!$A$6:$CB$38,63,0)</f>
        <v>0</v>
      </c>
      <c r="AJ15" s="36">
        <f>VLOOKUP($A15,[24]HISTOJANV24!$A$6:$CB$38,64,0)</f>
        <v>0</v>
      </c>
      <c r="AK15" s="36">
        <f>VLOOKUP($A15,[24]HISTOJANV24!$A$6:$CB$38,65,0)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VLOOKUP($A16,[24]HISTOJANV24!$A$6:$BA$38,48,0)</f>
        <v>0</v>
      </c>
      <c r="F16" s="36">
        <f>MVTDEC23!I16-E16+L16</f>
        <v>822646.89943448035</v>
      </c>
      <c r="G16" s="5">
        <f>IF(MVTDEC23!I16&gt;700000,(MVTDEC23!I16-E16+L16),0)</f>
        <v>822646.89943448035</v>
      </c>
      <c r="H16" s="36">
        <f t="shared" si="0"/>
        <v>6144.5131160898472</v>
      </c>
      <c r="I16" s="6">
        <f t="shared" si="2"/>
        <v>828791.41255057021</v>
      </c>
      <c r="J16" s="36">
        <f>VLOOKUP($A16,[24]HISTOJANV24!$A$6:$AQ$42,22,0)</f>
        <v>0</v>
      </c>
      <c r="K16" s="36">
        <f>VLOOKUP($A16,[24]HISTOJANV24!$A$6:$AU$38,45,0)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6"/>
        <v>1000</v>
      </c>
      <c r="O16" s="36">
        <f t="shared" si="7"/>
        <v>4000</v>
      </c>
      <c r="P16" s="36">
        <f>VLOOKUP($A16,[24]HISTOJANV24!$A$6:$AU$38,7,0)</f>
        <v>0</v>
      </c>
      <c r="Q16" s="36">
        <f>VLOOKUP($A16,[24]HISTOJANV24!$A$6:$AU$38,23,0)</f>
        <v>0</v>
      </c>
      <c r="R16" s="36">
        <f>VLOOKUP($A16,[24]HISTOJANV24!$A$6:$AU$38,46,0)</f>
        <v>0</v>
      </c>
      <c r="S16" s="36">
        <f>VLOOKUP($A16,[24]HISTOJANV24!$A$6:$AU$38,26,0)</f>
        <v>0</v>
      </c>
      <c r="T16" s="36">
        <f>VLOOKUP($A16,[24]HISTOJANV24!$A$6:$BG$38,58,0)</f>
        <v>0</v>
      </c>
      <c r="U16" s="36">
        <f>VLOOKUP($A16,[24]HISTOJANV24!$A$6:$AU$38,28,0)</f>
        <v>0</v>
      </c>
      <c r="V16" s="36">
        <f>VLOOKUP($A16,[24]HISTOJANV24!$A$6:$AU$38,19,0)</f>
        <v>0</v>
      </c>
      <c r="W16" s="36">
        <f>VLOOKUP($A16,[24]HISTOJANV24!$A$6:$AU$38,20,0)</f>
        <v>0</v>
      </c>
      <c r="X16" s="36">
        <f>VLOOKUP($A16,[24]HISTOJANV24!$A$6:$AU$38,27,0)</f>
        <v>0</v>
      </c>
      <c r="Y16" s="36">
        <f>VLOOKUP($A16,[24]HISTOJANV24!$A$6:$BM$38,33,0)</f>
        <v>0</v>
      </c>
      <c r="Z16" s="36">
        <f>VLOOKUP($A16,[24]HISTOJANV24!$A$6:$BM$38,65,0)</f>
        <v>0</v>
      </c>
      <c r="AA16" s="36"/>
      <c r="AB16" s="36">
        <f>VLOOKUP($A16,[24]HISTOJANV24!$A$6:$AU$38,43,0)</f>
        <v>0</v>
      </c>
      <c r="AC16" s="36">
        <f>VLOOKUP($A16,[24]HISTOJANV24!$A$6:$AU$38,44,0)</f>
        <v>0</v>
      </c>
      <c r="AD16" s="36">
        <f>VLOOKUP($A16,[24]HISTOJANV24!$A$6:$AU$38,47,0)</f>
        <v>0</v>
      </c>
      <c r="AE16" s="36">
        <f>VLOOKUP(A16,[24]HISTOJANV24!$A$6:$BB$38,54,0)</f>
        <v>0</v>
      </c>
      <c r="AF16" s="36">
        <f>VLOOKUP($A16,[24]HISTOJANV24!$A$6:$CB$38,60,0)</f>
        <v>0</v>
      </c>
      <c r="AG16" s="36">
        <f>VLOOKUP($A16,[24]HISTOJANV24!$A$6:$CB$38,61,0)</f>
        <v>0</v>
      </c>
      <c r="AH16" s="36">
        <f>VLOOKUP($A16,[24]HISTOJANV24!$A$6:$CB$38,62,0)</f>
        <v>0</v>
      </c>
      <c r="AI16" s="36">
        <f>VLOOKUP($A16,[24]HISTOJANV24!$A$6:$CB$38,63,0)</f>
        <v>0</v>
      </c>
      <c r="AJ16" s="36">
        <f>VLOOKUP($A16,[24]HISTOJANV24!$A$6:$CB$38,64,0)</f>
        <v>0</v>
      </c>
      <c r="AK16" s="36">
        <f>VLOOKUP($A16,[24]HISTOJANV24!$A$6:$CB$38,65,0)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VLOOKUP($A17,[24]HISTOJANV24!$A$6:$BA$38,48,0)</f>
        <v>0</v>
      </c>
      <c r="F17" s="36">
        <f>MVTDEC23!I17-E17+L17</f>
        <v>766163.5639256963</v>
      </c>
      <c r="G17" s="5">
        <f>IF(MVTDEC23!I17&gt;700000,(MVTDEC23!I17-E17+L17),0)</f>
        <v>766163.5639256963</v>
      </c>
      <c r="H17" s="36">
        <f t="shared" si="0"/>
        <v>5722.6278623888838</v>
      </c>
      <c r="I17" s="6">
        <f t="shared" si="2"/>
        <v>771886.19178808515</v>
      </c>
      <c r="J17" s="36">
        <f>VLOOKUP($A17,[24]HISTOJANV24!$A$6:$AQ$42,22,0)</f>
        <v>0</v>
      </c>
      <c r="K17" s="36">
        <f>VLOOKUP($A17,[24]HISTOJANV24!$A$6:$AU$38,45,0)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6"/>
        <v>1000</v>
      </c>
      <c r="O17" s="36">
        <f t="shared" si="7"/>
        <v>4000</v>
      </c>
      <c r="P17" s="36">
        <f>VLOOKUP($A17,[24]HISTOJANV24!$A$6:$AU$38,7,0)</f>
        <v>0</v>
      </c>
      <c r="Q17" s="36">
        <f>VLOOKUP($A17,[24]HISTOJANV24!$A$6:$AU$38,23,0)</f>
        <v>0</v>
      </c>
      <c r="R17" s="36">
        <f>VLOOKUP($A17,[24]HISTOJANV24!$A$6:$AU$38,46,0)</f>
        <v>0</v>
      </c>
      <c r="S17" s="36">
        <f>VLOOKUP($A17,[24]HISTOJANV24!$A$6:$AU$38,26,0)</f>
        <v>1000000</v>
      </c>
      <c r="T17" s="36">
        <f>VLOOKUP($A17,[24]HISTOJANV24!$A$6:$BG$38,58,0)</f>
        <v>110000</v>
      </c>
      <c r="U17" s="36">
        <f>VLOOKUP($A17,[24]HISTOJANV24!$A$6:$AU$38,28,0)</f>
        <v>0</v>
      </c>
      <c r="V17" s="36">
        <f>VLOOKUP($A17,[24]HISTOJANV24!$A$6:$AU$38,19,0)</f>
        <v>0</v>
      </c>
      <c r="W17" s="36">
        <f>VLOOKUP($A17,[24]HISTOJANV24!$A$6:$AU$38,20,0)</f>
        <v>0</v>
      </c>
      <c r="X17" s="36">
        <f>VLOOKUP($A17,[24]HISTOJANV24!$A$6:$AU$38,27,0)</f>
        <v>0</v>
      </c>
      <c r="Y17" s="36">
        <f>VLOOKUP($A17,[24]HISTOJANV24!$A$6:$BM$38,33,0)</f>
        <v>0</v>
      </c>
      <c r="Z17" s="36">
        <f>VLOOKUP($A17,[24]HISTOJANV24!$A$6:$BM$38,65,0)</f>
        <v>0</v>
      </c>
      <c r="AA17" s="36"/>
      <c r="AB17" s="36">
        <f>VLOOKUP($A17,[24]HISTOJANV24!$A$6:$AU$38,43,0)</f>
        <v>0</v>
      </c>
      <c r="AC17" s="36">
        <f>VLOOKUP($A17,[24]HISTOJANV24!$A$6:$AU$38,44,0)</f>
        <v>0</v>
      </c>
      <c r="AD17" s="36">
        <f>VLOOKUP($A17,[24]HISTOJANV24!$A$6:$AU$38,47,0)</f>
        <v>0</v>
      </c>
      <c r="AE17" s="36">
        <f>VLOOKUP(A17,[24]HISTOJANV24!$A$6:$BB$38,54,0)</f>
        <v>0</v>
      </c>
      <c r="AF17" s="36">
        <f>VLOOKUP($A17,[24]HISTOJANV24!$A$6:$CB$38,60,0)</f>
        <v>0</v>
      </c>
      <c r="AG17" s="36">
        <f>VLOOKUP($A17,[24]HISTOJANV24!$A$6:$CB$38,61,0)</f>
        <v>0</v>
      </c>
      <c r="AH17" s="36">
        <f>VLOOKUP($A17,[24]HISTOJANV24!$A$6:$CB$38,62,0)</f>
        <v>0</v>
      </c>
      <c r="AI17" s="36">
        <f>VLOOKUP($A17,[24]HISTOJANV24!$A$6:$CB$38,63,0)</f>
        <v>100000</v>
      </c>
      <c r="AJ17" s="36">
        <f>VLOOKUP($A17,[24]HISTOJANV24!$A$6:$CB$38,64,0)</f>
        <v>0</v>
      </c>
      <c r="AK17" s="36">
        <f>VLOOKUP($A17,[24]HISTOJANV24!$A$6:$CB$38,65,0)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VLOOKUP($A18,[24]HISTOJANV24!$A$6:$BA$38,48,0)</f>
        <v>0</v>
      </c>
      <c r="F18" s="36">
        <f>MVTDEC23!I18-E18+L18</f>
        <v>782134.74341160466</v>
      </c>
      <c r="G18" s="5">
        <f>IF(MVTDEC23!I18&gt;700000,(MVTDEC23!I18-E18+L18),0)</f>
        <v>782134.74341160466</v>
      </c>
      <c r="H18" s="36">
        <f t="shared" si="0"/>
        <v>5841.9197747489143</v>
      </c>
      <c r="I18" s="6">
        <f t="shared" si="2"/>
        <v>787976.66318635363</v>
      </c>
      <c r="J18" s="36">
        <f>VLOOKUP($A18,[24]HISTOJANV24!$A$6:$AQ$42,22,0)</f>
        <v>0</v>
      </c>
      <c r="K18" s="36">
        <f>VLOOKUP($A18,[24]HISTOJANV24!$A$6:$AU$38,45,0)</f>
        <v>25000</v>
      </c>
      <c r="L18" s="36">
        <f t="shared" si="4"/>
        <v>19000</v>
      </c>
      <c r="M18" s="36">
        <f t="shared" si="5"/>
        <v>1000</v>
      </c>
      <c r="N18" s="36">
        <f t="shared" si="6"/>
        <v>1000</v>
      </c>
      <c r="O18" s="36">
        <f t="shared" si="7"/>
        <v>4000</v>
      </c>
      <c r="P18" s="36">
        <f>VLOOKUP($A18,[24]HISTOJANV24!$A$6:$AU$38,7,0)</f>
        <v>0</v>
      </c>
      <c r="Q18" s="36">
        <f>VLOOKUP($A18,[24]HISTOJANV24!$A$6:$AU$38,23,0)</f>
        <v>0</v>
      </c>
      <c r="R18" s="36">
        <f>VLOOKUP($A18,[24]HISTOJANV24!$A$6:$AU$38,46,0)</f>
        <v>0</v>
      </c>
      <c r="S18" s="36">
        <f>VLOOKUP($A18,[24]HISTOJANV24!$A$6:$AU$38,26,0)</f>
        <v>0</v>
      </c>
      <c r="T18" s="36">
        <f>VLOOKUP($A18,[24]HISTOJANV24!$A$6:$BG$38,58,0)</f>
        <v>0</v>
      </c>
      <c r="U18" s="36">
        <f>VLOOKUP($A18,[24]HISTOJANV24!$A$6:$AU$38,28,0)</f>
        <v>0</v>
      </c>
      <c r="V18" s="36">
        <f>VLOOKUP($A18,[24]HISTOJANV24!$A$6:$AU$38,19,0)</f>
        <v>0</v>
      </c>
      <c r="W18" s="36">
        <f>VLOOKUP($A18,[24]HISTOJANV24!$A$6:$AU$38,20,0)</f>
        <v>0</v>
      </c>
      <c r="X18" s="36">
        <f>VLOOKUP($A18,[24]HISTOJANV24!$A$6:$AU$38,27,0)</f>
        <v>0</v>
      </c>
      <c r="Y18" s="36">
        <f>VLOOKUP($A18,[24]HISTOJANV24!$A$6:$BM$38,33,0)</f>
        <v>0</v>
      </c>
      <c r="Z18" s="36">
        <f>VLOOKUP($A18,[24]HISTOJANV24!$A$6:$BM$38,65,0)</f>
        <v>0</v>
      </c>
      <c r="AA18" s="36"/>
      <c r="AB18" s="36">
        <f>VLOOKUP($A18,[24]HISTOJANV24!$A$6:$AU$38,43,0)</f>
        <v>0</v>
      </c>
      <c r="AC18" s="36">
        <f>VLOOKUP($A18,[24]HISTOJANV24!$A$6:$AU$38,44,0)</f>
        <v>0</v>
      </c>
      <c r="AD18" s="36">
        <f>VLOOKUP($A18,[24]HISTOJANV24!$A$6:$AU$38,47,0)</f>
        <v>0</v>
      </c>
      <c r="AE18" s="36">
        <f>VLOOKUP(A18,[24]HISTOJANV24!$A$6:$BB$38,54,0)</f>
        <v>0</v>
      </c>
      <c r="AF18" s="36">
        <f>VLOOKUP($A18,[24]HISTOJANV24!$A$6:$CB$38,60,0)</f>
        <v>0</v>
      </c>
      <c r="AG18" s="36">
        <f>VLOOKUP($A18,[24]HISTOJANV24!$A$6:$CB$38,61,0)</f>
        <v>0</v>
      </c>
      <c r="AH18" s="36">
        <f>VLOOKUP($A18,[24]HISTOJANV24!$A$6:$CB$38,62,0)</f>
        <v>0</v>
      </c>
      <c r="AI18" s="36">
        <f>VLOOKUP($A18,[24]HISTOJANV24!$A$6:$CB$38,63,0)</f>
        <v>0</v>
      </c>
      <c r="AJ18" s="36">
        <f>VLOOKUP($A18,[24]HISTOJANV24!$A$6:$CB$38,64,0)</f>
        <v>0</v>
      </c>
      <c r="AK18" s="36">
        <f>VLOOKUP($A18,[24]HISTOJANV24!$A$6:$CB$38,65,0)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MVTDEC23!I19-E19+L19</f>
        <v>676217</v>
      </c>
      <c r="G19" s="5">
        <f>IF(MVTDEC23!I19&gt;700000,(MVTDEC23!I19-E19+L19),0)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MVTDEC23!I20-E20+L20</f>
        <v>19000</v>
      </c>
      <c r="G20" s="5">
        <f>IF(MVTDEC23!I20&gt;700000,(MVTDEC23!I20-E20+L20),0)</f>
        <v>0</v>
      </c>
      <c r="H20" s="36">
        <f t="shared" si="0"/>
        <v>0</v>
      </c>
      <c r="I20" s="6">
        <f t="shared" si="2"/>
        <v>19000</v>
      </c>
      <c r="J20" s="36">
        <f>VLOOKUP($A20,[24]HISTOJANV24!$A$6:$AQ$42,22,0)</f>
        <v>0</v>
      </c>
      <c r="K20" s="36">
        <f>VLOOKUP($A20,[24]HISTOJANV24!$A$6:$AU$38,45,0)</f>
        <v>25000</v>
      </c>
      <c r="L20" s="36">
        <f t="shared" ref="L20" si="8">IF(K20=0,0,K20-(M20+N20+O20))</f>
        <v>19000</v>
      </c>
      <c r="M20" s="36">
        <f t="shared" ref="M20" si="9">IF(K20=0,0,1000)</f>
        <v>1000</v>
      </c>
      <c r="N20" s="36">
        <f t="shared" ref="N20" si="10">IF(K20=0,0,1000)</f>
        <v>1000</v>
      </c>
      <c r="O20" s="36">
        <f t="shared" ref="O20" si="11">IF(K20=0,0,4000)</f>
        <v>4000</v>
      </c>
      <c r="P20" s="36">
        <f>VLOOKUP($A20,[24]HISTOJANV24!$A$6:$AU$38,7,0)</f>
        <v>0</v>
      </c>
      <c r="Q20" s="36">
        <f>VLOOKUP($A20,[24]HISTOJANV24!$A$6:$AU$38,23,0)</f>
        <v>25000</v>
      </c>
      <c r="R20" s="36">
        <f>VLOOKUP($A20,[24]HISTOJANV24!$A$6:$AU$38,46,0)</f>
        <v>0</v>
      </c>
      <c r="S20" s="36">
        <f>VLOOKUP($A20,[24]HISTOJANV24!$A$6:$AU$38,26,0)</f>
        <v>0</v>
      </c>
      <c r="T20" s="36">
        <f>VLOOKUP($A20,[24]HISTOJANV24!$A$6:$BG$38,58,0)</f>
        <v>0</v>
      </c>
      <c r="U20" s="36">
        <f>VLOOKUP($A20,[24]HISTOJANV24!$A$6:$AU$38,28,0)</f>
        <v>0</v>
      </c>
      <c r="V20" s="36">
        <f>VLOOKUP($A20,[24]HISTOJANV24!$A$6:$AU$38,19,0)</f>
        <v>0</v>
      </c>
      <c r="W20" s="36">
        <f>VLOOKUP($A20,[24]HISTOJANV24!$A$6:$AU$38,20,0)</f>
        <v>0</v>
      </c>
      <c r="X20" s="36">
        <f>VLOOKUP($A20,[24]HISTOJANV24!$A$6:$AU$38,27,0)</f>
        <v>0</v>
      </c>
      <c r="Y20" s="36">
        <f>VLOOKUP($A20,[24]HISTOJANV24!$A$6:$BM$38,33,0)</f>
        <v>0</v>
      </c>
      <c r="Z20" s="36">
        <f>VLOOKUP($A20,[24]HISTOJANV24!$A$6:$BM$38,65,0)</f>
        <v>0</v>
      </c>
      <c r="AA20" s="36"/>
      <c r="AB20" s="36">
        <f>VLOOKUP($A20,[24]HISTOJANV24!$A$6:$AU$38,43,0)</f>
        <v>0</v>
      </c>
      <c r="AC20" s="36">
        <f>VLOOKUP($A20,[24]HISTOJANV24!$A$6:$AU$38,44,0)</f>
        <v>0</v>
      </c>
      <c r="AD20" s="36">
        <f>VLOOKUP($A20,[24]HISTOJANV24!$A$6:$AU$38,47,0)</f>
        <v>0</v>
      </c>
      <c r="AE20" s="36">
        <f>VLOOKUP(A20,[24]HISTOJANV24!$A$6:$BB$38,54,0)</f>
        <v>0</v>
      </c>
      <c r="AF20" s="36">
        <f>VLOOKUP($A20,[24]HISTOJANV24!$A$6:$CB$38,60,0)</f>
        <v>0</v>
      </c>
      <c r="AG20" s="36">
        <f>VLOOKUP($A20,[24]HISTOJANV24!$A$6:$CB$38,61,0)</f>
        <v>0</v>
      </c>
      <c r="AH20" s="36">
        <f>VLOOKUP($A20,[24]HISTOJANV24!$A$6:$CB$38,62,0)</f>
        <v>0</v>
      </c>
      <c r="AI20" s="36">
        <f>VLOOKUP($A20,[24]HISTOJANV24!$A$6:$CB$38,63,0)</f>
        <v>0</v>
      </c>
      <c r="AJ20" s="36">
        <f>VLOOKUP($A20,[24]HISTOJANV24!$A$6:$CB$38,64,0)</f>
        <v>0</v>
      </c>
      <c r="AK20" s="36">
        <f>VLOOKUP($A20,[24]HISTOJANV24!$A$6:$CB$38,65,0)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MVTDEC23!I21-E21+L21</f>
        <v>789804.52301674988</v>
      </c>
      <c r="G21" s="5">
        <f>IF(MVTDEC23!I21&gt;700000,(MVTDEC23!I21-E21+L21),0)</f>
        <v>789804.52301674988</v>
      </c>
      <c r="H21" s="36">
        <f t="shared" si="0"/>
        <v>5899.2068822718747</v>
      </c>
      <c r="I21" s="6">
        <f t="shared" si="2"/>
        <v>795703.7298990218</v>
      </c>
      <c r="J21" s="36">
        <f>VLOOKUP($A21,[24]HISTOJANV24!$A$6:$AQ$42,22,0)</f>
        <v>0</v>
      </c>
      <c r="K21" s="36">
        <f>VLOOKUP($A21,[24]HISTOJANV24!$A$6:$AU$38,45,0)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6"/>
        <v>1000</v>
      </c>
      <c r="O21" s="36">
        <f t="shared" si="7"/>
        <v>4000</v>
      </c>
      <c r="P21" s="36">
        <f>VLOOKUP($A21,[24]HISTOJANV24!$A$6:$AU$38,7,0)</f>
        <v>0</v>
      </c>
      <c r="Q21" s="36">
        <f>VLOOKUP($A21,[24]HISTOJANV24!$A$6:$AU$38,23,0)</f>
        <v>0</v>
      </c>
      <c r="R21" s="36">
        <f>VLOOKUP($A21,[24]HISTOJANV24!$A$6:$AU$38,46,0)</f>
        <v>0</v>
      </c>
      <c r="S21" s="36">
        <f>VLOOKUP($A21,[24]HISTOJANV24!$A$6:$AU$38,26,0)</f>
        <v>0</v>
      </c>
      <c r="T21" s="36">
        <f>VLOOKUP($A21,[24]HISTOJANV24!$A$6:$BG$38,58,0)</f>
        <v>0</v>
      </c>
      <c r="U21" s="36">
        <f>VLOOKUP($A21,[24]HISTOJANV24!$A$6:$AU$38,28,0)</f>
        <v>0</v>
      </c>
      <c r="V21" s="36">
        <f>VLOOKUP($A21,[24]HISTOJANV24!$A$6:$AU$38,19,0)</f>
        <v>0</v>
      </c>
      <c r="W21" s="36">
        <f>VLOOKUP($A21,[24]HISTOJANV24!$A$6:$AU$38,20,0)</f>
        <v>0</v>
      </c>
      <c r="X21" s="36">
        <f>VLOOKUP($A21,[24]HISTOJANV24!$A$6:$AU$38,27,0)</f>
        <v>0</v>
      </c>
      <c r="Y21" s="36">
        <f>VLOOKUP($A21,[24]HISTOJANV24!$A$6:$BM$38,33,0)</f>
        <v>0</v>
      </c>
      <c r="Z21" s="36">
        <f>VLOOKUP($A21,[24]HISTOJANV24!$A$6:$BM$38,65,0)</f>
        <v>0</v>
      </c>
      <c r="AA21" s="36"/>
      <c r="AB21" s="36">
        <f>VLOOKUP($A21,[24]HISTOJANV24!$A$6:$AU$38,43,0)</f>
        <v>0</v>
      </c>
      <c r="AC21" s="36">
        <f>VLOOKUP($A21,[24]HISTOJANV24!$A$6:$AU$38,44,0)</f>
        <v>0</v>
      </c>
      <c r="AD21" s="36">
        <f>VLOOKUP($A21,[24]HISTOJANV24!$A$6:$AU$38,47,0)</f>
        <v>0</v>
      </c>
      <c r="AE21" s="36">
        <f>VLOOKUP(A21,[24]HISTOJANV24!$A$6:$BB$38,54,0)</f>
        <v>0</v>
      </c>
      <c r="AF21" s="36">
        <f>VLOOKUP($A21,[24]HISTOJANV24!$A$6:$CB$38,60,0)</f>
        <v>0</v>
      </c>
      <c r="AG21" s="36">
        <f>VLOOKUP($A21,[24]HISTOJANV24!$A$6:$CB$38,61,0)</f>
        <v>0</v>
      </c>
      <c r="AH21" s="36">
        <f>VLOOKUP($A21,[24]HISTOJANV24!$A$6:$CB$38,62,0)</f>
        <v>0</v>
      </c>
      <c r="AI21" s="36">
        <f>VLOOKUP($A21,[24]HISTOJANV24!$A$6:$CB$38,63,0)</f>
        <v>0</v>
      </c>
      <c r="AJ21" s="36">
        <f>VLOOKUP($A21,[24]HISTOJANV24!$A$6:$CB$38,64,0)</f>
        <v>0</v>
      </c>
      <c r="AK21" s="36">
        <f>VLOOKUP($A21,[24]HISTOJANV24!$A$6:$CB$38,65,0)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MVTDEC23!I22-E22+L22</f>
        <v>757612.72308989498</v>
      </c>
      <c r="G22" s="5">
        <f>IF(MVTDEC23!I22&gt;700000,(MVTDEC23!I22-E22+L22),0)</f>
        <v>757612.72308989498</v>
      </c>
      <c r="H22" s="36">
        <f t="shared" si="0"/>
        <v>5658.7599335055475</v>
      </c>
      <c r="I22" s="6">
        <f t="shared" si="2"/>
        <v>763271.48302340053</v>
      </c>
      <c r="J22" s="36">
        <f>VLOOKUP($A22,[24]HISTOJANV24!$A$6:$AQ$42,22,0)</f>
        <v>0</v>
      </c>
      <c r="K22" s="36">
        <f>VLOOKUP($A22,[24]HISTOJANV24!$A$6:$AU$38,45,0)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6"/>
        <v>1000</v>
      </c>
      <c r="O22" s="36">
        <f t="shared" si="7"/>
        <v>4000</v>
      </c>
      <c r="P22" s="36">
        <f>VLOOKUP($A22,[24]HISTOJANV24!$A$6:$AU$38,7,0)</f>
        <v>0</v>
      </c>
      <c r="Q22" s="36">
        <f>VLOOKUP($A22,[24]HISTOJANV24!$A$6:$AU$38,23,0)</f>
        <v>0</v>
      </c>
      <c r="R22" s="36">
        <f>VLOOKUP($A22,[24]HISTOJANV24!$A$6:$AU$38,46,0)</f>
        <v>0</v>
      </c>
      <c r="S22" s="36">
        <f>VLOOKUP($A22,[24]HISTOJANV24!$A$6:$AU$38,26,0)</f>
        <v>0</v>
      </c>
      <c r="T22" s="36">
        <f>VLOOKUP($A22,[24]HISTOJANV24!$A$6:$BG$38,58,0)</f>
        <v>0</v>
      </c>
      <c r="U22" s="36">
        <f>VLOOKUP($A22,[24]HISTOJANV24!$A$6:$AU$38,28,0)</f>
        <v>0</v>
      </c>
      <c r="V22" s="36">
        <f>VLOOKUP($A22,[24]HISTOJANV24!$A$6:$AU$38,19,0)</f>
        <v>0</v>
      </c>
      <c r="W22" s="36">
        <f>VLOOKUP($A22,[24]HISTOJANV24!$A$6:$AU$38,20,0)</f>
        <v>0</v>
      </c>
      <c r="X22" s="36">
        <f>VLOOKUP($A22,[24]HISTOJANV24!$A$6:$AU$38,27,0)</f>
        <v>0</v>
      </c>
      <c r="Y22" s="36">
        <f>VLOOKUP($A22,[24]HISTOJANV24!$A$6:$BM$38,33,0)</f>
        <v>0</v>
      </c>
      <c r="Z22" s="36">
        <f>VLOOKUP($A22,[24]HISTOJANV24!$A$6:$BM$38,65,0)</f>
        <v>0</v>
      </c>
      <c r="AA22" s="36"/>
      <c r="AB22" s="36">
        <f>VLOOKUP($A22,[24]HISTOJANV24!$A$6:$AU$38,43,0)</f>
        <v>0</v>
      </c>
      <c r="AC22" s="36">
        <f>VLOOKUP($A22,[24]HISTOJANV24!$A$6:$AU$38,44,0)</f>
        <v>0</v>
      </c>
      <c r="AD22" s="36">
        <f>VLOOKUP($A22,[24]HISTOJANV24!$A$6:$AU$38,47,0)</f>
        <v>0</v>
      </c>
      <c r="AE22" s="36">
        <f>VLOOKUP(A22,[24]HISTOJANV24!$A$6:$BB$38,54,0)</f>
        <v>0</v>
      </c>
      <c r="AF22" s="36">
        <f>VLOOKUP($A22,[24]HISTOJANV24!$A$6:$CB$38,60,0)</f>
        <v>0</v>
      </c>
      <c r="AG22" s="36">
        <f>VLOOKUP($A22,[24]HISTOJANV24!$A$6:$CB$38,61,0)</f>
        <v>0</v>
      </c>
      <c r="AH22" s="36">
        <f>VLOOKUP($A22,[24]HISTOJANV24!$A$6:$CB$38,62,0)</f>
        <v>0</v>
      </c>
      <c r="AI22" s="36">
        <f>VLOOKUP($A22,[24]HISTOJANV24!$A$6:$CB$38,63,0)</f>
        <v>0</v>
      </c>
      <c r="AJ22" s="36">
        <f>VLOOKUP($A22,[24]HISTOJANV24!$A$6:$CB$38,64,0)</f>
        <v>0</v>
      </c>
      <c r="AK22" s="36">
        <f>VLOOKUP($A22,[24]HISTOJANV24!$A$6:$CB$38,65,0)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MVTDEC23!I23-E23+L23</f>
        <v>862167.60837952222</v>
      </c>
      <c r="G23" s="5">
        <f>IF(MVTDEC23!I23&gt;700000,(MVTDEC23!I23-E23+L23),0)</f>
        <v>862167.60837952222</v>
      </c>
      <c r="H23" s="36">
        <f t="shared" si="0"/>
        <v>6439.7011422489613</v>
      </c>
      <c r="I23" s="6">
        <f t="shared" si="2"/>
        <v>868607.30952177115</v>
      </c>
      <c r="J23" s="36">
        <f>VLOOKUP($A23,[24]HISTOJANV24!$A$6:$AQ$42,22,0)</f>
        <v>0</v>
      </c>
      <c r="K23" s="36">
        <f>VLOOKUP($A23,[24]HISTOJANV24!$A$6:$AU$38,45,0)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6"/>
        <v>1000</v>
      </c>
      <c r="O23" s="36">
        <f t="shared" si="7"/>
        <v>4000</v>
      </c>
      <c r="P23" s="36">
        <f>VLOOKUP($A23,[24]HISTOJANV24!$A$6:$AU$38,7,0)</f>
        <v>0</v>
      </c>
      <c r="Q23" s="36">
        <f>VLOOKUP($A23,[24]HISTOJANV24!$A$6:$AU$38,23,0)</f>
        <v>0</v>
      </c>
      <c r="R23" s="36">
        <f>VLOOKUP($A23,[24]HISTOJANV24!$A$6:$AU$38,46,0)</f>
        <v>0</v>
      </c>
      <c r="S23" s="36">
        <f>VLOOKUP($A23,[24]HISTOJANV24!$A$6:$AU$38,26,0)</f>
        <v>0</v>
      </c>
      <c r="T23" s="36">
        <f>VLOOKUP($A23,[24]HISTOJANV24!$A$6:$BG$38,58,0)</f>
        <v>0</v>
      </c>
      <c r="U23" s="36">
        <f>VLOOKUP($A23,[24]HISTOJANV24!$A$6:$AU$38,28,0)</f>
        <v>0</v>
      </c>
      <c r="V23" s="36">
        <f>VLOOKUP($A23,[24]HISTOJANV24!$A$6:$AU$38,19,0)</f>
        <v>0</v>
      </c>
      <c r="W23" s="36">
        <f>VLOOKUP($A23,[24]HISTOJANV24!$A$6:$AU$38,20,0)</f>
        <v>0</v>
      </c>
      <c r="X23" s="36">
        <f>VLOOKUP($A23,[24]HISTOJANV24!$A$6:$AU$38,27,0)</f>
        <v>0</v>
      </c>
      <c r="Y23" s="36">
        <f>VLOOKUP($A23,[24]HISTOJANV24!$A$6:$BM$38,33,0)</f>
        <v>0</v>
      </c>
      <c r="Z23" s="36">
        <f>VLOOKUP($A23,[24]HISTOJANV24!$A$6:$BM$38,65,0)</f>
        <v>0</v>
      </c>
      <c r="AA23" s="36"/>
      <c r="AB23" s="36">
        <f>VLOOKUP($A23,[24]HISTOJANV24!$A$6:$AU$38,43,0)</f>
        <v>0</v>
      </c>
      <c r="AC23" s="36">
        <f>VLOOKUP($A23,[24]HISTOJANV24!$A$6:$AU$38,44,0)</f>
        <v>0</v>
      </c>
      <c r="AD23" s="36">
        <f>VLOOKUP($A23,[24]HISTOJANV24!$A$6:$AU$38,47,0)</f>
        <v>0</v>
      </c>
      <c r="AE23" s="36">
        <f>VLOOKUP(A23,[24]HISTOJANV24!$A$6:$BB$38,54,0)</f>
        <v>0</v>
      </c>
      <c r="AF23" s="36">
        <f>VLOOKUP($A23,[24]HISTOJANV24!$A$6:$CB$38,60,0)</f>
        <v>0</v>
      </c>
      <c r="AG23" s="36">
        <f>VLOOKUP($A23,[24]HISTOJANV24!$A$6:$CB$38,61,0)</f>
        <v>0</v>
      </c>
      <c r="AH23" s="36">
        <f>VLOOKUP($A23,[24]HISTOJANV24!$A$6:$CB$38,62,0)</f>
        <v>0</v>
      </c>
      <c r="AI23" s="36">
        <f>VLOOKUP($A23,[24]HISTOJANV24!$A$6:$CB$38,63,0)</f>
        <v>0</v>
      </c>
      <c r="AJ23" s="36">
        <f>VLOOKUP($A23,[24]HISTOJANV24!$A$6:$CB$38,64,0)</f>
        <v>0</v>
      </c>
      <c r="AK23" s="36">
        <f>VLOOKUP($A23,[24]HISTOJANV24!$A$6:$CB$38,65,0)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MVTDEC23!I24-E24+L24</f>
        <v>1003391.6622572296</v>
      </c>
      <c r="G24" s="5">
        <f>IF(MVTDEC23!I24&gt;700000,(MVTDEC23!I24-E24+L24),0)</f>
        <v>1003391.6622572296</v>
      </c>
      <c r="H24" s="36">
        <f t="shared" si="0"/>
        <v>7494.5316557481055</v>
      </c>
      <c r="I24" s="6">
        <f t="shared" si="2"/>
        <v>1010886.1939129777</v>
      </c>
      <c r="J24" s="36">
        <f>VLOOKUP($A24,[24]HISTOJANV24!$A$6:$AQ$42,22,0)</f>
        <v>0</v>
      </c>
      <c r="K24" s="36">
        <f>VLOOKUP($A24,[24]HISTOJANV24!$A$6:$AU$38,45,0)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6"/>
        <v>1000</v>
      </c>
      <c r="O24" s="36">
        <f t="shared" si="7"/>
        <v>4000</v>
      </c>
      <c r="P24" s="36">
        <f>VLOOKUP($A24,[24]HISTOJANV24!$A$6:$AU$38,7,0)</f>
        <v>0</v>
      </c>
      <c r="Q24" s="36">
        <f>VLOOKUP($A24,[24]HISTOJANV24!$A$6:$AU$38,23,0)</f>
        <v>0</v>
      </c>
      <c r="R24" s="36">
        <f>VLOOKUP($A24,[24]HISTOJANV24!$A$6:$AU$38,46,0)</f>
        <v>0</v>
      </c>
      <c r="S24" s="36">
        <f>VLOOKUP($A24,[24]HISTOJANV24!$A$6:$AU$38,26,0)</f>
        <v>0</v>
      </c>
      <c r="T24" s="36">
        <f>VLOOKUP($A24,[24]HISTOJANV24!$A$6:$BG$38,58,0)</f>
        <v>0</v>
      </c>
      <c r="U24" s="36">
        <f>VLOOKUP($A24,[24]HISTOJANV24!$A$6:$AU$38,28,0)</f>
        <v>0</v>
      </c>
      <c r="V24" s="36">
        <f>VLOOKUP($A24,[24]HISTOJANV24!$A$6:$AU$38,19,0)</f>
        <v>0</v>
      </c>
      <c r="W24" s="36">
        <f>VLOOKUP($A24,[24]HISTOJANV24!$A$6:$AU$38,20,0)</f>
        <v>0</v>
      </c>
      <c r="X24" s="36">
        <f>VLOOKUP($A24,[24]HISTOJANV24!$A$6:$AU$38,27,0)</f>
        <v>0</v>
      </c>
      <c r="Y24" s="36">
        <f>VLOOKUP($A24,[24]HISTOJANV24!$A$6:$BM$38,33,0)</f>
        <v>0</v>
      </c>
      <c r="Z24" s="36">
        <f>VLOOKUP($A24,[24]HISTOJANV24!$A$6:$BM$38,65,0)</f>
        <v>0</v>
      </c>
      <c r="AA24" s="36"/>
      <c r="AB24" s="36">
        <f>VLOOKUP($A24,[24]HISTOJANV24!$A$6:$AU$38,43,0)</f>
        <v>0</v>
      </c>
      <c r="AC24" s="36">
        <f>VLOOKUP($A24,[24]HISTOJANV24!$A$6:$AU$38,44,0)</f>
        <v>0</v>
      </c>
      <c r="AD24" s="36">
        <f>VLOOKUP($A24,[24]HISTOJANV24!$A$6:$AU$38,47,0)</f>
        <v>0</v>
      </c>
      <c r="AE24" s="36">
        <f>VLOOKUP(A24,[24]HISTOJANV24!$A$6:$BB$38,54,0)</f>
        <v>0</v>
      </c>
      <c r="AF24" s="36">
        <f>VLOOKUP($A24,[24]HISTOJANV24!$A$6:$CB$38,60,0)</f>
        <v>0</v>
      </c>
      <c r="AG24" s="36">
        <f>VLOOKUP($A24,[24]HISTOJANV24!$A$6:$CB$38,61,0)</f>
        <v>0</v>
      </c>
      <c r="AH24" s="36">
        <f>VLOOKUP($A24,[24]HISTOJANV24!$A$6:$CB$38,62,0)</f>
        <v>0</v>
      </c>
      <c r="AI24" s="36">
        <f>VLOOKUP($A24,[24]HISTOJANV24!$A$6:$CB$38,63,0)</f>
        <v>0</v>
      </c>
      <c r="AJ24" s="36">
        <f>VLOOKUP($A24,[24]HISTOJANV24!$A$6:$CB$38,64,0)</f>
        <v>0</v>
      </c>
      <c r="AK24" s="36">
        <f>VLOOKUP($A24,[24]HISTOJANV24!$A$6:$CB$38,65,0)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MVTDEC23!I25-E25+L25</f>
        <v>817112.93803521746</v>
      </c>
      <c r="G25" s="5">
        <f>IF(MVTDEC23!I25&gt;700000,(MVTDEC23!I25-E25+L25),0)</f>
        <v>817112.93803521746</v>
      </c>
      <c r="H25" s="36">
        <f t="shared" si="0"/>
        <v>6103.1788590409469</v>
      </c>
      <c r="I25" s="6">
        <f t="shared" si="2"/>
        <v>823216.11689425842</v>
      </c>
      <c r="J25" s="36">
        <f>VLOOKUP($A25,[24]HISTOJANV24!$A$6:$AQ$42,22,0)</f>
        <v>0</v>
      </c>
      <c r="K25" s="36">
        <f>VLOOKUP($A25,[24]HISTOJANV24!$A$6:$AU$38,45,0)</f>
        <v>25000</v>
      </c>
      <c r="L25" s="36">
        <f t="shared" si="4"/>
        <v>19000</v>
      </c>
      <c r="M25" s="36">
        <f t="shared" si="5"/>
        <v>1000</v>
      </c>
      <c r="N25" s="36">
        <f t="shared" si="6"/>
        <v>1000</v>
      </c>
      <c r="O25" s="36">
        <f t="shared" si="7"/>
        <v>4000</v>
      </c>
      <c r="P25" s="36">
        <f>VLOOKUP($A25,[24]HISTOJANV24!$A$6:$AU$38,7,0)</f>
        <v>0</v>
      </c>
      <c r="Q25" s="36">
        <f>VLOOKUP($A25,[24]HISTOJANV24!$A$6:$AU$38,23,0)</f>
        <v>0</v>
      </c>
      <c r="R25" s="36">
        <f>VLOOKUP($A25,[24]HISTOJANV24!$A$6:$AU$38,46,0)</f>
        <v>0</v>
      </c>
      <c r="S25" s="36">
        <f>VLOOKUP($A25,[24]HISTOJANV24!$A$6:$AU$38,26,0)</f>
        <v>0</v>
      </c>
      <c r="T25" s="36">
        <f>VLOOKUP($A25,[24]HISTOJANV24!$A$6:$BG$38,58,0)</f>
        <v>0</v>
      </c>
      <c r="U25" s="36">
        <f>VLOOKUP($A25,[24]HISTOJANV24!$A$6:$AU$38,28,0)</f>
        <v>0</v>
      </c>
      <c r="V25" s="36">
        <f>VLOOKUP($A25,[24]HISTOJANV24!$A$6:$AU$38,19,0)</f>
        <v>0</v>
      </c>
      <c r="W25" s="36">
        <f>VLOOKUP($A25,[24]HISTOJANV24!$A$6:$AU$38,20,0)</f>
        <v>0</v>
      </c>
      <c r="X25" s="36">
        <f>VLOOKUP($A25,[24]HISTOJANV24!$A$6:$AU$38,27,0)</f>
        <v>0</v>
      </c>
      <c r="Y25" s="36">
        <f>VLOOKUP($A25,[24]HISTOJANV24!$A$6:$BM$38,33,0)</f>
        <v>0</v>
      </c>
      <c r="Z25" s="36">
        <f>VLOOKUP($A25,[24]HISTOJANV24!$A$6:$BM$38,65,0)</f>
        <v>0</v>
      </c>
      <c r="AA25" s="36"/>
      <c r="AB25" s="36">
        <f>VLOOKUP($A25,[24]HISTOJANV24!$A$6:$AU$38,43,0)</f>
        <v>0</v>
      </c>
      <c r="AC25" s="36">
        <f>VLOOKUP($A25,[24]HISTOJANV24!$A$6:$AU$38,44,0)</f>
        <v>0</v>
      </c>
      <c r="AD25" s="36">
        <f>VLOOKUP($A25,[24]HISTOJANV24!$A$6:$AU$38,47,0)</f>
        <v>0</v>
      </c>
      <c r="AE25" s="36">
        <f>VLOOKUP(A25,[24]HISTOJANV24!$A$6:$BB$38,54,0)</f>
        <v>0</v>
      </c>
      <c r="AF25" s="36">
        <f>VLOOKUP($A25,[24]HISTOJANV24!$A$6:$CB$38,60,0)</f>
        <v>0</v>
      </c>
      <c r="AG25" s="36">
        <f>VLOOKUP($A25,[24]HISTOJANV24!$A$6:$CB$38,61,0)</f>
        <v>0</v>
      </c>
      <c r="AH25" s="36">
        <f>VLOOKUP($A25,[24]HISTOJANV24!$A$6:$CB$38,62,0)</f>
        <v>0</v>
      </c>
      <c r="AI25" s="36">
        <f>VLOOKUP($A25,[24]HISTOJANV24!$A$6:$CB$38,63,0)</f>
        <v>0</v>
      </c>
      <c r="AJ25" s="36">
        <f>VLOOKUP($A25,[24]HISTOJANV24!$A$6:$CB$38,64,0)</f>
        <v>0</v>
      </c>
      <c r="AK25" s="36">
        <f>VLOOKUP($A25,[24]HISTOJANV24!$A$6:$CB$38,65,0)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MVTDEC23!I26-E26+L26</f>
        <v>777872.73073554703</v>
      </c>
      <c r="G26" s="5">
        <f>IF(MVTDEC23!I26&gt;700000,(MVTDEC23!I26-E26+L26),0)</f>
        <v>777872.73073554703</v>
      </c>
      <c r="H26" s="36">
        <f t="shared" si="0"/>
        <v>5810.0859553946084</v>
      </c>
      <c r="I26" s="6">
        <f t="shared" si="2"/>
        <v>783682.81669094169</v>
      </c>
      <c r="J26" s="36">
        <f>VLOOKUP($A26,[24]HISTOJANV24!$A$6:$AQ$42,22,0)</f>
        <v>0</v>
      </c>
      <c r="K26" s="36">
        <f>VLOOKUP($A26,[24]HISTOJANV24!$A$6:$AU$38,45,0)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6"/>
        <v>1000</v>
      </c>
      <c r="O26" s="36">
        <f t="shared" si="7"/>
        <v>4000</v>
      </c>
      <c r="P26" s="36">
        <f>VLOOKUP($A26,[24]HISTOJANV24!$A$6:$AU$38,7,0)</f>
        <v>0</v>
      </c>
      <c r="Q26" s="36">
        <f>VLOOKUP($A26,[24]HISTOJANV24!$A$6:$AU$38,23,0)</f>
        <v>0</v>
      </c>
      <c r="R26" s="36">
        <f>VLOOKUP($A26,[24]HISTOJANV24!$A$6:$AU$38,46,0)</f>
        <v>0</v>
      </c>
      <c r="S26" s="36">
        <f>VLOOKUP($A26,[24]HISTOJANV24!$A$6:$AU$38,26,0)</f>
        <v>0</v>
      </c>
      <c r="T26" s="36">
        <f>VLOOKUP($A26,[24]HISTOJANV24!$A$6:$BG$38,58,0)</f>
        <v>0</v>
      </c>
      <c r="U26" s="36">
        <f>VLOOKUP($A26,[24]HISTOJANV24!$A$6:$AU$38,28,0)</f>
        <v>0</v>
      </c>
      <c r="V26" s="36">
        <f>VLOOKUP($A26,[24]HISTOJANV24!$A$6:$AU$38,19,0)</f>
        <v>0</v>
      </c>
      <c r="W26" s="36">
        <f>VLOOKUP($A26,[24]HISTOJANV24!$A$6:$AU$38,20,0)</f>
        <v>0</v>
      </c>
      <c r="X26" s="36">
        <f>VLOOKUP($A26,[24]HISTOJANV24!$A$6:$AU$38,27,0)</f>
        <v>0</v>
      </c>
      <c r="Y26" s="36">
        <f>VLOOKUP($A26,[24]HISTOJANV24!$A$6:$BM$38,33,0)</f>
        <v>0</v>
      </c>
      <c r="Z26" s="36">
        <f>VLOOKUP($A26,[24]HISTOJANV24!$A$6:$BM$38,65,0)</f>
        <v>0</v>
      </c>
      <c r="AA26" s="36"/>
      <c r="AB26" s="36">
        <f>VLOOKUP($A26,[24]HISTOJANV24!$A$6:$AU$38,43,0)</f>
        <v>0</v>
      </c>
      <c r="AC26" s="36">
        <f>VLOOKUP($A26,[24]HISTOJANV24!$A$6:$AU$38,44,0)</f>
        <v>0</v>
      </c>
      <c r="AD26" s="36">
        <f>VLOOKUP($A26,[24]HISTOJANV24!$A$6:$AU$38,47,0)</f>
        <v>0</v>
      </c>
      <c r="AE26" s="36">
        <f>VLOOKUP(A26,[24]HISTOJANV24!$A$6:$BB$38,54,0)</f>
        <v>0</v>
      </c>
      <c r="AF26" s="36">
        <f>VLOOKUP($A26,[24]HISTOJANV24!$A$6:$CB$38,60,0)</f>
        <v>0</v>
      </c>
      <c r="AG26" s="36">
        <f>VLOOKUP($A26,[24]HISTOJANV24!$A$6:$CB$38,61,0)</f>
        <v>0</v>
      </c>
      <c r="AH26" s="36">
        <f>VLOOKUP($A26,[24]HISTOJANV24!$A$6:$CB$38,62,0)</f>
        <v>0</v>
      </c>
      <c r="AI26" s="36">
        <f>VLOOKUP($A26,[24]HISTOJANV24!$A$6:$CB$38,63,0)</f>
        <v>0</v>
      </c>
      <c r="AJ26" s="36">
        <f>VLOOKUP($A26,[24]HISTOJANV24!$A$6:$CB$38,64,0)</f>
        <v>0</v>
      </c>
      <c r="AK26" s="36">
        <f>VLOOKUP($A26,[24]HISTOJANV24!$A$6:$CB$38,65,0)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MVTDEC23!I27-E27+L27</f>
        <v>776449.23134549521</v>
      </c>
      <c r="G27" s="5">
        <f>IF(MVTDEC23!I27&gt;700000,(MVTDEC23!I27-E27+L27),0)</f>
        <v>776449.23134549521</v>
      </c>
      <c r="H27" s="36">
        <f t="shared" si="0"/>
        <v>5799.4535556628007</v>
      </c>
      <c r="I27" s="6">
        <f t="shared" si="2"/>
        <v>782248.68490115798</v>
      </c>
      <c r="J27" s="36">
        <f>VLOOKUP($A27,[24]HISTOJANV24!$A$6:$AQ$42,22,0)</f>
        <v>0</v>
      </c>
      <c r="K27" s="36">
        <f>VLOOKUP($A27,[24]HISTOJANV24!$A$6:$AU$38,45,0)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6"/>
        <v>1000</v>
      </c>
      <c r="O27" s="36">
        <f t="shared" si="7"/>
        <v>4000</v>
      </c>
      <c r="P27" s="36">
        <f>VLOOKUP($A27,[24]HISTOJANV24!$A$6:$AU$38,7,0)</f>
        <v>0</v>
      </c>
      <c r="Q27" s="36">
        <f>VLOOKUP($A27,[24]HISTOJANV24!$A$6:$AU$38,23,0)</f>
        <v>0</v>
      </c>
      <c r="R27" s="36">
        <f>VLOOKUP($A27,[24]HISTOJANV24!$A$6:$AU$38,46,0)</f>
        <v>0</v>
      </c>
      <c r="S27" s="36">
        <f>VLOOKUP($A27,[24]HISTOJANV24!$A$6:$AU$38,26,0)</f>
        <v>0</v>
      </c>
      <c r="T27" s="36">
        <f>VLOOKUP($A27,[24]HISTOJANV24!$A$6:$BG$38,58,0)</f>
        <v>0</v>
      </c>
      <c r="U27" s="36">
        <f>VLOOKUP($A27,[24]HISTOJANV24!$A$6:$AU$38,28,0)</f>
        <v>0</v>
      </c>
      <c r="V27" s="36">
        <f>VLOOKUP($A27,[24]HISTOJANV24!$A$6:$AU$38,19,0)</f>
        <v>0</v>
      </c>
      <c r="W27" s="36">
        <f>VLOOKUP($A27,[24]HISTOJANV24!$A$6:$AU$38,20,0)</f>
        <v>0</v>
      </c>
      <c r="X27" s="36">
        <f>VLOOKUP($A27,[24]HISTOJANV24!$A$6:$AU$38,27,0)</f>
        <v>0</v>
      </c>
      <c r="Y27" s="36">
        <f>VLOOKUP($A27,[24]HISTOJANV24!$A$6:$BM$38,33,0)</f>
        <v>0</v>
      </c>
      <c r="Z27" s="36">
        <f>VLOOKUP($A27,[24]HISTOJANV24!$A$6:$BM$38,65,0)</f>
        <v>0</v>
      </c>
      <c r="AA27" s="36"/>
      <c r="AB27" s="36">
        <f>VLOOKUP($A27,[24]HISTOJANV24!$A$6:$AU$38,43,0)</f>
        <v>0</v>
      </c>
      <c r="AC27" s="36">
        <f>VLOOKUP($A27,[24]HISTOJANV24!$A$6:$AU$38,44,0)</f>
        <v>0</v>
      </c>
      <c r="AD27" s="36">
        <f>VLOOKUP($A27,[24]HISTOJANV24!$A$6:$AU$38,47,0)</f>
        <v>0</v>
      </c>
      <c r="AE27" s="36">
        <f>VLOOKUP(A27,[24]HISTOJANV24!$A$6:$BB$38,54,0)</f>
        <v>0</v>
      </c>
      <c r="AF27" s="36">
        <f>VLOOKUP($A27,[24]HISTOJANV24!$A$6:$CB$38,60,0)</f>
        <v>0</v>
      </c>
      <c r="AG27" s="36">
        <f>VLOOKUP($A27,[24]HISTOJANV24!$A$6:$CB$38,61,0)</f>
        <v>0</v>
      </c>
      <c r="AH27" s="36">
        <f>VLOOKUP($A27,[24]HISTOJANV24!$A$6:$CB$38,62,0)</f>
        <v>0</v>
      </c>
      <c r="AI27" s="36">
        <f>VLOOKUP($A27,[24]HISTOJANV24!$A$6:$CB$38,63,0)</f>
        <v>0</v>
      </c>
      <c r="AJ27" s="36">
        <f>VLOOKUP($A27,[24]HISTOJANV24!$A$6:$CB$38,64,0)</f>
        <v>0</v>
      </c>
      <c r="AK27" s="36">
        <f>VLOOKUP($A27,[24]HISTOJANV24!$A$6:$CB$38,65,0)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MVTDEC23!I28-E28+L28</f>
        <v>685019</v>
      </c>
      <c r="G28" s="5">
        <f>IF(MVTDEC23!I28&gt;700000,(MVTDEC23!I28-E28+L28),0)</f>
        <v>0</v>
      </c>
      <c r="H28" s="36">
        <f t="shared" si="0"/>
        <v>0</v>
      </c>
      <c r="I28" s="6">
        <f t="shared" si="2"/>
        <v>685019</v>
      </c>
      <c r="J28" s="36">
        <f>VLOOKUP($A28,[24]HISTOJANV24!$A$6:$AQ$42,22,0)</f>
        <v>0</v>
      </c>
      <c r="K28" s="36">
        <f>VLOOKUP($A28,[24]HISTOJANV24!$A$6:$AU$38,45,0)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6"/>
        <v>1000</v>
      </c>
      <c r="O28" s="36">
        <f t="shared" si="7"/>
        <v>4000</v>
      </c>
      <c r="P28" s="36">
        <f>VLOOKUP($A28,[24]HISTOJANV24!$A$6:$AU$38,7,0)</f>
        <v>0</v>
      </c>
      <c r="Q28" s="36">
        <f>VLOOKUP($A28,[24]HISTOJANV24!$A$6:$AU$38,23,0)</f>
        <v>0</v>
      </c>
      <c r="R28" s="36">
        <f>VLOOKUP($A28,[24]HISTOJANV24!$A$6:$AU$38,46,0)</f>
        <v>0</v>
      </c>
      <c r="S28" s="36">
        <f>VLOOKUP($A28,[24]HISTOJANV24!$A$6:$AU$38,26,0)</f>
        <v>0</v>
      </c>
      <c r="T28" s="36">
        <f>VLOOKUP($A28,[24]HISTOJANV24!$A$6:$BG$38,58,0)</f>
        <v>0</v>
      </c>
      <c r="U28" s="36">
        <f>VLOOKUP($A28,[24]HISTOJANV24!$A$6:$AU$38,28,0)</f>
        <v>0</v>
      </c>
      <c r="V28" s="36">
        <f>VLOOKUP($A28,[24]HISTOJANV24!$A$6:$AU$38,19,0)</f>
        <v>0</v>
      </c>
      <c r="W28" s="36">
        <f>VLOOKUP($A28,[24]HISTOJANV24!$A$6:$AU$38,20,0)</f>
        <v>0</v>
      </c>
      <c r="X28" s="36">
        <f>VLOOKUP($A28,[24]HISTOJANV24!$A$6:$AU$38,27,0)</f>
        <v>0</v>
      </c>
      <c r="Y28" s="36">
        <f>VLOOKUP($A28,[24]HISTOJANV24!$A$6:$BM$38,33,0)</f>
        <v>0</v>
      </c>
      <c r="Z28" s="36">
        <f>VLOOKUP($A28,[24]HISTOJANV24!$A$6:$BM$38,65,0)</f>
        <v>0</v>
      </c>
      <c r="AA28" s="36"/>
      <c r="AB28" s="36">
        <f>VLOOKUP($A28,[24]HISTOJANV24!$A$6:$AU$38,43,0)</f>
        <v>0</v>
      </c>
      <c r="AC28" s="36">
        <f>VLOOKUP($A28,[24]HISTOJANV24!$A$6:$AU$38,44,0)</f>
        <v>0</v>
      </c>
      <c r="AD28" s="36">
        <f>VLOOKUP($A28,[24]HISTOJANV24!$A$6:$AU$38,47,0)</f>
        <v>0</v>
      </c>
      <c r="AE28" s="36">
        <f>VLOOKUP(A28,[24]HISTOJANV24!$A$6:$BB$38,54,0)</f>
        <v>0</v>
      </c>
      <c r="AF28" s="36">
        <f>VLOOKUP($A28,[24]HISTOJANV24!$A$6:$CB$38,60,0)</f>
        <v>0</v>
      </c>
      <c r="AG28" s="36">
        <f>VLOOKUP($A28,[24]HISTOJANV24!$A$6:$CB$38,61,0)</f>
        <v>0</v>
      </c>
      <c r="AH28" s="36">
        <f>VLOOKUP($A28,[24]HISTOJANV24!$A$6:$CB$38,62,0)</f>
        <v>0</v>
      </c>
      <c r="AI28" s="36">
        <f>VLOOKUP($A28,[24]HISTOJANV24!$A$6:$CB$38,63,0)</f>
        <v>0</v>
      </c>
      <c r="AJ28" s="36">
        <f>VLOOKUP($A28,[24]HISTOJANV24!$A$6:$CB$38,64,0)</f>
        <v>0</v>
      </c>
      <c r="AK28" s="36">
        <f>VLOOKUP($A28,[24]HISTOJANV24!$A$6:$CB$38,65,0)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MVTDEC23!I29-E29+L29</f>
        <v>802433.32353387238</v>
      </c>
      <c r="G29" s="5">
        <f>IF(MVTDEC23!I29&gt;700000,(MVTDEC23!I29-E29+L29),0)</f>
        <v>802433.32353387238</v>
      </c>
      <c r="H29" s="36">
        <f t="shared" si="0"/>
        <v>5993.5339021284926</v>
      </c>
      <c r="I29" s="6">
        <f t="shared" si="2"/>
        <v>808426.85743600084</v>
      </c>
      <c r="J29" s="36">
        <f>VLOOKUP($A29,[24]HISTOJANV24!$A$6:$AQ$42,22,0)</f>
        <v>0</v>
      </c>
      <c r="K29" s="36">
        <f>VLOOKUP($A29,[24]HISTOJANV24!$A$6:$AU$38,45,0)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6"/>
        <v>1000</v>
      </c>
      <c r="O29" s="36">
        <f t="shared" si="7"/>
        <v>4000</v>
      </c>
      <c r="P29" s="36">
        <f>VLOOKUP($A29,[24]HISTOJANV24!$A$6:$AU$38,7,0)</f>
        <v>0</v>
      </c>
      <c r="Q29" s="36">
        <f>VLOOKUP($A29,[24]HISTOJANV24!$A$6:$AU$38,23,0)</f>
        <v>0</v>
      </c>
      <c r="R29" s="36">
        <f>VLOOKUP($A29,[24]HISTOJANV24!$A$6:$AU$38,46,0)</f>
        <v>0</v>
      </c>
      <c r="S29" s="36">
        <f>VLOOKUP($A29,[24]HISTOJANV24!$A$6:$AU$38,26,0)</f>
        <v>0</v>
      </c>
      <c r="T29" s="36">
        <f>VLOOKUP($A29,[24]HISTOJANV24!$A$6:$BG$38,58,0)</f>
        <v>0</v>
      </c>
      <c r="U29" s="36">
        <f>VLOOKUP($A29,[24]HISTOJANV24!$A$6:$AU$38,28,0)</f>
        <v>0</v>
      </c>
      <c r="V29" s="36">
        <f>VLOOKUP($A29,[24]HISTOJANV24!$A$6:$AU$38,19,0)</f>
        <v>0</v>
      </c>
      <c r="W29" s="36">
        <f>VLOOKUP($A29,[24]HISTOJANV24!$A$6:$AU$38,20,0)</f>
        <v>0</v>
      </c>
      <c r="X29" s="36">
        <f>VLOOKUP($A29,[24]HISTOJANV24!$A$6:$AU$38,27,0)</f>
        <v>0</v>
      </c>
      <c r="Y29" s="36">
        <f>VLOOKUP($A29,[24]HISTOJANV24!$A$6:$BM$38,33,0)</f>
        <v>0</v>
      </c>
      <c r="Z29" s="36">
        <f>VLOOKUP($A29,[24]HISTOJANV24!$A$6:$BM$38,65,0)</f>
        <v>0</v>
      </c>
      <c r="AA29" s="36"/>
      <c r="AB29" s="36">
        <f>VLOOKUP($A29,[24]HISTOJANV24!$A$6:$AU$38,43,0)</f>
        <v>0</v>
      </c>
      <c r="AC29" s="36">
        <f>VLOOKUP($A29,[24]HISTOJANV24!$A$6:$AU$38,44,0)</f>
        <v>0</v>
      </c>
      <c r="AD29" s="36">
        <f>VLOOKUP($A29,[24]HISTOJANV24!$A$6:$AU$38,47,0)</f>
        <v>0</v>
      </c>
      <c r="AE29" s="36">
        <f>VLOOKUP(A29,[24]HISTOJANV24!$A$6:$BB$38,54,0)</f>
        <v>0</v>
      </c>
      <c r="AF29" s="36">
        <f>VLOOKUP($A29,[24]HISTOJANV24!$A$6:$CB$38,60,0)</f>
        <v>0</v>
      </c>
      <c r="AG29" s="36">
        <f>VLOOKUP($A29,[24]HISTOJANV24!$A$6:$CB$38,61,0)</f>
        <v>0</v>
      </c>
      <c r="AH29" s="36">
        <f>VLOOKUP($A29,[24]HISTOJANV24!$A$6:$CB$38,62,0)</f>
        <v>0</v>
      </c>
      <c r="AI29" s="36">
        <f>VLOOKUP($A29,[24]HISTOJANV24!$A$6:$CB$38,63,0)</f>
        <v>0</v>
      </c>
      <c r="AJ29" s="36">
        <f>VLOOKUP($A29,[24]HISTOJANV24!$A$6:$CB$38,64,0)</f>
        <v>0</v>
      </c>
      <c r="AK29" s="36">
        <f>VLOOKUP($A29,[24]HISTOJANV24!$A$6:$CB$38,65,0)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MVTDEC23!I30-E30+L30</f>
        <v>714500</v>
      </c>
      <c r="G30" s="5">
        <f>IF(MVTDEC23!I30&gt;700000,(MVTDEC23!I30-E30+L30),0)</f>
        <v>0</v>
      </c>
      <c r="H30" s="36">
        <f t="shared" si="0"/>
        <v>0</v>
      </c>
      <c r="I30" s="6">
        <f t="shared" si="2"/>
        <v>714500</v>
      </c>
      <c r="J30" s="36">
        <f>VLOOKUP($A30,[24]HISTOJANV24!$A$6:$AQ$42,22,0)</f>
        <v>0</v>
      </c>
      <c r="K30" s="36">
        <f>VLOOKUP($A30,[24]HISTOJANV24!$A$6:$AU$38,45,0)</f>
        <v>475000</v>
      </c>
      <c r="L30" s="36">
        <f t="shared" si="4"/>
        <v>469000</v>
      </c>
      <c r="M30" s="36">
        <f t="shared" si="5"/>
        <v>1000</v>
      </c>
      <c r="N30" s="36">
        <f t="shared" si="6"/>
        <v>1000</v>
      </c>
      <c r="O30" s="36">
        <f t="shared" si="7"/>
        <v>4000</v>
      </c>
      <c r="P30" s="36">
        <f>VLOOKUP($A30,[24]HISTOJANV24!$A$6:$AU$38,7,0)</f>
        <v>0</v>
      </c>
      <c r="Q30" s="36">
        <f>VLOOKUP($A30,[24]HISTOJANV24!$A$6:$AU$38,23,0)</f>
        <v>0</v>
      </c>
      <c r="R30" s="36">
        <f>VLOOKUP($A30,[24]HISTOJANV24!$A$6:$AU$38,46,0)</f>
        <v>0</v>
      </c>
      <c r="S30" s="36">
        <f>VLOOKUP($A30,[24]HISTOJANV24!$A$6:$AU$38,26,0)</f>
        <v>0</v>
      </c>
      <c r="T30" s="36">
        <f>VLOOKUP($A30,[24]HISTOJANV24!$A$6:$BG$38,58,0)</f>
        <v>0</v>
      </c>
      <c r="U30" s="36">
        <f>VLOOKUP($A30,[24]HISTOJANV24!$A$6:$AU$38,28,0)</f>
        <v>0</v>
      </c>
      <c r="V30" s="36">
        <f>VLOOKUP($A30,[24]HISTOJANV24!$A$6:$AU$38,19,0)</f>
        <v>0</v>
      </c>
      <c r="W30" s="36">
        <f>VLOOKUP($A30,[24]HISTOJANV24!$A$6:$AU$38,20,0)</f>
        <v>0</v>
      </c>
      <c r="X30" s="36">
        <f>VLOOKUP($A30,[24]HISTOJANV24!$A$6:$AU$38,27,0)</f>
        <v>0</v>
      </c>
      <c r="Y30" s="36">
        <f>VLOOKUP($A30,[24]HISTOJANV24!$A$6:$BM$38,33,0)</f>
        <v>0</v>
      </c>
      <c r="Z30" s="36">
        <f>VLOOKUP($A30,[24]HISTOJANV24!$A$6:$BM$38,65,0)</f>
        <v>0</v>
      </c>
      <c r="AA30" s="36"/>
      <c r="AB30" s="36">
        <f>VLOOKUP($A30,[24]HISTOJANV24!$A$6:$AU$38,43,0)</f>
        <v>0</v>
      </c>
      <c r="AC30" s="36">
        <f>VLOOKUP($A30,[24]HISTOJANV24!$A$6:$AU$38,44,0)</f>
        <v>0</v>
      </c>
      <c r="AD30" s="36">
        <f>VLOOKUP($A30,[24]HISTOJANV24!$A$6:$AU$38,47,0)</f>
        <v>0</v>
      </c>
      <c r="AE30" s="36">
        <f>VLOOKUP(A30,[24]HISTOJANV24!$A$6:$BB$38,54,0)</f>
        <v>0</v>
      </c>
      <c r="AF30" s="36">
        <f>VLOOKUP($A30,[24]HISTOJANV24!$A$6:$CB$38,60,0)</f>
        <v>0</v>
      </c>
      <c r="AG30" s="36">
        <f>VLOOKUP($A30,[24]HISTOJANV24!$A$6:$CB$38,61,0)</f>
        <v>0</v>
      </c>
      <c r="AH30" s="36">
        <f>VLOOKUP($A30,[24]HISTOJANV24!$A$6:$CB$38,62,0)</f>
        <v>0</v>
      </c>
      <c r="AI30" s="36">
        <f>VLOOKUP($A30,[24]HISTOJANV24!$A$6:$CB$38,63,0)</f>
        <v>0</v>
      </c>
      <c r="AJ30" s="36">
        <f>VLOOKUP($A30,[24]HISTOJANV24!$A$6:$CB$38,64,0)</f>
        <v>0</v>
      </c>
      <c r="AK30" s="36">
        <f>VLOOKUP($A30,[24]HISTOJANV24!$A$6:$CB$38,65,0)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MVTDEC23!I31-E31+L31</f>
        <v>866341.20913883601</v>
      </c>
      <c r="G31" s="5">
        <f>IF(MVTDEC23!I31&gt;700000,(MVTDEC23!I31-E31+L31),0)</f>
        <v>866341.20913883601</v>
      </c>
      <c r="H31" s="36">
        <f t="shared" si="0"/>
        <v>6470.8745954334991</v>
      </c>
      <c r="I31" s="6">
        <f t="shared" si="2"/>
        <v>872812.08373426949</v>
      </c>
      <c r="J31" s="36">
        <f>VLOOKUP($A31,[24]HISTOJANV24!$A$6:$AQ$42,22,0)</f>
        <v>0</v>
      </c>
      <c r="K31" s="36">
        <f>VLOOKUP($A31,[24]HISTOJANV24!$A$6:$AU$38,45,0)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6"/>
        <v>1000</v>
      </c>
      <c r="O31" s="36">
        <f t="shared" si="7"/>
        <v>4000</v>
      </c>
      <c r="P31" s="36">
        <f>VLOOKUP($A31,[24]HISTOJANV24!$A$6:$AU$38,7,0)</f>
        <v>0</v>
      </c>
      <c r="Q31" s="36">
        <f>VLOOKUP($A31,[24]HISTOJANV24!$A$6:$AU$38,23,0)</f>
        <v>0</v>
      </c>
      <c r="R31" s="36">
        <f>VLOOKUP($A31,[24]HISTOJANV24!$A$6:$AU$38,46,0)</f>
        <v>0</v>
      </c>
      <c r="S31" s="36">
        <f>VLOOKUP($A31,[24]HISTOJANV24!$A$6:$AU$38,26,0)</f>
        <v>0</v>
      </c>
      <c r="T31" s="36">
        <f>VLOOKUP($A31,[24]HISTOJANV24!$A$6:$BG$38,58,0)</f>
        <v>0</v>
      </c>
      <c r="U31" s="36">
        <f>VLOOKUP($A31,[24]HISTOJANV24!$A$6:$AU$38,28,0)</f>
        <v>0</v>
      </c>
      <c r="V31" s="36">
        <f>VLOOKUP($A31,[24]HISTOJANV24!$A$6:$AU$38,19,0)</f>
        <v>0</v>
      </c>
      <c r="W31" s="36">
        <f>VLOOKUP($A31,[24]HISTOJANV24!$A$6:$AU$38,20,0)</f>
        <v>0</v>
      </c>
      <c r="X31" s="36">
        <f>VLOOKUP($A31,[24]HISTOJANV24!$A$6:$AU$38,27,0)</f>
        <v>0</v>
      </c>
      <c r="Y31" s="36">
        <f>VLOOKUP($A31,[24]HISTOJANV24!$A$6:$BM$38,33,0)</f>
        <v>0</v>
      </c>
      <c r="Z31" s="36">
        <f>VLOOKUP($A31,[24]HISTOJANV24!$A$6:$BM$38,65,0)</f>
        <v>0</v>
      </c>
      <c r="AA31" s="36"/>
      <c r="AB31" s="36">
        <f>VLOOKUP($A31,[24]HISTOJANV24!$A$6:$AU$38,43,0)</f>
        <v>0</v>
      </c>
      <c r="AC31" s="36">
        <f>VLOOKUP($A31,[24]HISTOJANV24!$A$6:$AU$38,44,0)</f>
        <v>0</v>
      </c>
      <c r="AD31" s="36">
        <f>VLOOKUP($A31,[24]HISTOJANV24!$A$6:$AU$38,47,0)</f>
        <v>0</v>
      </c>
      <c r="AE31" s="36">
        <f>VLOOKUP(A31,[24]HISTOJANV24!$A$6:$BB$38,54,0)</f>
        <v>0</v>
      </c>
      <c r="AF31" s="36">
        <f>VLOOKUP($A31,[24]HISTOJANV24!$A$6:$CB$38,60,0)</f>
        <v>0</v>
      </c>
      <c r="AG31" s="36">
        <f>VLOOKUP($A31,[24]HISTOJANV24!$A$6:$CB$38,61,0)</f>
        <v>0</v>
      </c>
      <c r="AH31" s="36">
        <f>VLOOKUP($A31,[24]HISTOJANV24!$A$6:$CB$38,62,0)</f>
        <v>0</v>
      </c>
      <c r="AI31" s="36">
        <f>VLOOKUP($A31,[24]HISTOJANV24!$A$6:$CB$38,63,0)</f>
        <v>0</v>
      </c>
      <c r="AJ31" s="36">
        <f>VLOOKUP($A31,[24]HISTOJANV24!$A$6:$CB$38,64,0)</f>
        <v>0</v>
      </c>
      <c r="AK31" s="36">
        <f>VLOOKUP($A31,[24]HISTOJANV24!$A$6:$CB$38,65,0)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MVTDEC23!I32-E32+L32</f>
        <v>757124.19510298676</v>
      </c>
      <c r="G32" s="5">
        <f>IF(MVTDEC23!I32&gt;700000,(MVTDEC23!I32-E32+L32),0)</f>
        <v>757124.19510298676</v>
      </c>
      <c r="H32" s="36">
        <f t="shared" si="0"/>
        <v>5655.1110209220351</v>
      </c>
      <c r="I32" s="6">
        <f t="shared" si="2"/>
        <v>762779.30612390884</v>
      </c>
      <c r="J32" s="36">
        <f>VLOOKUP($A32,[24]HISTOJANV24!$A$6:$AQ$42,22,0)</f>
        <v>0</v>
      </c>
      <c r="K32" s="36">
        <f>VLOOKUP($A32,[24]HISTOJANV24!$A$6:$AU$38,45,0)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6"/>
        <v>1000</v>
      </c>
      <c r="O32" s="36">
        <f t="shared" si="7"/>
        <v>4000</v>
      </c>
      <c r="P32" s="36">
        <f>VLOOKUP($A32,[24]HISTOJANV24!$A$6:$AU$38,7,0)</f>
        <v>0</v>
      </c>
      <c r="Q32" s="36">
        <f>VLOOKUP($A32,[24]HISTOJANV24!$A$6:$AU$38,23,0)</f>
        <v>0</v>
      </c>
      <c r="R32" s="36">
        <f>VLOOKUP($A32,[24]HISTOJANV24!$A$6:$AU$38,46,0)</f>
        <v>0</v>
      </c>
      <c r="S32" s="36">
        <f>VLOOKUP($A32,[24]HISTOJANV24!$A$6:$AU$38,26,0)</f>
        <v>0</v>
      </c>
      <c r="T32" s="36">
        <f>VLOOKUP($A32,[24]HISTOJANV24!$A$6:$BG$38,58,0)</f>
        <v>0</v>
      </c>
      <c r="U32" s="36">
        <f>VLOOKUP($A32,[24]HISTOJANV24!$A$6:$AU$38,28,0)</f>
        <v>0</v>
      </c>
      <c r="V32" s="36">
        <f>VLOOKUP($A32,[24]HISTOJANV24!$A$6:$AU$38,19,0)</f>
        <v>0</v>
      </c>
      <c r="W32" s="36">
        <f>VLOOKUP($A32,[24]HISTOJANV24!$A$6:$AU$38,20,0)</f>
        <v>0</v>
      </c>
      <c r="X32" s="36">
        <f>VLOOKUP($A32,[24]HISTOJANV24!$A$6:$AU$38,27,0)</f>
        <v>0</v>
      </c>
      <c r="Y32" s="36">
        <f>VLOOKUP($A32,[24]HISTOJANV24!$A$6:$BM$38,33,0)</f>
        <v>0</v>
      </c>
      <c r="Z32" s="36">
        <f>VLOOKUP($A32,[24]HISTOJANV24!$A$6:$BM$38,65,0)</f>
        <v>0</v>
      </c>
      <c r="AA32" s="36"/>
      <c r="AB32" s="36">
        <f>VLOOKUP($A32,[24]HISTOJANV24!$A$6:$AU$38,43,0)</f>
        <v>0</v>
      </c>
      <c r="AC32" s="36">
        <f>VLOOKUP($A32,[24]HISTOJANV24!$A$6:$AU$38,44,0)</f>
        <v>0</v>
      </c>
      <c r="AD32" s="36">
        <f>VLOOKUP($A32,[24]HISTOJANV24!$A$6:$AU$38,47,0)</f>
        <v>0</v>
      </c>
      <c r="AE32" s="36">
        <f>VLOOKUP(A32,[24]HISTOJANV24!$A$6:$BB$38,54,0)</f>
        <v>0</v>
      </c>
      <c r="AF32" s="36">
        <f>VLOOKUP($A32,[24]HISTOJANV24!$A$6:$CB$38,60,0)</f>
        <v>0</v>
      </c>
      <c r="AG32" s="36">
        <f>VLOOKUP($A32,[24]HISTOJANV24!$A$6:$CB$38,61,0)</f>
        <v>0</v>
      </c>
      <c r="AH32" s="36">
        <f>VLOOKUP($A32,[24]HISTOJANV24!$A$6:$CB$38,62,0)</f>
        <v>0</v>
      </c>
      <c r="AI32" s="36">
        <f>VLOOKUP($A32,[24]HISTOJANV24!$A$6:$CB$38,63,0)</f>
        <v>0</v>
      </c>
      <c r="AJ32" s="36">
        <f>VLOOKUP($A32,[24]HISTOJANV24!$A$6:$CB$38,64,0)</f>
        <v>0</v>
      </c>
      <c r="AK32" s="36">
        <f>VLOOKUP($A32,[24]HISTOJANV24!$A$6:$CB$38,65,0)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MVTDEC23!I33-E33+L33</f>
        <v>757428.84072076471</v>
      </c>
      <c r="G33" s="5">
        <f>IF(MVTDEC23!I33&gt;700000,(MVTDEC23!I33-E33+L33),0)</f>
        <v>757428.84072076471</v>
      </c>
      <c r="H33" s="36">
        <f t="shared" si="0"/>
        <v>5657.3864795610725</v>
      </c>
      <c r="I33" s="6">
        <f t="shared" si="2"/>
        <v>763086.22720032581</v>
      </c>
      <c r="J33" s="36">
        <f>VLOOKUP($A33,[24]HISTOJANV24!$A$6:$AQ$42,22,0)</f>
        <v>0</v>
      </c>
      <c r="K33" s="36">
        <f>VLOOKUP($A33,[24]HISTOJANV24!$A$6:$AU$38,45,0)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6"/>
        <v>1000</v>
      </c>
      <c r="O33" s="36">
        <f t="shared" si="7"/>
        <v>4000</v>
      </c>
      <c r="P33" s="36">
        <f>VLOOKUP($A33,[24]HISTOJANV24!$A$6:$AU$38,7,0)</f>
        <v>0</v>
      </c>
      <c r="Q33" s="36">
        <f>VLOOKUP($A33,[24]HISTOJANV24!$A$6:$AU$38,23,0)</f>
        <v>0</v>
      </c>
      <c r="R33" s="36">
        <f>VLOOKUP($A33,[24]HISTOJANV24!$A$6:$AU$38,46,0)</f>
        <v>0</v>
      </c>
      <c r="S33" s="36">
        <f>VLOOKUP($A33,[24]HISTOJANV24!$A$6:$AU$38,26,0)</f>
        <v>1000000</v>
      </c>
      <c r="T33" s="36">
        <f>VLOOKUP($A33,[24]HISTOJANV24!$A$6:$BG$38,58,0)</f>
        <v>60000</v>
      </c>
      <c r="U33" s="36">
        <f>VLOOKUP($A33,[24]HISTOJANV24!$A$6:$AU$38,28,0)</f>
        <v>0</v>
      </c>
      <c r="V33" s="36">
        <f>VLOOKUP($A33,[24]HISTOJANV24!$A$6:$AU$38,19,0)</f>
        <v>0</v>
      </c>
      <c r="W33" s="36">
        <f>VLOOKUP($A33,[24]HISTOJANV24!$A$6:$AU$38,20,0)</f>
        <v>0</v>
      </c>
      <c r="X33" s="36">
        <f>VLOOKUP($A33,[24]HISTOJANV24!$A$6:$AU$38,27,0)</f>
        <v>0</v>
      </c>
      <c r="Y33" s="36">
        <f>VLOOKUP($A33,[24]HISTOJANV24!$A$6:$BM$38,33,0)</f>
        <v>0</v>
      </c>
      <c r="Z33" s="36">
        <f>VLOOKUP($A33,[24]HISTOJANV24!$A$6:$BM$38,65,0)</f>
        <v>0</v>
      </c>
      <c r="AA33" s="36"/>
      <c r="AB33" s="36">
        <f>VLOOKUP($A33,[24]HISTOJANV24!$A$6:$AU$38,43,0)</f>
        <v>0</v>
      </c>
      <c r="AC33" s="36">
        <f>VLOOKUP($A33,[24]HISTOJANV24!$A$6:$AU$38,44,0)</f>
        <v>0</v>
      </c>
      <c r="AD33" s="36">
        <f>VLOOKUP($A33,[24]HISTOJANV24!$A$6:$AU$38,47,0)</f>
        <v>0</v>
      </c>
      <c r="AE33" s="36">
        <f>VLOOKUP(A33,[24]HISTOJANV24!$A$6:$BB$38,54,0)</f>
        <v>0</v>
      </c>
      <c r="AF33" s="36">
        <f>VLOOKUP($A33,[24]HISTOJANV24!$A$6:$CB$38,60,0)</f>
        <v>0</v>
      </c>
      <c r="AG33" s="36">
        <f>VLOOKUP($A33,[24]HISTOJANV24!$A$6:$CB$38,61,0)</f>
        <v>0</v>
      </c>
      <c r="AH33" s="36">
        <f>VLOOKUP($A33,[24]HISTOJANV24!$A$6:$CB$38,62,0)</f>
        <v>0</v>
      </c>
      <c r="AI33" s="36">
        <f>VLOOKUP($A33,[24]HISTOJANV24!$A$6:$CB$38,63,0)</f>
        <v>0</v>
      </c>
      <c r="AJ33" s="36">
        <f>VLOOKUP($A33,[24]HISTOJANV24!$A$6:$CB$38,64,0)</f>
        <v>0</v>
      </c>
      <c r="AK33" s="36">
        <f>VLOOKUP($A33,[24]HISTOJANV24!$A$6:$CB$38,65,0)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MVTDEC23!I34-E34+L34</f>
        <v>264000</v>
      </c>
      <c r="G34" s="5">
        <f>IF(MVTDEC23!I34&gt;700000,(MVTDEC23!I34-E34+L34),0)</f>
        <v>0</v>
      </c>
      <c r="H34" s="36">
        <f t="shared" si="0"/>
        <v>0</v>
      </c>
      <c r="I34" s="6">
        <f t="shared" si="2"/>
        <v>264000</v>
      </c>
      <c r="J34" s="36">
        <f>VLOOKUP($A34,[24]HISTOJANV24!$A$6:$AQ$42,22,0)</f>
        <v>0</v>
      </c>
      <c r="K34" s="36">
        <f>VLOOKUP($A34,[24]HISTOJANV24!$A$6:$AU$38,45,0)</f>
        <v>270000</v>
      </c>
      <c r="L34" s="36">
        <f t="shared" ref="L34" si="12">IF(K34=0,0,K34-(M34+N34+O34))</f>
        <v>264000</v>
      </c>
      <c r="M34" s="36">
        <f t="shared" ref="M34" si="13">IF(K34=0,0,1000)</f>
        <v>1000</v>
      </c>
      <c r="N34" s="36">
        <f t="shared" ref="N34" si="14">IF(K34=0,0,1000)</f>
        <v>1000</v>
      </c>
      <c r="O34" s="36">
        <f t="shared" ref="O34" si="15">IF(K34=0,0,4000)</f>
        <v>4000</v>
      </c>
      <c r="P34" s="36">
        <f>VLOOKUP($A34,[24]HISTOJANV24!$A$6:$AU$38,7,0)</f>
        <v>0</v>
      </c>
      <c r="Q34" s="36">
        <f>VLOOKUP($A34,[24]HISTOJANV24!$A$6:$AU$38,23,0)</f>
        <v>25000</v>
      </c>
      <c r="R34" s="36">
        <f>VLOOKUP($A34,[24]HISTOJANV24!$A$6:$AU$38,46,0)</f>
        <v>120000</v>
      </c>
      <c r="S34" s="36">
        <f>VLOOKUP($A34,[24]HISTOJANV24!$A$6:$AU$38,26,0)</f>
        <v>0</v>
      </c>
      <c r="T34" s="36">
        <f>VLOOKUP($A34,[24]HISTOJANV24!$A$6:$BG$38,58,0)</f>
        <v>0</v>
      </c>
      <c r="U34" s="36">
        <f>VLOOKUP($A34,[24]HISTOJANV24!$A$6:$AU$38,28,0)</f>
        <v>0</v>
      </c>
      <c r="V34" s="36">
        <f>VLOOKUP($A34,[24]HISTOJANV24!$A$6:$AU$38,19,0)</f>
        <v>0</v>
      </c>
      <c r="W34" s="36">
        <f>VLOOKUP($A34,[24]HISTOJANV24!$A$6:$AU$38,20,0)</f>
        <v>0</v>
      </c>
      <c r="X34" s="36">
        <f>VLOOKUP($A34,[24]HISTOJANV24!$A$6:$AU$38,27,0)</f>
        <v>0</v>
      </c>
      <c r="Y34" s="36">
        <f>VLOOKUP($A34,[24]HISTOJANV24!$A$6:$BM$38,33,0)</f>
        <v>0</v>
      </c>
      <c r="Z34" s="36">
        <f>VLOOKUP($A34,[24]HISTOJANV24!$A$6:$BM$38,65,0)</f>
        <v>0</v>
      </c>
      <c r="AA34" s="36"/>
      <c r="AB34" s="36">
        <f>VLOOKUP($A34,[24]HISTOJANV24!$A$6:$AU$38,43,0)</f>
        <v>0</v>
      </c>
      <c r="AC34" s="36">
        <f>VLOOKUP($A34,[24]HISTOJANV24!$A$6:$AU$38,44,0)</f>
        <v>0</v>
      </c>
      <c r="AD34" s="36">
        <f>VLOOKUP($A34,[24]HISTOJANV24!$A$6:$AU$38,47,0)</f>
        <v>0</v>
      </c>
      <c r="AE34" s="36">
        <f>VLOOKUP(A34,[24]HISTOJANV24!$A$6:$BB$38,54,0)</f>
        <v>0</v>
      </c>
      <c r="AF34" s="36">
        <f>VLOOKUP($A34,[24]HISTOJANV24!$A$6:$CB$38,60,0)</f>
        <v>0</v>
      </c>
      <c r="AG34" s="36">
        <f>VLOOKUP($A34,[24]HISTOJANV24!$A$6:$CB$38,61,0)</f>
        <v>0</v>
      </c>
      <c r="AH34" s="36">
        <f>VLOOKUP($A34,[24]HISTOJANV24!$A$6:$CB$38,62,0)</f>
        <v>0</v>
      </c>
      <c r="AI34" s="36">
        <f>VLOOKUP($A34,[24]HISTOJANV24!$A$6:$CB$38,63,0)</f>
        <v>0</v>
      </c>
      <c r="AJ34" s="36">
        <f>VLOOKUP($A34,[24]HISTOJANV24!$A$6:$CB$38,64,0)</f>
        <v>0</v>
      </c>
      <c r="AK34" s="36">
        <f>VLOOKUP($A34,[24]HISTOJANV24!$A$6:$CB$38,65,0)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MVTDEC23!I35-E35+L35</f>
        <v>122000</v>
      </c>
      <c r="G35" s="5">
        <f>IF(MVTDEC23!I35&gt;700000,(MVTDEC23!I35-E35+L35),0)</f>
        <v>0</v>
      </c>
      <c r="H35" s="36">
        <f t="shared" si="0"/>
        <v>0</v>
      </c>
      <c r="I35" s="6">
        <f t="shared" si="2"/>
        <v>122000</v>
      </c>
      <c r="J35" s="36">
        <f>VLOOKUP($A35,[24]HISTOJANV24!$A$6:$AQ$42,22,0)</f>
        <v>0</v>
      </c>
      <c r="K35" s="36">
        <f>VLOOKUP($A35,[24]HISTOJANV24!$A$6:$AU$38,45,0)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6"/>
        <v>1000</v>
      </c>
      <c r="O35" s="36">
        <f t="shared" si="7"/>
        <v>4000</v>
      </c>
      <c r="P35" s="36">
        <f>VLOOKUP($A35,[24]HISTOJANV24!$A$6:$AU$38,7,0)</f>
        <v>0</v>
      </c>
      <c r="Q35" s="36">
        <f>VLOOKUP($A35,[24]HISTOJANV24!$A$6:$AU$38,23,0)</f>
        <v>0</v>
      </c>
      <c r="R35" s="36">
        <f>VLOOKUP($A35,[24]HISTOJANV24!$A$6:$AU$38,46,0)</f>
        <v>0</v>
      </c>
      <c r="S35" s="36">
        <f>VLOOKUP($A35,[24]HISTOJANV24!$A$6:$AU$38,26,0)</f>
        <v>0</v>
      </c>
      <c r="T35" s="36">
        <f>VLOOKUP($A35,[24]HISTOJANV24!$A$6:$BG$38,58,0)</f>
        <v>0</v>
      </c>
      <c r="U35" s="36">
        <f>VLOOKUP($A35,[24]HISTOJANV24!$A$6:$AU$38,28,0)</f>
        <v>0</v>
      </c>
      <c r="V35" s="36">
        <f>VLOOKUP($A35,[24]HISTOJANV24!$A$6:$AU$38,19,0)</f>
        <v>0</v>
      </c>
      <c r="W35" s="36">
        <f>VLOOKUP($A35,[24]HISTOJANV24!$A$6:$AU$38,20,0)</f>
        <v>0</v>
      </c>
      <c r="X35" s="36">
        <f>VLOOKUP($A35,[24]HISTOJANV24!$A$6:$AU$38,27,0)</f>
        <v>0</v>
      </c>
      <c r="Y35" s="36">
        <f>VLOOKUP($A35,[24]HISTOJANV24!$A$6:$BM$38,33,0)</f>
        <v>0</v>
      </c>
      <c r="Z35" s="36">
        <f>VLOOKUP($A35,[24]HISTOJANV24!$A$6:$BM$38,65,0)</f>
        <v>0</v>
      </c>
      <c r="AA35" s="36"/>
      <c r="AB35" s="36">
        <f>VLOOKUP($A35,[24]HISTOJANV24!$A$6:$AU$38,43,0)</f>
        <v>0</v>
      </c>
      <c r="AC35" s="36">
        <f>VLOOKUP($A35,[24]HISTOJANV24!$A$6:$AU$38,44,0)</f>
        <v>0</v>
      </c>
      <c r="AD35" s="36">
        <f>VLOOKUP($A35,[24]HISTOJANV24!$A$6:$AU$38,47,0)</f>
        <v>0</v>
      </c>
      <c r="AE35" s="36">
        <f>VLOOKUP(A35,[24]HISTOJANV24!$A$6:$BB$38,54,0)</f>
        <v>0</v>
      </c>
      <c r="AF35" s="36">
        <f>VLOOKUP($A35,[24]HISTOJANV24!$A$6:$CB$38,60,0)</f>
        <v>0</v>
      </c>
      <c r="AG35" s="36">
        <f>VLOOKUP($A35,[24]HISTOJANV24!$A$6:$CB$38,61,0)</f>
        <v>0</v>
      </c>
      <c r="AH35" s="36">
        <f>VLOOKUP($A35,[24]HISTOJANV24!$A$6:$CB$38,62,0)</f>
        <v>0</v>
      </c>
      <c r="AI35" s="36">
        <f>VLOOKUP($A35,[24]HISTOJANV24!$A$6:$CB$38,63,0)</f>
        <v>0</v>
      </c>
      <c r="AJ35" s="36">
        <f>VLOOKUP($A35,[24]HISTOJANV24!$A$6:$CB$38,64,0)</f>
        <v>0</v>
      </c>
      <c r="AK35" s="36">
        <f>VLOOKUP($A35,[24]HISTOJANV24!$A$6:$CB$38,65,0)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MVTDEC23!I36-E36+L36</f>
        <v>764319.3199415718</v>
      </c>
      <c r="G36" s="5">
        <f>IF(MVTDEC23!I36&gt;700000,(MVTDEC23!I36-E36+L36),0)</f>
        <v>764319.3199415718</v>
      </c>
      <c r="H36" s="36">
        <f t="shared" si="0"/>
        <v>5708.8528377002685</v>
      </c>
      <c r="I36" s="6">
        <f t="shared" si="2"/>
        <v>770028.17277927208</v>
      </c>
      <c r="J36" s="36">
        <f>VLOOKUP($A36,[24]HISTOJANV24!$A$6:$AQ$42,22,0)</f>
        <v>0</v>
      </c>
      <c r="K36" s="36">
        <f>VLOOKUP($A36,[24]HISTOJANV24!$A$6:$AU$38,45,0)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6"/>
        <v>1000</v>
      </c>
      <c r="O36" s="36">
        <f t="shared" si="7"/>
        <v>4000</v>
      </c>
      <c r="P36" s="36">
        <f>VLOOKUP($A36,[24]HISTOJANV24!$A$6:$AU$38,7,0)</f>
        <v>0</v>
      </c>
      <c r="Q36" s="36">
        <f>VLOOKUP($A36,[24]HISTOJANV24!$A$6:$AU$38,23,0)</f>
        <v>0</v>
      </c>
      <c r="R36" s="36">
        <f>VLOOKUP($A36,[24]HISTOJANV24!$A$6:$AU$38,46,0)</f>
        <v>0</v>
      </c>
      <c r="S36" s="36">
        <f>VLOOKUP($A36,[24]HISTOJANV24!$A$6:$AU$38,26,0)</f>
        <v>0</v>
      </c>
      <c r="T36" s="36">
        <f>VLOOKUP($A36,[24]HISTOJANV24!$A$6:$BG$38,58,0)</f>
        <v>0</v>
      </c>
      <c r="U36" s="36">
        <f>VLOOKUP($A36,[24]HISTOJANV24!$A$6:$AU$38,28,0)</f>
        <v>0</v>
      </c>
      <c r="V36" s="36">
        <f>VLOOKUP($A36,[24]HISTOJANV24!$A$6:$AU$38,19,0)</f>
        <v>0</v>
      </c>
      <c r="W36" s="36">
        <f>VLOOKUP($A36,[24]HISTOJANV24!$A$6:$AU$38,20,0)</f>
        <v>0</v>
      </c>
      <c r="X36" s="36">
        <f>VLOOKUP($A36,[24]HISTOJANV24!$A$6:$AU$38,27,0)</f>
        <v>0</v>
      </c>
      <c r="Y36" s="36">
        <f>VLOOKUP($A36,[24]HISTOJANV24!$A$6:$BM$38,33,0)</f>
        <v>0</v>
      </c>
      <c r="Z36" s="36">
        <f>VLOOKUP($A36,[24]HISTOJANV24!$A$6:$BM$38,65,0)</f>
        <v>0</v>
      </c>
      <c r="AA36" s="36"/>
      <c r="AB36" s="36">
        <f>VLOOKUP($A36,[24]HISTOJANV24!$A$6:$AU$38,43,0)</f>
        <v>0</v>
      </c>
      <c r="AC36" s="36">
        <f>VLOOKUP($A36,[24]HISTOJANV24!$A$6:$AU$38,44,0)</f>
        <v>0</v>
      </c>
      <c r="AD36" s="36">
        <f>VLOOKUP($A36,[24]HISTOJANV24!$A$6:$AU$38,47,0)</f>
        <v>0</v>
      </c>
      <c r="AE36" s="36">
        <f>VLOOKUP(A36,[24]HISTOJANV24!$A$6:$BB$38,54,0)</f>
        <v>0</v>
      </c>
      <c r="AF36" s="36">
        <f>VLOOKUP($A36,[24]HISTOJANV24!$A$6:$CB$38,60,0)</f>
        <v>0</v>
      </c>
      <c r="AG36" s="36">
        <f>VLOOKUP($A36,[24]HISTOJANV24!$A$6:$CB$38,61,0)</f>
        <v>0</v>
      </c>
      <c r="AH36" s="36">
        <f>VLOOKUP($A36,[24]HISTOJANV24!$A$6:$CB$38,62,0)</f>
        <v>0</v>
      </c>
      <c r="AI36" s="36">
        <f>VLOOKUP($A36,[24]HISTOJANV24!$A$6:$CB$38,63,0)</f>
        <v>0</v>
      </c>
      <c r="AJ36" s="36">
        <f>VLOOKUP($A36,[24]HISTOJANV24!$A$6:$CB$38,64,0)</f>
        <v>0</v>
      </c>
      <c r="AK36" s="36">
        <f>VLOOKUP($A36,[24]HISTOJANV24!$A$6:$CB$38,65,0)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MVTDEC23!I37-E37+L37</f>
        <v>1813335.3513536926</v>
      </c>
      <c r="G37" s="5">
        <f>IF(MVTDEC23!I37&gt;700000,(MVTDEC23!I37-E37+L37),0)</f>
        <v>1813335.3513536926</v>
      </c>
      <c r="H37" s="36">
        <f t="shared" si="0"/>
        <v>13544.161970247071</v>
      </c>
      <c r="I37" s="6">
        <f t="shared" si="2"/>
        <v>1826879.5133239396</v>
      </c>
      <c r="J37" s="36">
        <f>VLOOKUP($A37,[24]HISTOJANV24!$A$6:$AQ$42,22,0)</f>
        <v>0</v>
      </c>
      <c r="K37" s="36">
        <f>VLOOKUP($A37,[24]HISTOJANV24!$A$6:$AU$38,45,0)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6"/>
        <v>1000</v>
      </c>
      <c r="O37" s="36">
        <f t="shared" si="7"/>
        <v>4000</v>
      </c>
      <c r="P37" s="36">
        <f>VLOOKUP($A37,[24]HISTOJANV24!$A$6:$AU$38,7,0)</f>
        <v>-3000</v>
      </c>
      <c r="Q37" s="36">
        <f>VLOOKUP($A37,[24]HISTOJANV24!$A$6:$AU$38,23,0)</f>
        <v>0</v>
      </c>
      <c r="R37" s="36">
        <f>VLOOKUP($A37,[24]HISTOJANV24!$A$6:$AU$38,46,0)</f>
        <v>0</v>
      </c>
      <c r="S37" s="36">
        <f>VLOOKUP($A37,[24]HISTOJANV24!$A$6:$AU$38,26,0)</f>
        <v>0</v>
      </c>
      <c r="T37" s="36">
        <f>VLOOKUP($A37,[24]HISTOJANV24!$A$6:$BG$38,58,0)</f>
        <v>0</v>
      </c>
      <c r="U37" s="36">
        <f>VLOOKUP($A37,[24]HISTOJANV24!$A$6:$AU$38,28,0)</f>
        <v>0</v>
      </c>
      <c r="V37" s="36">
        <f>VLOOKUP($A37,[24]HISTOJANV24!$A$6:$AU$38,19,0)</f>
        <v>0</v>
      </c>
      <c r="W37" s="36">
        <f>VLOOKUP($A37,[24]HISTOJANV24!$A$6:$AU$38,20,0)</f>
        <v>0</v>
      </c>
      <c r="X37" s="36">
        <f>VLOOKUP($A37,[24]HISTOJANV24!$A$6:$AU$38,27,0)</f>
        <v>0</v>
      </c>
      <c r="Y37" s="36">
        <f>VLOOKUP($A37,[24]HISTOJANV24!$A$6:$BM$38,33,0)</f>
        <v>0</v>
      </c>
      <c r="Z37" s="36">
        <f>VLOOKUP($A37,[24]HISTOJANV24!$A$6:$BM$38,65,0)</f>
        <v>0</v>
      </c>
      <c r="AA37" s="36"/>
      <c r="AB37" s="36">
        <f>VLOOKUP($A37,[24]HISTOJANV24!$A$6:$AU$38,43,0)</f>
        <v>0</v>
      </c>
      <c r="AC37" s="36">
        <f>VLOOKUP($A37,[24]HISTOJANV24!$A$6:$AU$38,44,0)</f>
        <v>0</v>
      </c>
      <c r="AD37" s="36">
        <f>VLOOKUP($A37,[24]HISTOJANV24!$A$6:$AU$38,47,0)</f>
        <v>0</v>
      </c>
      <c r="AE37" s="36">
        <f>VLOOKUP(A37,[24]HISTOJANV24!$A$6:$BB$38,54,0)</f>
        <v>0</v>
      </c>
      <c r="AF37" s="36">
        <f>VLOOKUP($A37,[24]HISTOJANV24!$A$6:$CB$38,60,0)</f>
        <v>0</v>
      </c>
      <c r="AG37" s="36">
        <f>VLOOKUP($A37,[24]HISTOJANV24!$A$6:$CB$38,61,0)</f>
        <v>0</v>
      </c>
      <c r="AH37" s="36">
        <f>VLOOKUP($A37,[24]HISTOJANV24!$A$6:$CB$38,62,0)</f>
        <v>0</v>
      </c>
      <c r="AI37" s="36">
        <f>VLOOKUP($A37,[24]HISTOJANV24!$A$6:$CB$38,63,0)</f>
        <v>0</v>
      </c>
      <c r="AJ37" s="36">
        <f>VLOOKUP($A37,[24]HISTOJANV24!$A$6:$CB$38,64,0)</f>
        <v>0</v>
      </c>
      <c r="AK37" s="36">
        <f>VLOOKUP($A37,[24]HISTOJANV24!$A$6:$CB$38,65,0)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MVTDEC23!I38-E38+L38</f>
        <v>19000</v>
      </c>
      <c r="G38" s="5">
        <f>IF(MVTDEC23!I38&gt;700000,(MVTDEC23!I38-E38+L38),0)</f>
        <v>0</v>
      </c>
      <c r="H38" s="36">
        <f t="shared" si="0"/>
        <v>0</v>
      </c>
      <c r="I38" s="6">
        <f t="shared" si="2"/>
        <v>19000</v>
      </c>
      <c r="J38" s="36">
        <f>VLOOKUP($A38,[24]HISTOJANV24!$A$6:$AQ$42,22,0)</f>
        <v>0</v>
      </c>
      <c r="K38" s="36">
        <f>VLOOKUP($A38,[24]HISTOJANV24!$A$6:$AU$38,45,0)</f>
        <v>25000</v>
      </c>
      <c r="L38" s="36">
        <f t="shared" ref="L38" si="16">IF(K38=0,0,K38-(M38+N38+O38))</f>
        <v>19000</v>
      </c>
      <c r="M38" s="36">
        <f t="shared" ref="M38" si="17">IF(K38=0,0,1000)</f>
        <v>1000</v>
      </c>
      <c r="N38" s="36">
        <f t="shared" ref="N38" si="18">IF(K38=0,0,1000)</f>
        <v>1000</v>
      </c>
      <c r="O38" s="36">
        <f t="shared" ref="O38" si="19">IF(K38=0,0,4000)</f>
        <v>4000</v>
      </c>
      <c r="P38" s="36">
        <f>VLOOKUP($A38,[24]HISTOJANV24!$A$6:$AU$38,7,0)</f>
        <v>0</v>
      </c>
      <c r="Q38" s="36">
        <f>VLOOKUP($A38,[24]HISTOJANV24!$A$6:$AU$38,23,0)</f>
        <v>25000</v>
      </c>
      <c r="R38" s="36">
        <f>VLOOKUP($A38,[24]HISTOJANV24!$A$6:$AU$38,46,0)</f>
        <v>0</v>
      </c>
      <c r="S38" s="36">
        <f>VLOOKUP($A38,[24]HISTOJANV24!$A$6:$AU$38,26,0)</f>
        <v>0</v>
      </c>
      <c r="T38" s="36">
        <f>VLOOKUP($A38,[24]HISTOJANV24!$A$6:$BG$38,58,0)</f>
        <v>0</v>
      </c>
      <c r="U38" s="36">
        <f>VLOOKUP($A38,[24]HISTOJANV24!$A$6:$AU$38,28,0)</f>
        <v>0</v>
      </c>
      <c r="V38" s="36">
        <f>VLOOKUP($A38,[24]HISTOJANV24!$A$6:$AU$38,19,0)</f>
        <v>0</v>
      </c>
      <c r="W38" s="36">
        <f>VLOOKUP($A38,[24]HISTOJANV24!$A$6:$AU$38,20,0)</f>
        <v>0</v>
      </c>
      <c r="X38" s="36">
        <f>VLOOKUP($A38,[24]HISTOJANV24!$A$6:$AU$38,27,0)</f>
        <v>0</v>
      </c>
      <c r="Y38" s="36">
        <f>VLOOKUP($A38,[24]HISTOJANV24!$A$6:$BM$38,33,0)</f>
        <v>0</v>
      </c>
      <c r="Z38" s="36">
        <f>VLOOKUP($A38,[24]HISTOJANV24!$A$6:$BM$38,65,0)</f>
        <v>0</v>
      </c>
      <c r="AA38" s="36"/>
      <c r="AB38" s="36">
        <f>VLOOKUP($A38,[24]HISTOJANV24!$A$6:$AU$38,43,0)</f>
        <v>0</v>
      </c>
      <c r="AC38" s="36">
        <f>VLOOKUP($A38,[24]HISTOJANV24!$A$6:$AU$38,44,0)</f>
        <v>0</v>
      </c>
      <c r="AD38" s="36">
        <f>VLOOKUP($A38,[24]HISTOJANV24!$A$6:$AU$38,47,0)</f>
        <v>0</v>
      </c>
      <c r="AE38" s="36">
        <f>VLOOKUP(A38,[24]HISTOJANV24!$A$6:$BB$38,54,0)</f>
        <v>0</v>
      </c>
      <c r="AF38" s="36">
        <f>VLOOKUP($A38,[24]HISTOJANV24!$A$6:$CB$38,60,0)</f>
        <v>0</v>
      </c>
      <c r="AG38" s="36">
        <f>VLOOKUP($A38,[24]HISTOJANV24!$A$6:$CB$38,61,0)</f>
        <v>0</v>
      </c>
      <c r="AH38" s="36">
        <f>VLOOKUP($A38,[24]HISTOJANV24!$A$6:$CB$38,62,0)</f>
        <v>0</v>
      </c>
      <c r="AI38" s="36">
        <f>VLOOKUP($A38,[24]HISTOJANV24!$A$6:$CB$38,63,0)</f>
        <v>0</v>
      </c>
      <c r="AJ38" s="36">
        <f>VLOOKUP($A38,[24]HISTOJANV24!$A$6:$CB$38,64,0)</f>
        <v>0</v>
      </c>
      <c r="AK38" s="36">
        <f>VLOOKUP($A38,[24]HISTOJANV24!$A$6:$CB$38,65,0)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MVTDEC23!I39-E39+L39</f>
        <v>1976098.8197977985</v>
      </c>
      <c r="G39" s="5">
        <f>IF(MVTDEC23!I39&gt;700000,(MVTDEC23!I39-E39+L39),0)</f>
        <v>1976098.8197977985</v>
      </c>
      <c r="H39" s="36">
        <f t="shared" si="0"/>
        <v>14759.874650088927</v>
      </c>
      <c r="I39" s="6">
        <f t="shared" si="2"/>
        <v>1990858.6944478874</v>
      </c>
      <c r="J39" s="36">
        <f>VLOOKUP($A39,[24]HISTOJANV24!$A$6:$AQ$42,22,0)</f>
        <v>0</v>
      </c>
      <c r="K39" s="36">
        <f>VLOOKUP($A39,[24]HISTOJANV24!$A$6:$AU$38,45,0)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6"/>
        <v>1000</v>
      </c>
      <c r="O39" s="36">
        <f t="shared" si="7"/>
        <v>4000</v>
      </c>
      <c r="P39" s="36">
        <f>VLOOKUP($A39,[24]HISTOJANV24!$A$6:$AU$38,7,0)</f>
        <v>0</v>
      </c>
      <c r="Q39" s="36">
        <f>VLOOKUP($A39,[24]HISTOJANV24!$A$6:$AU$38,23,0)</f>
        <v>0</v>
      </c>
      <c r="R39" s="36">
        <f>VLOOKUP($A39,[24]HISTOJANV24!$A$6:$AU$38,46,0)</f>
        <v>0</v>
      </c>
      <c r="S39" s="36">
        <f>VLOOKUP($A39,[24]HISTOJANV24!$A$6:$AU$38,26,0)</f>
        <v>0</v>
      </c>
      <c r="T39" s="36">
        <f>VLOOKUP($A39,[24]HISTOJANV24!$A$6:$BG$38,58,0)</f>
        <v>0</v>
      </c>
      <c r="U39" s="36">
        <f>VLOOKUP($A39,[24]HISTOJANV24!$A$6:$AU$38,28,0)</f>
        <v>0</v>
      </c>
      <c r="V39" s="36">
        <f>VLOOKUP($A39,[24]HISTOJANV24!$A$6:$AU$38,19,0)</f>
        <v>0</v>
      </c>
      <c r="W39" s="36">
        <f>VLOOKUP($A39,[24]HISTOJANV24!$A$6:$AU$38,20,0)</f>
        <v>0</v>
      </c>
      <c r="X39" s="36">
        <f>VLOOKUP($A39,[24]HISTOJANV24!$A$6:$AU$38,27,0)</f>
        <v>0</v>
      </c>
      <c r="Y39" s="36">
        <f>VLOOKUP($A39,[24]HISTOJANV24!$A$6:$BM$38,33,0)</f>
        <v>0</v>
      </c>
      <c r="Z39" s="36">
        <f>VLOOKUP($A39,[24]HISTOJANV24!$A$6:$BM$38,65,0)</f>
        <v>0</v>
      </c>
      <c r="AA39" s="36"/>
      <c r="AB39" s="36">
        <f>VLOOKUP($A39,[24]HISTOJANV24!$A$6:$AU$38,43,0)</f>
        <v>0</v>
      </c>
      <c r="AC39" s="36">
        <f>VLOOKUP($A39,[24]HISTOJANV24!$A$6:$AU$38,44,0)</f>
        <v>0</v>
      </c>
      <c r="AD39" s="36">
        <f>VLOOKUP($A39,[24]HISTOJANV24!$A$6:$AU$38,47,0)</f>
        <v>0</v>
      </c>
      <c r="AE39" s="36">
        <f>VLOOKUP(A39,[24]HISTOJANV24!$A$6:$BB$38,54,0)</f>
        <v>0</v>
      </c>
      <c r="AF39" s="36">
        <f>VLOOKUP($A39,[24]HISTOJANV24!$A$6:$CB$38,60,0)</f>
        <v>0</v>
      </c>
      <c r="AG39" s="36">
        <f>VLOOKUP($A39,[24]HISTOJANV24!$A$6:$CB$38,61,0)</f>
        <v>0</v>
      </c>
      <c r="AH39" s="36">
        <f>VLOOKUP($A39,[24]HISTOJANV24!$A$6:$CB$38,62,0)</f>
        <v>0</v>
      </c>
      <c r="AI39" s="36">
        <f>VLOOKUP($A39,[24]HISTOJANV24!$A$6:$CB$38,63,0)</f>
        <v>0</v>
      </c>
      <c r="AJ39" s="36">
        <f>VLOOKUP($A39,[24]HISTOJANV24!$A$6:$CB$38,64,0)</f>
        <v>0</v>
      </c>
      <c r="AK39" s="36">
        <f>VLOOKUP($A39,[24]HISTOJANV24!$A$6:$CB$38,65,0)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20">SUM(C6:C40)</f>
        <v>0</v>
      </c>
      <c r="D41" s="9">
        <f t="shared" si="20"/>
        <v>0</v>
      </c>
      <c r="E41" s="9">
        <f t="shared" si="20"/>
        <v>0</v>
      </c>
      <c r="F41" s="9">
        <f t="shared" si="20"/>
        <v>26760656.073121928</v>
      </c>
      <c r="G41" s="9">
        <f t="shared" si="20"/>
        <v>23563438.073121924</v>
      </c>
      <c r="H41" s="36">
        <f t="shared" si="20"/>
        <v>175999.99999999994</v>
      </c>
      <c r="I41" s="9">
        <f t="shared" si="20"/>
        <v>26936656.073121924</v>
      </c>
      <c r="J41" s="9">
        <f t="shared" si="20"/>
        <v>0</v>
      </c>
      <c r="K41" s="9">
        <f t="shared" si="20"/>
        <v>1555000</v>
      </c>
      <c r="L41" s="9">
        <f t="shared" si="20"/>
        <v>1363000</v>
      </c>
      <c r="M41" s="9">
        <f t="shared" si="20"/>
        <v>32000</v>
      </c>
      <c r="N41" s="9">
        <f t="shared" si="20"/>
        <v>32000</v>
      </c>
      <c r="O41" s="9">
        <f t="shared" si="20"/>
        <v>128000</v>
      </c>
      <c r="P41" s="9">
        <f t="shared" si="20"/>
        <v>-3000</v>
      </c>
      <c r="Q41" s="9">
        <f t="shared" si="20"/>
        <v>75000</v>
      </c>
      <c r="R41" s="9">
        <f t="shared" si="20"/>
        <v>120000</v>
      </c>
      <c r="S41" s="9">
        <f t="shared" si="20"/>
        <v>2000000</v>
      </c>
      <c r="T41" s="9">
        <f t="shared" si="20"/>
        <v>176000</v>
      </c>
      <c r="U41" s="9">
        <f t="shared" si="20"/>
        <v>0</v>
      </c>
      <c r="V41" s="9">
        <f t="shared" si="20"/>
        <v>0</v>
      </c>
      <c r="W41" s="9">
        <f t="shared" si="20"/>
        <v>0</v>
      </c>
      <c r="X41" s="9">
        <f t="shared" si="20"/>
        <v>0</v>
      </c>
      <c r="Y41" s="9">
        <f t="shared" si="20"/>
        <v>0</v>
      </c>
      <c r="Z41" s="9">
        <f t="shared" si="20"/>
        <v>0</v>
      </c>
      <c r="AA41" s="9">
        <f t="shared" si="20"/>
        <v>0</v>
      </c>
      <c r="AB41" s="9">
        <f t="shared" si="20"/>
        <v>0</v>
      </c>
      <c r="AC41" s="9">
        <f t="shared" si="20"/>
        <v>0</v>
      </c>
      <c r="AD41" s="9">
        <f t="shared" si="20"/>
        <v>0</v>
      </c>
      <c r="AE41" s="9">
        <f t="shared" si="20"/>
        <v>0</v>
      </c>
      <c r="AF41" s="9">
        <f t="shared" si="20"/>
        <v>27000</v>
      </c>
      <c r="AG41" s="9">
        <f t="shared" si="20"/>
        <v>200000</v>
      </c>
      <c r="AH41" s="9">
        <f t="shared" si="20"/>
        <v>0</v>
      </c>
      <c r="AI41" s="9">
        <f t="shared" si="20"/>
        <v>100000</v>
      </c>
      <c r="AJ41" s="9">
        <f t="shared" si="20"/>
        <v>0</v>
      </c>
      <c r="AK41" s="9">
        <f t="shared" si="20"/>
        <v>0</v>
      </c>
      <c r="AL41" s="9">
        <f t="shared" si="20"/>
        <v>300000</v>
      </c>
    </row>
    <row r="44" spans="1:38" x14ac:dyDescent="0.35">
      <c r="G44" s="2"/>
    </row>
  </sheetData>
  <autoFilter ref="A5:V39" xr:uid="{00000000-0009-0000-0000-000006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4"/>
  <sheetViews>
    <sheetView workbookViewId="0">
      <pane xSplit="2" ySplit="5" topLeftCell="F36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4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77">
        <v>45339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VLOOKUP($A6,[24]HISTOFEV24!$A$6:$BA$38,48,0)</f>
        <v>0</v>
      </c>
      <c r="F6" s="36">
        <f>MVTJANV24!I6-E6+L6</f>
        <v>940865.47705203819</v>
      </c>
      <c r="G6" s="5">
        <f>IF(MVTJANV24!I6+L6&gt;700000,(MVTJANV24!I6-E6+L6),0)</f>
        <v>940865.47705203819</v>
      </c>
      <c r="H6" s="36">
        <f t="shared" ref="H6:H39" si="0">$T$41/$G$41*G6</f>
        <v>924.84296142406936</v>
      </c>
      <c r="I6" s="6">
        <f>F6+H6</f>
        <v>941790.32001346222</v>
      </c>
      <c r="J6" s="36">
        <f>VLOOKUP($A6,[24]HISTOFEV24!$A$6:$AQ$42,22,0)</f>
        <v>0</v>
      </c>
      <c r="K6" s="36">
        <f>VLOOKUP($A6,[24]HISTOFEV24!$A$6:$AU$38,45,0)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VLOOKUP($A6,[24]HISTOFEV24!$A$6:$AU$38,7,0)</f>
        <v>0</v>
      </c>
      <c r="Q6" s="36">
        <f>VLOOKUP($A6,[24]HISTOFEV24!$A$6:$AU$38,23,0)</f>
        <v>0</v>
      </c>
      <c r="R6" s="36">
        <f>VLOOKUP($A6,[24]HISTOFEV24!$A$6:$AU$38,46,0)</f>
        <v>0</v>
      </c>
      <c r="S6" s="36">
        <f>VLOOKUP($A6,[24]HISTOFEV24!$A$6:$AU$38,26,0)</f>
        <v>0</v>
      </c>
      <c r="T6" s="36">
        <f>VLOOKUP($A6,[24]HISTOFEV24!$A$6:$BG$38,58,0)</f>
        <v>0</v>
      </c>
      <c r="U6" s="36">
        <f>VLOOKUP($A6,[24]HISTOFEV24!$A$6:$AU$38,28,0)</f>
        <v>0</v>
      </c>
      <c r="V6" s="36">
        <f>VLOOKUP($A6,[24]HISTOFEV24!$A$6:$AU$38,19,0)</f>
        <v>0</v>
      </c>
      <c r="W6" s="36">
        <f>VLOOKUP($A6,[24]HISTOFEV24!$A$6:$AU$38,20,0)</f>
        <v>0</v>
      </c>
      <c r="X6" s="36">
        <f>VLOOKUP($A6,[24]HISTOFEV24!$A$6:$AU$38,27,0)</f>
        <v>0</v>
      </c>
      <c r="Y6" s="36">
        <f>VLOOKUP($A6,[24]HISTOFEV24!$A$6:$BM$38,33,0)</f>
        <v>0</v>
      </c>
      <c r="Z6" s="36">
        <f>VLOOKUP($A6,[24]HISTOFEV24!$A$6:$BM$38,65,0)</f>
        <v>0</v>
      </c>
      <c r="AA6" s="36"/>
      <c r="AB6" s="36">
        <f>VLOOKUP($A6,[24]HISTOFEV24!$A$6:$AU$38,43,0)</f>
        <v>0</v>
      </c>
      <c r="AC6" s="36">
        <f>VLOOKUP($A6,[24]HISTOFEV24!$A$6:$AU$38,44,0)</f>
        <v>0</v>
      </c>
      <c r="AD6" s="36">
        <f>VLOOKUP($A6,[24]HISTOFEV24!$A$6:$AU$38,47,0)</f>
        <v>0</v>
      </c>
      <c r="AE6" s="36">
        <f>VLOOKUP(A6,[24]HISTOFEV24!$A$6:$BB$38,54,0)</f>
        <v>0</v>
      </c>
      <c r="AF6" s="36">
        <f>VLOOKUP($A6,[24]HISTOFEV24!$A$6:$CB$38,60,0)</f>
        <v>27000</v>
      </c>
      <c r="AG6" s="36">
        <f>VLOOKUP($A6,[24]HISTOFEV24!$A$6:$CB$38,61,0)</f>
        <v>0</v>
      </c>
      <c r="AH6" s="36">
        <f>VLOOKUP($A6,[24]HISTOFEV24!$A$6:$CB$38,62,0)</f>
        <v>100000</v>
      </c>
      <c r="AI6" s="36">
        <f>VLOOKUP($A6,[24]HISTOFEV24!$A$6:$CB$38,63,0)</f>
        <v>0</v>
      </c>
      <c r="AJ6" s="36">
        <f>VLOOKUP($A6,[24]HISTOFEV24!$A$6:$CB$38,64,0)</f>
        <v>0</v>
      </c>
      <c r="AK6" s="36">
        <f>VLOOKUP($A6,[24]HISTOFEV24!$A$6:$CB$38,65,0)</f>
        <v>0</v>
      </c>
      <c r="AL6" s="36">
        <f>VLOOKUP($A6,[24]HISTOFEV24!$A$6:$CB$38,66,0)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VLOOKUP($A7,[24]HISTOFEV24!$A$6:$BA$38,48,0)</f>
        <v>0</v>
      </c>
      <c r="F7" s="36">
        <f>MVTJANV24!I7-E7+L7</f>
        <v>716482</v>
      </c>
      <c r="G7" s="5">
        <f>IF(MVTJANV24!I7+L7&gt;700000,(MVTJANV24!I7-E7+L7),0)</f>
        <v>716482</v>
      </c>
      <c r="H7" s="36">
        <f t="shared" si="0"/>
        <v>704.28063400012559</v>
      </c>
      <c r="I7" s="6">
        <f t="shared" ref="I7:I39" si="2">F7+H7</f>
        <v>717186.28063400008</v>
      </c>
      <c r="J7" s="36">
        <f>VLOOKUP($A7,[24]HISTOFEV24!$A$6:$AQ$42,22,0)</f>
        <v>0</v>
      </c>
      <c r="K7" s="36">
        <f>VLOOKUP($A7,[24]HISTOFEV24!$A$6:$AU$38,45,0)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:N39" si="3">IF(K7=0,0,1000)</f>
        <v>1000</v>
      </c>
      <c r="O7" s="36">
        <f>IF(K7=0,0,4000)</f>
        <v>4000</v>
      </c>
      <c r="P7" s="36">
        <f>VLOOKUP($A7,[24]HISTOFEV24!$A$6:$AU$38,7,0)</f>
        <v>0</v>
      </c>
      <c r="Q7" s="36">
        <f>VLOOKUP($A7,[24]HISTOFEV24!$A$6:$AU$38,23,0)</f>
        <v>0</v>
      </c>
      <c r="R7" s="36">
        <f>VLOOKUP($A7,[24]HISTOFEV24!$A$6:$AU$38,46,0)</f>
        <v>0</v>
      </c>
      <c r="S7" s="36">
        <f>VLOOKUP($A7,[24]HISTOFEV24!$A$6:$AU$38,26,0)</f>
        <v>0</v>
      </c>
      <c r="T7" s="36">
        <f>VLOOKUP($A7,[24]HISTOFEV24!$A$6:$BG$38,58,0)</f>
        <v>6000</v>
      </c>
      <c r="U7" s="36">
        <f>VLOOKUP($A7,[24]HISTOFEV24!$A$6:$AU$38,28,0)</f>
        <v>0</v>
      </c>
      <c r="V7" s="36">
        <f>VLOOKUP($A7,[24]HISTOFEV24!$A$6:$AU$38,19,0)</f>
        <v>0</v>
      </c>
      <c r="W7" s="36">
        <f>VLOOKUP($A7,[24]HISTOFEV24!$A$6:$AU$38,20,0)</f>
        <v>0</v>
      </c>
      <c r="X7" s="36">
        <f>VLOOKUP($A7,[24]HISTOFEV24!$A$6:$AU$38,27,0)</f>
        <v>0</v>
      </c>
      <c r="Y7" s="36">
        <f>VLOOKUP($A7,[24]HISTOFEV24!$A$6:$BM$38,33,0)</f>
        <v>0</v>
      </c>
      <c r="Z7" s="36">
        <f>VLOOKUP($A7,[24]HISTOFEV24!$A$6:$BM$38,65,0)</f>
        <v>0</v>
      </c>
      <c r="AA7" s="36"/>
      <c r="AB7" s="36">
        <f>VLOOKUP($A7,[24]HISTOFEV24!$A$6:$AU$38,43,0)</f>
        <v>0</v>
      </c>
      <c r="AC7" s="36">
        <f>VLOOKUP($A7,[24]HISTOFEV24!$A$6:$AU$38,44,0)</f>
        <v>0</v>
      </c>
      <c r="AD7" s="36">
        <f>VLOOKUP($A7,[24]HISTOFEV24!$A$6:$AU$38,47,0)</f>
        <v>0</v>
      </c>
      <c r="AE7" s="36">
        <f>VLOOKUP(A7,[24]HISTOFEV24!$A$6:$BB$38,54,0)</f>
        <v>0</v>
      </c>
      <c r="AF7" s="36">
        <f>VLOOKUP($A7,[24]HISTOFEV24!$A$6:$CB$38,60,0)</f>
        <v>0</v>
      </c>
      <c r="AG7" s="36">
        <f>VLOOKUP($A7,[24]HISTOFEV24!$A$6:$CB$38,61,0)</f>
        <v>0</v>
      </c>
      <c r="AH7" s="36">
        <f>VLOOKUP($A7,[24]HISTOFEV24!$A$6:$CB$38,62,0)</f>
        <v>0</v>
      </c>
      <c r="AI7" s="36">
        <f>VLOOKUP($A7,[24]HISTOFEV24!$A$6:$CB$38,63,0)</f>
        <v>0</v>
      </c>
      <c r="AJ7" s="36">
        <f>VLOOKUP($A7,[24]HISTOFEV24!$A$6:$CB$38,64,0)</f>
        <v>0</v>
      </c>
      <c r="AK7" s="36">
        <f>VLOOKUP($A7,[24]HISTOFEV24!$A$6:$CB$38,65,0)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VLOOKUP($A8,[24]HISTOFEV24!$A$6:$BA$38,48,0)</f>
        <v>0</v>
      </c>
      <c r="F8" s="36">
        <f>MVTJANV24!I8-E8+L8</f>
        <v>778085.76273913425</v>
      </c>
      <c r="G8" s="5">
        <f>IF(MVTJANV24!I8+L8&gt;700000,(MVTJANV24!I8-E8+L8),0)</f>
        <v>778085.76273913425</v>
      </c>
      <c r="H8" s="36">
        <f t="shared" si="0"/>
        <v>764.8353123852221</v>
      </c>
      <c r="I8" s="6">
        <f t="shared" si="2"/>
        <v>778850.59805151948</v>
      </c>
      <c r="J8" s="36">
        <f>VLOOKUP($A8,[24]HISTOFEV24!$A$6:$AQ$42,22,0)</f>
        <v>0</v>
      </c>
      <c r="K8" s="36">
        <f>VLOOKUP($A8,[24]HISTOFEV24!$A$6:$AU$38,45,0)</f>
        <v>22000</v>
      </c>
      <c r="L8" s="36">
        <f t="shared" ref="L8:L39" si="4">IF(K8=0,0,K8-(M8+N8+O8))</f>
        <v>16000</v>
      </c>
      <c r="M8" s="36">
        <f t="shared" ref="M8:M39" si="5">IF(K8=0,0,1000)</f>
        <v>1000</v>
      </c>
      <c r="N8" s="36">
        <f t="shared" si="3"/>
        <v>1000</v>
      </c>
      <c r="O8" s="36">
        <f t="shared" ref="O8:O39" si="6">IF(K8=0,0,4000)</f>
        <v>4000</v>
      </c>
      <c r="P8" s="36">
        <f>VLOOKUP($A8,[24]HISTOFEV24!$A$6:$AU$38,7,0)</f>
        <v>3000</v>
      </c>
      <c r="Q8" s="36">
        <f>VLOOKUP($A8,[24]HISTOFEV24!$A$6:$AU$38,23,0)</f>
        <v>0</v>
      </c>
      <c r="R8" s="36">
        <f>VLOOKUP($A8,[24]HISTOFEV24!$A$6:$AU$38,46,0)</f>
        <v>0</v>
      </c>
      <c r="S8" s="36">
        <f>VLOOKUP($A8,[24]HISTOFEV24!$A$6:$AU$38,26,0)</f>
        <v>0</v>
      </c>
      <c r="T8" s="36">
        <f>VLOOKUP($A8,[24]HISTOFEV24!$A$6:$BG$38,58,0)</f>
        <v>0</v>
      </c>
      <c r="U8" s="36">
        <f>VLOOKUP($A8,[24]HISTOFEV24!$A$6:$AU$38,28,0)</f>
        <v>0</v>
      </c>
      <c r="V8" s="36">
        <f>VLOOKUP($A8,[24]HISTOFEV24!$A$6:$AU$38,19,0)</f>
        <v>0</v>
      </c>
      <c r="W8" s="36">
        <f>VLOOKUP($A8,[24]HISTOFEV24!$A$6:$AU$38,20,0)</f>
        <v>0</v>
      </c>
      <c r="X8" s="36">
        <f>VLOOKUP($A8,[24]HISTOFEV24!$A$6:$AU$38,27,0)</f>
        <v>0</v>
      </c>
      <c r="Y8" s="36">
        <f>VLOOKUP($A8,[24]HISTOFEV24!$A$6:$BM$38,33,0)</f>
        <v>0</v>
      </c>
      <c r="Z8" s="36">
        <f>VLOOKUP($A8,[24]HISTOFEV24!$A$6:$BM$38,65,0)</f>
        <v>0</v>
      </c>
      <c r="AA8" s="36"/>
      <c r="AB8" s="36">
        <f>VLOOKUP($A8,[24]HISTOFEV24!$A$6:$AU$38,43,0)</f>
        <v>0</v>
      </c>
      <c r="AC8" s="36">
        <f>VLOOKUP($A8,[24]HISTOFEV24!$A$6:$AU$38,44,0)</f>
        <v>0</v>
      </c>
      <c r="AD8" s="36">
        <f>VLOOKUP($A8,[24]HISTOFEV24!$A$6:$AU$38,47,0)</f>
        <v>0</v>
      </c>
      <c r="AE8" s="36">
        <f>VLOOKUP(A8,[24]HISTOFEV24!$A$6:$BB$38,54,0)</f>
        <v>0</v>
      </c>
      <c r="AF8" s="36">
        <f>VLOOKUP($A8,[24]HISTOFEV24!$A$6:$CB$38,60,0)</f>
        <v>0</v>
      </c>
      <c r="AG8" s="36">
        <f>VLOOKUP($A8,[24]HISTOFEV24!$A$6:$CB$38,61,0)</f>
        <v>0</v>
      </c>
      <c r="AH8" s="36">
        <f>VLOOKUP($A8,[24]HISTOFEV24!$A$6:$CB$38,62,0)</f>
        <v>0</v>
      </c>
      <c r="AI8" s="36">
        <f>VLOOKUP($A8,[24]HISTOFEV24!$A$6:$CB$38,63,0)</f>
        <v>0</v>
      </c>
      <c r="AJ8" s="36">
        <f>VLOOKUP($A8,[24]HISTOFEV24!$A$6:$CB$38,64,0)</f>
        <v>0</v>
      </c>
      <c r="AK8" s="36">
        <f>VLOOKUP($A8,[24]HISTOFEV24!$A$6:$CB$38,65,0)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VLOOKUP($A9,[24]HISTOFEV24!$A$6:$BA$38,48,0)</f>
        <v>0</v>
      </c>
      <c r="F9" s="36">
        <f>MVTJANV24!I9-E9+L9</f>
        <v>837679.16711994901</v>
      </c>
      <c r="G9" s="5">
        <f>IF(MVTJANV24!I9+L9&gt;700000,(MVTJANV24!I9-E9+L9),0)</f>
        <v>837679.16711994901</v>
      </c>
      <c r="H9" s="36">
        <f t="shared" si="0"/>
        <v>823.41386791005891</v>
      </c>
      <c r="I9" s="6">
        <f t="shared" si="2"/>
        <v>838502.58098785905</v>
      </c>
      <c r="J9" s="36">
        <f>VLOOKUP($A9,[24]HISTOFEV24!$A$6:$AQ$42,22,0)</f>
        <v>0</v>
      </c>
      <c r="K9" s="36">
        <f>VLOOKUP($A9,[24]HISTOFEV24!$A$6:$AU$38,45,0)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3"/>
        <v>1000</v>
      </c>
      <c r="O9" s="36">
        <f t="shared" si="6"/>
        <v>4000</v>
      </c>
      <c r="P9" s="36">
        <f>VLOOKUP($A9,[24]HISTOFEV24!$A$6:$AU$38,7,0)</f>
        <v>0</v>
      </c>
      <c r="Q9" s="36">
        <f>VLOOKUP($A9,[24]HISTOFEV24!$A$6:$AU$38,23,0)</f>
        <v>0</v>
      </c>
      <c r="R9" s="36">
        <f>VLOOKUP($A9,[24]HISTOFEV24!$A$6:$AU$38,46,0)</f>
        <v>0</v>
      </c>
      <c r="S9" s="36">
        <f>VLOOKUP($A9,[24]HISTOFEV24!$A$6:$AU$38,26,0)</f>
        <v>0</v>
      </c>
      <c r="T9" s="36">
        <f>VLOOKUP($A9,[24]HISTOFEV24!$A$6:$BG$38,58,0)</f>
        <v>0</v>
      </c>
      <c r="U9" s="36">
        <f>VLOOKUP($A9,[24]HISTOFEV24!$A$6:$AU$38,28,0)</f>
        <v>0</v>
      </c>
      <c r="V9" s="36">
        <f>VLOOKUP($A9,[24]HISTOFEV24!$A$6:$AU$38,19,0)</f>
        <v>0</v>
      </c>
      <c r="W9" s="36">
        <f>VLOOKUP($A9,[24]HISTOFEV24!$A$6:$AU$38,20,0)</f>
        <v>0</v>
      </c>
      <c r="X9" s="36">
        <f>VLOOKUP($A9,[24]HISTOFEV24!$A$6:$AU$38,27,0)</f>
        <v>0</v>
      </c>
      <c r="Y9" s="36">
        <f>VLOOKUP($A9,[24]HISTOFEV24!$A$6:$BM$38,33,0)</f>
        <v>0</v>
      </c>
      <c r="Z9" s="36">
        <f>VLOOKUP($A9,[24]HISTOFEV24!$A$6:$BM$38,65,0)</f>
        <v>0</v>
      </c>
      <c r="AA9" s="36"/>
      <c r="AB9" s="36">
        <f>VLOOKUP($A9,[24]HISTOFEV24!$A$6:$AU$38,43,0)</f>
        <v>0</v>
      </c>
      <c r="AC9" s="36">
        <f>VLOOKUP($A9,[24]HISTOFEV24!$A$6:$AU$38,44,0)</f>
        <v>0</v>
      </c>
      <c r="AD9" s="36">
        <f>VLOOKUP($A9,[24]HISTOFEV24!$A$6:$AU$38,47,0)</f>
        <v>0</v>
      </c>
      <c r="AE9" s="36">
        <f>VLOOKUP(A9,[24]HISTOFEV24!$A$6:$BB$38,54,0)</f>
        <v>0</v>
      </c>
      <c r="AF9" s="36">
        <f>VLOOKUP($A9,[24]HISTOFEV24!$A$6:$CB$38,60,0)</f>
        <v>0</v>
      </c>
      <c r="AG9" s="36">
        <f>VLOOKUP($A9,[24]HISTOFEV24!$A$6:$CB$38,61,0)</f>
        <v>0</v>
      </c>
      <c r="AH9" s="36">
        <f>VLOOKUP($A9,[24]HISTOFEV24!$A$6:$CB$38,62,0)</f>
        <v>0</v>
      </c>
      <c r="AI9" s="36">
        <f>VLOOKUP($A9,[24]HISTOFEV24!$A$6:$CB$38,63,0)</f>
        <v>0</v>
      </c>
      <c r="AJ9" s="36">
        <f>VLOOKUP($A9,[24]HISTOFEV24!$A$6:$CB$38,64,0)</f>
        <v>0</v>
      </c>
      <c r="AK9" s="36">
        <f>VLOOKUP($A9,[24]HISTOFEV24!$A$6:$CB$38,65,0)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VLOOKUP($A10,[24]HISTOFEV24!$A$6:$BA$38,48,0)</f>
        <v>0</v>
      </c>
      <c r="F10" s="36">
        <f>MVTJANV24!I10-E10+L10</f>
        <v>781363.34848368098</v>
      </c>
      <c r="G10" s="5">
        <f>IF(MVTJANV24!I10+L10&gt;700000,(MVTJANV24!I10-E10+L10),0)</f>
        <v>781363.34848368098</v>
      </c>
      <c r="H10" s="36">
        <f t="shared" si="0"/>
        <v>768.05708231965059</v>
      </c>
      <c r="I10" s="6">
        <f t="shared" si="2"/>
        <v>782131.40556600061</v>
      </c>
      <c r="J10" s="36">
        <f>VLOOKUP($A10,[24]HISTOFEV24!$A$6:$AQ$42,22,0)</f>
        <v>0</v>
      </c>
      <c r="K10" s="36">
        <f>VLOOKUP($A10,[24]HISTOFEV24!$A$6:$AU$38,45,0)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3"/>
        <v>1000</v>
      </c>
      <c r="O10" s="36">
        <f t="shared" si="6"/>
        <v>4000</v>
      </c>
      <c r="P10" s="36">
        <f>VLOOKUP($A10,[24]HISTOFEV24!$A$6:$AU$38,7,0)</f>
        <v>3000</v>
      </c>
      <c r="Q10" s="36">
        <f>VLOOKUP($A10,[24]HISTOFEV24!$A$6:$AU$38,23,0)</f>
        <v>0</v>
      </c>
      <c r="R10" s="36">
        <f>VLOOKUP($A10,[24]HISTOFEV24!$A$6:$AU$38,46,0)</f>
        <v>0</v>
      </c>
      <c r="S10" s="36">
        <f>VLOOKUP($A10,[24]HISTOFEV24!$A$6:$AU$38,26,0)</f>
        <v>0</v>
      </c>
      <c r="T10" s="36">
        <f>VLOOKUP($A10,[24]HISTOFEV24!$A$6:$BG$38,58,0)</f>
        <v>0</v>
      </c>
      <c r="U10" s="36">
        <f>VLOOKUP($A10,[24]HISTOFEV24!$A$6:$AU$38,28,0)</f>
        <v>0</v>
      </c>
      <c r="V10" s="36">
        <f>VLOOKUP($A10,[24]HISTOFEV24!$A$6:$AU$38,19,0)</f>
        <v>0</v>
      </c>
      <c r="W10" s="36">
        <f>VLOOKUP($A10,[24]HISTOFEV24!$A$6:$AU$38,20,0)</f>
        <v>0</v>
      </c>
      <c r="X10" s="36">
        <f>VLOOKUP($A10,[24]HISTOFEV24!$A$6:$AU$38,27,0)</f>
        <v>0</v>
      </c>
      <c r="Y10" s="36">
        <f>VLOOKUP($A10,[24]HISTOFEV24!$A$6:$BM$38,33,0)</f>
        <v>0</v>
      </c>
      <c r="Z10" s="36">
        <f>VLOOKUP($A10,[24]HISTOFEV24!$A$6:$BM$38,65,0)</f>
        <v>0</v>
      </c>
      <c r="AA10" s="36"/>
      <c r="AB10" s="36">
        <f>VLOOKUP($A10,[24]HISTOFEV24!$A$6:$AU$38,43,0)</f>
        <v>0</v>
      </c>
      <c r="AC10" s="36">
        <f>VLOOKUP($A10,[24]HISTOFEV24!$A$6:$AU$38,44,0)</f>
        <v>0</v>
      </c>
      <c r="AD10" s="36">
        <f>VLOOKUP($A10,[24]HISTOFEV24!$A$6:$AU$38,47,0)</f>
        <v>0</v>
      </c>
      <c r="AE10" s="36">
        <f>VLOOKUP(A10,[24]HISTOFEV24!$A$6:$BB$38,54,0)</f>
        <v>0</v>
      </c>
      <c r="AF10" s="36">
        <f>VLOOKUP($A10,[24]HISTOFEV24!$A$6:$CB$38,60,0)</f>
        <v>0</v>
      </c>
      <c r="AG10" s="36">
        <f>VLOOKUP($A10,[24]HISTOFEV24!$A$6:$CB$38,61,0)</f>
        <v>0</v>
      </c>
      <c r="AH10" s="36">
        <f>VLOOKUP($A10,[24]HISTOFEV24!$A$6:$CB$38,62,0)</f>
        <v>0</v>
      </c>
      <c r="AI10" s="36">
        <f>VLOOKUP($A10,[24]HISTOFEV24!$A$6:$CB$38,63,0)</f>
        <v>0</v>
      </c>
      <c r="AJ10" s="36">
        <f>VLOOKUP($A10,[24]HISTOFEV24!$A$6:$CB$38,64,0)</f>
        <v>0</v>
      </c>
      <c r="AK10" s="36">
        <f>VLOOKUP($A10,[24]HISTOFEV24!$A$6:$CB$38,65,0)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VLOOKUP($A11,[24]HISTOFEV24!$A$6:$BA$38,48,0)</f>
        <v>0</v>
      </c>
      <c r="F11" s="36">
        <f>MVTJANV24!I11-E11+L11</f>
        <v>783382.0315598842</v>
      </c>
      <c r="G11" s="5">
        <f>IF(MVTJANV24!I11+L11&gt;700000,(MVTJANV24!I11-E11+L11),0)</f>
        <v>783382.0315598842</v>
      </c>
      <c r="H11" s="36">
        <f t="shared" si="0"/>
        <v>770.04138813159523</v>
      </c>
      <c r="I11" s="6">
        <f t="shared" si="2"/>
        <v>784152.07294801576</v>
      </c>
      <c r="J11" s="36">
        <f>VLOOKUP($A11,[24]HISTOFEV24!$A$6:$AQ$42,22,0)</f>
        <v>0</v>
      </c>
      <c r="K11" s="36">
        <f>VLOOKUP($A11,[24]HISTOFEV24!$A$6:$AU$38,45,0)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3"/>
        <v>1000</v>
      </c>
      <c r="O11" s="36">
        <f t="shared" si="6"/>
        <v>4000</v>
      </c>
      <c r="P11" s="36">
        <f>VLOOKUP($A11,[24]HISTOFEV24!$A$6:$AU$38,7,0)</f>
        <v>0</v>
      </c>
      <c r="Q11" s="36">
        <f>VLOOKUP($A11,[24]HISTOFEV24!$A$6:$AU$38,23,0)</f>
        <v>0</v>
      </c>
      <c r="R11" s="36">
        <f>VLOOKUP($A11,[24]HISTOFEV24!$A$6:$AU$38,46,0)</f>
        <v>0</v>
      </c>
      <c r="S11" s="36">
        <f>VLOOKUP($A11,[24]HISTOFEV24!$A$6:$AU$38,26,0)</f>
        <v>1000000</v>
      </c>
      <c r="T11" s="36">
        <f>VLOOKUP($A11,[24]HISTOFEV24!$A$6:$BG$38,58,0)</f>
        <v>20000</v>
      </c>
      <c r="U11" s="36">
        <f>VLOOKUP($A11,[24]HISTOFEV24!$A$6:$AU$38,28,0)</f>
        <v>0</v>
      </c>
      <c r="V11" s="36">
        <f>VLOOKUP($A11,[24]HISTOFEV24!$A$6:$AU$38,19,0)</f>
        <v>1000000</v>
      </c>
      <c r="W11" s="36">
        <f>VLOOKUP($A11,[24]HISTOFEV24!$A$6:$AU$38,20,0)</f>
        <v>0</v>
      </c>
      <c r="X11" s="36">
        <f>VLOOKUP($A11,[24]HISTOFEV24!$A$6:$AU$38,27,0)</f>
        <v>0</v>
      </c>
      <c r="Y11" s="36">
        <f>VLOOKUP($A11,[24]HISTOFEV24!$A$6:$BM$38,33,0)</f>
        <v>0</v>
      </c>
      <c r="Z11" s="36">
        <f>VLOOKUP($A11,[24]HISTOFEV24!$A$6:$BM$38,65,0)</f>
        <v>0</v>
      </c>
      <c r="AA11" s="36"/>
      <c r="AB11" s="36">
        <f>VLOOKUP($A11,[24]HISTOFEV24!$A$6:$AU$38,43,0)</f>
        <v>0</v>
      </c>
      <c r="AC11" s="36">
        <f>VLOOKUP($A11,[24]HISTOFEV24!$A$6:$AU$38,44,0)</f>
        <v>0</v>
      </c>
      <c r="AD11" s="36">
        <f>VLOOKUP($A11,[24]HISTOFEV24!$A$6:$AU$38,47,0)</f>
        <v>0</v>
      </c>
      <c r="AE11" s="36">
        <f>VLOOKUP(A11,[24]HISTOFEV24!$A$6:$BB$38,54,0)</f>
        <v>0</v>
      </c>
      <c r="AF11" s="36">
        <f>VLOOKUP($A11,[24]HISTOFEV24!$A$6:$CB$38,60,0)</f>
        <v>0</v>
      </c>
      <c r="AG11" s="36">
        <f>VLOOKUP($A11,[24]HISTOFEV24!$A$6:$CB$38,61,0)</f>
        <v>0</v>
      </c>
      <c r="AH11" s="36">
        <f>VLOOKUP($A11,[24]HISTOFEV24!$A$6:$CB$38,62,0)</f>
        <v>0</v>
      </c>
      <c r="AI11" s="36">
        <f>VLOOKUP($A11,[24]HISTOFEV24!$A$6:$CB$38,63,0)</f>
        <v>0</v>
      </c>
      <c r="AJ11" s="36">
        <f>VLOOKUP($A11,[24]HISTOFEV24!$A$6:$CB$38,64,0)</f>
        <v>0</v>
      </c>
      <c r="AK11" s="36">
        <f>VLOOKUP($A11,[24]HISTOFEV24!$A$6:$CB$38,65,0)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VLOOKUP($A12,[24]HISTOFEV24!$A$6:$BA$38,48,0)</f>
        <v>0</v>
      </c>
      <c r="F12" s="36">
        <f>MVTJANV24!I12-E12+L12</f>
        <v>806490.8661133534</v>
      </c>
      <c r="G12" s="5">
        <f>IF(MVTJANV24!I12+L12&gt;700000,(MVTJANV24!I12-E12+L12),0)</f>
        <v>806490.8661133534</v>
      </c>
      <c r="H12" s="36">
        <f t="shared" si="0"/>
        <v>792.75668963298858</v>
      </c>
      <c r="I12" s="6">
        <f t="shared" si="2"/>
        <v>807283.62280298641</v>
      </c>
      <c r="J12" s="36">
        <f>VLOOKUP($A12,[24]HISTOFEV24!$A$6:$AQ$42,22,0)</f>
        <v>0</v>
      </c>
      <c r="K12" s="36">
        <f>VLOOKUP($A12,[24]HISTOFEV24!$A$6:$AU$38,45,0)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3"/>
        <v>1000</v>
      </c>
      <c r="O12" s="36">
        <f t="shared" si="6"/>
        <v>4000</v>
      </c>
      <c r="P12" s="36">
        <f>VLOOKUP($A12,[24]HISTOFEV24!$A$6:$AU$38,7,0)</f>
        <v>0</v>
      </c>
      <c r="Q12" s="36">
        <f>VLOOKUP($A12,[24]HISTOFEV24!$A$6:$AU$38,23,0)</f>
        <v>0</v>
      </c>
      <c r="R12" s="36">
        <f>VLOOKUP($A12,[24]HISTOFEV24!$A$6:$AU$38,46,0)</f>
        <v>0</v>
      </c>
      <c r="S12" s="36">
        <f>VLOOKUP($A12,[24]HISTOFEV24!$A$6:$AU$38,26,0)</f>
        <v>0</v>
      </c>
      <c r="T12" s="36">
        <f>VLOOKUP($A12,[24]HISTOFEV24!$A$6:$BG$38,58,0)</f>
        <v>0</v>
      </c>
      <c r="U12" s="36">
        <f>VLOOKUP($A12,[24]HISTOFEV24!$A$6:$AU$38,28,0)</f>
        <v>0</v>
      </c>
      <c r="V12" s="36">
        <f>VLOOKUP($A12,[24]HISTOFEV24!$A$6:$AU$38,19,0)</f>
        <v>0</v>
      </c>
      <c r="W12" s="36">
        <f>VLOOKUP($A12,[24]HISTOFEV24!$A$6:$AU$38,20,0)</f>
        <v>0</v>
      </c>
      <c r="X12" s="36">
        <f>VLOOKUP($A12,[24]HISTOFEV24!$A$6:$AU$38,27,0)</f>
        <v>0</v>
      </c>
      <c r="Y12" s="36">
        <f>VLOOKUP($A12,[24]HISTOFEV24!$A$6:$BM$38,33,0)</f>
        <v>0</v>
      </c>
      <c r="Z12" s="36">
        <f>VLOOKUP($A12,[24]HISTOFEV24!$A$6:$BM$38,65,0)</f>
        <v>0</v>
      </c>
      <c r="AA12" s="36"/>
      <c r="AB12" s="36">
        <f>VLOOKUP($A12,[24]HISTOFEV24!$A$6:$AU$38,43,0)</f>
        <v>0</v>
      </c>
      <c r="AC12" s="36">
        <f>VLOOKUP($A12,[24]HISTOFEV24!$A$6:$AU$38,44,0)</f>
        <v>0</v>
      </c>
      <c r="AD12" s="36">
        <f>VLOOKUP($A12,[24]HISTOFEV24!$A$6:$AU$38,47,0)</f>
        <v>0</v>
      </c>
      <c r="AE12" s="36">
        <f>VLOOKUP(A12,[24]HISTOFEV24!$A$6:$BB$38,54,0)</f>
        <v>0</v>
      </c>
      <c r="AF12" s="36">
        <f>VLOOKUP($A12,[24]HISTOFEV24!$A$6:$CB$38,60,0)</f>
        <v>0</v>
      </c>
      <c r="AG12" s="36">
        <f>VLOOKUP($A12,[24]HISTOFEV24!$A$6:$CB$38,61,0)</f>
        <v>0</v>
      </c>
      <c r="AH12" s="36">
        <f>VLOOKUP($A12,[24]HISTOFEV24!$A$6:$CB$38,62,0)</f>
        <v>0</v>
      </c>
      <c r="AI12" s="36">
        <f>VLOOKUP($A12,[24]HISTOFEV24!$A$6:$CB$38,63,0)</f>
        <v>0</v>
      </c>
      <c r="AJ12" s="36">
        <f>VLOOKUP($A12,[24]HISTOFEV24!$A$6:$CB$38,64,0)</f>
        <v>0</v>
      </c>
      <c r="AK12" s="36">
        <f>VLOOKUP($A12,[24]HISTOFEV24!$A$6:$CB$38,65,0)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VLOOKUP($A13,[24]HISTOFEV24!$A$6:$BA$38,48,0)</f>
        <v>0</v>
      </c>
      <c r="F13" s="36">
        <f>MVTJANV24!I13-E13+L13</f>
        <v>781094.36938164337</v>
      </c>
      <c r="G13" s="5">
        <f>IF(MVTJANV24!I13+L13&gt;700000,(MVTJANV24!I13-E13+L13),0)</f>
        <v>781094.36938164337</v>
      </c>
      <c r="H13" s="36">
        <f t="shared" si="0"/>
        <v>767.79268381066379</v>
      </c>
      <c r="I13" s="6">
        <f t="shared" si="2"/>
        <v>781862.16206545406</v>
      </c>
      <c r="J13" s="36">
        <f>VLOOKUP($A13,[24]HISTOFEV24!$A$6:$AQ$42,22,0)</f>
        <v>0</v>
      </c>
      <c r="K13" s="36">
        <f>VLOOKUP($A13,[24]HISTOFEV24!$A$6:$AU$38,45,0)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3"/>
        <v>1000</v>
      </c>
      <c r="O13" s="36">
        <f t="shared" si="6"/>
        <v>4000</v>
      </c>
      <c r="P13" s="36">
        <f>VLOOKUP($A13,[24]HISTOFEV24!$A$6:$AU$38,7,0)</f>
        <v>0</v>
      </c>
      <c r="Q13" s="36">
        <f>VLOOKUP($A13,[24]HISTOFEV24!$A$6:$AU$38,23,0)</f>
        <v>0</v>
      </c>
      <c r="R13" s="36">
        <f>VLOOKUP($A13,[24]HISTOFEV24!$A$6:$AU$38,46,0)</f>
        <v>0</v>
      </c>
      <c r="S13" s="36">
        <f>VLOOKUP($A13,[24]HISTOFEV24!$A$6:$AU$38,26,0)</f>
        <v>0</v>
      </c>
      <c r="T13" s="36">
        <f>VLOOKUP($A13,[24]HISTOFEV24!$A$6:$BG$38,58,0)</f>
        <v>0</v>
      </c>
      <c r="U13" s="36">
        <f>VLOOKUP($A13,[24]HISTOFEV24!$A$6:$AU$38,28,0)</f>
        <v>0</v>
      </c>
      <c r="V13" s="36">
        <f>VLOOKUP($A13,[24]HISTOFEV24!$A$6:$AU$38,19,0)</f>
        <v>0</v>
      </c>
      <c r="W13" s="36">
        <f>VLOOKUP($A13,[24]HISTOFEV24!$A$6:$AU$38,20,0)</f>
        <v>0</v>
      </c>
      <c r="X13" s="36">
        <f>VLOOKUP($A13,[24]HISTOFEV24!$A$6:$AU$38,27,0)</f>
        <v>0</v>
      </c>
      <c r="Y13" s="36">
        <f>VLOOKUP($A13,[24]HISTOFEV24!$A$6:$BM$38,33,0)</f>
        <v>0</v>
      </c>
      <c r="Z13" s="36">
        <f>VLOOKUP($A13,[24]HISTOFEV24!$A$6:$BM$38,65,0)</f>
        <v>0</v>
      </c>
      <c r="AA13" s="36"/>
      <c r="AB13" s="36">
        <f>VLOOKUP($A13,[24]HISTOFEV24!$A$6:$AU$38,43,0)</f>
        <v>0</v>
      </c>
      <c r="AC13" s="36">
        <f>VLOOKUP($A13,[24]HISTOFEV24!$A$6:$AU$38,44,0)</f>
        <v>0</v>
      </c>
      <c r="AD13" s="36">
        <f>VLOOKUP($A13,[24]HISTOFEV24!$A$6:$AU$38,47,0)</f>
        <v>0</v>
      </c>
      <c r="AE13" s="36">
        <f>VLOOKUP(A13,[24]HISTOFEV24!$A$6:$BB$38,54,0)</f>
        <v>0</v>
      </c>
      <c r="AF13" s="36">
        <f>VLOOKUP($A13,[24]HISTOFEV24!$A$6:$CB$38,60,0)</f>
        <v>0</v>
      </c>
      <c r="AG13" s="36">
        <f>VLOOKUP($A13,[24]HISTOFEV24!$A$6:$CB$38,61,0)</f>
        <v>0</v>
      </c>
      <c r="AH13" s="36">
        <f>VLOOKUP($A13,[24]HISTOFEV24!$A$6:$CB$38,62,0)</f>
        <v>0</v>
      </c>
      <c r="AI13" s="36">
        <f>VLOOKUP($A13,[24]HISTOFEV24!$A$6:$CB$38,63,0)</f>
        <v>0</v>
      </c>
      <c r="AJ13" s="36">
        <f>VLOOKUP($A13,[24]HISTOFEV24!$A$6:$CB$38,64,0)</f>
        <v>0</v>
      </c>
      <c r="AK13" s="36">
        <f>VLOOKUP($A13,[24]HISTOFEV24!$A$6:$CB$38,65,0)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VLOOKUP($A14,[24]HISTOFEV24!$A$6:$BA$38,48,0)</f>
        <v>0</v>
      </c>
      <c r="F14" s="36">
        <f>MVTJANV24!I14-E14+L14</f>
        <v>1330836.2464266766</v>
      </c>
      <c r="G14" s="5">
        <f>IF(MVTJANV24!I14+L14&gt;700000,(MVTJANV24!I14-E14+L14),0)</f>
        <v>1330836.2464266766</v>
      </c>
      <c r="H14" s="36">
        <f t="shared" si="0"/>
        <v>1308.1727041066308</v>
      </c>
      <c r="I14" s="6">
        <f t="shared" si="2"/>
        <v>1332144.4191307833</v>
      </c>
      <c r="J14" s="36">
        <f>VLOOKUP($A14,[24]HISTOFEV24!$A$6:$AQ$42,22,0)</f>
        <v>0</v>
      </c>
      <c r="K14" s="36">
        <f>VLOOKUP($A14,[24]HISTOFEV24!$A$6:$AU$38,45,0)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3"/>
        <v>1000</v>
      </c>
      <c r="O14" s="36">
        <f t="shared" si="6"/>
        <v>4000</v>
      </c>
      <c r="P14" s="36">
        <f>VLOOKUP($A14,[24]HISTOFEV24!$A$6:$AU$38,7,0)</f>
        <v>0</v>
      </c>
      <c r="Q14" s="36">
        <f>VLOOKUP($A14,[24]HISTOFEV24!$A$6:$AU$38,23,0)</f>
        <v>0</v>
      </c>
      <c r="R14" s="36">
        <f>VLOOKUP($A14,[24]HISTOFEV24!$A$6:$AU$38,46,0)</f>
        <v>0</v>
      </c>
      <c r="S14" s="36">
        <f>VLOOKUP($A14,[24]HISTOFEV24!$A$6:$AU$38,26,0)</f>
        <v>0</v>
      </c>
      <c r="T14" s="36">
        <f>VLOOKUP($A14,[24]HISTOFEV24!$A$6:$BG$38,58,0)</f>
        <v>0</v>
      </c>
      <c r="U14" s="36">
        <f>VLOOKUP($A14,[24]HISTOFEV24!$A$6:$AU$38,28,0)</f>
        <v>0</v>
      </c>
      <c r="V14" s="36">
        <f>VLOOKUP($A14,[24]HISTOFEV24!$A$6:$AU$38,19,0)</f>
        <v>0</v>
      </c>
      <c r="W14" s="36">
        <f>VLOOKUP($A14,[24]HISTOFEV24!$A$6:$AU$38,20,0)</f>
        <v>0</v>
      </c>
      <c r="X14" s="36">
        <f>VLOOKUP($A14,[24]HISTOFEV24!$A$6:$AU$38,27,0)</f>
        <v>0</v>
      </c>
      <c r="Y14" s="36">
        <f>VLOOKUP($A14,[24]HISTOFEV24!$A$6:$BM$38,33,0)</f>
        <v>0</v>
      </c>
      <c r="Z14" s="36">
        <f>VLOOKUP($A14,[24]HISTOFEV24!$A$6:$BM$38,65,0)</f>
        <v>0</v>
      </c>
      <c r="AA14" s="36"/>
      <c r="AB14" s="36">
        <f>VLOOKUP($A14,[24]HISTOFEV24!$A$6:$AU$38,43,0)</f>
        <v>0</v>
      </c>
      <c r="AC14" s="36">
        <f>VLOOKUP($A14,[24]HISTOFEV24!$A$6:$AU$38,44,0)</f>
        <v>0</v>
      </c>
      <c r="AD14" s="36">
        <f>VLOOKUP($A14,[24]HISTOFEV24!$A$6:$AU$38,47,0)</f>
        <v>0</v>
      </c>
      <c r="AE14" s="36">
        <f>VLOOKUP(A14,[24]HISTOFEV24!$A$6:$BB$38,54,0)</f>
        <v>0</v>
      </c>
      <c r="AF14" s="36">
        <f>VLOOKUP($A14,[24]HISTOFEV24!$A$6:$CB$38,60,0)</f>
        <v>0</v>
      </c>
      <c r="AG14" s="36">
        <f>VLOOKUP($A14,[24]HISTOFEV24!$A$6:$CB$38,61,0)</f>
        <v>0</v>
      </c>
      <c r="AH14" s="36">
        <f>VLOOKUP($A14,[24]HISTOFEV24!$A$6:$CB$38,62,0)</f>
        <v>0</v>
      </c>
      <c r="AI14" s="36">
        <f>VLOOKUP($A14,[24]HISTOFEV24!$A$6:$CB$38,63,0)</f>
        <v>0</v>
      </c>
      <c r="AJ14" s="36">
        <f>VLOOKUP($A14,[24]HISTOFEV24!$A$6:$CB$38,64,0)</f>
        <v>0</v>
      </c>
      <c r="AK14" s="36">
        <f>VLOOKUP($A14,[24]HISTOFEV24!$A$6:$CB$38,65,0)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VLOOKUP($A15,[24]HISTOFEV24!$A$6:$BA$38,48,0)</f>
        <v>0</v>
      </c>
      <c r="F15" s="36">
        <f>MVTJANV24!I15-E15+L15</f>
        <v>842499.34683141671</v>
      </c>
      <c r="G15" s="5">
        <f>IF(MVTJANV24!I15+L15&gt;700000,(MVTJANV24!I15-E15+L15),0)</f>
        <v>842499.34683141671</v>
      </c>
      <c r="H15" s="36">
        <f t="shared" si="0"/>
        <v>828.15196213041202</v>
      </c>
      <c r="I15" s="6">
        <f t="shared" si="2"/>
        <v>843327.49879354716</v>
      </c>
      <c r="J15" s="36">
        <f>VLOOKUP($A15,[24]HISTOFEV24!$A$6:$AQ$42,22,0)</f>
        <v>0</v>
      </c>
      <c r="K15" s="36">
        <f>VLOOKUP($A15,[24]HISTOFEV24!$A$6:$AU$38,45,0)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3"/>
        <v>1000</v>
      </c>
      <c r="O15" s="36">
        <f t="shared" si="6"/>
        <v>4000</v>
      </c>
      <c r="P15" s="36">
        <f>VLOOKUP($A15,[24]HISTOFEV24!$A$6:$AU$38,7,0)</f>
        <v>0</v>
      </c>
      <c r="Q15" s="36">
        <f>VLOOKUP($A15,[24]HISTOFEV24!$A$6:$AU$38,23,0)</f>
        <v>0</v>
      </c>
      <c r="R15" s="36">
        <f>VLOOKUP($A15,[24]HISTOFEV24!$A$6:$AU$38,46,0)</f>
        <v>0</v>
      </c>
      <c r="S15" s="36">
        <f>VLOOKUP($A15,[24]HISTOFEV24!$A$6:$AU$38,26,0)</f>
        <v>0</v>
      </c>
      <c r="T15" s="36">
        <f>VLOOKUP($A15,[24]HISTOFEV24!$A$6:$BG$38,58,0)</f>
        <v>0</v>
      </c>
      <c r="U15" s="36">
        <f>VLOOKUP($A15,[24]HISTOFEV24!$A$6:$AU$38,28,0)</f>
        <v>0</v>
      </c>
      <c r="V15" s="36">
        <f>VLOOKUP($A15,[24]HISTOFEV24!$A$6:$AU$38,19,0)</f>
        <v>0</v>
      </c>
      <c r="W15" s="36">
        <f>VLOOKUP($A15,[24]HISTOFEV24!$A$6:$AU$38,20,0)</f>
        <v>0</v>
      </c>
      <c r="X15" s="36">
        <f>VLOOKUP($A15,[24]HISTOFEV24!$A$6:$AU$38,27,0)</f>
        <v>0</v>
      </c>
      <c r="Y15" s="36">
        <f>VLOOKUP($A15,[24]HISTOFEV24!$A$6:$BM$38,33,0)</f>
        <v>0</v>
      </c>
      <c r="Z15" s="36">
        <f>VLOOKUP($A15,[24]HISTOFEV24!$A$6:$BM$38,65,0)</f>
        <v>0</v>
      </c>
      <c r="AA15" s="36"/>
      <c r="AB15" s="36">
        <f>VLOOKUP($A15,[24]HISTOFEV24!$A$6:$AU$38,43,0)</f>
        <v>0</v>
      </c>
      <c r="AC15" s="36">
        <f>VLOOKUP($A15,[24]HISTOFEV24!$A$6:$AU$38,44,0)</f>
        <v>0</v>
      </c>
      <c r="AD15" s="36">
        <f>VLOOKUP($A15,[24]HISTOFEV24!$A$6:$AU$38,47,0)</f>
        <v>0</v>
      </c>
      <c r="AE15" s="36">
        <f>VLOOKUP(A15,[24]HISTOFEV24!$A$6:$BB$38,54,0)</f>
        <v>0</v>
      </c>
      <c r="AF15" s="36">
        <f>VLOOKUP($A15,[24]HISTOFEV24!$A$6:$CB$38,60,0)</f>
        <v>0</v>
      </c>
      <c r="AG15" s="36">
        <f>VLOOKUP($A15,[24]HISTOFEV24!$A$6:$CB$38,61,0)</f>
        <v>0</v>
      </c>
      <c r="AH15" s="36">
        <f>VLOOKUP($A15,[24]HISTOFEV24!$A$6:$CB$38,62,0)</f>
        <v>0</v>
      </c>
      <c r="AI15" s="36">
        <f>VLOOKUP($A15,[24]HISTOFEV24!$A$6:$CB$38,63,0)</f>
        <v>0</v>
      </c>
      <c r="AJ15" s="36">
        <f>VLOOKUP($A15,[24]HISTOFEV24!$A$6:$CB$38,64,0)</f>
        <v>0</v>
      </c>
      <c r="AK15" s="36">
        <f>VLOOKUP($A15,[24]HISTOFEV24!$A$6:$CB$38,65,0)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VLOOKUP($A16,[24]HISTOFEV24!$A$6:$BA$38,48,0)</f>
        <v>0</v>
      </c>
      <c r="F16" s="36">
        <f>MVTJANV24!I16-E16+L16</f>
        <v>882791.41255057021</v>
      </c>
      <c r="G16" s="5">
        <f>IF(MVTJANV24!I16+L16&gt;700000,(MVTJANV24!I16-E16+L16),0)</f>
        <v>882791.41255057021</v>
      </c>
      <c r="H16" s="36">
        <f t="shared" si="0"/>
        <v>867.75787210422868</v>
      </c>
      <c r="I16" s="6">
        <f t="shared" si="2"/>
        <v>883659.17042267439</v>
      </c>
      <c r="J16" s="36">
        <f>VLOOKUP($A16,[24]HISTOFEV24!$A$6:$AQ$42,22,0)</f>
        <v>0</v>
      </c>
      <c r="K16" s="36">
        <f>VLOOKUP($A16,[24]HISTOFEV24!$A$6:$AU$38,45,0)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3"/>
        <v>1000</v>
      </c>
      <c r="O16" s="36">
        <f t="shared" si="6"/>
        <v>4000</v>
      </c>
      <c r="P16" s="36">
        <f>VLOOKUP($A16,[24]HISTOFEV24!$A$6:$AU$38,7,0)</f>
        <v>0</v>
      </c>
      <c r="Q16" s="36">
        <f>VLOOKUP($A16,[24]HISTOFEV24!$A$6:$AU$38,23,0)</f>
        <v>0</v>
      </c>
      <c r="R16" s="36">
        <f>VLOOKUP($A16,[24]HISTOFEV24!$A$6:$AU$38,46,0)</f>
        <v>0</v>
      </c>
      <c r="S16" s="36">
        <f>VLOOKUP($A16,[24]HISTOFEV24!$A$6:$AU$38,26,0)</f>
        <v>0</v>
      </c>
      <c r="T16" s="36">
        <f>VLOOKUP($A16,[24]HISTOFEV24!$A$6:$BG$38,58,0)</f>
        <v>0</v>
      </c>
      <c r="U16" s="36">
        <f>VLOOKUP($A16,[24]HISTOFEV24!$A$6:$AU$38,28,0)</f>
        <v>0</v>
      </c>
      <c r="V16" s="36">
        <f>VLOOKUP($A16,[24]HISTOFEV24!$A$6:$AU$38,19,0)</f>
        <v>0</v>
      </c>
      <c r="W16" s="36">
        <f>VLOOKUP($A16,[24]HISTOFEV24!$A$6:$AU$38,20,0)</f>
        <v>0</v>
      </c>
      <c r="X16" s="36">
        <f>VLOOKUP($A16,[24]HISTOFEV24!$A$6:$AU$38,27,0)</f>
        <v>0</v>
      </c>
      <c r="Y16" s="36">
        <f>VLOOKUP($A16,[24]HISTOFEV24!$A$6:$BM$38,33,0)</f>
        <v>0</v>
      </c>
      <c r="Z16" s="36">
        <f>VLOOKUP($A16,[24]HISTOFEV24!$A$6:$BM$38,65,0)</f>
        <v>0</v>
      </c>
      <c r="AA16" s="36"/>
      <c r="AB16" s="36">
        <f>VLOOKUP($A16,[24]HISTOFEV24!$A$6:$AU$38,43,0)</f>
        <v>0</v>
      </c>
      <c r="AC16" s="36">
        <f>VLOOKUP($A16,[24]HISTOFEV24!$A$6:$AU$38,44,0)</f>
        <v>0</v>
      </c>
      <c r="AD16" s="36">
        <f>VLOOKUP($A16,[24]HISTOFEV24!$A$6:$AU$38,47,0)</f>
        <v>0</v>
      </c>
      <c r="AE16" s="36">
        <f>VLOOKUP(A16,[24]HISTOFEV24!$A$6:$BB$38,54,0)</f>
        <v>0</v>
      </c>
      <c r="AF16" s="36">
        <f>VLOOKUP($A16,[24]HISTOFEV24!$A$6:$CB$38,60,0)</f>
        <v>0</v>
      </c>
      <c r="AG16" s="36">
        <f>VLOOKUP($A16,[24]HISTOFEV24!$A$6:$CB$38,61,0)</f>
        <v>0</v>
      </c>
      <c r="AH16" s="36">
        <f>VLOOKUP($A16,[24]HISTOFEV24!$A$6:$CB$38,62,0)</f>
        <v>0</v>
      </c>
      <c r="AI16" s="36">
        <f>VLOOKUP($A16,[24]HISTOFEV24!$A$6:$CB$38,63,0)</f>
        <v>0</v>
      </c>
      <c r="AJ16" s="36">
        <f>VLOOKUP($A16,[24]HISTOFEV24!$A$6:$CB$38,64,0)</f>
        <v>0</v>
      </c>
      <c r="AK16" s="36">
        <f>VLOOKUP($A16,[24]HISTOFEV24!$A$6:$CB$38,65,0)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VLOOKUP($A17,[24]HISTOFEV24!$A$6:$BA$38,48,0)</f>
        <v>0</v>
      </c>
      <c r="F17" s="36">
        <f>MVTJANV24!I17-E17+L17</f>
        <v>790886.19178808515</v>
      </c>
      <c r="G17" s="5">
        <f>IF(MVTJANV24!I17+L17&gt;700000,(MVTJANV24!I17-E17+L17),0)</f>
        <v>790886.19178808515</v>
      </c>
      <c r="H17" s="36">
        <f t="shared" si="0"/>
        <v>777.41775588843473</v>
      </c>
      <c r="I17" s="6">
        <f t="shared" si="2"/>
        <v>791663.60954397358</v>
      </c>
      <c r="J17" s="36">
        <f>VLOOKUP($A17,[24]HISTOFEV24!$A$6:$AQ$42,22,0)</f>
        <v>0</v>
      </c>
      <c r="K17" s="36">
        <f>VLOOKUP($A17,[24]HISTOFEV24!$A$6:$AU$38,45,0)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3"/>
        <v>1000</v>
      </c>
      <c r="O17" s="36">
        <f t="shared" si="6"/>
        <v>4000</v>
      </c>
      <c r="P17" s="36">
        <f>VLOOKUP($A17,[24]HISTOFEV24!$A$6:$AU$38,7,0)</f>
        <v>0</v>
      </c>
      <c r="Q17" s="36">
        <f>VLOOKUP($A17,[24]HISTOFEV24!$A$6:$AU$38,23,0)</f>
        <v>0</v>
      </c>
      <c r="R17" s="36">
        <f>VLOOKUP($A17,[24]HISTOFEV24!$A$6:$AU$38,46,0)</f>
        <v>0</v>
      </c>
      <c r="S17" s="36">
        <f>VLOOKUP($A17,[24]HISTOFEV24!$A$6:$AU$38,26,0)</f>
        <v>0</v>
      </c>
      <c r="T17" s="36">
        <f>VLOOKUP($A17,[24]HISTOFEV24!$A$6:$BG$38,58,0)</f>
        <v>0</v>
      </c>
      <c r="U17" s="36">
        <f>VLOOKUP($A17,[24]HISTOFEV24!$A$6:$AU$38,28,0)</f>
        <v>0</v>
      </c>
      <c r="V17" s="36">
        <f>VLOOKUP($A17,[24]HISTOFEV24!$A$6:$AU$38,19,0)</f>
        <v>0</v>
      </c>
      <c r="W17" s="36">
        <f>VLOOKUP($A17,[24]HISTOFEV24!$A$6:$AU$38,20,0)</f>
        <v>0</v>
      </c>
      <c r="X17" s="36">
        <f>VLOOKUP($A17,[24]HISTOFEV24!$A$6:$AU$38,27,0)</f>
        <v>0</v>
      </c>
      <c r="Y17" s="36">
        <f>VLOOKUP($A17,[24]HISTOFEV24!$A$6:$BM$38,33,0)</f>
        <v>0</v>
      </c>
      <c r="Z17" s="36">
        <f>VLOOKUP($A17,[24]HISTOFEV24!$A$6:$BM$38,65,0)</f>
        <v>0</v>
      </c>
      <c r="AA17" s="36"/>
      <c r="AB17" s="36">
        <f>VLOOKUP($A17,[24]HISTOFEV24!$A$6:$AU$38,43,0)</f>
        <v>0</v>
      </c>
      <c r="AC17" s="36">
        <f>VLOOKUP($A17,[24]HISTOFEV24!$A$6:$AU$38,44,0)</f>
        <v>0</v>
      </c>
      <c r="AD17" s="36">
        <f>VLOOKUP($A17,[24]HISTOFEV24!$A$6:$AU$38,47,0)</f>
        <v>0</v>
      </c>
      <c r="AE17" s="36">
        <f>VLOOKUP(A17,[24]HISTOFEV24!$A$6:$BB$38,54,0)</f>
        <v>0</v>
      </c>
      <c r="AF17" s="36">
        <f>VLOOKUP($A17,[24]HISTOFEV24!$A$6:$CB$38,60,0)</f>
        <v>0</v>
      </c>
      <c r="AG17" s="36">
        <f>VLOOKUP($A17,[24]HISTOFEV24!$A$6:$CB$38,61,0)</f>
        <v>0</v>
      </c>
      <c r="AH17" s="36">
        <f>VLOOKUP($A17,[24]HISTOFEV24!$A$6:$CB$38,62,0)</f>
        <v>0</v>
      </c>
      <c r="AI17" s="36">
        <f>VLOOKUP($A17,[24]HISTOFEV24!$A$6:$CB$38,63,0)</f>
        <v>0</v>
      </c>
      <c r="AJ17" s="36">
        <f>VLOOKUP($A17,[24]HISTOFEV24!$A$6:$CB$38,64,0)</f>
        <v>0</v>
      </c>
      <c r="AK17" s="36">
        <f>VLOOKUP($A17,[24]HISTOFEV24!$A$6:$CB$38,65,0)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VLOOKUP($A18,[24]HISTOFEV24!$A$6:$BA$38,48,0)</f>
        <v>0</v>
      </c>
      <c r="F18" s="36">
        <f>MVTJANV24!I18-E18+L18</f>
        <v>816976.66318635363</v>
      </c>
      <c r="G18" s="5">
        <f>IF(MVTJANV24!I18+L18&gt;700000,(MVTJANV24!I18-E18+L18),0)</f>
        <v>816976.66318635363</v>
      </c>
      <c r="H18" s="36">
        <f t="shared" si="0"/>
        <v>803.06391830107691</v>
      </c>
      <c r="I18" s="6">
        <f t="shared" si="2"/>
        <v>817779.72710465465</v>
      </c>
      <c r="J18" s="36">
        <f>VLOOKUP($A18,[24]HISTOFEV24!$A$6:$AQ$42,22,0)</f>
        <v>0</v>
      </c>
      <c r="K18" s="36">
        <f>VLOOKUP($A18,[24]HISTOFEV24!$A$6:$AU$38,45,0)</f>
        <v>35000</v>
      </c>
      <c r="L18" s="36">
        <f t="shared" si="4"/>
        <v>29000</v>
      </c>
      <c r="M18" s="36">
        <f t="shared" si="5"/>
        <v>1000</v>
      </c>
      <c r="N18" s="36">
        <f t="shared" si="3"/>
        <v>1000</v>
      </c>
      <c r="O18" s="36">
        <f t="shared" si="6"/>
        <v>4000</v>
      </c>
      <c r="P18" s="36">
        <f>VLOOKUP($A18,[24]HISTOFEV24!$A$6:$AU$38,7,0)</f>
        <v>0</v>
      </c>
      <c r="Q18" s="36">
        <f>VLOOKUP($A18,[24]HISTOFEV24!$A$6:$AU$38,23,0)</f>
        <v>0</v>
      </c>
      <c r="R18" s="36">
        <f>VLOOKUP($A18,[24]HISTOFEV24!$A$6:$AU$38,46,0)</f>
        <v>0</v>
      </c>
      <c r="S18" s="36">
        <f>VLOOKUP($A18,[24]HISTOFEV24!$A$6:$AU$38,26,0)</f>
        <v>0</v>
      </c>
      <c r="T18" s="36">
        <f>VLOOKUP($A18,[24]HISTOFEV24!$A$6:$BG$38,58,0)</f>
        <v>0</v>
      </c>
      <c r="U18" s="36">
        <f>VLOOKUP($A18,[24]HISTOFEV24!$A$6:$AU$38,28,0)</f>
        <v>0</v>
      </c>
      <c r="V18" s="36">
        <f>VLOOKUP($A18,[24]HISTOFEV24!$A$6:$AU$38,19,0)</f>
        <v>0</v>
      </c>
      <c r="W18" s="36">
        <f>VLOOKUP($A18,[24]HISTOFEV24!$A$6:$AU$38,20,0)</f>
        <v>0</v>
      </c>
      <c r="X18" s="36">
        <f>VLOOKUP($A18,[24]HISTOFEV24!$A$6:$AU$38,27,0)</f>
        <v>0</v>
      </c>
      <c r="Y18" s="36">
        <f>VLOOKUP($A18,[24]HISTOFEV24!$A$6:$BM$38,33,0)</f>
        <v>0</v>
      </c>
      <c r="Z18" s="36">
        <f>VLOOKUP($A18,[24]HISTOFEV24!$A$6:$BM$38,65,0)</f>
        <v>0</v>
      </c>
      <c r="AA18" s="36"/>
      <c r="AB18" s="36">
        <f>VLOOKUP($A18,[24]HISTOFEV24!$A$6:$AU$38,43,0)</f>
        <v>0</v>
      </c>
      <c r="AC18" s="36">
        <f>VLOOKUP($A18,[24]HISTOFEV24!$A$6:$AU$38,44,0)</f>
        <v>0</v>
      </c>
      <c r="AD18" s="36">
        <f>VLOOKUP($A18,[24]HISTOFEV24!$A$6:$AU$38,47,0)</f>
        <v>0</v>
      </c>
      <c r="AE18" s="36">
        <f>VLOOKUP(A18,[24]HISTOFEV24!$A$6:$BB$38,54,0)</f>
        <v>0</v>
      </c>
      <c r="AF18" s="36">
        <f>VLOOKUP($A18,[24]HISTOFEV24!$A$6:$CB$38,60,0)</f>
        <v>0</v>
      </c>
      <c r="AG18" s="36">
        <f>VLOOKUP($A18,[24]HISTOFEV24!$A$6:$CB$38,61,0)</f>
        <v>0</v>
      </c>
      <c r="AH18" s="36">
        <f>VLOOKUP($A18,[24]HISTOFEV24!$A$6:$CB$38,62,0)</f>
        <v>0</v>
      </c>
      <c r="AI18" s="36">
        <f>VLOOKUP($A18,[24]HISTOFEV24!$A$6:$CB$38,63,0)</f>
        <v>0</v>
      </c>
      <c r="AJ18" s="36">
        <f>VLOOKUP($A18,[24]HISTOFEV24!$A$6:$CB$38,64,0)</f>
        <v>0</v>
      </c>
      <c r="AK18" s="36">
        <f>VLOOKUP($A18,[24]HISTOFEV24!$A$6:$CB$38,65,0)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MVTJANV24!I19-E19+L19</f>
        <v>676217</v>
      </c>
      <c r="G19" s="5">
        <f>IF(MVTJANV24!I19+L19&gt;700000,(MVTJANV24!I19-E19+L19),0)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MVTJANV24!I20-E20+L20</f>
        <v>38000</v>
      </c>
      <c r="G20" s="5">
        <f>IF(MVTJANV24!I20+L20&gt;700000,(MVTJANV24!I20-E20+L20),0)</f>
        <v>0</v>
      </c>
      <c r="H20" s="36">
        <f t="shared" si="0"/>
        <v>0</v>
      </c>
      <c r="I20" s="6">
        <f t="shared" si="2"/>
        <v>38000</v>
      </c>
      <c r="J20" s="36">
        <f>VLOOKUP($A20,[24]HISTOFEV24!$A$6:$AQ$42,22,0)</f>
        <v>0</v>
      </c>
      <c r="K20" s="36">
        <f>VLOOKUP($A20,[24]HISTOFEV24!$A$6:$AU$38,45,0)</f>
        <v>25000</v>
      </c>
      <c r="L20" s="36">
        <f t="shared" ref="L20" si="7">IF(K20=0,0,K20-(M20+N20+O20))</f>
        <v>19000</v>
      </c>
      <c r="M20" s="36">
        <f t="shared" ref="M20" si="8">IF(K20=0,0,1000)</f>
        <v>1000</v>
      </c>
      <c r="N20" s="36">
        <f t="shared" ref="N20" si="9">IF(K20=0,0,1000)</f>
        <v>1000</v>
      </c>
      <c r="O20" s="36">
        <f t="shared" ref="O20" si="10">IF(K20=0,0,4000)</f>
        <v>4000</v>
      </c>
      <c r="P20" s="36">
        <f>VLOOKUP($A20,[24]HISTOFEV24!$A$6:$AU$38,7,0)</f>
        <v>0</v>
      </c>
      <c r="Q20" s="36">
        <f>VLOOKUP($A20,[24]HISTOFEV24!$A$6:$AU$38,23,0)</f>
        <v>0</v>
      </c>
      <c r="R20" s="36">
        <f>VLOOKUP($A20,[24]HISTOFEV24!$A$6:$AU$38,46,0)</f>
        <v>0</v>
      </c>
      <c r="S20" s="36">
        <f>VLOOKUP($A20,[24]HISTOFEV24!$A$6:$AU$38,26,0)</f>
        <v>0</v>
      </c>
      <c r="T20" s="36">
        <f>VLOOKUP($A20,[24]HISTOFEV24!$A$6:$BG$38,58,0)</f>
        <v>0</v>
      </c>
      <c r="U20" s="36">
        <f>VLOOKUP($A20,[24]HISTOFEV24!$A$6:$AU$38,28,0)</f>
        <v>0</v>
      </c>
      <c r="V20" s="36">
        <f>VLOOKUP($A20,[24]HISTOFEV24!$A$6:$AU$38,19,0)</f>
        <v>0</v>
      </c>
      <c r="W20" s="36">
        <f>VLOOKUP($A20,[24]HISTOFEV24!$A$6:$AU$38,20,0)</f>
        <v>0</v>
      </c>
      <c r="X20" s="36">
        <f>VLOOKUP($A20,[24]HISTOFEV24!$A$6:$AU$38,27,0)</f>
        <v>0</v>
      </c>
      <c r="Y20" s="36">
        <f>VLOOKUP($A20,[24]HISTOFEV24!$A$6:$BM$38,33,0)</f>
        <v>0</v>
      </c>
      <c r="Z20" s="36">
        <f>VLOOKUP($A20,[24]HISTOFEV24!$A$6:$BM$38,65,0)</f>
        <v>0</v>
      </c>
      <c r="AA20" s="36"/>
      <c r="AB20" s="36">
        <f>VLOOKUP($A20,[24]HISTOFEV24!$A$6:$AU$38,43,0)</f>
        <v>0</v>
      </c>
      <c r="AC20" s="36">
        <f>VLOOKUP($A20,[24]HISTOFEV24!$A$6:$AU$38,44,0)</f>
        <v>0</v>
      </c>
      <c r="AD20" s="36">
        <f>VLOOKUP($A20,[24]HISTOFEV24!$A$6:$AU$38,47,0)</f>
        <v>0</v>
      </c>
      <c r="AE20" s="36">
        <f>VLOOKUP(A20,[24]HISTOFEV24!$A$6:$BB$38,54,0)</f>
        <v>0</v>
      </c>
      <c r="AF20" s="36">
        <f>VLOOKUP($A20,[24]HISTOFEV24!$A$6:$CB$38,60,0)</f>
        <v>0</v>
      </c>
      <c r="AG20" s="36">
        <f>VLOOKUP($A20,[24]HISTOFEV24!$A$6:$CB$38,61,0)</f>
        <v>0</v>
      </c>
      <c r="AH20" s="36">
        <f>VLOOKUP($A20,[24]HISTOFEV24!$A$6:$CB$38,62,0)</f>
        <v>0</v>
      </c>
      <c r="AI20" s="36">
        <f>VLOOKUP($A20,[24]HISTOFEV24!$A$6:$CB$38,63,0)</f>
        <v>0</v>
      </c>
      <c r="AJ20" s="36">
        <f>VLOOKUP($A20,[24]HISTOFEV24!$A$6:$CB$38,64,0)</f>
        <v>0</v>
      </c>
      <c r="AK20" s="36">
        <f>VLOOKUP($A20,[24]HISTOFEV24!$A$6:$CB$38,65,0)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MVTJANV24!I21-E21+L21</f>
        <v>814703.7298990218</v>
      </c>
      <c r="G21" s="5">
        <f>IF(MVTJANV24!I21+L21&gt;700000,(MVTJANV24!I21-E21+L21),0)</f>
        <v>814703.7298990218</v>
      </c>
      <c r="H21" s="36">
        <f t="shared" si="0"/>
        <v>800.82969204467122</v>
      </c>
      <c r="I21" s="6">
        <f t="shared" si="2"/>
        <v>815504.55959106644</v>
      </c>
      <c r="J21" s="36">
        <f>VLOOKUP($A21,[24]HISTOFEV24!$A$6:$AQ$42,22,0)</f>
        <v>0</v>
      </c>
      <c r="K21" s="36">
        <f>VLOOKUP($A21,[24]HISTOFEV24!$A$6:$AU$38,45,0)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3"/>
        <v>1000</v>
      </c>
      <c r="O21" s="36">
        <f t="shared" si="6"/>
        <v>4000</v>
      </c>
      <c r="P21" s="36">
        <f>VLOOKUP($A21,[24]HISTOFEV24!$A$6:$AU$38,7,0)</f>
        <v>0</v>
      </c>
      <c r="Q21" s="36">
        <f>VLOOKUP($A21,[24]HISTOFEV24!$A$6:$AU$38,23,0)</f>
        <v>0</v>
      </c>
      <c r="R21" s="36">
        <f>VLOOKUP($A21,[24]HISTOFEV24!$A$6:$AU$38,46,0)</f>
        <v>0</v>
      </c>
      <c r="S21" s="36">
        <f>VLOOKUP($A21,[24]HISTOFEV24!$A$6:$AU$38,26,0)</f>
        <v>0</v>
      </c>
      <c r="T21" s="36">
        <f>VLOOKUP($A21,[24]HISTOFEV24!$A$6:$BG$38,58,0)</f>
        <v>0</v>
      </c>
      <c r="U21" s="36">
        <f>VLOOKUP($A21,[24]HISTOFEV24!$A$6:$AU$38,28,0)</f>
        <v>0</v>
      </c>
      <c r="V21" s="36">
        <f>VLOOKUP($A21,[24]HISTOFEV24!$A$6:$AU$38,19,0)</f>
        <v>0</v>
      </c>
      <c r="W21" s="36">
        <f>VLOOKUP($A21,[24]HISTOFEV24!$A$6:$AU$38,20,0)</f>
        <v>0</v>
      </c>
      <c r="X21" s="36">
        <f>VLOOKUP($A21,[24]HISTOFEV24!$A$6:$AU$38,27,0)</f>
        <v>0</v>
      </c>
      <c r="Y21" s="36">
        <f>VLOOKUP($A21,[24]HISTOFEV24!$A$6:$BM$38,33,0)</f>
        <v>0</v>
      </c>
      <c r="Z21" s="36">
        <f>VLOOKUP($A21,[24]HISTOFEV24!$A$6:$BM$38,65,0)</f>
        <v>0</v>
      </c>
      <c r="AA21" s="36"/>
      <c r="AB21" s="36">
        <f>VLOOKUP($A21,[24]HISTOFEV24!$A$6:$AU$38,43,0)</f>
        <v>0</v>
      </c>
      <c r="AC21" s="36">
        <f>VLOOKUP($A21,[24]HISTOFEV24!$A$6:$AU$38,44,0)</f>
        <v>0</v>
      </c>
      <c r="AD21" s="36">
        <f>VLOOKUP($A21,[24]HISTOFEV24!$A$6:$AU$38,47,0)</f>
        <v>0</v>
      </c>
      <c r="AE21" s="36">
        <f>VLOOKUP(A21,[24]HISTOFEV24!$A$6:$BB$38,54,0)</f>
        <v>0</v>
      </c>
      <c r="AF21" s="36">
        <f>VLOOKUP($A21,[24]HISTOFEV24!$A$6:$CB$38,60,0)</f>
        <v>0</v>
      </c>
      <c r="AG21" s="36">
        <f>VLOOKUP($A21,[24]HISTOFEV24!$A$6:$CB$38,61,0)</f>
        <v>0</v>
      </c>
      <c r="AH21" s="36">
        <f>VLOOKUP($A21,[24]HISTOFEV24!$A$6:$CB$38,62,0)</f>
        <v>0</v>
      </c>
      <c r="AI21" s="36">
        <f>VLOOKUP($A21,[24]HISTOFEV24!$A$6:$CB$38,63,0)</f>
        <v>0</v>
      </c>
      <c r="AJ21" s="36">
        <f>VLOOKUP($A21,[24]HISTOFEV24!$A$6:$CB$38,64,0)</f>
        <v>0</v>
      </c>
      <c r="AK21" s="36">
        <f>VLOOKUP($A21,[24]HISTOFEV24!$A$6:$CB$38,65,0)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MVTJANV24!I22-E22+L22</f>
        <v>782271.48302340053</v>
      </c>
      <c r="G22" s="5">
        <f>IF(MVTJANV24!I22+L22&gt;700000,(MVTJANV24!I22-E22+L22),0)</f>
        <v>782271.48302340053</v>
      </c>
      <c r="H22" s="36">
        <f t="shared" si="0"/>
        <v>768.94975173687408</v>
      </c>
      <c r="I22" s="6">
        <f t="shared" si="2"/>
        <v>783040.43277513736</v>
      </c>
      <c r="J22" s="36">
        <f>VLOOKUP($A22,[24]HISTOFEV24!$A$6:$AQ$42,22,0)</f>
        <v>0</v>
      </c>
      <c r="K22" s="36">
        <f>VLOOKUP($A22,[24]HISTOFEV24!$A$6:$AU$38,45,0)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3"/>
        <v>1000</v>
      </c>
      <c r="O22" s="36">
        <f t="shared" si="6"/>
        <v>4000</v>
      </c>
      <c r="P22" s="36">
        <f>VLOOKUP($A22,[24]HISTOFEV24!$A$6:$AU$38,7,0)</f>
        <v>0</v>
      </c>
      <c r="Q22" s="36">
        <f>VLOOKUP($A22,[24]HISTOFEV24!$A$6:$AU$38,23,0)</f>
        <v>0</v>
      </c>
      <c r="R22" s="36">
        <f>VLOOKUP($A22,[24]HISTOFEV24!$A$6:$AU$38,46,0)</f>
        <v>0</v>
      </c>
      <c r="S22" s="36">
        <f>VLOOKUP($A22,[24]HISTOFEV24!$A$6:$AU$38,26,0)</f>
        <v>0</v>
      </c>
      <c r="T22" s="36">
        <f>VLOOKUP($A22,[24]HISTOFEV24!$A$6:$BG$38,58,0)</f>
        <v>0</v>
      </c>
      <c r="U22" s="36">
        <f>VLOOKUP($A22,[24]HISTOFEV24!$A$6:$AU$38,28,0)</f>
        <v>0</v>
      </c>
      <c r="V22" s="36">
        <f>VLOOKUP($A22,[24]HISTOFEV24!$A$6:$AU$38,19,0)</f>
        <v>0</v>
      </c>
      <c r="W22" s="36">
        <f>VLOOKUP($A22,[24]HISTOFEV24!$A$6:$AU$38,20,0)</f>
        <v>0</v>
      </c>
      <c r="X22" s="36">
        <f>VLOOKUP($A22,[24]HISTOFEV24!$A$6:$AU$38,27,0)</f>
        <v>0</v>
      </c>
      <c r="Y22" s="36">
        <f>VLOOKUP($A22,[24]HISTOFEV24!$A$6:$BM$38,33,0)</f>
        <v>0</v>
      </c>
      <c r="Z22" s="36">
        <f>VLOOKUP($A22,[24]HISTOFEV24!$A$6:$BM$38,65,0)</f>
        <v>0</v>
      </c>
      <c r="AA22" s="36"/>
      <c r="AB22" s="36">
        <f>VLOOKUP($A22,[24]HISTOFEV24!$A$6:$AU$38,43,0)</f>
        <v>0</v>
      </c>
      <c r="AC22" s="36">
        <f>VLOOKUP($A22,[24]HISTOFEV24!$A$6:$AU$38,44,0)</f>
        <v>0</v>
      </c>
      <c r="AD22" s="36">
        <f>VLOOKUP($A22,[24]HISTOFEV24!$A$6:$AU$38,47,0)</f>
        <v>0</v>
      </c>
      <c r="AE22" s="36">
        <f>VLOOKUP(A22,[24]HISTOFEV24!$A$6:$BB$38,54,0)</f>
        <v>0</v>
      </c>
      <c r="AF22" s="36">
        <f>VLOOKUP($A22,[24]HISTOFEV24!$A$6:$CB$38,60,0)</f>
        <v>0</v>
      </c>
      <c r="AG22" s="36">
        <f>VLOOKUP($A22,[24]HISTOFEV24!$A$6:$CB$38,61,0)</f>
        <v>0</v>
      </c>
      <c r="AH22" s="36">
        <f>VLOOKUP($A22,[24]HISTOFEV24!$A$6:$CB$38,62,0)</f>
        <v>0</v>
      </c>
      <c r="AI22" s="36">
        <f>VLOOKUP($A22,[24]HISTOFEV24!$A$6:$CB$38,63,0)</f>
        <v>0</v>
      </c>
      <c r="AJ22" s="36">
        <f>VLOOKUP($A22,[24]HISTOFEV24!$A$6:$CB$38,64,0)</f>
        <v>0</v>
      </c>
      <c r="AK22" s="36">
        <f>VLOOKUP($A22,[24]HISTOFEV24!$A$6:$CB$38,65,0)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MVTJANV24!I23-E23+L23</f>
        <v>887607.30952177115</v>
      </c>
      <c r="G23" s="5">
        <f>IF(MVTJANV24!I23+L23&gt;700000,(MVTJANV24!I23-E23+L23),0)</f>
        <v>887607.30952177115</v>
      </c>
      <c r="H23" s="36">
        <f t="shared" si="0"/>
        <v>872.49175651745429</v>
      </c>
      <c r="I23" s="6">
        <f t="shared" si="2"/>
        <v>888479.80127828859</v>
      </c>
      <c r="J23" s="36">
        <f>VLOOKUP($A23,[24]HISTOFEV24!$A$6:$AQ$42,22,0)</f>
        <v>0</v>
      </c>
      <c r="K23" s="36">
        <f>VLOOKUP($A23,[24]HISTOFEV24!$A$6:$AU$38,45,0)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3"/>
        <v>1000</v>
      </c>
      <c r="O23" s="36">
        <f t="shared" si="6"/>
        <v>4000</v>
      </c>
      <c r="P23" s="36">
        <f>VLOOKUP($A23,[24]HISTOFEV24!$A$6:$AU$38,7,0)</f>
        <v>0</v>
      </c>
      <c r="Q23" s="36">
        <f>VLOOKUP($A23,[24]HISTOFEV24!$A$6:$AU$38,23,0)</f>
        <v>0</v>
      </c>
      <c r="R23" s="36">
        <f>VLOOKUP($A23,[24]HISTOFEV24!$A$6:$AU$38,46,0)</f>
        <v>0</v>
      </c>
      <c r="S23" s="36">
        <f>VLOOKUP($A23,[24]HISTOFEV24!$A$6:$AU$38,26,0)</f>
        <v>0</v>
      </c>
      <c r="T23" s="36">
        <f>VLOOKUP($A23,[24]HISTOFEV24!$A$6:$BG$38,58,0)</f>
        <v>0</v>
      </c>
      <c r="U23" s="36">
        <f>VLOOKUP($A23,[24]HISTOFEV24!$A$6:$AU$38,28,0)</f>
        <v>0</v>
      </c>
      <c r="V23" s="36">
        <f>VLOOKUP($A23,[24]HISTOFEV24!$A$6:$AU$38,19,0)</f>
        <v>0</v>
      </c>
      <c r="W23" s="36">
        <f>VLOOKUP($A23,[24]HISTOFEV24!$A$6:$AU$38,20,0)</f>
        <v>0</v>
      </c>
      <c r="X23" s="36">
        <f>VLOOKUP($A23,[24]HISTOFEV24!$A$6:$AU$38,27,0)</f>
        <v>0</v>
      </c>
      <c r="Y23" s="36">
        <f>VLOOKUP($A23,[24]HISTOFEV24!$A$6:$BM$38,33,0)</f>
        <v>0</v>
      </c>
      <c r="Z23" s="36">
        <f>VLOOKUP($A23,[24]HISTOFEV24!$A$6:$BM$38,65,0)</f>
        <v>0</v>
      </c>
      <c r="AA23" s="36"/>
      <c r="AB23" s="36">
        <f>VLOOKUP($A23,[24]HISTOFEV24!$A$6:$AU$38,43,0)</f>
        <v>0</v>
      </c>
      <c r="AC23" s="36">
        <f>VLOOKUP($A23,[24]HISTOFEV24!$A$6:$AU$38,44,0)</f>
        <v>0</v>
      </c>
      <c r="AD23" s="36">
        <f>VLOOKUP($A23,[24]HISTOFEV24!$A$6:$AU$38,47,0)</f>
        <v>0</v>
      </c>
      <c r="AE23" s="36">
        <f>VLOOKUP(A23,[24]HISTOFEV24!$A$6:$BB$38,54,0)</f>
        <v>0</v>
      </c>
      <c r="AF23" s="36">
        <f>VLOOKUP($A23,[24]HISTOFEV24!$A$6:$CB$38,60,0)</f>
        <v>0</v>
      </c>
      <c r="AG23" s="36">
        <f>VLOOKUP($A23,[24]HISTOFEV24!$A$6:$CB$38,61,0)</f>
        <v>0</v>
      </c>
      <c r="AH23" s="36">
        <f>VLOOKUP($A23,[24]HISTOFEV24!$A$6:$CB$38,62,0)</f>
        <v>0</v>
      </c>
      <c r="AI23" s="36">
        <f>VLOOKUP($A23,[24]HISTOFEV24!$A$6:$CB$38,63,0)</f>
        <v>0</v>
      </c>
      <c r="AJ23" s="36">
        <f>VLOOKUP($A23,[24]HISTOFEV24!$A$6:$CB$38,64,0)</f>
        <v>0</v>
      </c>
      <c r="AK23" s="36">
        <f>VLOOKUP($A23,[24]HISTOFEV24!$A$6:$CB$38,65,0)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MVTJANV24!I24-E24+L24</f>
        <v>1039886.1939129777</v>
      </c>
      <c r="G24" s="5">
        <f>IF(MVTJANV24!I24+L24&gt;700000,(MVTJANV24!I24-E24+L24),0)</f>
        <v>1039886.1939129777</v>
      </c>
      <c r="H24" s="36">
        <f t="shared" si="0"/>
        <v>1022.1774000421635</v>
      </c>
      <c r="I24" s="6">
        <f t="shared" si="2"/>
        <v>1040908.3713130199</v>
      </c>
      <c r="J24" s="36">
        <f>VLOOKUP($A24,[24]HISTOFEV24!$A$6:$AQ$42,22,0)</f>
        <v>0</v>
      </c>
      <c r="K24" s="36">
        <f>VLOOKUP($A24,[24]HISTOFEV24!$A$6:$AU$38,45,0)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3"/>
        <v>1000</v>
      </c>
      <c r="O24" s="36">
        <f t="shared" si="6"/>
        <v>4000</v>
      </c>
      <c r="P24" s="36">
        <f>VLOOKUP($A24,[24]HISTOFEV24!$A$6:$AU$38,7,0)</f>
        <v>0</v>
      </c>
      <c r="Q24" s="36">
        <f>VLOOKUP($A24,[24]HISTOFEV24!$A$6:$AU$38,23,0)</f>
        <v>0</v>
      </c>
      <c r="R24" s="36">
        <f>VLOOKUP($A24,[24]HISTOFEV24!$A$6:$AU$38,46,0)</f>
        <v>0</v>
      </c>
      <c r="S24" s="36">
        <f>VLOOKUP($A24,[24]HISTOFEV24!$A$6:$AU$38,26,0)</f>
        <v>0</v>
      </c>
      <c r="T24" s="36">
        <f>VLOOKUP($A24,[24]HISTOFEV24!$A$6:$BG$38,58,0)</f>
        <v>0</v>
      </c>
      <c r="U24" s="36">
        <f>VLOOKUP($A24,[24]HISTOFEV24!$A$6:$AU$38,28,0)</f>
        <v>0</v>
      </c>
      <c r="V24" s="36">
        <f>VLOOKUP($A24,[24]HISTOFEV24!$A$6:$AU$38,19,0)</f>
        <v>0</v>
      </c>
      <c r="W24" s="36">
        <f>VLOOKUP($A24,[24]HISTOFEV24!$A$6:$AU$38,20,0)</f>
        <v>0</v>
      </c>
      <c r="X24" s="36">
        <f>VLOOKUP($A24,[24]HISTOFEV24!$A$6:$AU$38,27,0)</f>
        <v>0</v>
      </c>
      <c r="Y24" s="36">
        <f>VLOOKUP($A24,[24]HISTOFEV24!$A$6:$BM$38,33,0)</f>
        <v>0</v>
      </c>
      <c r="Z24" s="36">
        <f>VLOOKUP($A24,[24]HISTOFEV24!$A$6:$BM$38,65,0)</f>
        <v>0</v>
      </c>
      <c r="AA24" s="36"/>
      <c r="AB24" s="36">
        <f>VLOOKUP($A24,[24]HISTOFEV24!$A$6:$AU$38,43,0)</f>
        <v>0</v>
      </c>
      <c r="AC24" s="36">
        <f>VLOOKUP($A24,[24]HISTOFEV24!$A$6:$AU$38,44,0)</f>
        <v>0</v>
      </c>
      <c r="AD24" s="36">
        <f>VLOOKUP($A24,[24]HISTOFEV24!$A$6:$AU$38,47,0)</f>
        <v>0</v>
      </c>
      <c r="AE24" s="36">
        <f>VLOOKUP(A24,[24]HISTOFEV24!$A$6:$BB$38,54,0)</f>
        <v>0</v>
      </c>
      <c r="AF24" s="36">
        <f>VLOOKUP($A24,[24]HISTOFEV24!$A$6:$CB$38,60,0)</f>
        <v>0</v>
      </c>
      <c r="AG24" s="36">
        <f>VLOOKUP($A24,[24]HISTOFEV24!$A$6:$CB$38,61,0)</f>
        <v>0</v>
      </c>
      <c r="AH24" s="36">
        <f>VLOOKUP($A24,[24]HISTOFEV24!$A$6:$CB$38,62,0)</f>
        <v>0</v>
      </c>
      <c r="AI24" s="36">
        <f>VLOOKUP($A24,[24]HISTOFEV24!$A$6:$CB$38,63,0)</f>
        <v>0</v>
      </c>
      <c r="AJ24" s="36">
        <f>VLOOKUP($A24,[24]HISTOFEV24!$A$6:$CB$38,64,0)</f>
        <v>0</v>
      </c>
      <c r="AK24" s="36">
        <f>VLOOKUP($A24,[24]HISTOFEV24!$A$6:$CB$38,65,0)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MVTJANV24!I25-E25+L25</f>
        <v>857216.11689425842</v>
      </c>
      <c r="G25" s="5">
        <f>IF(MVTJANV24!I25+L25&gt;700000,(MVTJANV24!I25-E25+L25),0)</f>
        <v>857216.11689425842</v>
      </c>
      <c r="H25" s="36">
        <f t="shared" si="0"/>
        <v>842.61811222251788</v>
      </c>
      <c r="I25" s="6">
        <f t="shared" si="2"/>
        <v>858058.73500648094</v>
      </c>
      <c r="J25" s="36">
        <f>VLOOKUP($A25,[24]HISTOFEV24!$A$6:$AQ$42,22,0)</f>
        <v>0</v>
      </c>
      <c r="K25" s="36">
        <f>VLOOKUP($A25,[24]HISTOFEV24!$A$6:$AU$38,45,0)</f>
        <v>40000</v>
      </c>
      <c r="L25" s="36">
        <f t="shared" si="4"/>
        <v>34000</v>
      </c>
      <c r="M25" s="36">
        <f t="shared" si="5"/>
        <v>1000</v>
      </c>
      <c r="N25" s="36">
        <f t="shared" si="3"/>
        <v>1000</v>
      </c>
      <c r="O25" s="36">
        <f t="shared" si="6"/>
        <v>4000</v>
      </c>
      <c r="P25" s="36">
        <f>VLOOKUP($A25,[24]HISTOFEV24!$A$6:$AU$38,7,0)</f>
        <v>0</v>
      </c>
      <c r="Q25" s="36">
        <f>VLOOKUP($A25,[24]HISTOFEV24!$A$6:$AU$38,23,0)</f>
        <v>0</v>
      </c>
      <c r="R25" s="36">
        <f>VLOOKUP($A25,[24]HISTOFEV24!$A$6:$AU$38,46,0)</f>
        <v>0</v>
      </c>
      <c r="S25" s="36">
        <f>VLOOKUP($A25,[24]HISTOFEV24!$A$6:$AU$38,26,0)</f>
        <v>0</v>
      </c>
      <c r="T25" s="36">
        <f>VLOOKUP($A25,[24]HISTOFEV24!$A$6:$BG$38,58,0)</f>
        <v>0</v>
      </c>
      <c r="U25" s="36">
        <f>VLOOKUP($A25,[24]HISTOFEV24!$A$6:$AU$38,28,0)</f>
        <v>0</v>
      </c>
      <c r="V25" s="36">
        <f>VLOOKUP($A25,[24]HISTOFEV24!$A$6:$AU$38,19,0)</f>
        <v>0</v>
      </c>
      <c r="W25" s="36">
        <f>VLOOKUP($A25,[24]HISTOFEV24!$A$6:$AU$38,20,0)</f>
        <v>0</v>
      </c>
      <c r="X25" s="36">
        <f>VLOOKUP($A25,[24]HISTOFEV24!$A$6:$AU$38,27,0)</f>
        <v>0</v>
      </c>
      <c r="Y25" s="36">
        <f>VLOOKUP($A25,[24]HISTOFEV24!$A$6:$BM$38,33,0)</f>
        <v>0</v>
      </c>
      <c r="Z25" s="36">
        <f>VLOOKUP($A25,[24]HISTOFEV24!$A$6:$BM$38,65,0)</f>
        <v>0</v>
      </c>
      <c r="AA25" s="36"/>
      <c r="AB25" s="36">
        <f>VLOOKUP($A25,[24]HISTOFEV24!$A$6:$AU$38,43,0)</f>
        <v>0</v>
      </c>
      <c r="AC25" s="36">
        <f>VLOOKUP($A25,[24]HISTOFEV24!$A$6:$AU$38,44,0)</f>
        <v>0</v>
      </c>
      <c r="AD25" s="36">
        <f>VLOOKUP($A25,[24]HISTOFEV24!$A$6:$AU$38,47,0)</f>
        <v>0</v>
      </c>
      <c r="AE25" s="36">
        <f>VLOOKUP(A25,[24]HISTOFEV24!$A$6:$BB$38,54,0)</f>
        <v>0</v>
      </c>
      <c r="AF25" s="36">
        <f>VLOOKUP($A25,[24]HISTOFEV24!$A$6:$CB$38,60,0)</f>
        <v>0</v>
      </c>
      <c r="AG25" s="36">
        <f>VLOOKUP($A25,[24]HISTOFEV24!$A$6:$CB$38,61,0)</f>
        <v>0</v>
      </c>
      <c r="AH25" s="36">
        <f>VLOOKUP($A25,[24]HISTOFEV24!$A$6:$CB$38,62,0)</f>
        <v>0</v>
      </c>
      <c r="AI25" s="36">
        <f>VLOOKUP($A25,[24]HISTOFEV24!$A$6:$CB$38,63,0)</f>
        <v>100000</v>
      </c>
      <c r="AJ25" s="36">
        <f>VLOOKUP($A25,[24]HISTOFEV24!$A$6:$CB$38,64,0)</f>
        <v>0</v>
      </c>
      <c r="AK25" s="36">
        <f>VLOOKUP($A25,[24]HISTOFEV24!$A$6:$CB$38,65,0)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MVTJANV24!I26-E26+L26</f>
        <v>802682.81669094169</v>
      </c>
      <c r="G26" s="5">
        <f>IF(MVTJANV24!I26+L26&gt;700000,(MVTJANV24!I26-E26+L26),0)</f>
        <v>802682.81669094169</v>
      </c>
      <c r="H26" s="36">
        <f t="shared" si="0"/>
        <v>789.01348957838854</v>
      </c>
      <c r="I26" s="6">
        <f t="shared" si="2"/>
        <v>803471.83018052008</v>
      </c>
      <c r="J26" s="36">
        <f>VLOOKUP($A26,[24]HISTOFEV24!$A$6:$AQ$42,22,0)</f>
        <v>0</v>
      </c>
      <c r="K26" s="36">
        <f>VLOOKUP($A26,[24]HISTOFEV24!$A$6:$AU$38,45,0)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3"/>
        <v>1000</v>
      </c>
      <c r="O26" s="36">
        <f t="shared" si="6"/>
        <v>4000</v>
      </c>
      <c r="P26" s="36">
        <f>VLOOKUP($A26,[24]HISTOFEV24!$A$6:$AU$38,7,0)</f>
        <v>0</v>
      </c>
      <c r="Q26" s="36">
        <f>VLOOKUP($A26,[24]HISTOFEV24!$A$6:$AU$38,23,0)</f>
        <v>0</v>
      </c>
      <c r="R26" s="36">
        <f>VLOOKUP($A26,[24]HISTOFEV24!$A$6:$AU$38,46,0)</f>
        <v>0</v>
      </c>
      <c r="S26" s="36">
        <f>VLOOKUP($A26,[24]HISTOFEV24!$A$6:$AU$38,26,0)</f>
        <v>0</v>
      </c>
      <c r="T26" s="36">
        <f>VLOOKUP($A26,[24]HISTOFEV24!$A$6:$BG$38,58,0)</f>
        <v>0</v>
      </c>
      <c r="U26" s="36">
        <f>VLOOKUP($A26,[24]HISTOFEV24!$A$6:$AU$38,28,0)</f>
        <v>0</v>
      </c>
      <c r="V26" s="36">
        <f>VLOOKUP($A26,[24]HISTOFEV24!$A$6:$AU$38,19,0)</f>
        <v>0</v>
      </c>
      <c r="W26" s="36">
        <f>VLOOKUP($A26,[24]HISTOFEV24!$A$6:$AU$38,20,0)</f>
        <v>0</v>
      </c>
      <c r="X26" s="36">
        <f>VLOOKUP($A26,[24]HISTOFEV24!$A$6:$AU$38,27,0)</f>
        <v>0</v>
      </c>
      <c r="Y26" s="36">
        <f>VLOOKUP($A26,[24]HISTOFEV24!$A$6:$BM$38,33,0)</f>
        <v>0</v>
      </c>
      <c r="Z26" s="36">
        <f>VLOOKUP($A26,[24]HISTOFEV24!$A$6:$BM$38,65,0)</f>
        <v>0</v>
      </c>
      <c r="AA26" s="36"/>
      <c r="AB26" s="36">
        <f>VLOOKUP($A26,[24]HISTOFEV24!$A$6:$AU$38,43,0)</f>
        <v>0</v>
      </c>
      <c r="AC26" s="36">
        <f>VLOOKUP($A26,[24]HISTOFEV24!$A$6:$AU$38,44,0)</f>
        <v>0</v>
      </c>
      <c r="AD26" s="36">
        <f>VLOOKUP($A26,[24]HISTOFEV24!$A$6:$AU$38,47,0)</f>
        <v>0</v>
      </c>
      <c r="AE26" s="36">
        <f>VLOOKUP(A26,[24]HISTOFEV24!$A$6:$BB$38,54,0)</f>
        <v>0</v>
      </c>
      <c r="AF26" s="36">
        <f>VLOOKUP($A26,[24]HISTOFEV24!$A$6:$CB$38,60,0)</f>
        <v>0</v>
      </c>
      <c r="AG26" s="36">
        <f>VLOOKUP($A26,[24]HISTOFEV24!$A$6:$CB$38,61,0)</f>
        <v>0</v>
      </c>
      <c r="AH26" s="36">
        <f>VLOOKUP($A26,[24]HISTOFEV24!$A$6:$CB$38,62,0)</f>
        <v>0</v>
      </c>
      <c r="AI26" s="36">
        <f>VLOOKUP($A26,[24]HISTOFEV24!$A$6:$CB$38,63,0)</f>
        <v>0</v>
      </c>
      <c r="AJ26" s="36">
        <f>VLOOKUP($A26,[24]HISTOFEV24!$A$6:$CB$38,64,0)</f>
        <v>0</v>
      </c>
      <c r="AK26" s="36">
        <f>VLOOKUP($A26,[24]HISTOFEV24!$A$6:$CB$38,65,0)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MVTJANV24!I27-E27+L27</f>
        <v>801248.68490115798</v>
      </c>
      <c r="G27" s="5">
        <f>IF(MVTJANV24!I27+L27&gt;700000,(MVTJANV24!I27-E27+L27),0)</f>
        <v>801248.68490115798</v>
      </c>
      <c r="H27" s="36">
        <f t="shared" si="0"/>
        <v>787.60378040753903</v>
      </c>
      <c r="I27" s="6">
        <f t="shared" si="2"/>
        <v>802036.28868156555</v>
      </c>
      <c r="J27" s="36">
        <f>VLOOKUP($A27,[24]HISTOFEV24!$A$6:$AQ$42,22,0)</f>
        <v>0</v>
      </c>
      <c r="K27" s="36">
        <f>VLOOKUP($A27,[24]HISTOFEV24!$A$6:$AU$38,45,0)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3"/>
        <v>1000</v>
      </c>
      <c r="O27" s="36">
        <f t="shared" si="6"/>
        <v>4000</v>
      </c>
      <c r="P27" s="36">
        <f>VLOOKUP($A27,[24]HISTOFEV24!$A$6:$AU$38,7,0)</f>
        <v>0</v>
      </c>
      <c r="Q27" s="36">
        <f>VLOOKUP($A27,[24]HISTOFEV24!$A$6:$AU$38,23,0)</f>
        <v>0</v>
      </c>
      <c r="R27" s="36">
        <f>VLOOKUP($A27,[24]HISTOFEV24!$A$6:$AU$38,46,0)</f>
        <v>0</v>
      </c>
      <c r="S27" s="36">
        <f>VLOOKUP($A27,[24]HISTOFEV24!$A$6:$AU$38,26,0)</f>
        <v>0</v>
      </c>
      <c r="T27" s="36">
        <f>VLOOKUP($A27,[24]HISTOFEV24!$A$6:$BG$38,58,0)</f>
        <v>0</v>
      </c>
      <c r="U27" s="36">
        <f>VLOOKUP($A27,[24]HISTOFEV24!$A$6:$AU$38,28,0)</f>
        <v>0</v>
      </c>
      <c r="V27" s="36">
        <f>VLOOKUP($A27,[24]HISTOFEV24!$A$6:$AU$38,19,0)</f>
        <v>0</v>
      </c>
      <c r="W27" s="36">
        <f>VLOOKUP($A27,[24]HISTOFEV24!$A$6:$AU$38,20,0)</f>
        <v>0</v>
      </c>
      <c r="X27" s="36">
        <f>VLOOKUP($A27,[24]HISTOFEV24!$A$6:$AU$38,27,0)</f>
        <v>0</v>
      </c>
      <c r="Y27" s="36">
        <f>VLOOKUP($A27,[24]HISTOFEV24!$A$6:$BM$38,33,0)</f>
        <v>0</v>
      </c>
      <c r="Z27" s="36">
        <f>VLOOKUP($A27,[24]HISTOFEV24!$A$6:$BM$38,65,0)</f>
        <v>0</v>
      </c>
      <c r="AA27" s="36"/>
      <c r="AB27" s="36">
        <f>VLOOKUP($A27,[24]HISTOFEV24!$A$6:$AU$38,43,0)</f>
        <v>0</v>
      </c>
      <c r="AC27" s="36">
        <f>VLOOKUP($A27,[24]HISTOFEV24!$A$6:$AU$38,44,0)</f>
        <v>0</v>
      </c>
      <c r="AD27" s="36">
        <f>VLOOKUP($A27,[24]HISTOFEV24!$A$6:$AU$38,47,0)</f>
        <v>0</v>
      </c>
      <c r="AE27" s="36">
        <f>VLOOKUP(A27,[24]HISTOFEV24!$A$6:$BB$38,54,0)</f>
        <v>0</v>
      </c>
      <c r="AF27" s="36">
        <f>VLOOKUP($A27,[24]HISTOFEV24!$A$6:$CB$38,60,0)</f>
        <v>0</v>
      </c>
      <c r="AG27" s="36">
        <f>VLOOKUP($A27,[24]HISTOFEV24!$A$6:$CB$38,61,0)</f>
        <v>0</v>
      </c>
      <c r="AH27" s="36">
        <f>VLOOKUP($A27,[24]HISTOFEV24!$A$6:$CB$38,62,0)</f>
        <v>0</v>
      </c>
      <c r="AI27" s="36">
        <f>VLOOKUP($A27,[24]HISTOFEV24!$A$6:$CB$38,63,0)</f>
        <v>0</v>
      </c>
      <c r="AJ27" s="36">
        <f>VLOOKUP($A27,[24]HISTOFEV24!$A$6:$CB$38,64,0)</f>
        <v>0</v>
      </c>
      <c r="AK27" s="36">
        <f>VLOOKUP($A27,[24]HISTOFEV24!$A$6:$CB$38,65,0)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MVTJANV24!I28-E28+L28</f>
        <v>704019</v>
      </c>
      <c r="G28" s="5">
        <f>IF(MVTJANV24!I28+L28&gt;700000,(MVTJANV24!I28-E28+L28),0)</f>
        <v>704019</v>
      </c>
      <c r="H28" s="36">
        <f t="shared" si="0"/>
        <v>692.0298732810237</v>
      </c>
      <c r="I28" s="6">
        <f t="shared" si="2"/>
        <v>704711.02987328102</v>
      </c>
      <c r="J28" s="36">
        <f>VLOOKUP($A28,[24]HISTOFEV24!$A$6:$AQ$42,22,0)</f>
        <v>0</v>
      </c>
      <c r="K28" s="36">
        <f>VLOOKUP($A28,[24]HISTOFEV24!$A$6:$AU$38,45,0)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3"/>
        <v>1000</v>
      </c>
      <c r="O28" s="36">
        <f t="shared" si="6"/>
        <v>4000</v>
      </c>
      <c r="P28" s="36">
        <f>VLOOKUP($A28,[24]HISTOFEV24!$A$6:$AU$38,7,0)</f>
        <v>0</v>
      </c>
      <c r="Q28" s="36">
        <f>VLOOKUP($A28,[24]HISTOFEV24!$A$6:$AU$38,23,0)</f>
        <v>0</v>
      </c>
      <c r="R28" s="36">
        <f>VLOOKUP($A28,[24]HISTOFEV24!$A$6:$AU$38,46,0)</f>
        <v>0</v>
      </c>
      <c r="S28" s="36">
        <f>VLOOKUP($A28,[24]HISTOFEV24!$A$6:$AU$38,26,0)</f>
        <v>0</v>
      </c>
      <c r="T28" s="36">
        <f>VLOOKUP($A28,[24]HISTOFEV24!$A$6:$BG$38,58,0)</f>
        <v>0</v>
      </c>
      <c r="U28" s="36">
        <f>VLOOKUP($A28,[24]HISTOFEV24!$A$6:$AU$38,28,0)</f>
        <v>0</v>
      </c>
      <c r="V28" s="36">
        <f>VLOOKUP($A28,[24]HISTOFEV24!$A$6:$AU$38,19,0)</f>
        <v>0</v>
      </c>
      <c r="W28" s="36">
        <f>VLOOKUP($A28,[24]HISTOFEV24!$A$6:$AU$38,20,0)</f>
        <v>0</v>
      </c>
      <c r="X28" s="36">
        <f>VLOOKUP($A28,[24]HISTOFEV24!$A$6:$AU$38,27,0)</f>
        <v>0</v>
      </c>
      <c r="Y28" s="36">
        <f>VLOOKUP($A28,[24]HISTOFEV24!$A$6:$BM$38,33,0)</f>
        <v>0</v>
      </c>
      <c r="Z28" s="36">
        <f>VLOOKUP($A28,[24]HISTOFEV24!$A$6:$BM$38,65,0)</f>
        <v>0</v>
      </c>
      <c r="AA28" s="36"/>
      <c r="AB28" s="36">
        <f>VLOOKUP($A28,[24]HISTOFEV24!$A$6:$AU$38,43,0)</f>
        <v>0</v>
      </c>
      <c r="AC28" s="36">
        <f>VLOOKUP($A28,[24]HISTOFEV24!$A$6:$AU$38,44,0)</f>
        <v>0</v>
      </c>
      <c r="AD28" s="36">
        <f>VLOOKUP($A28,[24]HISTOFEV24!$A$6:$AU$38,47,0)</f>
        <v>0</v>
      </c>
      <c r="AE28" s="36">
        <f>VLOOKUP(A28,[24]HISTOFEV24!$A$6:$BB$38,54,0)</f>
        <v>0</v>
      </c>
      <c r="AF28" s="36">
        <f>VLOOKUP($A28,[24]HISTOFEV24!$A$6:$CB$38,60,0)</f>
        <v>0</v>
      </c>
      <c r="AG28" s="36">
        <f>VLOOKUP($A28,[24]HISTOFEV24!$A$6:$CB$38,61,0)</f>
        <v>0</v>
      </c>
      <c r="AH28" s="36">
        <f>VLOOKUP($A28,[24]HISTOFEV24!$A$6:$CB$38,62,0)</f>
        <v>0</v>
      </c>
      <c r="AI28" s="36">
        <f>VLOOKUP($A28,[24]HISTOFEV24!$A$6:$CB$38,63,0)</f>
        <v>0</v>
      </c>
      <c r="AJ28" s="36">
        <f>VLOOKUP($A28,[24]HISTOFEV24!$A$6:$CB$38,64,0)</f>
        <v>0</v>
      </c>
      <c r="AK28" s="36">
        <f>VLOOKUP($A28,[24]HISTOFEV24!$A$6:$CB$38,65,0)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MVTJANV24!I29-E29+L29</f>
        <v>827426.85743600084</v>
      </c>
      <c r="G29" s="5">
        <f>IF(MVTJANV24!I29+L29&gt;700000,(MVTJANV24!I29-E29+L29),0)</f>
        <v>827426.85743600084</v>
      </c>
      <c r="H29" s="36">
        <f t="shared" si="0"/>
        <v>813.33615044587043</v>
      </c>
      <c r="I29" s="6">
        <f t="shared" si="2"/>
        <v>828240.19358644669</v>
      </c>
      <c r="J29" s="36">
        <f>VLOOKUP($A29,[24]HISTOFEV24!$A$6:$AQ$42,22,0)</f>
        <v>0</v>
      </c>
      <c r="K29" s="36">
        <f>VLOOKUP($A29,[24]HISTOFEV24!$A$6:$AU$38,45,0)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3"/>
        <v>1000</v>
      </c>
      <c r="O29" s="36">
        <f t="shared" si="6"/>
        <v>4000</v>
      </c>
      <c r="P29" s="36">
        <f>VLOOKUP($A29,[24]HISTOFEV24!$A$6:$AU$38,7,0)</f>
        <v>0</v>
      </c>
      <c r="Q29" s="36">
        <f>VLOOKUP($A29,[24]HISTOFEV24!$A$6:$AU$38,23,0)</f>
        <v>0</v>
      </c>
      <c r="R29" s="36">
        <f>VLOOKUP($A29,[24]HISTOFEV24!$A$6:$AU$38,46,0)</f>
        <v>0</v>
      </c>
      <c r="S29" s="36">
        <f>VLOOKUP($A29,[24]HISTOFEV24!$A$6:$AU$38,26,0)</f>
        <v>0</v>
      </c>
      <c r="T29" s="36">
        <f>VLOOKUP($A29,[24]HISTOFEV24!$A$6:$BG$38,58,0)</f>
        <v>0</v>
      </c>
      <c r="U29" s="36">
        <f>VLOOKUP($A29,[24]HISTOFEV24!$A$6:$AU$38,28,0)</f>
        <v>0</v>
      </c>
      <c r="V29" s="36">
        <f>VLOOKUP($A29,[24]HISTOFEV24!$A$6:$AU$38,19,0)</f>
        <v>0</v>
      </c>
      <c r="W29" s="36">
        <f>VLOOKUP($A29,[24]HISTOFEV24!$A$6:$AU$38,20,0)</f>
        <v>0</v>
      </c>
      <c r="X29" s="36">
        <f>VLOOKUP($A29,[24]HISTOFEV24!$A$6:$AU$38,27,0)</f>
        <v>0</v>
      </c>
      <c r="Y29" s="36">
        <f>VLOOKUP($A29,[24]HISTOFEV24!$A$6:$BM$38,33,0)</f>
        <v>0</v>
      </c>
      <c r="Z29" s="36">
        <f>VLOOKUP($A29,[24]HISTOFEV24!$A$6:$BM$38,65,0)</f>
        <v>0</v>
      </c>
      <c r="AA29" s="36"/>
      <c r="AB29" s="36">
        <f>VLOOKUP($A29,[24]HISTOFEV24!$A$6:$AU$38,43,0)</f>
        <v>0</v>
      </c>
      <c r="AC29" s="36">
        <f>VLOOKUP($A29,[24]HISTOFEV24!$A$6:$AU$38,44,0)</f>
        <v>0</v>
      </c>
      <c r="AD29" s="36">
        <f>VLOOKUP($A29,[24]HISTOFEV24!$A$6:$AU$38,47,0)</f>
        <v>0</v>
      </c>
      <c r="AE29" s="36">
        <f>VLOOKUP(A29,[24]HISTOFEV24!$A$6:$BB$38,54,0)</f>
        <v>0</v>
      </c>
      <c r="AF29" s="36">
        <f>VLOOKUP($A29,[24]HISTOFEV24!$A$6:$CB$38,60,0)</f>
        <v>0</v>
      </c>
      <c r="AG29" s="36">
        <f>VLOOKUP($A29,[24]HISTOFEV24!$A$6:$CB$38,61,0)</f>
        <v>0</v>
      </c>
      <c r="AH29" s="36">
        <f>VLOOKUP($A29,[24]HISTOFEV24!$A$6:$CB$38,62,0)</f>
        <v>0</v>
      </c>
      <c r="AI29" s="36">
        <f>VLOOKUP($A29,[24]HISTOFEV24!$A$6:$CB$38,63,0)</f>
        <v>0</v>
      </c>
      <c r="AJ29" s="36">
        <f>VLOOKUP($A29,[24]HISTOFEV24!$A$6:$CB$38,64,0)</f>
        <v>0</v>
      </c>
      <c r="AK29" s="36">
        <f>VLOOKUP($A29,[24]HISTOFEV24!$A$6:$CB$38,65,0)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MVTJANV24!I30-E30+L30</f>
        <v>733500</v>
      </c>
      <c r="G30" s="5">
        <f>IF(MVTJANV24!I30+L30&gt;700000,(MVTJANV24!I30-E30+L30),0)</f>
        <v>733500</v>
      </c>
      <c r="H30" s="36">
        <f t="shared" si="0"/>
        <v>721.00882511925226</v>
      </c>
      <c r="I30" s="6">
        <f t="shared" si="2"/>
        <v>734221.00882511924</v>
      </c>
      <c r="J30" s="36">
        <f>VLOOKUP($A30,[24]HISTOFEV24!$A$6:$AQ$42,22,0)</f>
        <v>0</v>
      </c>
      <c r="K30" s="36">
        <f>VLOOKUP($A30,[24]HISTOFEV24!$A$6:$AU$38,45,0)</f>
        <v>25000</v>
      </c>
      <c r="L30" s="36">
        <f t="shared" si="4"/>
        <v>19000</v>
      </c>
      <c r="M30" s="36">
        <f t="shared" si="5"/>
        <v>1000</v>
      </c>
      <c r="N30" s="36">
        <f t="shared" si="3"/>
        <v>1000</v>
      </c>
      <c r="O30" s="36">
        <f t="shared" si="6"/>
        <v>4000</v>
      </c>
      <c r="P30" s="36">
        <f>VLOOKUP($A30,[24]HISTOFEV24!$A$6:$AU$38,7,0)</f>
        <v>0</v>
      </c>
      <c r="Q30" s="36">
        <f>VLOOKUP($A30,[24]HISTOFEV24!$A$6:$AU$38,23,0)</f>
        <v>0</v>
      </c>
      <c r="R30" s="36">
        <f>VLOOKUP($A30,[24]HISTOFEV24!$A$6:$AU$38,46,0)</f>
        <v>0</v>
      </c>
      <c r="S30" s="36">
        <f>VLOOKUP($A30,[24]HISTOFEV24!$A$6:$AU$38,26,0)</f>
        <v>0</v>
      </c>
      <c r="T30" s="36">
        <f>VLOOKUP($A30,[24]HISTOFEV24!$A$6:$BG$38,58,0)</f>
        <v>0</v>
      </c>
      <c r="U30" s="36">
        <f>VLOOKUP($A30,[24]HISTOFEV24!$A$6:$AU$38,28,0)</f>
        <v>0</v>
      </c>
      <c r="V30" s="36">
        <f>VLOOKUP($A30,[24]HISTOFEV24!$A$6:$AU$38,19,0)</f>
        <v>0</v>
      </c>
      <c r="W30" s="36">
        <f>VLOOKUP($A30,[24]HISTOFEV24!$A$6:$AU$38,20,0)</f>
        <v>0</v>
      </c>
      <c r="X30" s="36">
        <f>VLOOKUP($A30,[24]HISTOFEV24!$A$6:$AU$38,27,0)</f>
        <v>0</v>
      </c>
      <c r="Y30" s="36">
        <f>VLOOKUP($A30,[24]HISTOFEV24!$A$6:$BM$38,33,0)</f>
        <v>0</v>
      </c>
      <c r="Z30" s="36">
        <f>VLOOKUP($A30,[24]HISTOFEV24!$A$6:$BM$38,65,0)</f>
        <v>0</v>
      </c>
      <c r="AA30" s="36"/>
      <c r="AB30" s="36">
        <f>VLOOKUP($A30,[24]HISTOFEV24!$A$6:$AU$38,43,0)</f>
        <v>0</v>
      </c>
      <c r="AC30" s="36">
        <f>VLOOKUP($A30,[24]HISTOFEV24!$A$6:$AU$38,44,0)</f>
        <v>0</v>
      </c>
      <c r="AD30" s="36">
        <f>VLOOKUP($A30,[24]HISTOFEV24!$A$6:$AU$38,47,0)</f>
        <v>0</v>
      </c>
      <c r="AE30" s="36">
        <f>VLOOKUP(A30,[24]HISTOFEV24!$A$6:$BB$38,54,0)</f>
        <v>0</v>
      </c>
      <c r="AF30" s="36">
        <f>VLOOKUP($A30,[24]HISTOFEV24!$A$6:$CB$38,60,0)</f>
        <v>0</v>
      </c>
      <c r="AG30" s="36">
        <f>VLOOKUP($A30,[24]HISTOFEV24!$A$6:$CB$38,61,0)</f>
        <v>0</v>
      </c>
      <c r="AH30" s="36">
        <f>VLOOKUP($A30,[24]HISTOFEV24!$A$6:$CB$38,62,0)</f>
        <v>0</v>
      </c>
      <c r="AI30" s="36">
        <f>VLOOKUP($A30,[24]HISTOFEV24!$A$6:$CB$38,63,0)</f>
        <v>0</v>
      </c>
      <c r="AJ30" s="36">
        <f>VLOOKUP($A30,[24]HISTOFEV24!$A$6:$CB$38,64,0)</f>
        <v>0</v>
      </c>
      <c r="AK30" s="36">
        <f>VLOOKUP($A30,[24]HISTOFEV24!$A$6:$CB$38,65,0)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MVTJANV24!I31-E31+L31</f>
        <v>891812.08373426949</v>
      </c>
      <c r="G31" s="5">
        <f>IF(MVTJANV24!I31+L31&gt;700000,(MVTJANV24!I31-E31+L31),0)</f>
        <v>891812.08373426949</v>
      </c>
      <c r="H31" s="36">
        <f t="shared" si="0"/>
        <v>876.62492531751582</v>
      </c>
      <c r="I31" s="6">
        <f t="shared" si="2"/>
        <v>892688.70865958696</v>
      </c>
      <c r="J31" s="36">
        <f>VLOOKUP($A31,[24]HISTOFEV24!$A$6:$AQ$42,22,0)</f>
        <v>0</v>
      </c>
      <c r="K31" s="36">
        <f>VLOOKUP($A31,[24]HISTOFEV24!$A$6:$AU$38,45,0)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3"/>
        <v>1000</v>
      </c>
      <c r="O31" s="36">
        <f t="shared" si="6"/>
        <v>4000</v>
      </c>
      <c r="P31" s="36">
        <f>VLOOKUP($A31,[24]HISTOFEV24!$A$6:$AU$38,7,0)</f>
        <v>0</v>
      </c>
      <c r="Q31" s="36">
        <f>VLOOKUP($A31,[24]HISTOFEV24!$A$6:$AU$38,23,0)</f>
        <v>0</v>
      </c>
      <c r="R31" s="36">
        <f>VLOOKUP($A31,[24]HISTOFEV24!$A$6:$AU$38,46,0)</f>
        <v>0</v>
      </c>
      <c r="S31" s="36">
        <f>VLOOKUP($A31,[24]HISTOFEV24!$A$6:$AU$38,26,0)</f>
        <v>0</v>
      </c>
      <c r="T31" s="36">
        <f>VLOOKUP($A31,[24]HISTOFEV24!$A$6:$BG$38,58,0)</f>
        <v>0</v>
      </c>
      <c r="U31" s="36">
        <f>VLOOKUP($A31,[24]HISTOFEV24!$A$6:$AU$38,28,0)</f>
        <v>0</v>
      </c>
      <c r="V31" s="36">
        <f>VLOOKUP($A31,[24]HISTOFEV24!$A$6:$AU$38,19,0)</f>
        <v>0</v>
      </c>
      <c r="W31" s="36">
        <f>VLOOKUP($A31,[24]HISTOFEV24!$A$6:$AU$38,20,0)</f>
        <v>0</v>
      </c>
      <c r="X31" s="36">
        <f>VLOOKUP($A31,[24]HISTOFEV24!$A$6:$AU$38,27,0)</f>
        <v>0</v>
      </c>
      <c r="Y31" s="36">
        <f>VLOOKUP($A31,[24]HISTOFEV24!$A$6:$BM$38,33,0)</f>
        <v>0</v>
      </c>
      <c r="Z31" s="36">
        <f>VLOOKUP($A31,[24]HISTOFEV24!$A$6:$BM$38,65,0)</f>
        <v>0</v>
      </c>
      <c r="AA31" s="36"/>
      <c r="AB31" s="36">
        <f>VLOOKUP($A31,[24]HISTOFEV24!$A$6:$AU$38,43,0)</f>
        <v>0</v>
      </c>
      <c r="AC31" s="36">
        <f>VLOOKUP($A31,[24]HISTOFEV24!$A$6:$AU$38,44,0)</f>
        <v>0</v>
      </c>
      <c r="AD31" s="36">
        <f>VLOOKUP($A31,[24]HISTOFEV24!$A$6:$AU$38,47,0)</f>
        <v>0</v>
      </c>
      <c r="AE31" s="36">
        <f>VLOOKUP(A31,[24]HISTOFEV24!$A$6:$BB$38,54,0)</f>
        <v>0</v>
      </c>
      <c r="AF31" s="36">
        <f>VLOOKUP($A31,[24]HISTOFEV24!$A$6:$CB$38,60,0)</f>
        <v>0</v>
      </c>
      <c r="AG31" s="36">
        <f>VLOOKUP($A31,[24]HISTOFEV24!$A$6:$CB$38,61,0)</f>
        <v>0</v>
      </c>
      <c r="AH31" s="36">
        <f>VLOOKUP($A31,[24]HISTOFEV24!$A$6:$CB$38,62,0)</f>
        <v>0</v>
      </c>
      <c r="AI31" s="36">
        <f>VLOOKUP($A31,[24]HISTOFEV24!$A$6:$CB$38,63,0)</f>
        <v>0</v>
      </c>
      <c r="AJ31" s="36">
        <f>VLOOKUP($A31,[24]HISTOFEV24!$A$6:$CB$38,64,0)</f>
        <v>0</v>
      </c>
      <c r="AK31" s="36">
        <f>VLOOKUP($A31,[24]HISTOFEV24!$A$6:$CB$38,65,0)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MVTJANV24!I32-E32+L32</f>
        <v>781779.30612390884</v>
      </c>
      <c r="G32" s="5">
        <f>IF(MVTJANV24!I32+L32&gt;700000,(MVTJANV24!I32-E32+L32),0)</f>
        <v>781779.30612390884</v>
      </c>
      <c r="H32" s="36">
        <f t="shared" si="0"/>
        <v>768.46595638847134</v>
      </c>
      <c r="I32" s="6">
        <f t="shared" si="2"/>
        <v>782547.77208029735</v>
      </c>
      <c r="J32" s="36">
        <f>VLOOKUP($A32,[24]HISTOFEV24!$A$6:$AQ$42,22,0)</f>
        <v>0</v>
      </c>
      <c r="K32" s="36">
        <f>VLOOKUP($A32,[24]HISTOFEV24!$A$6:$AU$38,45,0)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3"/>
        <v>1000</v>
      </c>
      <c r="O32" s="36">
        <f t="shared" si="6"/>
        <v>4000</v>
      </c>
      <c r="P32" s="36">
        <f>VLOOKUP($A32,[24]HISTOFEV24!$A$6:$AU$38,7,0)</f>
        <v>0</v>
      </c>
      <c r="Q32" s="36">
        <f>VLOOKUP($A32,[24]HISTOFEV24!$A$6:$AU$38,23,0)</f>
        <v>0</v>
      </c>
      <c r="R32" s="36">
        <f>VLOOKUP($A32,[24]HISTOFEV24!$A$6:$AU$38,46,0)</f>
        <v>0</v>
      </c>
      <c r="S32" s="36">
        <f>VLOOKUP($A32,[24]HISTOFEV24!$A$6:$AU$38,26,0)</f>
        <v>0</v>
      </c>
      <c r="T32" s="36">
        <f>VLOOKUP($A32,[24]HISTOFEV24!$A$6:$BG$38,58,0)</f>
        <v>0</v>
      </c>
      <c r="U32" s="36">
        <f>VLOOKUP($A32,[24]HISTOFEV24!$A$6:$AU$38,28,0)</f>
        <v>0</v>
      </c>
      <c r="V32" s="36">
        <f>VLOOKUP($A32,[24]HISTOFEV24!$A$6:$AU$38,19,0)</f>
        <v>0</v>
      </c>
      <c r="W32" s="36">
        <f>VLOOKUP($A32,[24]HISTOFEV24!$A$6:$AU$38,20,0)</f>
        <v>0</v>
      </c>
      <c r="X32" s="36">
        <f>VLOOKUP($A32,[24]HISTOFEV24!$A$6:$AU$38,27,0)</f>
        <v>0</v>
      </c>
      <c r="Y32" s="36">
        <f>VLOOKUP($A32,[24]HISTOFEV24!$A$6:$BM$38,33,0)</f>
        <v>0</v>
      </c>
      <c r="Z32" s="36">
        <f>VLOOKUP($A32,[24]HISTOFEV24!$A$6:$BM$38,65,0)</f>
        <v>0</v>
      </c>
      <c r="AA32" s="36"/>
      <c r="AB32" s="36">
        <f>VLOOKUP($A32,[24]HISTOFEV24!$A$6:$AU$38,43,0)</f>
        <v>0</v>
      </c>
      <c r="AC32" s="36">
        <f>VLOOKUP($A32,[24]HISTOFEV24!$A$6:$AU$38,44,0)</f>
        <v>0</v>
      </c>
      <c r="AD32" s="36">
        <f>VLOOKUP($A32,[24]HISTOFEV24!$A$6:$AU$38,47,0)</f>
        <v>0</v>
      </c>
      <c r="AE32" s="36">
        <f>VLOOKUP(A32,[24]HISTOFEV24!$A$6:$BB$38,54,0)</f>
        <v>0</v>
      </c>
      <c r="AF32" s="36">
        <f>VLOOKUP($A32,[24]HISTOFEV24!$A$6:$CB$38,60,0)</f>
        <v>0</v>
      </c>
      <c r="AG32" s="36">
        <f>VLOOKUP($A32,[24]HISTOFEV24!$A$6:$CB$38,61,0)</f>
        <v>0</v>
      </c>
      <c r="AH32" s="36">
        <f>VLOOKUP($A32,[24]HISTOFEV24!$A$6:$CB$38,62,0)</f>
        <v>0</v>
      </c>
      <c r="AI32" s="36">
        <f>VLOOKUP($A32,[24]HISTOFEV24!$A$6:$CB$38,63,0)</f>
        <v>0</v>
      </c>
      <c r="AJ32" s="36">
        <f>VLOOKUP($A32,[24]HISTOFEV24!$A$6:$CB$38,64,0)</f>
        <v>0</v>
      </c>
      <c r="AK32" s="36">
        <f>VLOOKUP($A32,[24]HISTOFEV24!$A$6:$CB$38,65,0)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MVTJANV24!I33-E33+L33</f>
        <v>782086.22720032581</v>
      </c>
      <c r="G33" s="5">
        <f>IF(MVTJANV24!I33+L33&gt;700000,(MVTJANV24!I33-E33+L33),0)</f>
        <v>782086.22720032581</v>
      </c>
      <c r="H33" s="36">
        <f t="shared" si="0"/>
        <v>768.76765073708998</v>
      </c>
      <c r="I33" s="6">
        <f t="shared" si="2"/>
        <v>782854.99485106289</v>
      </c>
      <c r="J33" s="36">
        <f>VLOOKUP($A33,[24]HISTOFEV24!$A$6:$AQ$42,22,0)</f>
        <v>0</v>
      </c>
      <c r="K33" s="36">
        <f>VLOOKUP($A33,[24]HISTOFEV24!$A$6:$AU$38,45,0)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3"/>
        <v>1000</v>
      </c>
      <c r="O33" s="36">
        <f t="shared" si="6"/>
        <v>4000</v>
      </c>
      <c r="P33" s="36">
        <f>VLOOKUP($A33,[24]HISTOFEV24!$A$6:$AU$38,7,0)</f>
        <v>0</v>
      </c>
      <c r="Q33" s="36">
        <f>VLOOKUP($A33,[24]HISTOFEV24!$A$6:$AU$38,23,0)</f>
        <v>0</v>
      </c>
      <c r="R33" s="36">
        <f>VLOOKUP($A33,[24]HISTOFEV24!$A$6:$AU$38,46,0)</f>
        <v>0</v>
      </c>
      <c r="S33" s="36">
        <f>VLOOKUP($A33,[24]HISTOFEV24!$A$6:$AU$38,26,0)</f>
        <v>0</v>
      </c>
      <c r="T33" s="36">
        <f>VLOOKUP($A33,[24]HISTOFEV24!$A$6:$BG$38,58,0)</f>
        <v>0</v>
      </c>
      <c r="U33" s="36">
        <f>VLOOKUP($A33,[24]HISTOFEV24!$A$6:$AU$38,28,0)</f>
        <v>0</v>
      </c>
      <c r="V33" s="36">
        <f>VLOOKUP($A33,[24]HISTOFEV24!$A$6:$AU$38,19,0)</f>
        <v>0</v>
      </c>
      <c r="W33" s="36">
        <f>VLOOKUP($A33,[24]HISTOFEV24!$A$6:$AU$38,20,0)</f>
        <v>0</v>
      </c>
      <c r="X33" s="36">
        <f>VLOOKUP($A33,[24]HISTOFEV24!$A$6:$AU$38,27,0)</f>
        <v>0</v>
      </c>
      <c r="Y33" s="36">
        <f>VLOOKUP($A33,[24]HISTOFEV24!$A$6:$BM$38,33,0)</f>
        <v>0</v>
      </c>
      <c r="Z33" s="36">
        <f>VLOOKUP($A33,[24]HISTOFEV24!$A$6:$BM$38,65,0)</f>
        <v>0</v>
      </c>
      <c r="AA33" s="36"/>
      <c r="AB33" s="36">
        <f>VLOOKUP($A33,[24]HISTOFEV24!$A$6:$AU$38,43,0)</f>
        <v>0</v>
      </c>
      <c r="AC33" s="36">
        <f>VLOOKUP($A33,[24]HISTOFEV24!$A$6:$AU$38,44,0)</f>
        <v>0</v>
      </c>
      <c r="AD33" s="36">
        <f>VLOOKUP($A33,[24]HISTOFEV24!$A$6:$AU$38,47,0)</f>
        <v>0</v>
      </c>
      <c r="AE33" s="36">
        <f>VLOOKUP(A33,[24]HISTOFEV24!$A$6:$BB$38,54,0)</f>
        <v>0</v>
      </c>
      <c r="AF33" s="36">
        <f>VLOOKUP($A33,[24]HISTOFEV24!$A$6:$CB$38,60,0)</f>
        <v>0</v>
      </c>
      <c r="AG33" s="36">
        <f>VLOOKUP($A33,[24]HISTOFEV24!$A$6:$CB$38,61,0)</f>
        <v>0</v>
      </c>
      <c r="AH33" s="36">
        <f>VLOOKUP($A33,[24]HISTOFEV24!$A$6:$CB$38,62,0)</f>
        <v>0</v>
      </c>
      <c r="AI33" s="36">
        <f>VLOOKUP($A33,[24]HISTOFEV24!$A$6:$CB$38,63,0)</f>
        <v>0</v>
      </c>
      <c r="AJ33" s="36">
        <f>VLOOKUP($A33,[24]HISTOFEV24!$A$6:$CB$38,64,0)</f>
        <v>0</v>
      </c>
      <c r="AK33" s="36">
        <f>VLOOKUP($A33,[24]HISTOFEV24!$A$6:$CB$38,65,0)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MVTJANV24!I34-E34+L34</f>
        <v>313000</v>
      </c>
      <c r="G34" s="5">
        <f>IF(MVTJANV24!I34+L34&gt;700000,(MVTJANV24!I34-E34+L34),0)</f>
        <v>0</v>
      </c>
      <c r="H34" s="36">
        <f t="shared" si="0"/>
        <v>0</v>
      </c>
      <c r="I34" s="6">
        <f t="shared" si="2"/>
        <v>313000</v>
      </c>
      <c r="J34" s="36">
        <f>VLOOKUP($A34,[24]HISTOFEV24!$A$6:$AQ$42,22,0)</f>
        <v>0</v>
      </c>
      <c r="K34" s="36">
        <f>VLOOKUP($A34,[24]HISTOFEV24!$A$6:$AU$38,45,0)</f>
        <v>55000</v>
      </c>
      <c r="L34" s="36">
        <f t="shared" si="4"/>
        <v>49000</v>
      </c>
      <c r="M34" s="36">
        <f t="shared" si="5"/>
        <v>1000</v>
      </c>
      <c r="N34" s="36">
        <f t="shared" si="3"/>
        <v>1000</v>
      </c>
      <c r="O34" s="36">
        <f t="shared" si="6"/>
        <v>4000</v>
      </c>
      <c r="P34" s="36">
        <f>VLOOKUP($A34,[24]HISTOFEV24!$A$6:$AU$38,7,0)</f>
        <v>0</v>
      </c>
      <c r="Q34" s="36">
        <f>VLOOKUP($A34,[24]HISTOFEV24!$A$6:$AU$38,23,0)</f>
        <v>0</v>
      </c>
      <c r="R34" s="36">
        <f>VLOOKUP($A34,[24]HISTOFEV24!$A$6:$AU$38,46,0)</f>
        <v>0</v>
      </c>
      <c r="S34" s="36">
        <f>VLOOKUP($A34,[24]HISTOFEV24!$A$6:$AU$38,26,0)</f>
        <v>0</v>
      </c>
      <c r="T34" s="36">
        <f>VLOOKUP($A34,[24]HISTOFEV24!$A$6:$BG$38,58,0)</f>
        <v>0</v>
      </c>
      <c r="U34" s="36">
        <f>VLOOKUP($A34,[24]HISTOFEV24!$A$6:$AU$38,28,0)</f>
        <v>0</v>
      </c>
      <c r="V34" s="36">
        <f>VLOOKUP($A34,[24]HISTOFEV24!$A$6:$AU$38,19,0)</f>
        <v>0</v>
      </c>
      <c r="W34" s="36">
        <f>VLOOKUP($A34,[24]HISTOFEV24!$A$6:$AU$38,20,0)</f>
        <v>0</v>
      </c>
      <c r="X34" s="36">
        <f>VLOOKUP($A34,[24]HISTOFEV24!$A$6:$AU$38,27,0)</f>
        <v>0</v>
      </c>
      <c r="Y34" s="36">
        <f>VLOOKUP($A34,[24]HISTOFEV24!$A$6:$BM$38,33,0)</f>
        <v>0</v>
      </c>
      <c r="Z34" s="36">
        <f>VLOOKUP($A34,[24]HISTOFEV24!$A$6:$BM$38,65,0)</f>
        <v>0</v>
      </c>
      <c r="AA34" s="36"/>
      <c r="AB34" s="36">
        <f>VLOOKUP($A34,[24]HISTOFEV24!$A$6:$AU$38,43,0)</f>
        <v>0</v>
      </c>
      <c r="AC34" s="36">
        <f>VLOOKUP($A34,[24]HISTOFEV24!$A$6:$AU$38,44,0)</f>
        <v>0</v>
      </c>
      <c r="AD34" s="36">
        <f>VLOOKUP($A34,[24]HISTOFEV24!$A$6:$AU$38,47,0)</f>
        <v>0</v>
      </c>
      <c r="AE34" s="36">
        <f>VLOOKUP(A34,[24]HISTOFEV24!$A$6:$BB$38,54,0)</f>
        <v>0</v>
      </c>
      <c r="AF34" s="36">
        <f>VLOOKUP($A34,[24]HISTOFEV24!$A$6:$CB$38,60,0)</f>
        <v>0</v>
      </c>
      <c r="AG34" s="36">
        <f>VLOOKUP($A34,[24]HISTOFEV24!$A$6:$CB$38,61,0)</f>
        <v>0</v>
      </c>
      <c r="AH34" s="36">
        <f>VLOOKUP($A34,[24]HISTOFEV24!$A$6:$CB$38,62,0)</f>
        <v>0</v>
      </c>
      <c r="AI34" s="36">
        <f>VLOOKUP($A34,[24]HISTOFEV24!$A$6:$CB$38,63,0)</f>
        <v>0</v>
      </c>
      <c r="AJ34" s="36">
        <f>VLOOKUP($A34,[24]HISTOFEV24!$A$6:$CB$38,64,0)</f>
        <v>0</v>
      </c>
      <c r="AK34" s="36">
        <f>VLOOKUP($A34,[24]HISTOFEV24!$A$6:$CB$38,65,0)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MVTJANV24!I35-E35+L35</f>
        <v>141000</v>
      </c>
      <c r="G35" s="5">
        <f>IF(MVTJANV24!I35+L35&gt;700000,(MVTJANV24!I35-E35+L35),0)</f>
        <v>0</v>
      </c>
      <c r="H35" s="36">
        <f t="shared" si="0"/>
        <v>0</v>
      </c>
      <c r="I35" s="6">
        <f t="shared" si="2"/>
        <v>141000</v>
      </c>
      <c r="J35" s="36">
        <f>VLOOKUP($A35,[24]HISTOFEV24!$A$6:$AQ$42,22,0)</f>
        <v>0</v>
      </c>
      <c r="K35" s="36">
        <f>VLOOKUP($A35,[24]HISTOFEV24!$A$6:$AU$38,45,0)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3"/>
        <v>1000</v>
      </c>
      <c r="O35" s="36">
        <f t="shared" si="6"/>
        <v>4000</v>
      </c>
      <c r="P35" s="36">
        <f>VLOOKUP($A35,[24]HISTOFEV24!$A$6:$AU$38,7,0)</f>
        <v>0</v>
      </c>
      <c r="Q35" s="36">
        <f>VLOOKUP($A35,[24]HISTOFEV24!$A$6:$AU$38,23,0)</f>
        <v>0</v>
      </c>
      <c r="R35" s="36">
        <f>VLOOKUP($A35,[24]HISTOFEV24!$A$6:$AU$38,46,0)</f>
        <v>0</v>
      </c>
      <c r="S35" s="36">
        <f>VLOOKUP($A35,[24]HISTOFEV24!$A$6:$AU$38,26,0)</f>
        <v>0</v>
      </c>
      <c r="T35" s="36">
        <f>VLOOKUP($A35,[24]HISTOFEV24!$A$6:$BG$38,58,0)</f>
        <v>0</v>
      </c>
      <c r="U35" s="36">
        <f>VLOOKUP($A35,[24]HISTOFEV24!$A$6:$AU$38,28,0)</f>
        <v>0</v>
      </c>
      <c r="V35" s="36">
        <f>VLOOKUP($A35,[24]HISTOFEV24!$A$6:$AU$38,19,0)</f>
        <v>0</v>
      </c>
      <c r="W35" s="36">
        <f>VLOOKUP($A35,[24]HISTOFEV24!$A$6:$AU$38,20,0)</f>
        <v>0</v>
      </c>
      <c r="X35" s="36">
        <f>VLOOKUP($A35,[24]HISTOFEV24!$A$6:$AU$38,27,0)</f>
        <v>0</v>
      </c>
      <c r="Y35" s="36">
        <f>VLOOKUP($A35,[24]HISTOFEV24!$A$6:$BM$38,33,0)</f>
        <v>0</v>
      </c>
      <c r="Z35" s="36">
        <f>VLOOKUP($A35,[24]HISTOFEV24!$A$6:$BM$38,65,0)</f>
        <v>0</v>
      </c>
      <c r="AA35" s="36"/>
      <c r="AB35" s="36">
        <f>VLOOKUP($A35,[24]HISTOFEV24!$A$6:$AU$38,43,0)</f>
        <v>0</v>
      </c>
      <c r="AC35" s="36">
        <f>VLOOKUP($A35,[24]HISTOFEV24!$A$6:$AU$38,44,0)</f>
        <v>0</v>
      </c>
      <c r="AD35" s="36">
        <f>VLOOKUP($A35,[24]HISTOFEV24!$A$6:$AU$38,47,0)</f>
        <v>0</v>
      </c>
      <c r="AE35" s="36">
        <f>VLOOKUP(A35,[24]HISTOFEV24!$A$6:$BB$38,54,0)</f>
        <v>0</v>
      </c>
      <c r="AF35" s="36">
        <f>VLOOKUP($A35,[24]HISTOFEV24!$A$6:$CB$38,60,0)</f>
        <v>0</v>
      </c>
      <c r="AG35" s="36">
        <f>VLOOKUP($A35,[24]HISTOFEV24!$A$6:$CB$38,61,0)</f>
        <v>0</v>
      </c>
      <c r="AH35" s="36">
        <f>VLOOKUP($A35,[24]HISTOFEV24!$A$6:$CB$38,62,0)</f>
        <v>0</v>
      </c>
      <c r="AI35" s="36">
        <f>VLOOKUP($A35,[24]HISTOFEV24!$A$6:$CB$38,63,0)</f>
        <v>0</v>
      </c>
      <c r="AJ35" s="36">
        <f>VLOOKUP($A35,[24]HISTOFEV24!$A$6:$CB$38,64,0)</f>
        <v>0</v>
      </c>
      <c r="AK35" s="36">
        <f>VLOOKUP($A35,[24]HISTOFEV24!$A$6:$CB$38,65,0)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MVTJANV24!I36-E36+L36</f>
        <v>799028.17277927208</v>
      </c>
      <c r="G36" s="5">
        <f>IF(MVTJANV24!I36+L36&gt;700000,(MVTJANV24!I36-E36+L36),0)</f>
        <v>799028.17277927208</v>
      </c>
      <c r="H36" s="36">
        <f t="shared" si="0"/>
        <v>785.42108260772443</v>
      </c>
      <c r="I36" s="6">
        <f t="shared" si="2"/>
        <v>799813.59386187978</v>
      </c>
      <c r="J36" s="36">
        <f>VLOOKUP($A36,[24]HISTOFEV24!$A$6:$AQ$42,22,0)</f>
        <v>0</v>
      </c>
      <c r="K36" s="36">
        <f>VLOOKUP($A36,[24]HISTOFEV24!$A$6:$AU$38,45,0)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3"/>
        <v>1000</v>
      </c>
      <c r="O36" s="36">
        <f t="shared" si="6"/>
        <v>4000</v>
      </c>
      <c r="P36" s="36">
        <f>VLOOKUP($A36,[24]HISTOFEV24!$A$6:$AU$38,7,0)</f>
        <v>0</v>
      </c>
      <c r="Q36" s="36">
        <f>VLOOKUP($A36,[24]HISTOFEV24!$A$6:$AU$38,23,0)</f>
        <v>0</v>
      </c>
      <c r="R36" s="36">
        <f>VLOOKUP($A36,[24]HISTOFEV24!$A$6:$AU$38,46,0)</f>
        <v>0</v>
      </c>
      <c r="S36" s="36">
        <f>VLOOKUP($A36,[24]HISTOFEV24!$A$6:$AU$38,26,0)</f>
        <v>0</v>
      </c>
      <c r="T36" s="36">
        <f>VLOOKUP($A36,[24]HISTOFEV24!$A$6:$BG$38,58,0)</f>
        <v>0</v>
      </c>
      <c r="U36" s="36">
        <f>VLOOKUP($A36,[24]HISTOFEV24!$A$6:$AU$38,28,0)</f>
        <v>0</v>
      </c>
      <c r="V36" s="36">
        <f>VLOOKUP($A36,[24]HISTOFEV24!$A$6:$AU$38,19,0)</f>
        <v>0</v>
      </c>
      <c r="W36" s="36">
        <f>VLOOKUP($A36,[24]HISTOFEV24!$A$6:$AU$38,20,0)</f>
        <v>0</v>
      </c>
      <c r="X36" s="36">
        <f>VLOOKUP($A36,[24]HISTOFEV24!$A$6:$AU$38,27,0)</f>
        <v>0</v>
      </c>
      <c r="Y36" s="36">
        <f>VLOOKUP($A36,[24]HISTOFEV24!$A$6:$BM$38,33,0)</f>
        <v>0</v>
      </c>
      <c r="Z36" s="36">
        <f>VLOOKUP($A36,[24]HISTOFEV24!$A$6:$BM$38,65,0)</f>
        <v>0</v>
      </c>
      <c r="AA36" s="36"/>
      <c r="AB36" s="36">
        <f>VLOOKUP($A36,[24]HISTOFEV24!$A$6:$AU$38,43,0)</f>
        <v>0</v>
      </c>
      <c r="AC36" s="36">
        <f>VLOOKUP($A36,[24]HISTOFEV24!$A$6:$AU$38,44,0)</f>
        <v>0</v>
      </c>
      <c r="AD36" s="36">
        <f>VLOOKUP($A36,[24]HISTOFEV24!$A$6:$AU$38,47,0)</f>
        <v>0</v>
      </c>
      <c r="AE36" s="36">
        <f>VLOOKUP(A36,[24]HISTOFEV24!$A$6:$BB$38,54,0)</f>
        <v>0</v>
      </c>
      <c r="AF36" s="36">
        <f>VLOOKUP($A36,[24]HISTOFEV24!$A$6:$CB$38,60,0)</f>
        <v>0</v>
      </c>
      <c r="AG36" s="36">
        <f>VLOOKUP($A36,[24]HISTOFEV24!$A$6:$CB$38,61,0)</f>
        <v>0</v>
      </c>
      <c r="AH36" s="36">
        <f>VLOOKUP($A36,[24]HISTOFEV24!$A$6:$CB$38,62,0)</f>
        <v>0</v>
      </c>
      <c r="AI36" s="36">
        <f>VLOOKUP($A36,[24]HISTOFEV24!$A$6:$CB$38,63,0)</f>
        <v>0</v>
      </c>
      <c r="AJ36" s="36">
        <f>VLOOKUP($A36,[24]HISTOFEV24!$A$6:$CB$38,64,0)</f>
        <v>0</v>
      </c>
      <c r="AK36" s="36">
        <f>VLOOKUP($A36,[24]HISTOFEV24!$A$6:$CB$38,65,0)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MVTJANV24!I37-E37+L37</f>
        <v>1845879.5133239396</v>
      </c>
      <c r="G37" s="5">
        <f>IF(MVTJANV24!I37+L37&gt;700000,(MVTJANV24!I37-E37+L37),0)</f>
        <v>1845879.5133239396</v>
      </c>
      <c r="H37" s="36">
        <f t="shared" si="0"/>
        <v>1814.4450159691764</v>
      </c>
      <c r="I37" s="6">
        <f t="shared" si="2"/>
        <v>1847693.9583399089</v>
      </c>
      <c r="J37" s="36">
        <f>VLOOKUP($A37,[24]HISTOFEV24!$A$6:$AQ$42,22,0)</f>
        <v>0</v>
      </c>
      <c r="K37" s="36">
        <f>VLOOKUP($A37,[24]HISTOFEV24!$A$6:$AU$38,45,0)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3"/>
        <v>1000</v>
      </c>
      <c r="O37" s="36">
        <f t="shared" si="6"/>
        <v>4000</v>
      </c>
      <c r="P37" s="36">
        <f>VLOOKUP($A37,[24]HISTOFEV24!$A$6:$AU$38,7,0)</f>
        <v>0</v>
      </c>
      <c r="Q37" s="36">
        <f>VLOOKUP($A37,[24]HISTOFEV24!$A$6:$AU$38,23,0)</f>
        <v>0</v>
      </c>
      <c r="R37" s="36">
        <f>VLOOKUP($A37,[24]HISTOFEV24!$A$6:$AU$38,46,0)</f>
        <v>0</v>
      </c>
      <c r="S37" s="36">
        <f>VLOOKUP($A37,[24]HISTOFEV24!$A$6:$AU$38,26,0)</f>
        <v>0</v>
      </c>
      <c r="T37" s="36">
        <f>VLOOKUP($A37,[24]HISTOFEV24!$A$6:$BG$38,58,0)</f>
        <v>0</v>
      </c>
      <c r="U37" s="36">
        <f>VLOOKUP($A37,[24]HISTOFEV24!$A$6:$AU$38,28,0)</f>
        <v>0</v>
      </c>
      <c r="V37" s="36">
        <f>VLOOKUP($A37,[24]HISTOFEV24!$A$6:$AU$38,19,0)</f>
        <v>0</v>
      </c>
      <c r="W37" s="36">
        <f>VLOOKUP($A37,[24]HISTOFEV24!$A$6:$AU$38,20,0)</f>
        <v>0</v>
      </c>
      <c r="X37" s="36">
        <f>VLOOKUP($A37,[24]HISTOFEV24!$A$6:$AU$38,27,0)</f>
        <v>0</v>
      </c>
      <c r="Y37" s="36">
        <f>VLOOKUP($A37,[24]HISTOFEV24!$A$6:$BM$38,33,0)</f>
        <v>0</v>
      </c>
      <c r="Z37" s="36">
        <f>VLOOKUP($A37,[24]HISTOFEV24!$A$6:$BM$38,65,0)</f>
        <v>0</v>
      </c>
      <c r="AA37" s="36"/>
      <c r="AB37" s="36">
        <f>VLOOKUP($A37,[24]HISTOFEV24!$A$6:$AU$38,43,0)</f>
        <v>0</v>
      </c>
      <c r="AC37" s="36">
        <f>VLOOKUP($A37,[24]HISTOFEV24!$A$6:$AU$38,44,0)</f>
        <v>0</v>
      </c>
      <c r="AD37" s="36">
        <f>VLOOKUP($A37,[24]HISTOFEV24!$A$6:$AU$38,47,0)</f>
        <v>0</v>
      </c>
      <c r="AE37" s="36">
        <f>VLOOKUP(A37,[24]HISTOFEV24!$A$6:$BB$38,54,0)</f>
        <v>0</v>
      </c>
      <c r="AF37" s="36">
        <f>VLOOKUP($A37,[24]HISTOFEV24!$A$6:$CB$38,60,0)</f>
        <v>0</v>
      </c>
      <c r="AG37" s="36">
        <f>VLOOKUP($A37,[24]HISTOFEV24!$A$6:$CB$38,61,0)</f>
        <v>0</v>
      </c>
      <c r="AH37" s="36">
        <f>VLOOKUP($A37,[24]HISTOFEV24!$A$6:$CB$38,62,0)</f>
        <v>0</v>
      </c>
      <c r="AI37" s="36">
        <f>VLOOKUP($A37,[24]HISTOFEV24!$A$6:$CB$38,63,0)</f>
        <v>0</v>
      </c>
      <c r="AJ37" s="36">
        <f>VLOOKUP($A37,[24]HISTOFEV24!$A$6:$CB$38,64,0)</f>
        <v>0</v>
      </c>
      <c r="AK37" s="36">
        <f>VLOOKUP($A37,[24]HISTOFEV24!$A$6:$CB$38,65,0)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MVTJANV24!I38-E38+L38</f>
        <v>38000</v>
      </c>
      <c r="G38" s="5">
        <f>IF(MVTJANV24!I38+L38&gt;700000,(MVTJANV24!I38-E38+L38),0)</f>
        <v>0</v>
      </c>
      <c r="H38" s="36">
        <f t="shared" si="0"/>
        <v>0</v>
      </c>
      <c r="I38" s="6">
        <f t="shared" si="2"/>
        <v>38000</v>
      </c>
      <c r="J38" s="36">
        <f>VLOOKUP($A38,[24]HISTOFEV24!$A$6:$AQ$42,22,0)</f>
        <v>0</v>
      </c>
      <c r="K38" s="36">
        <f>VLOOKUP($A38,[24]HISTOFEV24!$A$6:$AU$38,45,0)</f>
        <v>25000</v>
      </c>
      <c r="L38" s="36">
        <f t="shared" si="4"/>
        <v>19000</v>
      </c>
      <c r="M38" s="36">
        <f t="shared" si="5"/>
        <v>1000</v>
      </c>
      <c r="N38" s="36">
        <f t="shared" si="3"/>
        <v>1000</v>
      </c>
      <c r="O38" s="36">
        <f t="shared" si="6"/>
        <v>4000</v>
      </c>
      <c r="P38" s="36">
        <f>VLOOKUP($A38,[24]HISTOFEV24!$A$6:$AU$38,7,0)</f>
        <v>3000</v>
      </c>
      <c r="Q38" s="36">
        <f>VLOOKUP($A38,[24]HISTOFEV24!$A$6:$AU$38,23,0)</f>
        <v>0</v>
      </c>
      <c r="R38" s="36">
        <f>VLOOKUP($A38,[24]HISTOFEV24!$A$6:$AU$38,46,0)</f>
        <v>0</v>
      </c>
      <c r="S38" s="36">
        <f>VLOOKUP($A38,[24]HISTOFEV24!$A$6:$AU$38,26,0)</f>
        <v>0</v>
      </c>
      <c r="T38" s="36">
        <f>VLOOKUP($A38,[24]HISTOFEV24!$A$6:$BG$38,58,0)</f>
        <v>0</v>
      </c>
      <c r="U38" s="36">
        <f>VLOOKUP($A38,[24]HISTOFEV24!$A$6:$AU$38,28,0)</f>
        <v>0</v>
      </c>
      <c r="V38" s="36">
        <f>VLOOKUP($A38,[24]HISTOFEV24!$A$6:$AU$38,19,0)</f>
        <v>0</v>
      </c>
      <c r="W38" s="36">
        <f>VLOOKUP($A38,[24]HISTOFEV24!$A$6:$AU$38,20,0)</f>
        <v>0</v>
      </c>
      <c r="X38" s="36">
        <f>VLOOKUP($A38,[24]HISTOFEV24!$A$6:$AU$38,27,0)</f>
        <v>0</v>
      </c>
      <c r="Y38" s="36">
        <f>VLOOKUP($A38,[24]HISTOFEV24!$A$6:$BM$38,33,0)</f>
        <v>0</v>
      </c>
      <c r="Z38" s="36">
        <f>VLOOKUP($A38,[24]HISTOFEV24!$A$6:$BM$38,65,0)</f>
        <v>0</v>
      </c>
      <c r="AA38" s="36"/>
      <c r="AB38" s="36">
        <f>VLOOKUP($A38,[24]HISTOFEV24!$A$6:$AU$38,43,0)</f>
        <v>0</v>
      </c>
      <c r="AC38" s="36">
        <f>VLOOKUP($A38,[24]HISTOFEV24!$A$6:$AU$38,44,0)</f>
        <v>0</v>
      </c>
      <c r="AD38" s="36">
        <f>VLOOKUP($A38,[24]HISTOFEV24!$A$6:$AU$38,47,0)</f>
        <v>0</v>
      </c>
      <c r="AE38" s="36">
        <f>VLOOKUP(A38,[24]HISTOFEV24!$A$6:$BB$38,54,0)</f>
        <v>0</v>
      </c>
      <c r="AF38" s="36">
        <f>VLOOKUP($A38,[24]HISTOFEV24!$A$6:$CB$38,60,0)</f>
        <v>0</v>
      </c>
      <c r="AG38" s="36">
        <f>VLOOKUP($A38,[24]HISTOFEV24!$A$6:$CB$38,61,0)</f>
        <v>0</v>
      </c>
      <c r="AH38" s="36">
        <f>VLOOKUP($A38,[24]HISTOFEV24!$A$6:$CB$38,62,0)</f>
        <v>0</v>
      </c>
      <c r="AI38" s="36">
        <f>VLOOKUP($A38,[24]HISTOFEV24!$A$6:$CB$38,63,0)</f>
        <v>0</v>
      </c>
      <c r="AJ38" s="36">
        <f>VLOOKUP($A38,[24]HISTOFEV24!$A$6:$CB$38,64,0)</f>
        <v>0</v>
      </c>
      <c r="AK38" s="36">
        <f>VLOOKUP($A38,[24]HISTOFEV24!$A$6:$CB$38,65,0)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MVTJANV24!I39-E39+L39</f>
        <v>2009858.6944478874</v>
      </c>
      <c r="G39" s="5">
        <f>IF(MVTJANV24!I39+L39&gt;700000,(MVTJANV24!I39-E39+L39),0)</f>
        <v>2009858.6944478874</v>
      </c>
      <c r="H39" s="36">
        <f t="shared" si="0"/>
        <v>1975.6317054391077</v>
      </c>
      <c r="I39" s="6">
        <f t="shared" si="2"/>
        <v>2011834.3261533265</v>
      </c>
      <c r="J39" s="36">
        <f>VLOOKUP($A39,[24]HISTOFEV24!$A$6:$AQ$42,22,0)</f>
        <v>0</v>
      </c>
      <c r="K39" s="36">
        <f>VLOOKUP($A39,[24]HISTOFEV24!$A$6:$AU$38,45,0)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3"/>
        <v>1000</v>
      </c>
      <c r="O39" s="36">
        <f t="shared" si="6"/>
        <v>4000</v>
      </c>
      <c r="P39" s="36">
        <f>VLOOKUP($A39,[24]HISTOFEV24!$A$6:$AU$38,7,0)</f>
        <v>0</v>
      </c>
      <c r="Q39" s="36">
        <f>VLOOKUP($A39,[24]HISTOFEV24!$A$6:$AU$38,23,0)</f>
        <v>0</v>
      </c>
      <c r="R39" s="36">
        <f>VLOOKUP($A39,[24]HISTOFEV24!$A$6:$AU$38,46,0)</f>
        <v>0</v>
      </c>
      <c r="S39" s="36">
        <f>VLOOKUP($A39,[24]HISTOFEV24!$A$6:$AU$38,26,0)</f>
        <v>0</v>
      </c>
      <c r="T39" s="36">
        <f>VLOOKUP($A39,[24]HISTOFEV24!$A$6:$BG$38,58,0)</f>
        <v>0</v>
      </c>
      <c r="U39" s="36">
        <f>VLOOKUP($A39,[24]HISTOFEV24!$A$6:$AU$38,28,0)</f>
        <v>0</v>
      </c>
      <c r="V39" s="36">
        <f>VLOOKUP($A39,[24]HISTOFEV24!$A$6:$AU$38,19,0)</f>
        <v>0</v>
      </c>
      <c r="W39" s="36">
        <f>VLOOKUP($A39,[24]HISTOFEV24!$A$6:$AU$38,20,0)</f>
        <v>0</v>
      </c>
      <c r="X39" s="36">
        <f>VLOOKUP($A39,[24]HISTOFEV24!$A$6:$AU$38,27,0)</f>
        <v>0</v>
      </c>
      <c r="Y39" s="36">
        <f>VLOOKUP($A39,[24]HISTOFEV24!$A$6:$BM$38,33,0)</f>
        <v>0</v>
      </c>
      <c r="Z39" s="36">
        <f>VLOOKUP($A39,[24]HISTOFEV24!$A$6:$BM$38,65,0)</f>
        <v>0</v>
      </c>
      <c r="AA39" s="36"/>
      <c r="AB39" s="36">
        <f>VLOOKUP($A39,[24]HISTOFEV24!$A$6:$AU$38,43,0)</f>
        <v>0</v>
      </c>
      <c r="AC39" s="36">
        <f>VLOOKUP($A39,[24]HISTOFEV24!$A$6:$AU$38,44,0)</f>
        <v>0</v>
      </c>
      <c r="AD39" s="36">
        <f>VLOOKUP($A39,[24]HISTOFEV24!$A$6:$AU$38,47,0)</f>
        <v>0</v>
      </c>
      <c r="AE39" s="36">
        <f>VLOOKUP(A39,[24]HISTOFEV24!$A$6:$BB$38,54,0)</f>
        <v>0</v>
      </c>
      <c r="AF39" s="36">
        <f>VLOOKUP($A39,[24]HISTOFEV24!$A$6:$CB$38,60,0)</f>
        <v>0</v>
      </c>
      <c r="AG39" s="36">
        <f>VLOOKUP($A39,[24]HISTOFEV24!$A$6:$CB$38,61,0)</f>
        <v>0</v>
      </c>
      <c r="AH39" s="36">
        <f>VLOOKUP($A39,[24]HISTOFEV24!$A$6:$CB$38,62,0)</f>
        <v>0</v>
      </c>
      <c r="AI39" s="36">
        <f>VLOOKUP($A39,[24]HISTOFEV24!$A$6:$CB$38,63,0)</f>
        <v>0</v>
      </c>
      <c r="AJ39" s="36">
        <f>VLOOKUP($A39,[24]HISTOFEV24!$A$6:$CB$38,64,0)</f>
        <v>0</v>
      </c>
      <c r="AK39" s="36">
        <f>VLOOKUP($A39,[24]HISTOFEV24!$A$6:$CB$38,65,0)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1">SUM(C6:C40)</f>
        <v>0</v>
      </c>
      <c r="D41" s="9">
        <f t="shared" si="11"/>
        <v>0</v>
      </c>
      <c r="E41" s="9">
        <f t="shared" si="11"/>
        <v>0</v>
      </c>
      <c r="F41" s="9">
        <f t="shared" si="11"/>
        <v>27656656.073121924</v>
      </c>
      <c r="G41" s="9">
        <f t="shared" si="11"/>
        <v>26450439.073121924</v>
      </c>
      <c r="H41" s="36">
        <f t="shared" si="11"/>
        <v>25999.999999999996</v>
      </c>
      <c r="I41" s="9">
        <f t="shared" si="11"/>
        <v>27682656.073121924</v>
      </c>
      <c r="J41" s="9">
        <f t="shared" si="11"/>
        <v>0</v>
      </c>
      <c r="K41" s="9">
        <f t="shared" si="11"/>
        <v>912000</v>
      </c>
      <c r="L41" s="9">
        <f t="shared" si="11"/>
        <v>720000</v>
      </c>
      <c r="M41" s="9">
        <f t="shared" si="11"/>
        <v>32000</v>
      </c>
      <c r="N41" s="9">
        <f t="shared" si="11"/>
        <v>32000</v>
      </c>
      <c r="O41" s="9">
        <f t="shared" si="11"/>
        <v>128000</v>
      </c>
      <c r="P41" s="9">
        <f t="shared" si="11"/>
        <v>9000</v>
      </c>
      <c r="Q41" s="9">
        <f t="shared" si="11"/>
        <v>0</v>
      </c>
      <c r="R41" s="9">
        <f t="shared" si="11"/>
        <v>0</v>
      </c>
      <c r="S41" s="9">
        <f t="shared" si="11"/>
        <v>1000000</v>
      </c>
      <c r="T41" s="9">
        <f t="shared" si="11"/>
        <v>26000</v>
      </c>
      <c r="U41" s="9">
        <f t="shared" si="11"/>
        <v>0</v>
      </c>
      <c r="V41" s="9">
        <f t="shared" si="11"/>
        <v>1000000</v>
      </c>
      <c r="W41" s="9">
        <f t="shared" si="11"/>
        <v>0</v>
      </c>
      <c r="X41" s="9">
        <f t="shared" si="11"/>
        <v>0</v>
      </c>
      <c r="Y41" s="9">
        <f t="shared" si="11"/>
        <v>0</v>
      </c>
      <c r="Z41" s="9">
        <f t="shared" si="11"/>
        <v>0</v>
      </c>
      <c r="AA41" s="9">
        <f t="shared" si="11"/>
        <v>0</v>
      </c>
      <c r="AB41" s="9">
        <f t="shared" si="11"/>
        <v>0</v>
      </c>
      <c r="AC41" s="9">
        <f t="shared" si="11"/>
        <v>0</v>
      </c>
      <c r="AD41" s="9">
        <f t="shared" si="11"/>
        <v>0</v>
      </c>
      <c r="AE41" s="9">
        <f t="shared" si="11"/>
        <v>0</v>
      </c>
      <c r="AF41" s="9">
        <f t="shared" si="11"/>
        <v>27000</v>
      </c>
      <c r="AG41" s="9">
        <f t="shared" si="11"/>
        <v>0</v>
      </c>
      <c r="AH41" s="9">
        <f t="shared" si="11"/>
        <v>100000</v>
      </c>
      <c r="AI41" s="9">
        <f t="shared" si="11"/>
        <v>100000</v>
      </c>
      <c r="AJ41" s="9">
        <f t="shared" si="11"/>
        <v>0</v>
      </c>
      <c r="AK41" s="9">
        <f t="shared" si="11"/>
        <v>0</v>
      </c>
      <c r="AL41" s="9">
        <f t="shared" si="11"/>
        <v>0</v>
      </c>
    </row>
    <row r="44" spans="1:38" x14ac:dyDescent="0.35">
      <c r="G44" s="2"/>
    </row>
  </sheetData>
  <autoFilter ref="A5:V39" xr:uid="{00000000-0009-0000-0000-000007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44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A8" sqref="A8:XFD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77">
        <v>45368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VLOOKUP($A6,[24]HISTOMARS24!$A$6:$BA$38,48,0)</f>
        <v>0</v>
      </c>
      <c r="F6" s="36">
        <f>MVTFEV24!I6-E6+L6</f>
        <v>941790.32001346222</v>
      </c>
      <c r="G6" s="5">
        <f>IF(MVTFEV24!I6+L6&gt;700000,(MVTFEV24!I6-E6+L6),0)</f>
        <v>941790.32001346222</v>
      </c>
      <c r="H6" s="36">
        <f t="shared" ref="H6:H39" si="0">$T$41/$G$41*G6</f>
        <v>3213.4786841686214</v>
      </c>
      <c r="I6" s="6">
        <f>F6+H6</f>
        <v>945003.79869763087</v>
      </c>
      <c r="J6" s="36">
        <f>VLOOKUP($A6,[24]HISTOMARS24!$A$6:$AQ$42,22,0)</f>
        <v>0</v>
      </c>
      <c r="K6" s="36">
        <f>VLOOKUP($A6,[24]HISTOMARS24!$A$6:$AU$38,45,0)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VLOOKUP($A6,[24]HISTOMARS24!$A$6:$AU$38,7,0)</f>
        <v>0</v>
      </c>
      <c r="Q6" s="36">
        <f>VLOOKUP($A6,[24]HISTOMARS24!$A$6:$AU$38,23,0)</f>
        <v>0</v>
      </c>
      <c r="R6" s="36">
        <f>VLOOKUP($A6,[24]HISTOMARS24!$A$6:$AU$38,46,0)</f>
        <v>0</v>
      </c>
      <c r="S6" s="36">
        <f>VLOOKUP($A6,[24]HISTOMARS24!$A$6:$AU$38,26,0)</f>
        <v>0</v>
      </c>
      <c r="T6" s="36">
        <f>VLOOKUP($A6,[24]HISTOMARS24!$A$6:$BG$38,58,0)</f>
        <v>0</v>
      </c>
      <c r="U6" s="36">
        <f>VLOOKUP($A6,[24]HISTOMARS24!$A$6:$AU$38,28,0)</f>
        <v>0</v>
      </c>
      <c r="V6" s="36">
        <f>VLOOKUP($A6,[24]HISTOMARS24!$A$6:$AU$38,19,0)</f>
        <v>0</v>
      </c>
      <c r="W6" s="36">
        <f>VLOOKUP($A6,[24]HISTOMARS24!$A$6:$AU$38,20,0)</f>
        <v>0</v>
      </c>
      <c r="X6" s="36">
        <f>VLOOKUP($A6,[24]HISTOMARS24!$A$6:$AU$38,27,0)</f>
        <v>0</v>
      </c>
      <c r="Y6" s="36">
        <f>VLOOKUP($A6,[24]HISTOMARS24!$A$6:$BM$38,33,0)</f>
        <v>0</v>
      </c>
      <c r="Z6" s="36">
        <f>VLOOKUP($A6,[24]HISTOMARS24!$A$6:$BM$38,65,0)</f>
        <v>0</v>
      </c>
      <c r="AA6" s="36"/>
      <c r="AB6" s="36">
        <f>VLOOKUP($A6,[24]HISTOMARS24!$A$6:$AU$38,43,0)</f>
        <v>0</v>
      </c>
      <c r="AC6" s="36">
        <f>VLOOKUP($A6,[24]HISTOMARS24!$A$6:$AU$38,44,0)</f>
        <v>0</v>
      </c>
      <c r="AD6" s="36">
        <f>VLOOKUP($A6,[24]HISTOMARS24!$A$6:$AU$38,47,0)</f>
        <v>0</v>
      </c>
      <c r="AE6" s="36">
        <f>VLOOKUP(A6,[24]HISTOMARS24!$A$6:$BB$38,54,0)</f>
        <v>0</v>
      </c>
      <c r="AF6" s="36">
        <f>VLOOKUP($A6,[24]HISTOMARS24!$A$6:$CB$38,60,0)</f>
        <v>48000</v>
      </c>
      <c r="AG6" s="36">
        <f>VLOOKUP($A6,[24]HISTOMARS24!$A$6:$CB$38,61,0)</f>
        <v>0</v>
      </c>
      <c r="AH6" s="36">
        <f>VLOOKUP($A6,[24]HISTOMARS24!$A$6:$CB$38,62,0)</f>
        <v>0</v>
      </c>
      <c r="AI6" s="36">
        <f>VLOOKUP($A6,[24]HISTOMARS24!$A$6:$CB$38,63,0)</f>
        <v>0</v>
      </c>
      <c r="AJ6" s="36">
        <f>VLOOKUP($A6,[24]HISTOMARS24!$A$6:$CB$38,64,0)</f>
        <v>0</v>
      </c>
      <c r="AK6" s="36">
        <f>VLOOKUP($A6,[24]HISTOMARS24!$A$6:$CB$38,65,0)</f>
        <v>0</v>
      </c>
      <c r="AL6" s="36">
        <f>VLOOKUP($A6,[24]HISTOMARS24!$A$6:$CB$38,66,0)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VLOOKUP($A7,[24]HISTOMARS24!$A$6:$BA$38,48,0)</f>
        <v>0</v>
      </c>
      <c r="F7" s="36">
        <f>MVTFEV24!I7-E7+L7</f>
        <v>758186.28063400008</v>
      </c>
      <c r="G7" s="5">
        <f>IF(MVTFEV24!I7+L7&gt;700000,(MVTFEV24!I7-E7+L7),0)</f>
        <v>758186.28063400008</v>
      </c>
      <c r="H7" s="36">
        <f t="shared" si="0"/>
        <v>2587.0041342234449</v>
      </c>
      <c r="I7" s="6">
        <f t="shared" ref="I7:I39" si="2">F7+H7</f>
        <v>760773.28476822353</v>
      </c>
      <c r="J7" s="36">
        <f>VLOOKUP($A7,[24]HISTOMARS24!$A$6:$AQ$42,22,0)</f>
        <v>0</v>
      </c>
      <c r="K7" s="36">
        <f>VLOOKUP($A7,[24]HISTOMARS24!$A$6:$AU$38,45,0)</f>
        <v>47000</v>
      </c>
      <c r="L7" s="36">
        <f>IF(K7=0,0,K7-(M7+N7+O7))</f>
        <v>41000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VLOOKUP($A7,[24]HISTOMARS24!$A$6:$AU$38,7,0)</f>
        <v>0</v>
      </c>
      <c r="Q7" s="36">
        <f>VLOOKUP($A7,[24]HISTOMARS24!$A$6:$AU$38,23,0)</f>
        <v>0</v>
      </c>
      <c r="R7" s="36">
        <f>VLOOKUP($A7,[24]HISTOMARS24!$A$6:$AU$38,46,0)</f>
        <v>0</v>
      </c>
      <c r="S7" s="36">
        <f>VLOOKUP($A7,[24]HISTOMARS24!$A$6:$AU$38,26,0)</f>
        <v>0</v>
      </c>
      <c r="T7" s="36">
        <f>VLOOKUP($A7,[24]HISTOMARS24!$A$6:$BG$38,58,0)</f>
        <v>6000</v>
      </c>
      <c r="U7" s="36">
        <f>VLOOKUP($A7,[24]HISTOMARS24!$A$6:$AU$38,28,0)</f>
        <v>0</v>
      </c>
      <c r="V7" s="36">
        <f>VLOOKUP($A7,[24]HISTOMARS24!$A$6:$AU$38,19,0)</f>
        <v>0</v>
      </c>
      <c r="W7" s="36">
        <f>VLOOKUP($A7,[24]HISTOMARS24!$A$6:$AU$38,20,0)</f>
        <v>0</v>
      </c>
      <c r="X7" s="36">
        <f>VLOOKUP($A7,[24]HISTOMARS24!$A$6:$AU$38,27,0)</f>
        <v>0</v>
      </c>
      <c r="Y7" s="36">
        <f>VLOOKUP($A7,[24]HISTOMARS24!$A$6:$BM$38,33,0)</f>
        <v>0</v>
      </c>
      <c r="Z7" s="36">
        <f>VLOOKUP($A7,[24]HISTOMARS24!$A$6:$BM$38,65,0)</f>
        <v>0</v>
      </c>
      <c r="AA7" s="36"/>
      <c r="AB7" s="36">
        <f>VLOOKUP($A7,[24]HISTOMARS24!$A$6:$AU$38,43,0)</f>
        <v>0</v>
      </c>
      <c r="AC7" s="36">
        <f>VLOOKUP($A7,[24]HISTOMARS24!$A$6:$AU$38,44,0)</f>
        <v>0</v>
      </c>
      <c r="AD7" s="36">
        <f>VLOOKUP($A7,[24]HISTOMARS24!$A$6:$AU$38,47,0)</f>
        <v>0</v>
      </c>
      <c r="AE7" s="36">
        <f>VLOOKUP(A7,[24]HISTOMARS24!$A$6:$BB$38,54,0)</f>
        <v>0</v>
      </c>
      <c r="AF7" s="36">
        <f>VLOOKUP($A7,[24]HISTOMARS24!$A$6:$CB$38,60,0)</f>
        <v>0</v>
      </c>
      <c r="AG7" s="36">
        <f>VLOOKUP($A7,[24]HISTOMARS24!$A$6:$CB$38,61,0)</f>
        <v>0</v>
      </c>
      <c r="AH7" s="36">
        <f>VLOOKUP($A7,[24]HISTOMARS24!$A$6:$CB$38,62,0)</f>
        <v>0</v>
      </c>
      <c r="AI7" s="36">
        <f>VLOOKUP($A7,[24]HISTOMARS24!$A$6:$CB$38,63,0)</f>
        <v>0</v>
      </c>
      <c r="AJ7" s="36">
        <f>VLOOKUP($A7,[24]HISTOMARS24!$A$6:$CB$38,64,0)</f>
        <v>0</v>
      </c>
      <c r="AK7" s="36">
        <f>VLOOKUP($A7,[24]HISTOMARS24!$A$6:$CB$38,65,0)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VLOOKUP($A8,[24]HISTOMARS24!$A$6:$BA$38,48,0)</f>
        <v>0</v>
      </c>
      <c r="F8" s="36">
        <f>MVTFEV24!I8-E8+L8</f>
        <v>797850.59805151948</v>
      </c>
      <c r="G8" s="5">
        <f>IF(MVTFEV24!I8+L8&gt;700000,(MVTFEV24!I8-E8+L8),0)</f>
        <v>797850.59805151948</v>
      </c>
      <c r="H8" s="36">
        <f t="shared" si="0"/>
        <v>2722.342580409083</v>
      </c>
      <c r="I8" s="6">
        <f t="shared" si="2"/>
        <v>800572.94063192862</v>
      </c>
      <c r="J8" s="36">
        <f>VLOOKUP($A8,[24]HISTOMARS24!$A$6:$AQ$42,22,0)</f>
        <v>0</v>
      </c>
      <c r="K8" s="36">
        <f>VLOOKUP($A8,[24]HISTOMARS24!$A$6:$AU$38,45,0)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VLOOKUP($A8,[24]HISTOMARS24!$A$6:$AU$38,7,0)</f>
        <v>0</v>
      </c>
      <c r="Q8" s="36">
        <f>VLOOKUP($A8,[24]HISTOMARS24!$A$6:$AU$38,23,0)</f>
        <v>0</v>
      </c>
      <c r="R8" s="36">
        <f>VLOOKUP($A8,[24]HISTOMARS24!$A$6:$AU$38,46,0)</f>
        <v>0</v>
      </c>
      <c r="S8" s="36">
        <f>VLOOKUP($A8,[24]HISTOMARS24!$A$6:$AU$38,26,0)</f>
        <v>0</v>
      </c>
      <c r="T8" s="36">
        <f>VLOOKUP($A8,[24]HISTOMARS24!$A$6:$BG$38,58,0)</f>
        <v>25000</v>
      </c>
      <c r="U8" s="36">
        <f>VLOOKUP($A8,[24]HISTOMARS24!$A$6:$AU$38,28,0)</f>
        <v>0</v>
      </c>
      <c r="V8" s="36">
        <f>VLOOKUP($A8,[24]HISTOMARS24!$A$6:$AU$38,19,0)</f>
        <v>0</v>
      </c>
      <c r="W8" s="36">
        <f>VLOOKUP($A8,[24]HISTOMARS24!$A$6:$AU$38,20,0)</f>
        <v>0</v>
      </c>
      <c r="X8" s="36">
        <f>VLOOKUP($A8,[24]HISTOMARS24!$A$6:$AU$38,27,0)</f>
        <v>0</v>
      </c>
      <c r="Y8" s="36">
        <f>VLOOKUP($A8,[24]HISTOMARS24!$A$6:$BM$38,33,0)</f>
        <v>0</v>
      </c>
      <c r="Z8" s="36">
        <f>VLOOKUP($A8,[24]HISTOMARS24!$A$6:$BM$38,65,0)</f>
        <v>0</v>
      </c>
      <c r="AA8" s="36"/>
      <c r="AB8" s="36">
        <f>VLOOKUP($A8,[24]HISTOMARS24!$A$6:$AU$38,43,0)</f>
        <v>0</v>
      </c>
      <c r="AC8" s="36">
        <f>VLOOKUP($A8,[24]HISTOMARS24!$A$6:$AU$38,44,0)</f>
        <v>0</v>
      </c>
      <c r="AD8" s="36">
        <f>VLOOKUP($A8,[24]HISTOMARS24!$A$6:$AU$38,47,0)</f>
        <v>0</v>
      </c>
      <c r="AE8" s="36">
        <f>VLOOKUP(A8,[24]HISTOMARS24!$A$6:$BB$38,54,0)</f>
        <v>0</v>
      </c>
      <c r="AF8" s="36">
        <f>VLOOKUP($A8,[24]HISTOMARS24!$A$6:$CB$38,60,0)</f>
        <v>0</v>
      </c>
      <c r="AG8" s="36">
        <f>VLOOKUP($A8,[24]HISTOMARS24!$A$6:$CB$38,61,0)</f>
        <v>0</v>
      </c>
      <c r="AH8" s="36">
        <f>VLOOKUP($A8,[24]HISTOMARS24!$A$6:$CB$38,62,0)</f>
        <v>0</v>
      </c>
      <c r="AI8" s="36">
        <f>VLOOKUP($A8,[24]HISTOMARS24!$A$6:$CB$38,63,0)</f>
        <v>0</v>
      </c>
      <c r="AJ8" s="36">
        <f>VLOOKUP($A8,[24]HISTOMARS24!$A$6:$CB$38,64,0)</f>
        <v>0</v>
      </c>
      <c r="AK8" s="36">
        <f>VLOOKUP($A8,[24]HISTOMARS24!$A$6:$CB$38,65,0)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VLOOKUP($A9,[24]HISTOMARS24!$A$6:$BA$38,48,0)</f>
        <v>0</v>
      </c>
      <c r="F9" s="36">
        <f>MVTFEV24!I9-E9+L9</f>
        <v>857502.58098785905</v>
      </c>
      <c r="G9" s="5">
        <f>IF(MVTFEV24!I9+L9&gt;700000,(MVTFEV24!I9-E9+L9),0)</f>
        <v>857502.58098785905</v>
      </c>
      <c r="H9" s="36">
        <f t="shared" si="0"/>
        <v>2925.8808538026524</v>
      </c>
      <c r="I9" s="6">
        <f t="shared" si="2"/>
        <v>860428.46184166172</v>
      </c>
      <c r="J9" s="36">
        <f>VLOOKUP($A9,[24]HISTOMARS24!$A$6:$AQ$42,22,0)</f>
        <v>0</v>
      </c>
      <c r="K9" s="36">
        <f>VLOOKUP($A9,[24]HISTOMARS24!$A$6:$AU$38,45,0)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VLOOKUP($A9,[24]HISTOMARS24!$A$6:$AU$38,7,0)</f>
        <v>0</v>
      </c>
      <c r="Q9" s="36">
        <f>VLOOKUP($A9,[24]HISTOMARS24!$A$6:$AU$38,23,0)</f>
        <v>0</v>
      </c>
      <c r="R9" s="36">
        <f>VLOOKUP($A9,[24]HISTOMARS24!$A$6:$AU$38,46,0)</f>
        <v>0</v>
      </c>
      <c r="S9" s="36">
        <f>VLOOKUP($A9,[24]HISTOMARS24!$A$6:$AU$38,26,0)</f>
        <v>0</v>
      </c>
      <c r="T9" s="36">
        <f>VLOOKUP($A9,[24]HISTOMARS24!$A$6:$BG$38,58,0)</f>
        <v>0</v>
      </c>
      <c r="U9" s="36">
        <f>VLOOKUP($A9,[24]HISTOMARS24!$A$6:$AU$38,28,0)</f>
        <v>0</v>
      </c>
      <c r="V9" s="36">
        <f>VLOOKUP($A9,[24]HISTOMARS24!$A$6:$AU$38,19,0)</f>
        <v>0</v>
      </c>
      <c r="W9" s="36">
        <f>VLOOKUP($A9,[24]HISTOMARS24!$A$6:$AU$38,20,0)</f>
        <v>0</v>
      </c>
      <c r="X9" s="36">
        <f>VLOOKUP($A9,[24]HISTOMARS24!$A$6:$AU$38,27,0)</f>
        <v>0</v>
      </c>
      <c r="Y9" s="36">
        <f>VLOOKUP($A9,[24]HISTOMARS24!$A$6:$BM$38,33,0)</f>
        <v>0</v>
      </c>
      <c r="Z9" s="36">
        <f>VLOOKUP($A9,[24]HISTOMARS24!$A$6:$BM$38,65,0)</f>
        <v>0</v>
      </c>
      <c r="AA9" s="36"/>
      <c r="AB9" s="36">
        <f>VLOOKUP($A9,[24]HISTOMARS24!$A$6:$AU$38,43,0)</f>
        <v>0</v>
      </c>
      <c r="AC9" s="36">
        <f>VLOOKUP($A9,[24]HISTOMARS24!$A$6:$AU$38,44,0)</f>
        <v>0</v>
      </c>
      <c r="AD9" s="36">
        <f>VLOOKUP($A9,[24]HISTOMARS24!$A$6:$AU$38,47,0)</f>
        <v>0</v>
      </c>
      <c r="AE9" s="36">
        <f>VLOOKUP(A9,[24]HISTOMARS24!$A$6:$BB$38,54,0)</f>
        <v>0</v>
      </c>
      <c r="AF9" s="36">
        <f>VLOOKUP($A9,[24]HISTOMARS24!$A$6:$CB$38,60,0)</f>
        <v>0</v>
      </c>
      <c r="AG9" s="36">
        <f>VLOOKUP($A9,[24]HISTOMARS24!$A$6:$CB$38,61,0)</f>
        <v>0</v>
      </c>
      <c r="AH9" s="36">
        <f>VLOOKUP($A9,[24]HISTOMARS24!$A$6:$CB$38,62,0)</f>
        <v>0</v>
      </c>
      <c r="AI9" s="36">
        <f>VLOOKUP($A9,[24]HISTOMARS24!$A$6:$CB$38,63,0)</f>
        <v>0</v>
      </c>
      <c r="AJ9" s="36">
        <f>VLOOKUP($A9,[24]HISTOMARS24!$A$6:$CB$38,64,0)</f>
        <v>0</v>
      </c>
      <c r="AK9" s="36">
        <f>VLOOKUP($A9,[24]HISTOMARS24!$A$6:$CB$38,65,0)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VLOOKUP($A10,[24]HISTOMARS24!$A$6:$BA$38,48,0)</f>
        <v>0</v>
      </c>
      <c r="F10" s="36">
        <f>MVTFEV24!I10-E10+L10</f>
        <v>795131.40556600061</v>
      </c>
      <c r="G10" s="5">
        <f>IF(MVTFEV24!I10+L10&gt;700000,(MVTFEV24!I10-E10+L10),0)</f>
        <v>795131.40556600061</v>
      </c>
      <c r="H10" s="36">
        <f t="shared" si="0"/>
        <v>2713.0644354710021</v>
      </c>
      <c r="I10" s="6">
        <f t="shared" si="2"/>
        <v>797844.47000147158</v>
      </c>
      <c r="J10" s="36">
        <f>VLOOKUP($A10,[24]HISTOMARS24!$A$6:$AQ$42,22,0)</f>
        <v>0</v>
      </c>
      <c r="K10" s="36">
        <f>VLOOKUP($A10,[24]HISTOMARS24!$A$6:$AU$38,45,0)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VLOOKUP($A10,[24]HISTOMARS24!$A$6:$AU$38,7,0)</f>
        <v>0</v>
      </c>
      <c r="Q10" s="36">
        <f>VLOOKUP($A10,[24]HISTOMARS24!$A$6:$AU$38,23,0)</f>
        <v>0</v>
      </c>
      <c r="R10" s="36">
        <f>VLOOKUP($A10,[24]HISTOMARS24!$A$6:$AU$38,46,0)</f>
        <v>0</v>
      </c>
      <c r="S10" s="36">
        <f>VLOOKUP($A10,[24]HISTOMARS24!$A$6:$AU$38,26,0)</f>
        <v>0</v>
      </c>
      <c r="T10" s="36">
        <f>VLOOKUP($A10,[24]HISTOMARS24!$A$6:$BG$38,58,0)</f>
        <v>0</v>
      </c>
      <c r="U10" s="36">
        <f>VLOOKUP($A10,[24]HISTOMARS24!$A$6:$AU$38,28,0)</f>
        <v>0</v>
      </c>
      <c r="V10" s="36">
        <f>VLOOKUP($A10,[24]HISTOMARS24!$A$6:$AU$38,19,0)</f>
        <v>0</v>
      </c>
      <c r="W10" s="36">
        <f>VLOOKUP($A10,[24]HISTOMARS24!$A$6:$AU$38,20,0)</f>
        <v>0</v>
      </c>
      <c r="X10" s="36">
        <f>VLOOKUP($A10,[24]HISTOMARS24!$A$6:$AU$38,27,0)</f>
        <v>0</v>
      </c>
      <c r="Y10" s="36">
        <f>VLOOKUP($A10,[24]HISTOMARS24!$A$6:$BM$38,33,0)</f>
        <v>0</v>
      </c>
      <c r="Z10" s="36">
        <f>VLOOKUP($A10,[24]HISTOMARS24!$A$6:$BM$38,65,0)</f>
        <v>0</v>
      </c>
      <c r="AA10" s="36"/>
      <c r="AB10" s="36">
        <f>VLOOKUP($A10,[24]HISTOMARS24!$A$6:$AU$38,43,0)</f>
        <v>0</v>
      </c>
      <c r="AC10" s="36">
        <f>VLOOKUP($A10,[24]HISTOMARS24!$A$6:$AU$38,44,0)</f>
        <v>0</v>
      </c>
      <c r="AD10" s="36">
        <f>VLOOKUP($A10,[24]HISTOMARS24!$A$6:$AU$38,47,0)</f>
        <v>0</v>
      </c>
      <c r="AE10" s="36">
        <f>VLOOKUP(A10,[24]HISTOMARS24!$A$6:$BB$38,54,0)</f>
        <v>0</v>
      </c>
      <c r="AF10" s="36">
        <f>VLOOKUP($A10,[24]HISTOMARS24!$A$6:$CB$38,60,0)</f>
        <v>0</v>
      </c>
      <c r="AG10" s="36">
        <f>VLOOKUP($A10,[24]HISTOMARS24!$A$6:$CB$38,61,0)</f>
        <v>0</v>
      </c>
      <c r="AH10" s="36">
        <f>VLOOKUP($A10,[24]HISTOMARS24!$A$6:$CB$38,62,0)</f>
        <v>0</v>
      </c>
      <c r="AI10" s="36">
        <f>VLOOKUP($A10,[24]HISTOMARS24!$A$6:$CB$38,63,0)</f>
        <v>0</v>
      </c>
      <c r="AJ10" s="36">
        <f>VLOOKUP($A10,[24]HISTOMARS24!$A$6:$CB$38,64,0)</f>
        <v>0</v>
      </c>
      <c r="AK10" s="36">
        <f>VLOOKUP($A10,[24]HISTOMARS24!$A$6:$CB$38,65,0)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VLOOKUP($A11,[24]HISTOMARS24!$A$6:$BA$38,48,0)</f>
        <v>0</v>
      </c>
      <c r="F11" s="36">
        <f>MVTFEV24!I11-E11+L11</f>
        <v>803152.07294801576</v>
      </c>
      <c r="G11" s="5">
        <f>IF(MVTFEV24!I11+L11&gt;700000,(MVTFEV24!I11-E11+L11),0)</f>
        <v>803152.07294801576</v>
      </c>
      <c r="H11" s="36">
        <f t="shared" si="0"/>
        <v>2740.4317200110936</v>
      </c>
      <c r="I11" s="6">
        <f t="shared" si="2"/>
        <v>805892.50466802681</v>
      </c>
      <c r="J11" s="36">
        <f>VLOOKUP($A11,[24]HISTOMARS24!$A$6:$AQ$42,22,0)</f>
        <v>0</v>
      </c>
      <c r="K11" s="36">
        <f>VLOOKUP($A11,[24]HISTOMARS24!$A$6:$AU$38,45,0)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VLOOKUP($A11,[24]HISTOMARS24!$A$6:$AU$38,7,0)</f>
        <v>0</v>
      </c>
      <c r="Q11" s="36">
        <f>VLOOKUP($A11,[24]HISTOMARS24!$A$6:$AU$38,23,0)</f>
        <v>0</v>
      </c>
      <c r="R11" s="36">
        <f>VLOOKUP($A11,[24]HISTOMARS24!$A$6:$AU$38,46,0)</f>
        <v>0</v>
      </c>
      <c r="S11" s="36">
        <f>VLOOKUP($A11,[24]HISTOMARS24!$A$6:$AU$38,26,0)</f>
        <v>0</v>
      </c>
      <c r="T11" s="36">
        <f>VLOOKUP($A11,[24]HISTOMARS24!$A$6:$BG$38,58,0)</f>
        <v>0</v>
      </c>
      <c r="U11" s="36">
        <f>VLOOKUP($A11,[24]HISTOMARS24!$A$6:$AU$38,28,0)</f>
        <v>0</v>
      </c>
      <c r="V11" s="36">
        <f>VLOOKUP($A11,[24]HISTOMARS24!$A$6:$AU$38,19,0)</f>
        <v>0</v>
      </c>
      <c r="W11" s="36">
        <f>VLOOKUP($A11,[24]HISTOMARS24!$A$6:$AU$38,20,0)</f>
        <v>0</v>
      </c>
      <c r="X11" s="36">
        <f>VLOOKUP($A11,[24]HISTOMARS24!$A$6:$AU$38,27,0)</f>
        <v>0</v>
      </c>
      <c r="Y11" s="36">
        <f>VLOOKUP($A11,[24]HISTOMARS24!$A$6:$BM$38,33,0)</f>
        <v>0</v>
      </c>
      <c r="Z11" s="36">
        <f>VLOOKUP($A11,[24]HISTOMARS24!$A$6:$BM$38,65,0)</f>
        <v>0</v>
      </c>
      <c r="AA11" s="36"/>
      <c r="AB11" s="36">
        <f>VLOOKUP($A11,[24]HISTOMARS24!$A$6:$AU$38,43,0)</f>
        <v>0</v>
      </c>
      <c r="AC11" s="36">
        <f>VLOOKUP($A11,[24]HISTOMARS24!$A$6:$AU$38,44,0)</f>
        <v>0</v>
      </c>
      <c r="AD11" s="36">
        <f>VLOOKUP($A11,[24]HISTOMARS24!$A$6:$AU$38,47,0)</f>
        <v>0</v>
      </c>
      <c r="AE11" s="36">
        <f>VLOOKUP(A11,[24]HISTOMARS24!$A$6:$BB$38,54,0)</f>
        <v>0</v>
      </c>
      <c r="AF11" s="36">
        <f>VLOOKUP($A11,[24]HISTOMARS24!$A$6:$CB$38,60,0)</f>
        <v>0</v>
      </c>
      <c r="AG11" s="36">
        <f>VLOOKUP($A11,[24]HISTOMARS24!$A$6:$CB$38,61,0)</f>
        <v>0</v>
      </c>
      <c r="AH11" s="36">
        <f>VLOOKUP($A11,[24]HISTOMARS24!$A$6:$CB$38,62,0)</f>
        <v>0</v>
      </c>
      <c r="AI11" s="36">
        <f>VLOOKUP($A11,[24]HISTOMARS24!$A$6:$CB$38,63,0)</f>
        <v>0</v>
      </c>
      <c r="AJ11" s="36">
        <f>VLOOKUP($A11,[24]HISTOMARS24!$A$6:$CB$38,64,0)</f>
        <v>0</v>
      </c>
      <c r="AK11" s="36">
        <f>VLOOKUP($A11,[24]HISTOMARS24!$A$6:$CB$38,65,0)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VLOOKUP($A12,[24]HISTOMARS24!$A$6:$BA$38,48,0)</f>
        <v>0</v>
      </c>
      <c r="F12" s="36">
        <f>MVTFEV24!I12-E12+L12</f>
        <v>831283.62280298641</v>
      </c>
      <c r="G12" s="5">
        <f>IF(MVTFEV24!I12+L12&gt;700000,(MVTFEV24!I12-E12+L12),0)</f>
        <v>831283.62280298641</v>
      </c>
      <c r="H12" s="36">
        <f t="shared" si="0"/>
        <v>2836.4192597962578</v>
      </c>
      <c r="I12" s="6">
        <f t="shared" si="2"/>
        <v>834120.04206278268</v>
      </c>
      <c r="J12" s="36">
        <f>VLOOKUP($A12,[24]HISTOMARS24!$A$6:$AQ$42,22,0)</f>
        <v>0</v>
      </c>
      <c r="K12" s="36">
        <f>VLOOKUP($A12,[24]HISTOMARS24!$A$6:$AU$38,45,0)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VLOOKUP($A12,[24]HISTOMARS24!$A$6:$AU$38,7,0)</f>
        <v>0</v>
      </c>
      <c r="Q12" s="36">
        <f>VLOOKUP($A12,[24]HISTOMARS24!$A$6:$AU$38,23,0)</f>
        <v>0</v>
      </c>
      <c r="R12" s="36">
        <f>VLOOKUP($A12,[24]HISTOMARS24!$A$6:$AU$38,46,0)</f>
        <v>0</v>
      </c>
      <c r="S12" s="36">
        <f>VLOOKUP($A12,[24]HISTOMARS24!$A$6:$AU$38,26,0)</f>
        <v>0</v>
      </c>
      <c r="T12" s="36">
        <f>VLOOKUP($A12,[24]HISTOMARS24!$A$6:$BG$38,58,0)</f>
        <v>0</v>
      </c>
      <c r="U12" s="36">
        <f>VLOOKUP($A12,[24]HISTOMARS24!$A$6:$AU$38,28,0)</f>
        <v>0</v>
      </c>
      <c r="V12" s="36">
        <f>VLOOKUP($A12,[24]HISTOMARS24!$A$6:$AU$38,19,0)</f>
        <v>0</v>
      </c>
      <c r="W12" s="36">
        <f>VLOOKUP($A12,[24]HISTOMARS24!$A$6:$AU$38,20,0)</f>
        <v>0</v>
      </c>
      <c r="X12" s="36">
        <f>VLOOKUP($A12,[24]HISTOMARS24!$A$6:$AU$38,27,0)</f>
        <v>0</v>
      </c>
      <c r="Y12" s="36">
        <f>VLOOKUP($A12,[24]HISTOMARS24!$A$6:$BM$38,33,0)</f>
        <v>0</v>
      </c>
      <c r="Z12" s="36">
        <f>VLOOKUP($A12,[24]HISTOMARS24!$A$6:$BM$38,65,0)</f>
        <v>0</v>
      </c>
      <c r="AA12" s="36"/>
      <c r="AB12" s="36">
        <f>VLOOKUP($A12,[24]HISTOMARS24!$A$6:$AU$38,43,0)</f>
        <v>0</v>
      </c>
      <c r="AC12" s="36">
        <f>VLOOKUP($A12,[24]HISTOMARS24!$A$6:$AU$38,44,0)</f>
        <v>0</v>
      </c>
      <c r="AD12" s="36">
        <f>VLOOKUP($A12,[24]HISTOMARS24!$A$6:$AU$38,47,0)</f>
        <v>0</v>
      </c>
      <c r="AE12" s="36">
        <f>VLOOKUP(A12,[24]HISTOMARS24!$A$6:$BB$38,54,0)</f>
        <v>0</v>
      </c>
      <c r="AF12" s="36">
        <f>VLOOKUP($A12,[24]HISTOMARS24!$A$6:$CB$38,60,0)</f>
        <v>0</v>
      </c>
      <c r="AG12" s="36">
        <f>VLOOKUP($A12,[24]HISTOMARS24!$A$6:$CB$38,61,0)</f>
        <v>0</v>
      </c>
      <c r="AH12" s="36">
        <f>VLOOKUP($A12,[24]HISTOMARS24!$A$6:$CB$38,62,0)</f>
        <v>0</v>
      </c>
      <c r="AI12" s="36">
        <f>VLOOKUP($A12,[24]HISTOMARS24!$A$6:$CB$38,63,0)</f>
        <v>0</v>
      </c>
      <c r="AJ12" s="36">
        <f>VLOOKUP($A12,[24]HISTOMARS24!$A$6:$CB$38,64,0)</f>
        <v>0</v>
      </c>
      <c r="AK12" s="36">
        <f>VLOOKUP($A12,[24]HISTOMARS24!$A$6:$CB$38,65,0)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VLOOKUP($A13,[24]HISTOMARS24!$A$6:$BA$38,48,0)</f>
        <v>0</v>
      </c>
      <c r="F13" s="36">
        <f>MVTFEV24!I13-E13+L13</f>
        <v>800862.16206545406</v>
      </c>
      <c r="G13" s="5">
        <f>IF(MVTFEV24!I13+L13&gt;700000,(MVTFEV24!I13-E13+L13),0)</f>
        <v>800862.16206545406</v>
      </c>
      <c r="H13" s="36">
        <f t="shared" si="0"/>
        <v>2732.6183249767801</v>
      </c>
      <c r="I13" s="6">
        <f t="shared" si="2"/>
        <v>803594.78039043082</v>
      </c>
      <c r="J13" s="36">
        <f>VLOOKUP($A13,[24]HISTOMARS24!$A$6:$AQ$42,22,0)</f>
        <v>0</v>
      </c>
      <c r="K13" s="36">
        <f>VLOOKUP($A13,[24]HISTOMARS24!$A$6:$AU$38,45,0)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VLOOKUP($A13,[24]HISTOMARS24!$A$6:$AU$38,7,0)</f>
        <v>0</v>
      </c>
      <c r="Q13" s="36">
        <f>VLOOKUP($A13,[24]HISTOMARS24!$A$6:$AU$38,23,0)</f>
        <v>0</v>
      </c>
      <c r="R13" s="36">
        <f>VLOOKUP($A13,[24]HISTOMARS24!$A$6:$AU$38,46,0)</f>
        <v>0</v>
      </c>
      <c r="S13" s="36">
        <f>VLOOKUP($A13,[24]HISTOMARS24!$A$6:$AU$38,26,0)</f>
        <v>0</v>
      </c>
      <c r="T13" s="36">
        <f>VLOOKUP($A13,[24]HISTOMARS24!$A$6:$BG$38,58,0)</f>
        <v>0</v>
      </c>
      <c r="U13" s="36">
        <f>VLOOKUP($A13,[24]HISTOMARS24!$A$6:$AU$38,28,0)</f>
        <v>0</v>
      </c>
      <c r="V13" s="36">
        <f>VLOOKUP($A13,[24]HISTOMARS24!$A$6:$AU$38,19,0)</f>
        <v>0</v>
      </c>
      <c r="W13" s="36">
        <f>VLOOKUP($A13,[24]HISTOMARS24!$A$6:$AU$38,20,0)</f>
        <v>0</v>
      </c>
      <c r="X13" s="36">
        <f>VLOOKUP($A13,[24]HISTOMARS24!$A$6:$AU$38,27,0)</f>
        <v>0</v>
      </c>
      <c r="Y13" s="36">
        <f>VLOOKUP($A13,[24]HISTOMARS24!$A$6:$BM$38,33,0)</f>
        <v>0</v>
      </c>
      <c r="Z13" s="36">
        <f>VLOOKUP($A13,[24]HISTOMARS24!$A$6:$BM$38,65,0)</f>
        <v>0</v>
      </c>
      <c r="AA13" s="36"/>
      <c r="AB13" s="36">
        <f>VLOOKUP($A13,[24]HISTOMARS24!$A$6:$AU$38,43,0)</f>
        <v>0</v>
      </c>
      <c r="AC13" s="36">
        <f>VLOOKUP($A13,[24]HISTOMARS24!$A$6:$AU$38,44,0)</f>
        <v>0</v>
      </c>
      <c r="AD13" s="36">
        <f>VLOOKUP($A13,[24]HISTOMARS24!$A$6:$AU$38,47,0)</f>
        <v>0</v>
      </c>
      <c r="AE13" s="36">
        <f>VLOOKUP(A13,[24]HISTOMARS24!$A$6:$BB$38,54,0)</f>
        <v>0</v>
      </c>
      <c r="AF13" s="36">
        <f>VLOOKUP($A13,[24]HISTOMARS24!$A$6:$CB$38,60,0)</f>
        <v>0</v>
      </c>
      <c r="AG13" s="36">
        <f>VLOOKUP($A13,[24]HISTOMARS24!$A$6:$CB$38,61,0)</f>
        <v>0</v>
      </c>
      <c r="AH13" s="36">
        <f>VLOOKUP($A13,[24]HISTOMARS24!$A$6:$CB$38,62,0)</f>
        <v>0</v>
      </c>
      <c r="AI13" s="36">
        <f>VLOOKUP($A13,[24]HISTOMARS24!$A$6:$CB$38,63,0)</f>
        <v>0</v>
      </c>
      <c r="AJ13" s="36">
        <f>VLOOKUP($A13,[24]HISTOMARS24!$A$6:$CB$38,64,0)</f>
        <v>0</v>
      </c>
      <c r="AK13" s="36">
        <f>VLOOKUP($A13,[24]HISTOMARS24!$A$6:$CB$38,65,0)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VLOOKUP($A14,[24]HISTOMARS24!$A$6:$BA$38,48,0)</f>
        <v>0</v>
      </c>
      <c r="F14" s="36">
        <f>MVTFEV24!I14-E14+L14</f>
        <v>1351144.4191307833</v>
      </c>
      <c r="G14" s="5">
        <f>IF(MVTFEV24!I14+L14&gt;700000,(MVTFEV24!I14-E14+L14),0)</f>
        <v>1351144.4191307833</v>
      </c>
      <c r="H14" s="36">
        <f t="shared" si="0"/>
        <v>4610.2340381329277</v>
      </c>
      <c r="I14" s="6">
        <f t="shared" si="2"/>
        <v>1355754.6531689162</v>
      </c>
      <c r="J14" s="36">
        <f>VLOOKUP($A14,[24]HISTOMARS24!$A$6:$AQ$42,22,0)</f>
        <v>0</v>
      </c>
      <c r="K14" s="36">
        <f>VLOOKUP($A14,[24]HISTOMARS24!$A$6:$AU$38,45,0)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VLOOKUP($A14,[24]HISTOMARS24!$A$6:$AU$38,7,0)</f>
        <v>0</v>
      </c>
      <c r="Q14" s="36">
        <f>VLOOKUP($A14,[24]HISTOMARS24!$A$6:$AU$38,23,0)</f>
        <v>0</v>
      </c>
      <c r="R14" s="36">
        <f>VLOOKUP($A14,[24]HISTOMARS24!$A$6:$AU$38,46,0)</f>
        <v>0</v>
      </c>
      <c r="S14" s="36">
        <f>VLOOKUP($A14,[24]HISTOMARS24!$A$6:$AU$38,26,0)</f>
        <v>0</v>
      </c>
      <c r="T14" s="36">
        <f>VLOOKUP($A14,[24]HISTOMARS24!$A$6:$BG$38,58,0)</f>
        <v>0</v>
      </c>
      <c r="U14" s="36">
        <f>VLOOKUP($A14,[24]HISTOMARS24!$A$6:$AU$38,28,0)</f>
        <v>0</v>
      </c>
      <c r="V14" s="36">
        <f>VLOOKUP($A14,[24]HISTOMARS24!$A$6:$AU$38,19,0)</f>
        <v>0</v>
      </c>
      <c r="W14" s="36">
        <f>VLOOKUP($A14,[24]HISTOMARS24!$A$6:$AU$38,20,0)</f>
        <v>0</v>
      </c>
      <c r="X14" s="36">
        <f>VLOOKUP($A14,[24]HISTOMARS24!$A$6:$AU$38,27,0)</f>
        <v>0</v>
      </c>
      <c r="Y14" s="36">
        <f>VLOOKUP($A14,[24]HISTOMARS24!$A$6:$BM$38,33,0)</f>
        <v>0</v>
      </c>
      <c r="Z14" s="36">
        <f>VLOOKUP($A14,[24]HISTOMARS24!$A$6:$BM$38,65,0)</f>
        <v>0</v>
      </c>
      <c r="AA14" s="36"/>
      <c r="AB14" s="36">
        <f>VLOOKUP($A14,[24]HISTOMARS24!$A$6:$AU$38,43,0)</f>
        <v>0</v>
      </c>
      <c r="AC14" s="36">
        <f>VLOOKUP($A14,[24]HISTOMARS24!$A$6:$AU$38,44,0)</f>
        <v>0</v>
      </c>
      <c r="AD14" s="36">
        <f>VLOOKUP($A14,[24]HISTOMARS24!$A$6:$AU$38,47,0)</f>
        <v>0</v>
      </c>
      <c r="AE14" s="36">
        <f>VLOOKUP(A14,[24]HISTOMARS24!$A$6:$BB$38,54,0)</f>
        <v>0</v>
      </c>
      <c r="AF14" s="36">
        <f>VLOOKUP($A14,[24]HISTOMARS24!$A$6:$CB$38,60,0)</f>
        <v>0</v>
      </c>
      <c r="AG14" s="36">
        <f>VLOOKUP($A14,[24]HISTOMARS24!$A$6:$CB$38,61,0)</f>
        <v>0</v>
      </c>
      <c r="AH14" s="36">
        <f>VLOOKUP($A14,[24]HISTOMARS24!$A$6:$CB$38,62,0)</f>
        <v>0</v>
      </c>
      <c r="AI14" s="36">
        <f>VLOOKUP($A14,[24]HISTOMARS24!$A$6:$CB$38,63,0)</f>
        <v>0</v>
      </c>
      <c r="AJ14" s="36">
        <f>VLOOKUP($A14,[24]HISTOMARS24!$A$6:$CB$38,64,0)</f>
        <v>0</v>
      </c>
      <c r="AK14" s="36">
        <f>VLOOKUP($A14,[24]HISTOMARS24!$A$6:$CB$38,65,0)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VLOOKUP($A15,[24]HISTOMARS24!$A$6:$BA$38,48,0)</f>
        <v>0</v>
      </c>
      <c r="F15" s="36">
        <f>MVTFEV24!I15-E15+L15</f>
        <v>862327.49879354716</v>
      </c>
      <c r="G15" s="5">
        <f>IF(MVTFEV24!I15+L15&gt;700000,(MVTFEV24!I15-E15+L15),0)</f>
        <v>862327.49879354716</v>
      </c>
      <c r="H15" s="36">
        <f t="shared" si="0"/>
        <v>2942.3439350129402</v>
      </c>
      <c r="I15" s="6">
        <f t="shared" si="2"/>
        <v>865269.84272856009</v>
      </c>
      <c r="J15" s="36">
        <f>VLOOKUP($A15,[24]HISTOMARS24!$A$6:$AQ$42,22,0)</f>
        <v>0</v>
      </c>
      <c r="K15" s="36">
        <f>VLOOKUP($A15,[24]HISTOMARS24!$A$6:$AU$38,45,0)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VLOOKUP($A15,[24]HISTOMARS24!$A$6:$AU$38,7,0)</f>
        <v>0</v>
      </c>
      <c r="Q15" s="36">
        <f>VLOOKUP($A15,[24]HISTOMARS24!$A$6:$AU$38,23,0)</f>
        <v>0</v>
      </c>
      <c r="R15" s="36">
        <f>VLOOKUP($A15,[24]HISTOMARS24!$A$6:$AU$38,46,0)</f>
        <v>0</v>
      </c>
      <c r="S15" s="36">
        <f>VLOOKUP($A15,[24]HISTOMARS24!$A$6:$AU$38,26,0)</f>
        <v>0</v>
      </c>
      <c r="T15" s="36">
        <f>VLOOKUP($A15,[24]HISTOMARS24!$A$6:$BG$38,58,0)</f>
        <v>0</v>
      </c>
      <c r="U15" s="36">
        <f>VLOOKUP($A15,[24]HISTOMARS24!$A$6:$AU$38,28,0)</f>
        <v>0</v>
      </c>
      <c r="V15" s="36">
        <f>VLOOKUP($A15,[24]HISTOMARS24!$A$6:$AU$38,19,0)</f>
        <v>0</v>
      </c>
      <c r="W15" s="36">
        <f>VLOOKUP($A15,[24]HISTOMARS24!$A$6:$AU$38,20,0)</f>
        <v>0</v>
      </c>
      <c r="X15" s="36">
        <f>VLOOKUP($A15,[24]HISTOMARS24!$A$6:$AU$38,27,0)</f>
        <v>0</v>
      </c>
      <c r="Y15" s="36">
        <f>VLOOKUP($A15,[24]HISTOMARS24!$A$6:$BM$38,33,0)</f>
        <v>0</v>
      </c>
      <c r="Z15" s="36">
        <f>VLOOKUP($A15,[24]HISTOMARS24!$A$6:$BM$38,65,0)</f>
        <v>0</v>
      </c>
      <c r="AA15" s="36"/>
      <c r="AB15" s="36">
        <f>VLOOKUP($A15,[24]HISTOMARS24!$A$6:$AU$38,43,0)</f>
        <v>0</v>
      </c>
      <c r="AC15" s="36">
        <f>VLOOKUP($A15,[24]HISTOMARS24!$A$6:$AU$38,44,0)</f>
        <v>0</v>
      </c>
      <c r="AD15" s="36">
        <f>VLOOKUP($A15,[24]HISTOMARS24!$A$6:$AU$38,47,0)</f>
        <v>0</v>
      </c>
      <c r="AE15" s="36">
        <f>VLOOKUP(A15,[24]HISTOMARS24!$A$6:$BB$38,54,0)</f>
        <v>0</v>
      </c>
      <c r="AF15" s="36">
        <f>VLOOKUP($A15,[24]HISTOMARS24!$A$6:$CB$38,60,0)</f>
        <v>0</v>
      </c>
      <c r="AG15" s="36">
        <f>VLOOKUP($A15,[24]HISTOMARS24!$A$6:$CB$38,61,0)</f>
        <v>0</v>
      </c>
      <c r="AH15" s="36">
        <f>VLOOKUP($A15,[24]HISTOMARS24!$A$6:$CB$38,62,0)</f>
        <v>0</v>
      </c>
      <c r="AI15" s="36">
        <f>VLOOKUP($A15,[24]HISTOMARS24!$A$6:$CB$38,63,0)</f>
        <v>0</v>
      </c>
      <c r="AJ15" s="36">
        <f>VLOOKUP($A15,[24]HISTOMARS24!$A$6:$CB$38,64,0)</f>
        <v>0</v>
      </c>
      <c r="AK15" s="36">
        <f>VLOOKUP($A15,[24]HISTOMARS24!$A$6:$CB$38,65,0)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VLOOKUP($A16,[24]HISTOMARS24!$A$6:$BA$38,48,0)</f>
        <v>0</v>
      </c>
      <c r="F16" s="36">
        <f>MVTFEV24!I16-E16+L16</f>
        <v>937659.17042267439</v>
      </c>
      <c r="G16" s="5">
        <f>IF(MVTFEV24!I16+L16&gt;700000,(MVTFEV24!I16-E16+L16),0)</f>
        <v>937659.17042267439</v>
      </c>
      <c r="H16" s="36">
        <f t="shared" si="0"/>
        <v>3199.3828064886316</v>
      </c>
      <c r="I16" s="6">
        <f t="shared" si="2"/>
        <v>940858.55322916305</v>
      </c>
      <c r="J16" s="36">
        <f>VLOOKUP($A16,[24]HISTOMARS24!$A$6:$AQ$42,22,0)</f>
        <v>0</v>
      </c>
      <c r="K16" s="36">
        <f>VLOOKUP($A16,[24]HISTOMARS24!$A$6:$AU$38,45,0)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VLOOKUP($A16,[24]HISTOMARS24!$A$6:$AU$38,7,0)</f>
        <v>0</v>
      </c>
      <c r="Q16" s="36">
        <f>VLOOKUP($A16,[24]HISTOMARS24!$A$6:$AU$38,23,0)</f>
        <v>0</v>
      </c>
      <c r="R16" s="36">
        <f>VLOOKUP($A16,[24]HISTOMARS24!$A$6:$AU$38,46,0)</f>
        <v>0</v>
      </c>
      <c r="S16" s="36">
        <f>VLOOKUP($A16,[24]HISTOMARS24!$A$6:$AU$38,26,0)</f>
        <v>0</v>
      </c>
      <c r="T16" s="36">
        <f>VLOOKUP($A16,[24]HISTOMARS24!$A$6:$BG$38,58,0)</f>
        <v>0</v>
      </c>
      <c r="U16" s="36">
        <f>VLOOKUP($A16,[24]HISTOMARS24!$A$6:$AU$38,28,0)</f>
        <v>0</v>
      </c>
      <c r="V16" s="36">
        <f>VLOOKUP($A16,[24]HISTOMARS24!$A$6:$AU$38,19,0)</f>
        <v>0</v>
      </c>
      <c r="W16" s="36">
        <f>VLOOKUP($A16,[24]HISTOMARS24!$A$6:$AU$38,20,0)</f>
        <v>0</v>
      </c>
      <c r="X16" s="36">
        <f>VLOOKUP($A16,[24]HISTOMARS24!$A$6:$AU$38,27,0)</f>
        <v>0</v>
      </c>
      <c r="Y16" s="36">
        <f>VLOOKUP($A16,[24]HISTOMARS24!$A$6:$BM$38,33,0)</f>
        <v>0</v>
      </c>
      <c r="Z16" s="36">
        <f>VLOOKUP($A16,[24]HISTOMARS24!$A$6:$BM$38,65,0)</f>
        <v>0</v>
      </c>
      <c r="AA16" s="36"/>
      <c r="AB16" s="36">
        <f>VLOOKUP($A16,[24]HISTOMARS24!$A$6:$AU$38,43,0)</f>
        <v>0</v>
      </c>
      <c r="AC16" s="36">
        <f>VLOOKUP($A16,[24]HISTOMARS24!$A$6:$AU$38,44,0)</f>
        <v>0</v>
      </c>
      <c r="AD16" s="36">
        <f>VLOOKUP($A16,[24]HISTOMARS24!$A$6:$AU$38,47,0)</f>
        <v>0</v>
      </c>
      <c r="AE16" s="36">
        <f>VLOOKUP(A16,[24]HISTOMARS24!$A$6:$BB$38,54,0)</f>
        <v>0</v>
      </c>
      <c r="AF16" s="36">
        <f>VLOOKUP($A16,[24]HISTOMARS24!$A$6:$CB$38,60,0)</f>
        <v>0</v>
      </c>
      <c r="AG16" s="36">
        <f>VLOOKUP($A16,[24]HISTOMARS24!$A$6:$CB$38,61,0)</f>
        <v>0</v>
      </c>
      <c r="AH16" s="36">
        <f>VLOOKUP($A16,[24]HISTOMARS24!$A$6:$CB$38,62,0)</f>
        <v>0</v>
      </c>
      <c r="AI16" s="36">
        <f>VLOOKUP($A16,[24]HISTOMARS24!$A$6:$CB$38,63,0)</f>
        <v>0</v>
      </c>
      <c r="AJ16" s="36">
        <f>VLOOKUP($A16,[24]HISTOMARS24!$A$6:$CB$38,64,0)</f>
        <v>0</v>
      </c>
      <c r="AK16" s="36">
        <f>VLOOKUP($A16,[24]HISTOMARS24!$A$6:$CB$38,65,0)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VLOOKUP($A17,[24]HISTOMARS24!$A$6:$BA$38,48,0)</f>
        <v>0</v>
      </c>
      <c r="F17" s="36">
        <f>MVTFEV24!I17-E17+L17</f>
        <v>810663.60954397358</v>
      </c>
      <c r="G17" s="5">
        <f>IF(MVTFEV24!I17+L17&gt;700000,(MVTFEV24!I17-E17+L17),0)</f>
        <v>810663.60954397358</v>
      </c>
      <c r="H17" s="36">
        <f t="shared" si="0"/>
        <v>2766.0618015945588</v>
      </c>
      <c r="I17" s="6">
        <f t="shared" si="2"/>
        <v>813429.67134556815</v>
      </c>
      <c r="J17" s="36">
        <f>VLOOKUP($A17,[24]HISTOMARS24!$A$6:$AQ$42,22,0)</f>
        <v>0</v>
      </c>
      <c r="K17" s="36">
        <f>VLOOKUP($A17,[24]HISTOMARS24!$A$6:$AU$38,45,0)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VLOOKUP($A17,[24]HISTOMARS24!$A$6:$AU$38,7,0)</f>
        <v>0</v>
      </c>
      <c r="Q17" s="36">
        <f>VLOOKUP($A17,[24]HISTOMARS24!$A$6:$AU$38,23,0)</f>
        <v>0</v>
      </c>
      <c r="R17" s="36">
        <f>VLOOKUP($A17,[24]HISTOMARS24!$A$6:$AU$38,46,0)</f>
        <v>0</v>
      </c>
      <c r="S17" s="36">
        <f>VLOOKUP($A17,[24]HISTOMARS24!$A$6:$AU$38,26,0)</f>
        <v>0</v>
      </c>
      <c r="T17" s="36">
        <f>VLOOKUP($A17,[24]HISTOMARS24!$A$6:$BG$38,58,0)</f>
        <v>0</v>
      </c>
      <c r="U17" s="36">
        <f>VLOOKUP($A17,[24]HISTOMARS24!$A$6:$AU$38,28,0)</f>
        <v>0</v>
      </c>
      <c r="V17" s="36">
        <f>VLOOKUP($A17,[24]HISTOMARS24!$A$6:$AU$38,19,0)</f>
        <v>500000</v>
      </c>
      <c r="W17" s="36" t="str">
        <f>VLOOKUP($A17,[24]HISTOMARS24!$A$6:$AU$38,20,0)</f>
        <v>BANQUE</v>
      </c>
      <c r="X17" s="36">
        <f>VLOOKUP($A17,[24]HISTOMARS24!$A$6:$AU$38,27,0)</f>
        <v>0</v>
      </c>
      <c r="Y17" s="36">
        <f>VLOOKUP($A17,[24]HISTOMARS24!$A$6:$BM$38,33,0)</f>
        <v>0</v>
      </c>
      <c r="Z17" s="36">
        <f>VLOOKUP($A17,[24]HISTOMARS24!$A$6:$BM$38,65,0)</f>
        <v>0</v>
      </c>
      <c r="AA17" s="36"/>
      <c r="AB17" s="36">
        <f>VLOOKUP($A17,[24]HISTOMARS24!$A$6:$AU$38,43,0)</f>
        <v>0</v>
      </c>
      <c r="AC17" s="36">
        <f>VLOOKUP($A17,[24]HISTOMARS24!$A$6:$AU$38,44,0)</f>
        <v>0</v>
      </c>
      <c r="AD17" s="36">
        <f>VLOOKUP($A17,[24]HISTOMARS24!$A$6:$AU$38,47,0)</f>
        <v>0</v>
      </c>
      <c r="AE17" s="36">
        <f>VLOOKUP(A17,[24]HISTOMARS24!$A$6:$BB$38,54,0)</f>
        <v>0</v>
      </c>
      <c r="AF17" s="36">
        <f>VLOOKUP($A17,[24]HISTOMARS24!$A$6:$CB$38,60,0)</f>
        <v>0</v>
      </c>
      <c r="AG17" s="36">
        <f>VLOOKUP($A17,[24]HISTOMARS24!$A$6:$CB$38,61,0)</f>
        <v>0</v>
      </c>
      <c r="AH17" s="36">
        <f>VLOOKUP($A17,[24]HISTOMARS24!$A$6:$CB$38,62,0)</f>
        <v>0</v>
      </c>
      <c r="AI17" s="36">
        <f>VLOOKUP($A17,[24]HISTOMARS24!$A$6:$CB$38,63,0)</f>
        <v>0</v>
      </c>
      <c r="AJ17" s="36">
        <f>VLOOKUP($A17,[24]HISTOMARS24!$A$6:$CB$38,64,0)</f>
        <v>0</v>
      </c>
      <c r="AK17" s="36">
        <f>VLOOKUP($A17,[24]HISTOMARS24!$A$6:$CB$38,65,0)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VLOOKUP($A18,[24]HISTOMARS24!$A$6:$BA$38,48,0)</f>
        <v>0</v>
      </c>
      <c r="F18" s="36">
        <f>MVTFEV24!I18-E18+L18</f>
        <v>846779.72710465465</v>
      </c>
      <c r="G18" s="5">
        <f>IF(MVTFEV24!I18+L18&gt;700000,(MVTFEV24!I18-E18+L18),0)</f>
        <v>846779.72710465465</v>
      </c>
      <c r="H18" s="36">
        <f t="shared" si="0"/>
        <v>2889.2934503701777</v>
      </c>
      <c r="I18" s="6">
        <f t="shared" si="2"/>
        <v>849669.02055502485</v>
      </c>
      <c r="J18" s="36">
        <f>VLOOKUP($A18,[24]HISTOMARS24!$A$6:$AQ$42,22,0)</f>
        <v>0</v>
      </c>
      <c r="K18" s="36">
        <f>VLOOKUP($A18,[24]HISTOMARS24!$A$6:$AU$38,45,0)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VLOOKUP($A18,[24]HISTOMARS24!$A$6:$AU$38,7,0)</f>
        <v>0</v>
      </c>
      <c r="Q18" s="36">
        <f>VLOOKUP($A18,[24]HISTOMARS24!$A$6:$AU$38,23,0)</f>
        <v>0</v>
      </c>
      <c r="R18" s="36">
        <f>VLOOKUP($A18,[24]HISTOMARS24!$A$6:$AU$38,46,0)</f>
        <v>0</v>
      </c>
      <c r="S18" s="36">
        <f>VLOOKUP($A18,[24]HISTOMARS24!$A$6:$AU$38,26,0)</f>
        <v>0</v>
      </c>
      <c r="T18" s="36">
        <f>VLOOKUP($A18,[24]HISTOMARS24!$A$6:$BG$38,58,0)</f>
        <v>0</v>
      </c>
      <c r="U18" s="36">
        <f>VLOOKUP($A18,[24]HISTOMARS24!$A$6:$AU$38,28,0)</f>
        <v>0</v>
      </c>
      <c r="V18" s="36">
        <f>VLOOKUP($A18,[24]HISTOMARS24!$A$6:$AU$38,19,0)</f>
        <v>0</v>
      </c>
      <c r="W18" s="36">
        <f>VLOOKUP($A18,[24]HISTOMARS24!$A$6:$AU$38,20,0)</f>
        <v>0</v>
      </c>
      <c r="X18" s="36">
        <f>VLOOKUP($A18,[24]HISTOMARS24!$A$6:$AU$38,27,0)</f>
        <v>0</v>
      </c>
      <c r="Y18" s="36">
        <f>VLOOKUP($A18,[24]HISTOMARS24!$A$6:$BM$38,33,0)</f>
        <v>0</v>
      </c>
      <c r="Z18" s="36">
        <f>VLOOKUP($A18,[24]HISTOMARS24!$A$6:$BM$38,65,0)</f>
        <v>0</v>
      </c>
      <c r="AA18" s="36"/>
      <c r="AB18" s="36">
        <f>VLOOKUP($A18,[24]HISTOMARS24!$A$6:$AU$38,43,0)</f>
        <v>0</v>
      </c>
      <c r="AC18" s="36">
        <f>VLOOKUP($A18,[24]HISTOMARS24!$A$6:$AU$38,44,0)</f>
        <v>0</v>
      </c>
      <c r="AD18" s="36">
        <f>VLOOKUP($A18,[24]HISTOMARS24!$A$6:$AU$38,47,0)</f>
        <v>0</v>
      </c>
      <c r="AE18" s="36">
        <f>VLOOKUP(A18,[24]HISTOMARS24!$A$6:$BB$38,54,0)</f>
        <v>0</v>
      </c>
      <c r="AF18" s="36">
        <f>VLOOKUP($A18,[24]HISTOMARS24!$A$6:$CB$38,60,0)</f>
        <v>0</v>
      </c>
      <c r="AG18" s="36">
        <f>VLOOKUP($A18,[24]HISTOMARS24!$A$6:$CB$38,61,0)</f>
        <v>0</v>
      </c>
      <c r="AH18" s="36">
        <f>VLOOKUP($A18,[24]HISTOMARS24!$A$6:$CB$38,62,0)</f>
        <v>0</v>
      </c>
      <c r="AI18" s="36">
        <f>VLOOKUP($A18,[24]HISTOMARS24!$A$6:$CB$38,63,0)</f>
        <v>0</v>
      </c>
      <c r="AJ18" s="36">
        <f>VLOOKUP($A18,[24]HISTOMARS24!$A$6:$CB$38,64,0)</f>
        <v>0</v>
      </c>
      <c r="AK18" s="36">
        <f>VLOOKUP($A18,[24]HISTOMARS24!$A$6:$CB$38,65,0)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VLOOKUP($A20,[24]HISTOMARS24!$A$6:$AQ$42,22,0)</f>
        <v>0</v>
      </c>
      <c r="K20" s="36">
        <f>VLOOKUP($A20,[24]HISTOMARS24!$A$6:$AU$38,45,0)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VLOOKUP($A20,[24]HISTOMARS24!$A$6:$AU$38,7,0)</f>
        <v>0</v>
      </c>
      <c r="Q20" s="36">
        <f>VLOOKUP($A20,[24]HISTOMARS24!$A$6:$AU$38,23,0)</f>
        <v>0</v>
      </c>
      <c r="R20" s="36">
        <f>VLOOKUP($A20,[24]HISTOMARS24!$A$6:$AU$38,46,0)</f>
        <v>0</v>
      </c>
      <c r="S20" s="36">
        <f>VLOOKUP($A20,[24]HISTOMARS24!$A$6:$AU$38,26,0)</f>
        <v>0</v>
      </c>
      <c r="T20" s="36">
        <f>VLOOKUP($A20,[24]HISTOMARS24!$A$6:$BG$38,58,0)</f>
        <v>0</v>
      </c>
      <c r="U20" s="36">
        <f>VLOOKUP($A20,[24]HISTOMARS24!$A$6:$AU$38,28,0)</f>
        <v>0</v>
      </c>
      <c r="V20" s="36">
        <f>VLOOKUP($A20,[24]HISTOMARS24!$A$6:$AU$38,19,0)</f>
        <v>0</v>
      </c>
      <c r="W20" s="36">
        <f>VLOOKUP($A20,[24]HISTOMARS24!$A$6:$AU$38,20,0)</f>
        <v>0</v>
      </c>
      <c r="X20" s="36">
        <f>VLOOKUP($A20,[24]HISTOMARS24!$A$6:$AU$38,27,0)</f>
        <v>0</v>
      </c>
      <c r="Y20" s="36">
        <f>VLOOKUP($A20,[24]HISTOMARS24!$A$6:$BM$38,33,0)</f>
        <v>0</v>
      </c>
      <c r="Z20" s="36">
        <f>VLOOKUP($A20,[24]HISTOMARS24!$A$6:$BM$38,65,0)</f>
        <v>0</v>
      </c>
      <c r="AA20" s="36"/>
      <c r="AB20" s="36">
        <f>VLOOKUP($A20,[24]HISTOMARS24!$A$6:$AU$38,43,0)</f>
        <v>0</v>
      </c>
      <c r="AC20" s="36">
        <f>VLOOKUP($A20,[24]HISTOMARS24!$A$6:$AU$38,44,0)</f>
        <v>0</v>
      </c>
      <c r="AD20" s="36">
        <f>VLOOKUP($A20,[24]HISTOMARS24!$A$6:$AU$38,47,0)</f>
        <v>0</v>
      </c>
      <c r="AE20" s="36">
        <f>VLOOKUP(A20,[24]HISTOMARS24!$A$6:$BB$38,54,0)</f>
        <v>0</v>
      </c>
      <c r="AF20" s="36">
        <f>VLOOKUP($A20,[24]HISTOMARS24!$A$6:$CB$38,60,0)</f>
        <v>0</v>
      </c>
      <c r="AG20" s="36">
        <f>VLOOKUP($A20,[24]HISTOMARS24!$A$6:$CB$38,61,0)</f>
        <v>0</v>
      </c>
      <c r="AH20" s="36">
        <f>VLOOKUP($A20,[24]HISTOMARS24!$A$6:$CB$38,62,0)</f>
        <v>0</v>
      </c>
      <c r="AI20" s="36">
        <f>VLOOKUP($A20,[24]HISTOMARS24!$A$6:$CB$38,63,0)</f>
        <v>0</v>
      </c>
      <c r="AJ20" s="36">
        <f>VLOOKUP($A20,[24]HISTOMARS24!$A$6:$CB$38,64,0)</f>
        <v>0</v>
      </c>
      <c r="AK20" s="36">
        <f>VLOOKUP($A20,[24]HISTOMARS24!$A$6:$CB$38,65,0)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MVTFEV24!I21-E21+L21</f>
        <v>834504.55959106644</v>
      </c>
      <c r="G21" s="5">
        <f>IF(MVTFEV24!I21+L21&gt;700000,(MVTFEV24!I21-E21+L21),0)</f>
        <v>834504.55959106644</v>
      </c>
      <c r="H21" s="36">
        <f t="shared" si="0"/>
        <v>2847.4094043025234</v>
      </c>
      <c r="I21" s="6">
        <f t="shared" si="2"/>
        <v>837351.96899536892</v>
      </c>
      <c r="J21" s="36">
        <f>VLOOKUP($A21,[24]HISTOMARS24!$A$6:$AQ$42,22,0)</f>
        <v>0</v>
      </c>
      <c r="K21" s="36">
        <f>VLOOKUP($A21,[24]HISTOMARS24!$A$6:$AU$38,45,0)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VLOOKUP($A21,[24]HISTOMARS24!$A$6:$AU$38,7,0)</f>
        <v>0</v>
      </c>
      <c r="Q21" s="36">
        <f>VLOOKUP($A21,[24]HISTOMARS24!$A$6:$AU$38,23,0)</f>
        <v>0</v>
      </c>
      <c r="R21" s="36">
        <f>VLOOKUP($A21,[24]HISTOMARS24!$A$6:$AU$38,46,0)</f>
        <v>0</v>
      </c>
      <c r="S21" s="36">
        <f>VLOOKUP($A21,[24]HISTOMARS24!$A$6:$AU$38,26,0)</f>
        <v>0</v>
      </c>
      <c r="T21" s="36">
        <f>VLOOKUP($A21,[24]HISTOMARS24!$A$6:$BG$38,58,0)</f>
        <v>0</v>
      </c>
      <c r="U21" s="36">
        <f>VLOOKUP($A21,[24]HISTOMARS24!$A$6:$AU$38,28,0)</f>
        <v>0</v>
      </c>
      <c r="V21" s="36">
        <f>VLOOKUP($A21,[24]HISTOMARS24!$A$6:$AU$38,19,0)</f>
        <v>0</v>
      </c>
      <c r="W21" s="36">
        <f>VLOOKUP($A21,[24]HISTOMARS24!$A$6:$AU$38,20,0)</f>
        <v>0</v>
      </c>
      <c r="X21" s="36">
        <f>VLOOKUP($A21,[24]HISTOMARS24!$A$6:$AU$38,27,0)</f>
        <v>0</v>
      </c>
      <c r="Y21" s="36">
        <f>VLOOKUP($A21,[24]HISTOMARS24!$A$6:$BM$38,33,0)</f>
        <v>0</v>
      </c>
      <c r="Z21" s="36">
        <f>VLOOKUP($A21,[24]HISTOMARS24!$A$6:$BM$38,65,0)</f>
        <v>0</v>
      </c>
      <c r="AA21" s="36"/>
      <c r="AB21" s="36">
        <f>VLOOKUP($A21,[24]HISTOMARS24!$A$6:$AU$38,43,0)</f>
        <v>0</v>
      </c>
      <c r="AC21" s="36">
        <f>VLOOKUP($A21,[24]HISTOMARS24!$A$6:$AU$38,44,0)</f>
        <v>0</v>
      </c>
      <c r="AD21" s="36">
        <f>VLOOKUP($A21,[24]HISTOMARS24!$A$6:$AU$38,47,0)</f>
        <v>0</v>
      </c>
      <c r="AE21" s="36">
        <f>VLOOKUP(A21,[24]HISTOMARS24!$A$6:$BB$38,54,0)</f>
        <v>0</v>
      </c>
      <c r="AF21" s="36">
        <f>VLOOKUP($A21,[24]HISTOMARS24!$A$6:$CB$38,60,0)</f>
        <v>0</v>
      </c>
      <c r="AG21" s="36">
        <f>VLOOKUP($A21,[24]HISTOMARS24!$A$6:$CB$38,61,0)</f>
        <v>0</v>
      </c>
      <c r="AH21" s="36">
        <f>VLOOKUP($A21,[24]HISTOMARS24!$A$6:$CB$38,62,0)</f>
        <v>0</v>
      </c>
      <c r="AI21" s="36">
        <f>VLOOKUP($A21,[24]HISTOMARS24!$A$6:$CB$38,63,0)</f>
        <v>0</v>
      </c>
      <c r="AJ21" s="36">
        <f>VLOOKUP($A21,[24]HISTOMARS24!$A$6:$CB$38,64,0)</f>
        <v>0</v>
      </c>
      <c r="AK21" s="36">
        <f>VLOOKUP($A21,[24]HISTOMARS24!$A$6:$CB$38,65,0)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MVTFEV24!I22-E22+L22</f>
        <v>802040.43277513736</v>
      </c>
      <c r="G22" s="5">
        <f>IF(MVTFEV24!I22+L22&gt;700000,(MVTFEV24!I22-E22+L22),0)</f>
        <v>802040.43277513736</v>
      </c>
      <c r="H22" s="36">
        <f t="shared" si="0"/>
        <v>2736.6386973773938</v>
      </c>
      <c r="I22" s="6">
        <f t="shared" si="2"/>
        <v>804777.07147251477</v>
      </c>
      <c r="J22" s="36">
        <f>VLOOKUP($A22,[24]HISTOMARS24!$A$6:$AQ$42,22,0)</f>
        <v>0</v>
      </c>
      <c r="K22" s="36">
        <f>VLOOKUP($A22,[24]HISTOMARS24!$A$6:$AU$38,45,0)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VLOOKUP($A22,[24]HISTOMARS24!$A$6:$AU$38,7,0)</f>
        <v>0</v>
      </c>
      <c r="Q22" s="36">
        <f>VLOOKUP($A22,[24]HISTOMARS24!$A$6:$AU$38,23,0)</f>
        <v>0</v>
      </c>
      <c r="R22" s="36">
        <f>VLOOKUP($A22,[24]HISTOMARS24!$A$6:$AU$38,46,0)</f>
        <v>0</v>
      </c>
      <c r="S22" s="36">
        <f>VLOOKUP($A22,[24]HISTOMARS24!$A$6:$AU$38,26,0)</f>
        <v>0</v>
      </c>
      <c r="T22" s="36">
        <f>VLOOKUP($A22,[24]HISTOMARS24!$A$6:$BG$38,58,0)</f>
        <v>0</v>
      </c>
      <c r="U22" s="36">
        <f>VLOOKUP($A22,[24]HISTOMARS24!$A$6:$AU$38,28,0)</f>
        <v>0</v>
      </c>
      <c r="V22" s="36">
        <f>VLOOKUP($A22,[24]HISTOMARS24!$A$6:$AU$38,19,0)</f>
        <v>0</v>
      </c>
      <c r="W22" s="36">
        <f>VLOOKUP($A22,[24]HISTOMARS24!$A$6:$AU$38,20,0)</f>
        <v>0</v>
      </c>
      <c r="X22" s="36">
        <f>VLOOKUP($A22,[24]HISTOMARS24!$A$6:$AU$38,27,0)</f>
        <v>0</v>
      </c>
      <c r="Y22" s="36">
        <f>VLOOKUP($A22,[24]HISTOMARS24!$A$6:$BM$38,33,0)</f>
        <v>0</v>
      </c>
      <c r="Z22" s="36">
        <f>VLOOKUP($A22,[24]HISTOMARS24!$A$6:$BM$38,65,0)</f>
        <v>0</v>
      </c>
      <c r="AA22" s="36"/>
      <c r="AB22" s="36">
        <f>VLOOKUP($A22,[24]HISTOMARS24!$A$6:$AU$38,43,0)</f>
        <v>0</v>
      </c>
      <c r="AC22" s="36">
        <f>VLOOKUP($A22,[24]HISTOMARS24!$A$6:$AU$38,44,0)</f>
        <v>0</v>
      </c>
      <c r="AD22" s="36">
        <f>VLOOKUP($A22,[24]HISTOMARS24!$A$6:$AU$38,47,0)</f>
        <v>0</v>
      </c>
      <c r="AE22" s="36">
        <f>VLOOKUP(A22,[24]HISTOMARS24!$A$6:$BB$38,54,0)</f>
        <v>0</v>
      </c>
      <c r="AF22" s="36">
        <f>VLOOKUP($A22,[24]HISTOMARS24!$A$6:$CB$38,60,0)</f>
        <v>0</v>
      </c>
      <c r="AG22" s="36">
        <f>VLOOKUP($A22,[24]HISTOMARS24!$A$6:$CB$38,61,0)</f>
        <v>0</v>
      </c>
      <c r="AH22" s="36">
        <f>VLOOKUP($A22,[24]HISTOMARS24!$A$6:$CB$38,62,0)</f>
        <v>0</v>
      </c>
      <c r="AI22" s="36">
        <f>VLOOKUP($A22,[24]HISTOMARS24!$A$6:$CB$38,63,0)</f>
        <v>0</v>
      </c>
      <c r="AJ22" s="36">
        <f>VLOOKUP($A22,[24]HISTOMARS24!$A$6:$CB$38,64,0)</f>
        <v>0</v>
      </c>
      <c r="AK22" s="36">
        <f>VLOOKUP($A22,[24]HISTOMARS24!$A$6:$CB$38,65,0)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MVTFEV24!I23-E23+L23</f>
        <v>907479.80127828859</v>
      </c>
      <c r="G23" s="5">
        <f>IF(MVTFEV24!I23+L23&gt;700000,(MVTFEV24!I23-E23+L23),0)</f>
        <v>907479.80127828859</v>
      </c>
      <c r="H23" s="36">
        <f t="shared" si="0"/>
        <v>3096.4079113487519</v>
      </c>
      <c r="I23" s="6">
        <f t="shared" si="2"/>
        <v>910576.20918963733</v>
      </c>
      <c r="J23" s="36">
        <f>VLOOKUP($A23,[24]HISTOMARS24!$A$6:$AQ$42,22,0)</f>
        <v>0</v>
      </c>
      <c r="K23" s="36">
        <f>VLOOKUP($A23,[24]HISTOMARS24!$A$6:$AU$38,45,0)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VLOOKUP($A23,[24]HISTOMARS24!$A$6:$AU$38,7,0)</f>
        <v>0</v>
      </c>
      <c r="Q23" s="36">
        <f>VLOOKUP($A23,[24]HISTOMARS24!$A$6:$AU$38,23,0)</f>
        <v>0</v>
      </c>
      <c r="R23" s="36">
        <f>VLOOKUP($A23,[24]HISTOMARS24!$A$6:$AU$38,46,0)</f>
        <v>0</v>
      </c>
      <c r="S23" s="36">
        <f>VLOOKUP($A23,[24]HISTOMARS24!$A$6:$AU$38,26,0)</f>
        <v>0</v>
      </c>
      <c r="T23" s="36">
        <f>VLOOKUP($A23,[24]HISTOMARS24!$A$6:$BG$38,58,0)</f>
        <v>0</v>
      </c>
      <c r="U23" s="36">
        <f>VLOOKUP($A23,[24]HISTOMARS24!$A$6:$AU$38,28,0)</f>
        <v>0</v>
      </c>
      <c r="V23" s="36">
        <f>VLOOKUP($A23,[24]HISTOMARS24!$A$6:$AU$38,19,0)</f>
        <v>0</v>
      </c>
      <c r="W23" s="36">
        <f>VLOOKUP($A23,[24]HISTOMARS24!$A$6:$AU$38,20,0)</f>
        <v>0</v>
      </c>
      <c r="X23" s="36">
        <f>VLOOKUP($A23,[24]HISTOMARS24!$A$6:$AU$38,27,0)</f>
        <v>0</v>
      </c>
      <c r="Y23" s="36">
        <f>VLOOKUP($A23,[24]HISTOMARS24!$A$6:$BM$38,33,0)</f>
        <v>0</v>
      </c>
      <c r="Z23" s="36">
        <f>VLOOKUP($A23,[24]HISTOMARS24!$A$6:$BM$38,65,0)</f>
        <v>0</v>
      </c>
      <c r="AA23" s="36"/>
      <c r="AB23" s="36">
        <f>VLOOKUP($A23,[24]HISTOMARS24!$A$6:$AU$38,43,0)</f>
        <v>0</v>
      </c>
      <c r="AC23" s="36">
        <f>VLOOKUP($A23,[24]HISTOMARS24!$A$6:$AU$38,44,0)</f>
        <v>0</v>
      </c>
      <c r="AD23" s="36">
        <f>VLOOKUP($A23,[24]HISTOMARS24!$A$6:$AU$38,47,0)</f>
        <v>0</v>
      </c>
      <c r="AE23" s="36">
        <f>VLOOKUP(A23,[24]HISTOMARS24!$A$6:$BB$38,54,0)</f>
        <v>0</v>
      </c>
      <c r="AF23" s="36">
        <f>VLOOKUP($A23,[24]HISTOMARS24!$A$6:$CB$38,60,0)</f>
        <v>0</v>
      </c>
      <c r="AG23" s="36">
        <f>VLOOKUP($A23,[24]HISTOMARS24!$A$6:$CB$38,61,0)</f>
        <v>0</v>
      </c>
      <c r="AH23" s="36">
        <f>VLOOKUP($A23,[24]HISTOMARS24!$A$6:$CB$38,62,0)</f>
        <v>0</v>
      </c>
      <c r="AI23" s="36">
        <f>VLOOKUP($A23,[24]HISTOMARS24!$A$6:$CB$38,63,0)</f>
        <v>0</v>
      </c>
      <c r="AJ23" s="36">
        <f>VLOOKUP($A23,[24]HISTOMARS24!$A$6:$CB$38,64,0)</f>
        <v>0</v>
      </c>
      <c r="AK23" s="36">
        <f>VLOOKUP($A23,[24]HISTOMARS24!$A$6:$CB$38,65,0)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MVTFEV24!I24-E24+L24</f>
        <v>1069908.3713130199</v>
      </c>
      <c r="G24" s="5">
        <f>IF(MVTFEV24!I24+L24&gt;700000,(MVTFEV24!I24-E24+L24),0)</f>
        <v>1069908.3713130199</v>
      </c>
      <c r="H24" s="36">
        <f t="shared" si="0"/>
        <v>3650.6297337806686</v>
      </c>
      <c r="I24" s="6">
        <f t="shared" si="2"/>
        <v>1073559.0010468005</v>
      </c>
      <c r="J24" s="36">
        <f>VLOOKUP($A24,[24]HISTOMARS24!$A$6:$AQ$42,22,0)</f>
        <v>0</v>
      </c>
      <c r="K24" s="36">
        <f>VLOOKUP($A24,[24]HISTOMARS24!$A$6:$AU$38,45,0)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VLOOKUP($A24,[24]HISTOMARS24!$A$6:$AU$38,7,0)</f>
        <v>0</v>
      </c>
      <c r="Q24" s="36">
        <f>VLOOKUP($A24,[24]HISTOMARS24!$A$6:$AU$38,23,0)</f>
        <v>0</v>
      </c>
      <c r="R24" s="36">
        <f>VLOOKUP($A24,[24]HISTOMARS24!$A$6:$AU$38,46,0)</f>
        <v>0</v>
      </c>
      <c r="S24" s="36">
        <f>VLOOKUP($A24,[24]HISTOMARS24!$A$6:$AU$38,26,0)</f>
        <v>0</v>
      </c>
      <c r="T24" s="36">
        <f>VLOOKUP($A24,[24]HISTOMARS24!$A$6:$BG$38,58,0)</f>
        <v>0</v>
      </c>
      <c r="U24" s="36">
        <f>VLOOKUP($A24,[24]HISTOMARS24!$A$6:$AU$38,28,0)</f>
        <v>0</v>
      </c>
      <c r="V24" s="36">
        <f>VLOOKUP($A24,[24]HISTOMARS24!$A$6:$AU$38,19,0)</f>
        <v>0</v>
      </c>
      <c r="W24" s="36">
        <f>VLOOKUP($A24,[24]HISTOMARS24!$A$6:$AU$38,20,0)</f>
        <v>0</v>
      </c>
      <c r="X24" s="36">
        <f>VLOOKUP($A24,[24]HISTOMARS24!$A$6:$AU$38,27,0)</f>
        <v>0</v>
      </c>
      <c r="Y24" s="36">
        <f>VLOOKUP($A24,[24]HISTOMARS24!$A$6:$BM$38,33,0)</f>
        <v>0</v>
      </c>
      <c r="Z24" s="36">
        <f>VLOOKUP($A24,[24]HISTOMARS24!$A$6:$BM$38,65,0)</f>
        <v>0</v>
      </c>
      <c r="AA24" s="36"/>
      <c r="AB24" s="36">
        <f>VLOOKUP($A24,[24]HISTOMARS24!$A$6:$AU$38,43,0)</f>
        <v>0</v>
      </c>
      <c r="AC24" s="36">
        <f>VLOOKUP($A24,[24]HISTOMARS24!$A$6:$AU$38,44,0)</f>
        <v>0</v>
      </c>
      <c r="AD24" s="36">
        <f>VLOOKUP($A24,[24]HISTOMARS24!$A$6:$AU$38,47,0)</f>
        <v>0</v>
      </c>
      <c r="AE24" s="36">
        <f>VLOOKUP(A24,[24]HISTOMARS24!$A$6:$BB$38,54,0)</f>
        <v>0</v>
      </c>
      <c r="AF24" s="36">
        <f>VLOOKUP($A24,[24]HISTOMARS24!$A$6:$CB$38,60,0)</f>
        <v>0</v>
      </c>
      <c r="AG24" s="36">
        <f>VLOOKUP($A24,[24]HISTOMARS24!$A$6:$CB$38,61,0)</f>
        <v>0</v>
      </c>
      <c r="AH24" s="36">
        <f>VLOOKUP($A24,[24]HISTOMARS24!$A$6:$CB$38,62,0)</f>
        <v>0</v>
      </c>
      <c r="AI24" s="36">
        <f>VLOOKUP($A24,[24]HISTOMARS24!$A$6:$CB$38,63,0)</f>
        <v>0</v>
      </c>
      <c r="AJ24" s="36">
        <f>VLOOKUP($A24,[24]HISTOMARS24!$A$6:$CB$38,64,0)</f>
        <v>0</v>
      </c>
      <c r="AK24" s="36">
        <f>VLOOKUP($A24,[24]HISTOMARS24!$A$6:$CB$38,65,0)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MVTFEV24!I25-E25+L25</f>
        <v>892058.73500648094</v>
      </c>
      <c r="G25" s="5">
        <f>IF(MVTFEV24!I25+L25&gt;700000,(MVTFEV24!I25-E25+L25),0)</f>
        <v>892058.73500648094</v>
      </c>
      <c r="H25" s="36">
        <f t="shared" si="0"/>
        <v>3043.7897577124972</v>
      </c>
      <c r="I25" s="6">
        <f t="shared" si="2"/>
        <v>895102.52476419345</v>
      </c>
      <c r="J25" s="36">
        <f>VLOOKUP($A25,[24]HISTOMARS24!$A$6:$AQ$42,22,0)</f>
        <v>0</v>
      </c>
      <c r="K25" s="36">
        <f>VLOOKUP($A25,[24]HISTOMARS24!$A$6:$AU$38,45,0)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VLOOKUP($A25,[24]HISTOMARS24!$A$6:$AU$38,7,0)</f>
        <v>0</v>
      </c>
      <c r="Q25" s="36">
        <f>VLOOKUP($A25,[24]HISTOMARS24!$A$6:$AU$38,23,0)</f>
        <v>0</v>
      </c>
      <c r="R25" s="36">
        <f>VLOOKUP($A25,[24]HISTOMARS24!$A$6:$AU$38,46,0)</f>
        <v>0</v>
      </c>
      <c r="S25" s="36">
        <f>VLOOKUP($A25,[24]HISTOMARS24!$A$6:$AU$38,26,0)</f>
        <v>0</v>
      </c>
      <c r="T25" s="36">
        <f>VLOOKUP($A25,[24]HISTOMARS24!$A$6:$BG$38,58,0)</f>
        <v>0</v>
      </c>
      <c r="U25" s="36">
        <f>VLOOKUP($A25,[24]HISTOMARS24!$A$6:$AU$38,28,0)</f>
        <v>0</v>
      </c>
      <c r="V25" s="36">
        <f>VLOOKUP($A25,[24]HISTOMARS24!$A$6:$AU$38,19,0)</f>
        <v>0</v>
      </c>
      <c r="W25" s="36">
        <f>VLOOKUP($A25,[24]HISTOMARS24!$A$6:$AU$38,20,0)</f>
        <v>0</v>
      </c>
      <c r="X25" s="36">
        <f>VLOOKUP($A25,[24]HISTOMARS24!$A$6:$AU$38,27,0)</f>
        <v>0</v>
      </c>
      <c r="Y25" s="36">
        <f>VLOOKUP($A25,[24]HISTOMARS24!$A$6:$BM$38,33,0)</f>
        <v>0</v>
      </c>
      <c r="Z25" s="36">
        <f>VLOOKUP($A25,[24]HISTOMARS24!$A$6:$BM$38,65,0)</f>
        <v>0</v>
      </c>
      <c r="AA25" s="36"/>
      <c r="AB25" s="36">
        <f>VLOOKUP($A25,[24]HISTOMARS24!$A$6:$AU$38,43,0)</f>
        <v>0</v>
      </c>
      <c r="AC25" s="36">
        <f>VLOOKUP($A25,[24]HISTOMARS24!$A$6:$AU$38,44,0)</f>
        <v>0</v>
      </c>
      <c r="AD25" s="36">
        <f>VLOOKUP($A25,[24]HISTOMARS24!$A$6:$AU$38,47,0)</f>
        <v>0</v>
      </c>
      <c r="AE25" s="36">
        <f>VLOOKUP(A25,[24]HISTOMARS24!$A$6:$BB$38,54,0)</f>
        <v>0</v>
      </c>
      <c r="AF25" s="36">
        <f>VLOOKUP($A25,[24]HISTOMARS24!$A$6:$CB$38,60,0)</f>
        <v>0</v>
      </c>
      <c r="AG25" s="36">
        <f>VLOOKUP($A25,[24]HISTOMARS24!$A$6:$CB$38,61,0)</f>
        <v>0</v>
      </c>
      <c r="AH25" s="36">
        <f>VLOOKUP($A25,[24]HISTOMARS24!$A$6:$CB$38,62,0)</f>
        <v>0</v>
      </c>
      <c r="AI25" s="36">
        <f>VLOOKUP($A25,[24]HISTOMARS24!$A$6:$CB$38,63,0)</f>
        <v>0</v>
      </c>
      <c r="AJ25" s="36">
        <f>VLOOKUP($A25,[24]HISTOMARS24!$A$6:$CB$38,64,0)</f>
        <v>0</v>
      </c>
      <c r="AK25" s="36">
        <f>VLOOKUP($A25,[24]HISTOMARS24!$A$6:$CB$38,65,0)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MVTFEV24!I26-E26+L26</f>
        <v>822471.83018052008</v>
      </c>
      <c r="G26" s="5">
        <f>IF(MVTFEV24!I26+L26&gt;700000,(MVTFEV24!I26-E26+L26),0)</f>
        <v>822471.83018052008</v>
      </c>
      <c r="H26" s="36">
        <f t="shared" si="0"/>
        <v>2806.3525802393847</v>
      </c>
      <c r="I26" s="6">
        <f t="shared" si="2"/>
        <v>825278.18276075949</v>
      </c>
      <c r="J26" s="36">
        <f>VLOOKUP($A26,[24]HISTOMARS24!$A$6:$AQ$42,22,0)</f>
        <v>0</v>
      </c>
      <c r="K26" s="36">
        <f>VLOOKUP($A26,[24]HISTOMARS24!$A$6:$AU$38,45,0)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VLOOKUP($A26,[24]HISTOMARS24!$A$6:$AU$38,7,0)</f>
        <v>3000</v>
      </c>
      <c r="Q26" s="36">
        <f>VLOOKUP($A26,[24]HISTOMARS24!$A$6:$AU$38,23,0)</f>
        <v>0</v>
      </c>
      <c r="R26" s="36">
        <f>VLOOKUP($A26,[24]HISTOMARS24!$A$6:$AU$38,46,0)</f>
        <v>0</v>
      </c>
      <c r="S26" s="36">
        <f>VLOOKUP($A26,[24]HISTOMARS24!$A$6:$AU$38,26,0)</f>
        <v>0</v>
      </c>
      <c r="T26" s="36">
        <f>VLOOKUP($A26,[24]HISTOMARS24!$A$6:$BG$38,58,0)</f>
        <v>0</v>
      </c>
      <c r="U26" s="36">
        <f>VLOOKUP($A26,[24]HISTOMARS24!$A$6:$AU$38,28,0)</f>
        <v>0</v>
      </c>
      <c r="V26" s="36">
        <f>VLOOKUP($A26,[24]HISTOMARS24!$A$6:$AU$38,19,0)</f>
        <v>0</v>
      </c>
      <c r="W26" s="36">
        <f>VLOOKUP($A26,[24]HISTOMARS24!$A$6:$AU$38,20,0)</f>
        <v>0</v>
      </c>
      <c r="X26" s="36">
        <f>VLOOKUP($A26,[24]HISTOMARS24!$A$6:$AU$38,27,0)</f>
        <v>0</v>
      </c>
      <c r="Y26" s="36">
        <f>VLOOKUP($A26,[24]HISTOMARS24!$A$6:$BM$38,33,0)</f>
        <v>0</v>
      </c>
      <c r="Z26" s="36">
        <f>VLOOKUP($A26,[24]HISTOMARS24!$A$6:$BM$38,65,0)</f>
        <v>0</v>
      </c>
      <c r="AA26" s="36"/>
      <c r="AB26" s="36">
        <f>VLOOKUP($A26,[24]HISTOMARS24!$A$6:$AU$38,43,0)</f>
        <v>0</v>
      </c>
      <c r="AC26" s="36">
        <f>VLOOKUP($A26,[24]HISTOMARS24!$A$6:$AU$38,44,0)</f>
        <v>0</v>
      </c>
      <c r="AD26" s="36">
        <f>VLOOKUP($A26,[24]HISTOMARS24!$A$6:$AU$38,47,0)</f>
        <v>0</v>
      </c>
      <c r="AE26" s="36">
        <f>VLOOKUP(A26,[24]HISTOMARS24!$A$6:$BB$38,54,0)</f>
        <v>0</v>
      </c>
      <c r="AF26" s="36">
        <f>VLOOKUP($A26,[24]HISTOMARS24!$A$6:$CB$38,60,0)</f>
        <v>0</v>
      </c>
      <c r="AG26" s="36">
        <f>VLOOKUP($A26,[24]HISTOMARS24!$A$6:$CB$38,61,0)</f>
        <v>0</v>
      </c>
      <c r="AH26" s="36">
        <f>VLOOKUP($A26,[24]HISTOMARS24!$A$6:$CB$38,62,0)</f>
        <v>0</v>
      </c>
      <c r="AI26" s="36">
        <f>VLOOKUP($A26,[24]HISTOMARS24!$A$6:$CB$38,63,0)</f>
        <v>0</v>
      </c>
      <c r="AJ26" s="36">
        <f>VLOOKUP($A26,[24]HISTOMARS24!$A$6:$CB$38,64,0)</f>
        <v>0</v>
      </c>
      <c r="AK26" s="36">
        <f>VLOOKUP($A26,[24]HISTOMARS24!$A$6:$CB$38,65,0)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MVTFEV24!I27-E27+L27</f>
        <v>821036.28868156555</v>
      </c>
      <c r="G27" s="5">
        <f>IF(MVTFEV24!I27+L27&gt;700000,(MVTFEV24!I27-E27+L27),0)</f>
        <v>821036.28868156555</v>
      </c>
      <c r="H27" s="36">
        <f t="shared" si="0"/>
        <v>2801.4543752896207</v>
      </c>
      <c r="I27" s="6">
        <f t="shared" si="2"/>
        <v>823837.74305685516</v>
      </c>
      <c r="J27" s="36">
        <f>VLOOKUP($A27,[24]HISTOMARS24!$A$6:$AQ$42,22,0)</f>
        <v>0</v>
      </c>
      <c r="K27" s="36">
        <f>VLOOKUP($A27,[24]HISTOMARS24!$A$6:$AU$38,45,0)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VLOOKUP($A27,[24]HISTOMARS24!$A$6:$AU$38,7,0)</f>
        <v>0</v>
      </c>
      <c r="Q27" s="36">
        <f>VLOOKUP($A27,[24]HISTOMARS24!$A$6:$AU$38,23,0)</f>
        <v>0</v>
      </c>
      <c r="R27" s="36">
        <f>VLOOKUP($A27,[24]HISTOMARS24!$A$6:$AU$38,46,0)</f>
        <v>0</v>
      </c>
      <c r="S27" s="36">
        <f>VLOOKUP($A27,[24]HISTOMARS24!$A$6:$AU$38,26,0)</f>
        <v>0</v>
      </c>
      <c r="T27" s="36">
        <f>VLOOKUP($A27,[24]HISTOMARS24!$A$6:$BG$38,58,0)</f>
        <v>30000</v>
      </c>
      <c r="U27" s="36">
        <f>VLOOKUP($A27,[24]HISTOMARS24!$A$6:$AU$38,28,0)</f>
        <v>0</v>
      </c>
      <c r="V27" s="36">
        <f>VLOOKUP($A27,[24]HISTOMARS24!$A$6:$AU$38,19,0)</f>
        <v>0</v>
      </c>
      <c r="W27" s="36">
        <f>VLOOKUP($A27,[24]HISTOMARS24!$A$6:$AU$38,20,0)</f>
        <v>0</v>
      </c>
      <c r="X27" s="36">
        <f>VLOOKUP($A27,[24]HISTOMARS24!$A$6:$AU$38,27,0)</f>
        <v>0</v>
      </c>
      <c r="Y27" s="36">
        <f>VLOOKUP($A27,[24]HISTOMARS24!$A$6:$BM$38,33,0)</f>
        <v>0</v>
      </c>
      <c r="Z27" s="36">
        <f>VLOOKUP($A27,[24]HISTOMARS24!$A$6:$BM$38,65,0)</f>
        <v>0</v>
      </c>
      <c r="AA27" s="36"/>
      <c r="AB27" s="36">
        <f>VLOOKUP($A27,[24]HISTOMARS24!$A$6:$AU$38,43,0)</f>
        <v>0</v>
      </c>
      <c r="AC27" s="36">
        <f>VLOOKUP($A27,[24]HISTOMARS24!$A$6:$AU$38,44,0)</f>
        <v>0</v>
      </c>
      <c r="AD27" s="36">
        <f>VLOOKUP($A27,[24]HISTOMARS24!$A$6:$AU$38,47,0)</f>
        <v>0</v>
      </c>
      <c r="AE27" s="36">
        <f>VLOOKUP(A27,[24]HISTOMARS24!$A$6:$BB$38,54,0)</f>
        <v>0</v>
      </c>
      <c r="AF27" s="36">
        <f>VLOOKUP($A27,[24]HISTOMARS24!$A$6:$CB$38,60,0)</f>
        <v>0</v>
      </c>
      <c r="AG27" s="36">
        <f>VLOOKUP($A27,[24]HISTOMARS24!$A$6:$CB$38,61,0)</f>
        <v>0</v>
      </c>
      <c r="AH27" s="36">
        <f>VLOOKUP($A27,[24]HISTOMARS24!$A$6:$CB$38,62,0)</f>
        <v>0</v>
      </c>
      <c r="AI27" s="36">
        <f>VLOOKUP($A27,[24]HISTOMARS24!$A$6:$CB$38,63,0)</f>
        <v>0</v>
      </c>
      <c r="AJ27" s="36">
        <f>VLOOKUP($A27,[24]HISTOMARS24!$A$6:$CB$38,64,0)</f>
        <v>0</v>
      </c>
      <c r="AK27" s="36">
        <f>VLOOKUP($A27,[24]HISTOMARS24!$A$6:$CB$38,65,0)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MVTFEV24!I28-E28+L28</f>
        <v>723711.02987328102</v>
      </c>
      <c r="G28" s="5">
        <f>IF(MVTFEV24!I28+L28&gt;700000,(MVTFEV24!I28-E28+L28),0)</f>
        <v>723711.02987328102</v>
      </c>
      <c r="H28" s="36">
        <f t="shared" si="0"/>
        <v>2469.3712799705413</v>
      </c>
      <c r="I28" s="6">
        <f t="shared" si="2"/>
        <v>726180.40115325153</v>
      </c>
      <c r="J28" s="36">
        <f>VLOOKUP($A28,[24]HISTOMARS24!$A$6:$AQ$42,22,0)</f>
        <v>0</v>
      </c>
      <c r="K28" s="36">
        <f>VLOOKUP($A28,[24]HISTOMARS24!$A$6:$AU$38,45,0)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VLOOKUP($A28,[24]HISTOMARS24!$A$6:$AU$38,7,0)</f>
        <v>0</v>
      </c>
      <c r="Q28" s="36">
        <f>VLOOKUP($A28,[24]HISTOMARS24!$A$6:$AU$38,23,0)</f>
        <v>0</v>
      </c>
      <c r="R28" s="36">
        <f>VLOOKUP($A28,[24]HISTOMARS24!$A$6:$AU$38,46,0)</f>
        <v>0</v>
      </c>
      <c r="S28" s="36">
        <f>VLOOKUP($A28,[24]HISTOMARS24!$A$6:$AU$38,26,0)</f>
        <v>50000</v>
      </c>
      <c r="T28" s="36">
        <f>VLOOKUP($A28,[24]HISTOMARS24!$A$6:$BG$38,58,0)</f>
        <v>1500</v>
      </c>
      <c r="U28" s="36">
        <f>VLOOKUP($A28,[24]HISTOMARS24!$A$6:$AU$38,28,0)</f>
        <v>0</v>
      </c>
      <c r="V28" s="36">
        <f>VLOOKUP($A28,[24]HISTOMARS24!$A$6:$AU$38,19,0)</f>
        <v>0</v>
      </c>
      <c r="W28" s="36">
        <f>VLOOKUP($A28,[24]HISTOMARS24!$A$6:$AU$38,20,0)</f>
        <v>0</v>
      </c>
      <c r="X28" s="36" t="str">
        <f>VLOOKUP($A28,[24]HISTOMARS24!$A$6:$AU$38,27,0)</f>
        <v>BANQUE</v>
      </c>
      <c r="Y28" s="36">
        <f>VLOOKUP($A28,[24]HISTOMARS24!$A$6:$BM$38,33,0)</f>
        <v>0</v>
      </c>
      <c r="Z28" s="36">
        <f>VLOOKUP($A28,[24]HISTOMARS24!$A$6:$BM$38,65,0)</f>
        <v>0</v>
      </c>
      <c r="AA28" s="36"/>
      <c r="AB28" s="36">
        <f>VLOOKUP($A28,[24]HISTOMARS24!$A$6:$AU$38,43,0)</f>
        <v>0</v>
      </c>
      <c r="AC28" s="36">
        <f>VLOOKUP($A28,[24]HISTOMARS24!$A$6:$AU$38,44,0)</f>
        <v>0</v>
      </c>
      <c r="AD28" s="36">
        <f>VLOOKUP($A28,[24]HISTOMARS24!$A$6:$AU$38,47,0)</f>
        <v>0</v>
      </c>
      <c r="AE28" s="36">
        <f>VLOOKUP(A28,[24]HISTOMARS24!$A$6:$BB$38,54,0)</f>
        <v>0</v>
      </c>
      <c r="AF28" s="36">
        <f>VLOOKUP($A28,[24]HISTOMARS24!$A$6:$CB$38,60,0)</f>
        <v>0</v>
      </c>
      <c r="AG28" s="36">
        <f>VLOOKUP($A28,[24]HISTOMARS24!$A$6:$CB$38,61,0)</f>
        <v>0</v>
      </c>
      <c r="AH28" s="36">
        <f>VLOOKUP($A28,[24]HISTOMARS24!$A$6:$CB$38,62,0)</f>
        <v>0</v>
      </c>
      <c r="AI28" s="36">
        <f>VLOOKUP($A28,[24]HISTOMARS24!$A$6:$CB$38,63,0)</f>
        <v>0</v>
      </c>
      <c r="AJ28" s="36">
        <f>VLOOKUP($A28,[24]HISTOMARS24!$A$6:$CB$38,64,0)</f>
        <v>0</v>
      </c>
      <c r="AK28" s="36">
        <f>VLOOKUP($A28,[24]HISTOMARS24!$A$6:$CB$38,65,0)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MVTFEV24!I29-E29+L29</f>
        <v>847240.19358644669</v>
      </c>
      <c r="G29" s="5">
        <f>IF(MVTFEV24!I29+L29&gt;700000,(MVTFEV24!I29-E29+L29),0)</f>
        <v>847240.19358644669</v>
      </c>
      <c r="H29" s="36">
        <f t="shared" si="0"/>
        <v>2890.8646060643578</v>
      </c>
      <c r="I29" s="6">
        <f t="shared" si="2"/>
        <v>850131.05819251109</v>
      </c>
      <c r="J29" s="36">
        <f>VLOOKUP($A29,[24]HISTOMARS24!$A$6:$AQ$42,22,0)</f>
        <v>0</v>
      </c>
      <c r="K29" s="36">
        <f>VLOOKUP($A29,[24]HISTOMARS24!$A$6:$AU$38,45,0)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VLOOKUP($A29,[24]HISTOMARS24!$A$6:$AU$38,7,0)</f>
        <v>0</v>
      </c>
      <c r="Q29" s="36">
        <f>VLOOKUP($A29,[24]HISTOMARS24!$A$6:$AU$38,23,0)</f>
        <v>0</v>
      </c>
      <c r="R29" s="36">
        <f>VLOOKUP($A29,[24]HISTOMARS24!$A$6:$AU$38,46,0)</f>
        <v>0</v>
      </c>
      <c r="S29" s="36">
        <f>VLOOKUP($A29,[24]HISTOMARS24!$A$6:$AU$38,26,0)</f>
        <v>0</v>
      </c>
      <c r="T29" s="36">
        <f>VLOOKUP($A29,[24]HISTOMARS24!$A$6:$BG$38,58,0)</f>
        <v>0</v>
      </c>
      <c r="U29" s="36">
        <f>VLOOKUP($A29,[24]HISTOMARS24!$A$6:$AU$38,28,0)</f>
        <v>0</v>
      </c>
      <c r="V29" s="36">
        <f>VLOOKUP($A29,[24]HISTOMARS24!$A$6:$AU$38,19,0)</f>
        <v>0</v>
      </c>
      <c r="W29" s="36">
        <f>VLOOKUP($A29,[24]HISTOMARS24!$A$6:$AU$38,20,0)</f>
        <v>0</v>
      </c>
      <c r="X29" s="36">
        <f>VLOOKUP($A29,[24]HISTOMARS24!$A$6:$AU$38,27,0)</f>
        <v>0</v>
      </c>
      <c r="Y29" s="36">
        <f>VLOOKUP($A29,[24]HISTOMARS24!$A$6:$BM$38,33,0)</f>
        <v>0</v>
      </c>
      <c r="Z29" s="36">
        <f>VLOOKUP($A29,[24]HISTOMARS24!$A$6:$BM$38,65,0)</f>
        <v>0</v>
      </c>
      <c r="AA29" s="36"/>
      <c r="AB29" s="36">
        <f>VLOOKUP($A29,[24]HISTOMARS24!$A$6:$AU$38,43,0)</f>
        <v>0</v>
      </c>
      <c r="AC29" s="36">
        <f>VLOOKUP($A29,[24]HISTOMARS24!$A$6:$AU$38,44,0)</f>
        <v>0</v>
      </c>
      <c r="AD29" s="36">
        <f>VLOOKUP($A29,[24]HISTOMARS24!$A$6:$AU$38,47,0)</f>
        <v>0</v>
      </c>
      <c r="AE29" s="36">
        <f>VLOOKUP(A29,[24]HISTOMARS24!$A$6:$BB$38,54,0)</f>
        <v>0</v>
      </c>
      <c r="AF29" s="36">
        <f>VLOOKUP($A29,[24]HISTOMARS24!$A$6:$CB$38,60,0)</f>
        <v>0</v>
      </c>
      <c r="AG29" s="36">
        <f>VLOOKUP($A29,[24]HISTOMARS24!$A$6:$CB$38,61,0)</f>
        <v>0</v>
      </c>
      <c r="AH29" s="36">
        <f>VLOOKUP($A29,[24]HISTOMARS24!$A$6:$CB$38,62,0)</f>
        <v>0</v>
      </c>
      <c r="AI29" s="36">
        <f>VLOOKUP($A29,[24]HISTOMARS24!$A$6:$CB$38,63,0)</f>
        <v>0</v>
      </c>
      <c r="AJ29" s="36">
        <f>VLOOKUP($A29,[24]HISTOMARS24!$A$6:$CB$38,64,0)</f>
        <v>0</v>
      </c>
      <c r="AK29" s="36">
        <f>VLOOKUP($A29,[24]HISTOMARS24!$A$6:$CB$38,65,0)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MVTFEV24!I30-E30+L30</f>
        <v>753221.00882511924</v>
      </c>
      <c r="G30" s="5">
        <f>IF(MVTFEV24!I30+L30&gt;700000,(MVTFEV24!I30-E30+L30),0)</f>
        <v>753221.00882511924</v>
      </c>
      <c r="H30" s="36">
        <f t="shared" si="0"/>
        <v>2570.0621517249265</v>
      </c>
      <c r="I30" s="6">
        <f t="shared" si="2"/>
        <v>755791.07097684417</v>
      </c>
      <c r="J30" s="36">
        <f>VLOOKUP($A30,[24]HISTOMARS24!$A$6:$AQ$42,22,0)</f>
        <v>0</v>
      </c>
      <c r="K30" s="36">
        <f>VLOOKUP($A30,[24]HISTOMARS24!$A$6:$AU$38,45,0)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VLOOKUP($A30,[24]HISTOMARS24!$A$6:$AU$38,7,0)</f>
        <v>0</v>
      </c>
      <c r="Q30" s="36">
        <f>VLOOKUP($A30,[24]HISTOMARS24!$A$6:$AU$38,23,0)</f>
        <v>0</v>
      </c>
      <c r="R30" s="36">
        <f>VLOOKUP($A30,[24]HISTOMARS24!$A$6:$AU$38,46,0)</f>
        <v>0</v>
      </c>
      <c r="S30" s="36">
        <f>VLOOKUP($A30,[24]HISTOMARS24!$A$6:$AU$38,26,0)</f>
        <v>0</v>
      </c>
      <c r="T30" s="36">
        <f>VLOOKUP($A30,[24]HISTOMARS24!$A$6:$BG$38,58,0)</f>
        <v>0</v>
      </c>
      <c r="U30" s="36">
        <f>VLOOKUP($A30,[24]HISTOMARS24!$A$6:$AU$38,28,0)</f>
        <v>0</v>
      </c>
      <c r="V30" s="36">
        <f>VLOOKUP($A30,[24]HISTOMARS24!$A$6:$AU$38,19,0)</f>
        <v>0</v>
      </c>
      <c r="W30" s="36">
        <f>VLOOKUP($A30,[24]HISTOMARS24!$A$6:$AU$38,20,0)</f>
        <v>0</v>
      </c>
      <c r="X30" s="36">
        <f>VLOOKUP($A30,[24]HISTOMARS24!$A$6:$AU$38,27,0)</f>
        <v>0</v>
      </c>
      <c r="Y30" s="36">
        <f>VLOOKUP($A30,[24]HISTOMARS24!$A$6:$BM$38,33,0)</f>
        <v>0</v>
      </c>
      <c r="Z30" s="36">
        <f>VLOOKUP($A30,[24]HISTOMARS24!$A$6:$BM$38,65,0)</f>
        <v>0</v>
      </c>
      <c r="AA30" s="36"/>
      <c r="AB30" s="36">
        <f>VLOOKUP($A30,[24]HISTOMARS24!$A$6:$AU$38,43,0)</f>
        <v>0</v>
      </c>
      <c r="AC30" s="36">
        <f>VLOOKUP($A30,[24]HISTOMARS24!$A$6:$AU$38,44,0)</f>
        <v>0</v>
      </c>
      <c r="AD30" s="36">
        <f>VLOOKUP($A30,[24]HISTOMARS24!$A$6:$AU$38,47,0)</f>
        <v>0</v>
      </c>
      <c r="AE30" s="36">
        <f>VLOOKUP(A30,[24]HISTOMARS24!$A$6:$BB$38,54,0)</f>
        <v>0</v>
      </c>
      <c r="AF30" s="36">
        <f>VLOOKUP($A30,[24]HISTOMARS24!$A$6:$CB$38,60,0)</f>
        <v>0</v>
      </c>
      <c r="AG30" s="36">
        <f>VLOOKUP($A30,[24]HISTOMARS24!$A$6:$CB$38,61,0)</f>
        <v>0</v>
      </c>
      <c r="AH30" s="36">
        <f>VLOOKUP($A30,[24]HISTOMARS24!$A$6:$CB$38,62,0)</f>
        <v>0</v>
      </c>
      <c r="AI30" s="36">
        <f>VLOOKUP($A30,[24]HISTOMARS24!$A$6:$CB$38,63,0)</f>
        <v>0</v>
      </c>
      <c r="AJ30" s="36">
        <f>VLOOKUP($A30,[24]HISTOMARS24!$A$6:$CB$38,64,0)</f>
        <v>0</v>
      </c>
      <c r="AK30" s="36">
        <f>VLOOKUP($A30,[24]HISTOMARS24!$A$6:$CB$38,65,0)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MVTFEV24!I31-E31+L31</f>
        <v>911688.70865958696</v>
      </c>
      <c r="G31" s="5">
        <f>IF(MVTFEV24!I31+L31&gt;700000,(MVTFEV24!I31-E31+L31),0)</f>
        <v>911688.70865958696</v>
      </c>
      <c r="H31" s="36">
        <f t="shared" si="0"/>
        <v>3110.7691060499765</v>
      </c>
      <c r="I31" s="6">
        <f t="shared" si="2"/>
        <v>914799.47776563698</v>
      </c>
      <c r="J31" s="36">
        <f>VLOOKUP($A31,[24]HISTOMARS24!$A$6:$AQ$42,22,0)</f>
        <v>0</v>
      </c>
      <c r="K31" s="36">
        <f>VLOOKUP($A31,[24]HISTOMARS24!$A$6:$AU$38,45,0)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VLOOKUP($A31,[24]HISTOMARS24!$A$6:$AU$38,7,0)</f>
        <v>0</v>
      </c>
      <c r="Q31" s="36">
        <f>VLOOKUP($A31,[24]HISTOMARS24!$A$6:$AU$38,23,0)</f>
        <v>0</v>
      </c>
      <c r="R31" s="36">
        <f>VLOOKUP($A31,[24]HISTOMARS24!$A$6:$AU$38,46,0)</f>
        <v>0</v>
      </c>
      <c r="S31" s="36">
        <f>VLOOKUP($A31,[24]HISTOMARS24!$A$6:$AU$38,26,0)</f>
        <v>0</v>
      </c>
      <c r="T31" s="36">
        <f>VLOOKUP($A31,[24]HISTOMARS24!$A$6:$BG$38,58,0)</f>
        <v>0</v>
      </c>
      <c r="U31" s="36">
        <f>VLOOKUP($A31,[24]HISTOMARS24!$A$6:$AU$38,28,0)</f>
        <v>0</v>
      </c>
      <c r="V31" s="36">
        <f>VLOOKUP($A31,[24]HISTOMARS24!$A$6:$AU$38,19,0)</f>
        <v>0</v>
      </c>
      <c r="W31" s="36">
        <f>VLOOKUP($A31,[24]HISTOMARS24!$A$6:$AU$38,20,0)</f>
        <v>0</v>
      </c>
      <c r="X31" s="36">
        <f>VLOOKUP($A31,[24]HISTOMARS24!$A$6:$AU$38,27,0)</f>
        <v>0</v>
      </c>
      <c r="Y31" s="36">
        <f>VLOOKUP($A31,[24]HISTOMARS24!$A$6:$BM$38,33,0)</f>
        <v>0</v>
      </c>
      <c r="Z31" s="36">
        <f>VLOOKUP($A31,[24]HISTOMARS24!$A$6:$BM$38,65,0)</f>
        <v>0</v>
      </c>
      <c r="AA31" s="36"/>
      <c r="AB31" s="36">
        <f>VLOOKUP($A31,[24]HISTOMARS24!$A$6:$AU$38,43,0)</f>
        <v>0</v>
      </c>
      <c r="AC31" s="36">
        <f>VLOOKUP($A31,[24]HISTOMARS24!$A$6:$AU$38,44,0)</f>
        <v>0</v>
      </c>
      <c r="AD31" s="36">
        <f>VLOOKUP($A31,[24]HISTOMARS24!$A$6:$AU$38,47,0)</f>
        <v>0</v>
      </c>
      <c r="AE31" s="36">
        <f>VLOOKUP(A31,[24]HISTOMARS24!$A$6:$BB$38,54,0)</f>
        <v>0</v>
      </c>
      <c r="AF31" s="36">
        <f>VLOOKUP($A31,[24]HISTOMARS24!$A$6:$CB$38,60,0)</f>
        <v>0</v>
      </c>
      <c r="AG31" s="36">
        <f>VLOOKUP($A31,[24]HISTOMARS24!$A$6:$CB$38,61,0)</f>
        <v>0</v>
      </c>
      <c r="AH31" s="36">
        <f>VLOOKUP($A31,[24]HISTOMARS24!$A$6:$CB$38,62,0)</f>
        <v>0</v>
      </c>
      <c r="AI31" s="36">
        <f>VLOOKUP($A31,[24]HISTOMARS24!$A$6:$CB$38,63,0)</f>
        <v>0</v>
      </c>
      <c r="AJ31" s="36">
        <f>VLOOKUP($A31,[24]HISTOMARS24!$A$6:$CB$38,64,0)</f>
        <v>0</v>
      </c>
      <c r="AK31" s="36">
        <f>VLOOKUP($A31,[24]HISTOMARS24!$A$6:$CB$38,65,0)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MVTFEV24!I32-E32+L32</f>
        <v>801547.77208029735</v>
      </c>
      <c r="G32" s="5">
        <f>IF(MVTFEV24!I32+L32&gt;700000,(MVTFEV24!I32-E32+L32),0)</f>
        <v>801547.77208029735</v>
      </c>
      <c r="H32" s="36">
        <f t="shared" si="0"/>
        <v>2734.9576919478909</v>
      </c>
      <c r="I32" s="6">
        <f t="shared" si="2"/>
        <v>804282.72977224528</v>
      </c>
      <c r="J32" s="36">
        <f>VLOOKUP($A32,[24]HISTOMARS24!$A$6:$AQ$42,22,0)</f>
        <v>0</v>
      </c>
      <c r="K32" s="36">
        <f>VLOOKUP($A32,[24]HISTOMARS24!$A$6:$AU$38,45,0)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VLOOKUP($A32,[24]HISTOMARS24!$A$6:$AU$38,7,0)</f>
        <v>0</v>
      </c>
      <c r="Q32" s="36">
        <f>VLOOKUP($A32,[24]HISTOMARS24!$A$6:$AU$38,23,0)</f>
        <v>0</v>
      </c>
      <c r="R32" s="36">
        <f>VLOOKUP($A32,[24]HISTOMARS24!$A$6:$AU$38,46,0)</f>
        <v>0</v>
      </c>
      <c r="S32" s="36">
        <f>VLOOKUP($A32,[24]HISTOMARS24!$A$6:$AU$38,26,0)</f>
        <v>1000000</v>
      </c>
      <c r="T32" s="36">
        <f>VLOOKUP($A32,[24]HISTOMARS24!$A$6:$BG$38,58,0)</f>
        <v>30000</v>
      </c>
      <c r="U32" s="36">
        <f>VLOOKUP($A32,[24]HISTOMARS24!$A$6:$AU$38,28,0)</f>
        <v>0</v>
      </c>
      <c r="V32" s="36">
        <f>VLOOKUP($A32,[24]HISTOMARS24!$A$6:$AU$38,19,0)</f>
        <v>250000</v>
      </c>
      <c r="W32" s="36">
        <f>VLOOKUP($A32,[24]HISTOMARS24!$A$6:$AU$38,20,0)</f>
        <v>0</v>
      </c>
      <c r="X32" s="36">
        <f>VLOOKUP($A32,[24]HISTOMARS24!$A$6:$AU$38,27,0)</f>
        <v>0</v>
      </c>
      <c r="Y32" s="36">
        <f>VLOOKUP($A32,[24]HISTOMARS24!$A$6:$BM$38,33,0)</f>
        <v>0</v>
      </c>
      <c r="Z32" s="36">
        <f>VLOOKUP($A32,[24]HISTOMARS24!$A$6:$BM$38,65,0)</f>
        <v>0</v>
      </c>
      <c r="AA32" s="36"/>
      <c r="AB32" s="36">
        <f>VLOOKUP($A32,[24]HISTOMARS24!$A$6:$AU$38,43,0)</f>
        <v>0</v>
      </c>
      <c r="AC32" s="36">
        <f>VLOOKUP($A32,[24]HISTOMARS24!$A$6:$AU$38,44,0)</f>
        <v>0</v>
      </c>
      <c r="AD32" s="36">
        <f>VLOOKUP($A32,[24]HISTOMARS24!$A$6:$AU$38,47,0)</f>
        <v>0</v>
      </c>
      <c r="AE32" s="36">
        <f>VLOOKUP(A32,[24]HISTOMARS24!$A$6:$BB$38,54,0)</f>
        <v>0</v>
      </c>
      <c r="AF32" s="36">
        <f>VLOOKUP($A32,[24]HISTOMARS24!$A$6:$CB$38,60,0)</f>
        <v>0</v>
      </c>
      <c r="AG32" s="36">
        <f>VLOOKUP($A32,[24]HISTOMARS24!$A$6:$CB$38,61,0)</f>
        <v>0</v>
      </c>
      <c r="AH32" s="36">
        <f>VLOOKUP($A32,[24]HISTOMARS24!$A$6:$CB$38,62,0)</f>
        <v>0</v>
      </c>
      <c r="AI32" s="36">
        <f>VLOOKUP($A32,[24]HISTOMARS24!$A$6:$CB$38,63,0)</f>
        <v>0</v>
      </c>
      <c r="AJ32" s="36">
        <f>VLOOKUP($A32,[24]HISTOMARS24!$A$6:$CB$38,64,0)</f>
        <v>0</v>
      </c>
      <c r="AK32" s="36">
        <f>VLOOKUP($A32,[24]HISTOMARS24!$A$6:$CB$38,65,0)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MVTFEV24!I33-E33+L33</f>
        <v>801854.99485106289</v>
      </c>
      <c r="G33" s="5">
        <f>IF(MVTFEV24!I33+L33&gt;700000,(MVTFEV24!I33-E33+L33),0)</f>
        <v>801854.99485106289</v>
      </c>
      <c r="H33" s="36">
        <f t="shared" si="0"/>
        <v>2736.0059654373999</v>
      </c>
      <c r="I33" s="6">
        <f t="shared" si="2"/>
        <v>804591.00081650028</v>
      </c>
      <c r="J33" s="36">
        <f>VLOOKUP($A33,[24]HISTOMARS24!$A$6:$AQ$42,22,0)</f>
        <v>0</v>
      </c>
      <c r="K33" s="36">
        <f>VLOOKUP($A33,[24]HISTOMARS24!$A$6:$AU$38,45,0)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VLOOKUP($A33,[24]HISTOMARS24!$A$6:$AU$38,7,0)</f>
        <v>0</v>
      </c>
      <c r="Q33" s="36">
        <f>VLOOKUP($A33,[24]HISTOMARS24!$A$6:$AU$38,23,0)</f>
        <v>0</v>
      </c>
      <c r="R33" s="36">
        <f>VLOOKUP($A33,[24]HISTOMARS24!$A$6:$AU$38,46,0)</f>
        <v>0</v>
      </c>
      <c r="S33" s="36">
        <f>VLOOKUP($A33,[24]HISTOMARS24!$A$6:$AU$38,26,0)</f>
        <v>0</v>
      </c>
      <c r="T33" s="36">
        <f>VLOOKUP($A33,[24]HISTOMARS24!$A$6:$BG$38,58,0)</f>
        <v>0</v>
      </c>
      <c r="U33" s="36">
        <f>VLOOKUP($A33,[24]HISTOMARS24!$A$6:$AU$38,28,0)</f>
        <v>0</v>
      </c>
      <c r="V33" s="36">
        <f>VLOOKUP($A33,[24]HISTOMARS24!$A$6:$AU$38,19,0)</f>
        <v>0</v>
      </c>
      <c r="W33" s="36">
        <f>VLOOKUP($A33,[24]HISTOMARS24!$A$6:$AU$38,20,0)</f>
        <v>0</v>
      </c>
      <c r="X33" s="36">
        <f>VLOOKUP($A33,[24]HISTOMARS24!$A$6:$AU$38,27,0)</f>
        <v>0</v>
      </c>
      <c r="Y33" s="36">
        <f>VLOOKUP($A33,[24]HISTOMARS24!$A$6:$BM$38,33,0)</f>
        <v>0</v>
      </c>
      <c r="Z33" s="36">
        <f>VLOOKUP($A33,[24]HISTOMARS24!$A$6:$BM$38,65,0)</f>
        <v>0</v>
      </c>
      <c r="AA33" s="36"/>
      <c r="AB33" s="36">
        <f>VLOOKUP($A33,[24]HISTOMARS24!$A$6:$AU$38,43,0)</f>
        <v>0</v>
      </c>
      <c r="AC33" s="36">
        <f>VLOOKUP($A33,[24]HISTOMARS24!$A$6:$AU$38,44,0)</f>
        <v>0</v>
      </c>
      <c r="AD33" s="36">
        <f>VLOOKUP($A33,[24]HISTOMARS24!$A$6:$AU$38,47,0)</f>
        <v>0</v>
      </c>
      <c r="AE33" s="36">
        <f>VLOOKUP(A33,[24]HISTOMARS24!$A$6:$BB$38,54,0)</f>
        <v>0</v>
      </c>
      <c r="AF33" s="36">
        <f>VLOOKUP($A33,[24]HISTOMARS24!$A$6:$CB$38,60,0)</f>
        <v>0</v>
      </c>
      <c r="AG33" s="36">
        <f>VLOOKUP($A33,[24]HISTOMARS24!$A$6:$CB$38,61,0)</f>
        <v>0</v>
      </c>
      <c r="AH33" s="36">
        <f>VLOOKUP($A33,[24]HISTOMARS24!$A$6:$CB$38,62,0)</f>
        <v>0</v>
      </c>
      <c r="AI33" s="36">
        <f>VLOOKUP($A33,[24]HISTOMARS24!$A$6:$CB$38,63,0)</f>
        <v>0</v>
      </c>
      <c r="AJ33" s="36">
        <f>VLOOKUP($A33,[24]HISTOMARS24!$A$6:$CB$38,64,0)</f>
        <v>0</v>
      </c>
      <c r="AK33" s="36">
        <f>VLOOKUP($A33,[24]HISTOMARS24!$A$6:$CB$38,65,0)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VLOOKUP($A34,[24]HISTOMARS24!$A$6:$AQ$42,22,0)</f>
        <v>0</v>
      </c>
      <c r="K34" s="36">
        <f>VLOOKUP($A34,[24]HISTOMARS24!$A$6:$AU$38,45,0)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VLOOKUP($A34,[24]HISTOMARS24!$A$6:$AU$38,7,0)</f>
        <v>0</v>
      </c>
      <c r="Q34" s="36">
        <f>VLOOKUP($A34,[24]HISTOMARS24!$A$6:$AU$38,23,0)</f>
        <v>0</v>
      </c>
      <c r="R34" s="36">
        <f>VLOOKUP($A34,[24]HISTOMARS24!$A$6:$AU$38,46,0)</f>
        <v>0</v>
      </c>
      <c r="S34" s="36">
        <f>VLOOKUP($A34,[24]HISTOMARS24!$A$6:$AU$38,26,0)</f>
        <v>0</v>
      </c>
      <c r="T34" s="36">
        <f>VLOOKUP($A34,[24]HISTOMARS24!$A$6:$BG$38,58,0)</f>
        <v>0</v>
      </c>
      <c r="U34" s="36">
        <f>VLOOKUP($A34,[24]HISTOMARS24!$A$6:$AU$38,28,0)</f>
        <v>0</v>
      </c>
      <c r="V34" s="36">
        <f>VLOOKUP($A34,[24]HISTOMARS24!$A$6:$AU$38,19,0)</f>
        <v>0</v>
      </c>
      <c r="W34" s="36">
        <f>VLOOKUP($A34,[24]HISTOMARS24!$A$6:$AU$38,20,0)</f>
        <v>0</v>
      </c>
      <c r="X34" s="36">
        <f>VLOOKUP($A34,[24]HISTOMARS24!$A$6:$AU$38,27,0)</f>
        <v>0</v>
      </c>
      <c r="Y34" s="36">
        <f>VLOOKUP($A34,[24]HISTOMARS24!$A$6:$BM$38,33,0)</f>
        <v>0</v>
      </c>
      <c r="Z34" s="36">
        <f>VLOOKUP($A34,[24]HISTOMARS24!$A$6:$BM$38,65,0)</f>
        <v>0</v>
      </c>
      <c r="AA34" s="36"/>
      <c r="AB34" s="36">
        <f>VLOOKUP($A34,[24]HISTOMARS24!$A$6:$AU$38,43,0)</f>
        <v>0</v>
      </c>
      <c r="AC34" s="36">
        <f>VLOOKUP($A34,[24]HISTOMARS24!$A$6:$AU$38,44,0)</f>
        <v>0</v>
      </c>
      <c r="AD34" s="36">
        <f>VLOOKUP($A34,[24]HISTOMARS24!$A$6:$AU$38,47,0)</f>
        <v>0</v>
      </c>
      <c r="AE34" s="36">
        <f>VLOOKUP(A34,[24]HISTOMARS24!$A$6:$BB$38,54,0)</f>
        <v>0</v>
      </c>
      <c r="AF34" s="36">
        <f>VLOOKUP($A34,[24]HISTOMARS24!$A$6:$CB$38,60,0)</f>
        <v>0</v>
      </c>
      <c r="AG34" s="36">
        <f>VLOOKUP($A34,[24]HISTOMARS24!$A$6:$CB$38,61,0)</f>
        <v>0</v>
      </c>
      <c r="AH34" s="36">
        <f>VLOOKUP($A34,[24]HISTOMARS24!$A$6:$CB$38,62,0)</f>
        <v>0</v>
      </c>
      <c r="AI34" s="36">
        <f>VLOOKUP($A34,[24]HISTOMARS24!$A$6:$CB$38,63,0)</f>
        <v>0</v>
      </c>
      <c r="AJ34" s="36">
        <f>VLOOKUP($A34,[24]HISTOMARS24!$A$6:$CB$38,64,0)</f>
        <v>0</v>
      </c>
      <c r="AK34" s="36">
        <f>VLOOKUP($A34,[24]HISTOMARS24!$A$6:$CB$38,65,0)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VLOOKUP($A35,[24]HISTOMARS24!$A$6:$AQ$42,22,0)</f>
        <v>0</v>
      </c>
      <c r="K35" s="36">
        <f>VLOOKUP($A35,[24]HISTOMARS24!$A$6:$AU$38,45,0)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VLOOKUP($A35,[24]HISTOMARS24!$A$6:$AU$38,7,0)</f>
        <v>0</v>
      </c>
      <c r="Q35" s="36">
        <f>VLOOKUP($A35,[24]HISTOMARS24!$A$6:$AU$38,23,0)</f>
        <v>0</v>
      </c>
      <c r="R35" s="36">
        <f>VLOOKUP($A35,[24]HISTOMARS24!$A$6:$AU$38,46,0)</f>
        <v>0</v>
      </c>
      <c r="S35" s="36">
        <f>VLOOKUP($A35,[24]HISTOMARS24!$A$6:$AU$38,26,0)</f>
        <v>0</v>
      </c>
      <c r="T35" s="36">
        <f>VLOOKUP($A35,[24]HISTOMARS24!$A$6:$BG$38,58,0)</f>
        <v>0</v>
      </c>
      <c r="U35" s="36">
        <f>VLOOKUP($A35,[24]HISTOMARS24!$A$6:$AU$38,28,0)</f>
        <v>0</v>
      </c>
      <c r="V35" s="36">
        <f>VLOOKUP($A35,[24]HISTOMARS24!$A$6:$AU$38,19,0)</f>
        <v>0</v>
      </c>
      <c r="W35" s="36">
        <f>VLOOKUP($A35,[24]HISTOMARS24!$A$6:$AU$38,20,0)</f>
        <v>0</v>
      </c>
      <c r="X35" s="36">
        <f>VLOOKUP($A35,[24]HISTOMARS24!$A$6:$AU$38,27,0)</f>
        <v>0</v>
      </c>
      <c r="Y35" s="36">
        <f>VLOOKUP($A35,[24]HISTOMARS24!$A$6:$BM$38,33,0)</f>
        <v>0</v>
      </c>
      <c r="Z35" s="36">
        <f>VLOOKUP($A35,[24]HISTOMARS24!$A$6:$BM$38,65,0)</f>
        <v>0</v>
      </c>
      <c r="AA35" s="36"/>
      <c r="AB35" s="36">
        <f>VLOOKUP($A35,[24]HISTOMARS24!$A$6:$AU$38,43,0)</f>
        <v>0</v>
      </c>
      <c r="AC35" s="36">
        <f>VLOOKUP($A35,[24]HISTOMARS24!$A$6:$AU$38,44,0)</f>
        <v>0</v>
      </c>
      <c r="AD35" s="36">
        <f>VLOOKUP($A35,[24]HISTOMARS24!$A$6:$AU$38,47,0)</f>
        <v>0</v>
      </c>
      <c r="AE35" s="36">
        <f>VLOOKUP(A35,[24]HISTOMARS24!$A$6:$BB$38,54,0)</f>
        <v>0</v>
      </c>
      <c r="AF35" s="36">
        <f>VLOOKUP($A35,[24]HISTOMARS24!$A$6:$CB$38,60,0)</f>
        <v>0</v>
      </c>
      <c r="AG35" s="36">
        <f>VLOOKUP($A35,[24]HISTOMARS24!$A$6:$CB$38,61,0)</f>
        <v>0</v>
      </c>
      <c r="AH35" s="36">
        <f>VLOOKUP($A35,[24]HISTOMARS24!$A$6:$CB$38,62,0)</f>
        <v>0</v>
      </c>
      <c r="AI35" s="36">
        <f>VLOOKUP($A35,[24]HISTOMARS24!$A$6:$CB$38,63,0)</f>
        <v>0</v>
      </c>
      <c r="AJ35" s="36">
        <f>VLOOKUP($A35,[24]HISTOMARS24!$A$6:$CB$38,64,0)</f>
        <v>0</v>
      </c>
      <c r="AK35" s="36">
        <f>VLOOKUP($A35,[24]HISTOMARS24!$A$6:$CB$38,65,0)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MVTFEV24!I36-E36+L36</f>
        <v>828813.59386187978</v>
      </c>
      <c r="G36" s="5">
        <f>IF(MVTFEV24!I36+L36&gt;700000,(MVTFEV24!I36-E36+L36),0)</f>
        <v>828813.59386187978</v>
      </c>
      <c r="H36" s="36">
        <f t="shared" si="0"/>
        <v>2827.9912847121518</v>
      </c>
      <c r="I36" s="6">
        <f t="shared" si="2"/>
        <v>831641.58514659188</v>
      </c>
      <c r="J36" s="36">
        <f>VLOOKUP($A36,[24]HISTOMARS24!$A$6:$AQ$42,22,0)</f>
        <v>0</v>
      </c>
      <c r="K36" s="36">
        <f>VLOOKUP($A36,[24]HISTOMARS24!$A$6:$AU$38,45,0)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VLOOKUP($A36,[24]HISTOMARS24!$A$6:$AU$38,7,0)</f>
        <v>0</v>
      </c>
      <c r="Q36" s="36">
        <f>VLOOKUP($A36,[24]HISTOMARS24!$A$6:$AU$38,23,0)</f>
        <v>0</v>
      </c>
      <c r="R36" s="36">
        <f>VLOOKUP($A36,[24]HISTOMARS24!$A$6:$AU$38,46,0)</f>
        <v>0</v>
      </c>
      <c r="S36" s="36">
        <f>VLOOKUP($A36,[24]HISTOMARS24!$A$6:$AU$38,26,0)</f>
        <v>0</v>
      </c>
      <c r="T36" s="36">
        <f>VLOOKUP($A36,[24]HISTOMARS24!$A$6:$BG$38,58,0)</f>
        <v>0</v>
      </c>
      <c r="U36" s="36">
        <f>VLOOKUP($A36,[24]HISTOMARS24!$A$6:$AU$38,28,0)</f>
        <v>0</v>
      </c>
      <c r="V36" s="36">
        <f>VLOOKUP($A36,[24]HISTOMARS24!$A$6:$AU$38,19,0)</f>
        <v>0</v>
      </c>
      <c r="W36" s="36">
        <f>VLOOKUP($A36,[24]HISTOMARS24!$A$6:$AU$38,20,0)</f>
        <v>0</v>
      </c>
      <c r="X36" s="36">
        <f>VLOOKUP($A36,[24]HISTOMARS24!$A$6:$AU$38,27,0)</f>
        <v>0</v>
      </c>
      <c r="Y36" s="36">
        <f>VLOOKUP($A36,[24]HISTOMARS24!$A$6:$BM$38,33,0)</f>
        <v>0</v>
      </c>
      <c r="Z36" s="36">
        <f>VLOOKUP($A36,[24]HISTOMARS24!$A$6:$BM$38,65,0)</f>
        <v>0</v>
      </c>
      <c r="AA36" s="36"/>
      <c r="AB36" s="36">
        <f>VLOOKUP($A36,[24]HISTOMARS24!$A$6:$AU$38,43,0)</f>
        <v>0</v>
      </c>
      <c r="AC36" s="36">
        <f>VLOOKUP($A36,[24]HISTOMARS24!$A$6:$AU$38,44,0)</f>
        <v>0</v>
      </c>
      <c r="AD36" s="36">
        <f>VLOOKUP($A36,[24]HISTOMARS24!$A$6:$AU$38,47,0)</f>
        <v>0</v>
      </c>
      <c r="AE36" s="36">
        <f>VLOOKUP(A36,[24]HISTOMARS24!$A$6:$BB$38,54,0)</f>
        <v>0</v>
      </c>
      <c r="AF36" s="36">
        <f>VLOOKUP($A36,[24]HISTOMARS24!$A$6:$CB$38,60,0)</f>
        <v>0</v>
      </c>
      <c r="AG36" s="36">
        <f>VLOOKUP($A36,[24]HISTOMARS24!$A$6:$CB$38,61,0)</f>
        <v>0</v>
      </c>
      <c r="AH36" s="36">
        <f>VLOOKUP($A36,[24]HISTOMARS24!$A$6:$CB$38,62,0)</f>
        <v>0</v>
      </c>
      <c r="AI36" s="36">
        <f>VLOOKUP($A36,[24]HISTOMARS24!$A$6:$CB$38,63,0)</f>
        <v>0</v>
      </c>
      <c r="AJ36" s="36">
        <f>VLOOKUP($A36,[24]HISTOMARS24!$A$6:$CB$38,64,0)</f>
        <v>0</v>
      </c>
      <c r="AK36" s="36">
        <f>VLOOKUP($A36,[24]HISTOMARS24!$A$6:$CB$38,65,0)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MVTFEV24!I37-E37+L37</f>
        <v>1866693.9583399089</v>
      </c>
      <c r="G37" s="5">
        <f>IF(MVTFEV24!I37+L37&gt;700000,(MVTFEV24!I37-E37+L37),0)</f>
        <v>1866693.9583399089</v>
      </c>
      <c r="H37" s="36">
        <f t="shared" si="0"/>
        <v>6369.3383946714384</v>
      </c>
      <c r="I37" s="6">
        <f t="shared" si="2"/>
        <v>1873063.2967345803</v>
      </c>
      <c r="J37" s="36">
        <f>VLOOKUP($A37,[24]HISTOMARS24!$A$6:$AQ$42,22,0)</f>
        <v>0</v>
      </c>
      <c r="K37" s="36">
        <f>VLOOKUP($A37,[24]HISTOMARS24!$A$6:$AU$38,45,0)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VLOOKUP($A37,[24]HISTOMARS24!$A$6:$AU$38,7,0)</f>
        <v>0</v>
      </c>
      <c r="Q37" s="36">
        <f>VLOOKUP($A37,[24]HISTOMARS24!$A$6:$AU$38,23,0)</f>
        <v>0</v>
      </c>
      <c r="R37" s="36">
        <f>VLOOKUP($A37,[24]HISTOMARS24!$A$6:$AU$38,46,0)</f>
        <v>0</v>
      </c>
      <c r="S37" s="36">
        <f>VLOOKUP($A37,[24]HISTOMARS24!$A$6:$AU$38,26,0)</f>
        <v>0</v>
      </c>
      <c r="T37" s="36">
        <f>VLOOKUP($A37,[24]HISTOMARS24!$A$6:$BG$38,58,0)</f>
        <v>0</v>
      </c>
      <c r="U37" s="36">
        <f>VLOOKUP($A37,[24]HISTOMARS24!$A$6:$AU$38,28,0)</f>
        <v>0</v>
      </c>
      <c r="V37" s="36">
        <f>VLOOKUP($A37,[24]HISTOMARS24!$A$6:$AU$38,19,0)</f>
        <v>0</v>
      </c>
      <c r="W37" s="36">
        <f>VLOOKUP($A37,[24]HISTOMARS24!$A$6:$AU$38,20,0)</f>
        <v>0</v>
      </c>
      <c r="X37" s="36">
        <f>VLOOKUP($A37,[24]HISTOMARS24!$A$6:$AU$38,27,0)</f>
        <v>0</v>
      </c>
      <c r="Y37" s="36">
        <f>VLOOKUP($A37,[24]HISTOMARS24!$A$6:$BM$38,33,0)</f>
        <v>0</v>
      </c>
      <c r="Z37" s="36">
        <f>VLOOKUP($A37,[24]HISTOMARS24!$A$6:$BM$38,65,0)</f>
        <v>0</v>
      </c>
      <c r="AA37" s="36"/>
      <c r="AB37" s="36">
        <f>VLOOKUP($A37,[24]HISTOMARS24!$A$6:$AU$38,43,0)</f>
        <v>0</v>
      </c>
      <c r="AC37" s="36">
        <f>VLOOKUP($A37,[24]HISTOMARS24!$A$6:$AU$38,44,0)</f>
        <v>0</v>
      </c>
      <c r="AD37" s="36">
        <f>VLOOKUP($A37,[24]HISTOMARS24!$A$6:$AU$38,47,0)</f>
        <v>0</v>
      </c>
      <c r="AE37" s="36">
        <f>VLOOKUP(A37,[24]HISTOMARS24!$A$6:$BB$38,54,0)</f>
        <v>0</v>
      </c>
      <c r="AF37" s="36">
        <f>VLOOKUP($A37,[24]HISTOMARS24!$A$6:$CB$38,60,0)</f>
        <v>0</v>
      </c>
      <c r="AG37" s="36">
        <f>VLOOKUP($A37,[24]HISTOMARS24!$A$6:$CB$38,61,0)</f>
        <v>0</v>
      </c>
      <c r="AH37" s="36">
        <f>VLOOKUP($A37,[24]HISTOMARS24!$A$6:$CB$38,62,0)</f>
        <v>0</v>
      </c>
      <c r="AI37" s="36">
        <f>VLOOKUP($A37,[24]HISTOMARS24!$A$6:$CB$38,63,0)</f>
        <v>0</v>
      </c>
      <c r="AJ37" s="36">
        <f>VLOOKUP($A37,[24]HISTOMARS24!$A$6:$CB$38,64,0)</f>
        <v>0</v>
      </c>
      <c r="AK37" s="36">
        <f>VLOOKUP($A37,[24]HISTOMARS24!$A$6:$CB$38,65,0)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VLOOKUP($A38,[24]HISTOMARS24!$A$6:$AQ$42,22,0)</f>
        <v>0</v>
      </c>
      <c r="K38" s="36">
        <f>VLOOKUP($A38,[24]HISTOMARS24!$A$6:$AU$38,45,0)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VLOOKUP($A38,[24]HISTOMARS24!$A$6:$AU$38,7,0)</f>
        <v>3000</v>
      </c>
      <c r="Q38" s="36">
        <f>VLOOKUP($A38,[24]HISTOMARS24!$A$6:$AU$38,23,0)</f>
        <v>0</v>
      </c>
      <c r="R38" s="36">
        <f>VLOOKUP($A38,[24]HISTOMARS24!$A$6:$AU$38,46,0)</f>
        <v>0</v>
      </c>
      <c r="S38" s="36">
        <f>VLOOKUP($A38,[24]HISTOMARS24!$A$6:$AU$38,26,0)</f>
        <v>0</v>
      </c>
      <c r="T38" s="36">
        <f>VLOOKUP($A38,[24]HISTOMARS24!$A$6:$BG$38,58,0)</f>
        <v>0</v>
      </c>
      <c r="U38" s="36">
        <f>VLOOKUP($A38,[24]HISTOMARS24!$A$6:$AU$38,28,0)</f>
        <v>0</v>
      </c>
      <c r="V38" s="36">
        <f>VLOOKUP($A38,[24]HISTOMARS24!$A$6:$AU$38,19,0)</f>
        <v>0</v>
      </c>
      <c r="W38" s="36">
        <f>VLOOKUP($A38,[24]HISTOMARS24!$A$6:$AU$38,20,0)</f>
        <v>0</v>
      </c>
      <c r="X38" s="36">
        <f>VLOOKUP($A38,[24]HISTOMARS24!$A$6:$AU$38,27,0)</f>
        <v>0</v>
      </c>
      <c r="Y38" s="36">
        <f>VLOOKUP($A38,[24]HISTOMARS24!$A$6:$BM$38,33,0)</f>
        <v>0</v>
      </c>
      <c r="Z38" s="36">
        <f>VLOOKUP($A38,[24]HISTOMARS24!$A$6:$BM$38,65,0)</f>
        <v>0</v>
      </c>
      <c r="AA38" s="36"/>
      <c r="AB38" s="36">
        <f>VLOOKUP($A38,[24]HISTOMARS24!$A$6:$AU$38,43,0)</f>
        <v>0</v>
      </c>
      <c r="AC38" s="36">
        <f>VLOOKUP($A38,[24]HISTOMARS24!$A$6:$AU$38,44,0)</f>
        <v>0</v>
      </c>
      <c r="AD38" s="36">
        <f>VLOOKUP($A38,[24]HISTOMARS24!$A$6:$AU$38,47,0)</f>
        <v>0</v>
      </c>
      <c r="AE38" s="36">
        <f>VLOOKUP(A38,[24]HISTOMARS24!$A$6:$BB$38,54,0)</f>
        <v>0</v>
      </c>
      <c r="AF38" s="36">
        <f>VLOOKUP($A38,[24]HISTOMARS24!$A$6:$CB$38,60,0)</f>
        <v>0</v>
      </c>
      <c r="AG38" s="36">
        <f>VLOOKUP($A38,[24]HISTOMARS24!$A$6:$CB$38,61,0)</f>
        <v>0</v>
      </c>
      <c r="AH38" s="36">
        <f>VLOOKUP($A38,[24]HISTOMARS24!$A$6:$CB$38,62,0)</f>
        <v>0</v>
      </c>
      <c r="AI38" s="36">
        <f>VLOOKUP($A38,[24]HISTOMARS24!$A$6:$CB$38,63,0)</f>
        <v>0</v>
      </c>
      <c r="AJ38" s="36">
        <f>VLOOKUP($A38,[24]HISTOMARS24!$A$6:$CB$38,64,0)</f>
        <v>0</v>
      </c>
      <c r="AK38" s="36">
        <f>VLOOKUP($A38,[24]HISTOMARS24!$A$6:$CB$38,65,0)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MVTFEV24!I39-E39+L39</f>
        <v>2030834.3261533265</v>
      </c>
      <c r="G39" s="5">
        <f>IF(MVTFEV24!I39+L39&gt;700000,(MVTFEV24!I39-E39+L39),0)</f>
        <v>2030834.3261533265</v>
      </c>
      <c r="H39" s="36">
        <f t="shared" si="0"/>
        <v>6929.4010349122891</v>
      </c>
      <c r="I39" s="6">
        <f t="shared" si="2"/>
        <v>2037763.7271882389</v>
      </c>
      <c r="J39" s="36">
        <f>VLOOKUP($A39,[24]HISTOMARS24!$A$6:$AQ$42,22,0)</f>
        <v>0</v>
      </c>
      <c r="K39" s="36">
        <f>VLOOKUP($A39,[24]HISTOMARS24!$A$6:$AU$38,45,0)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VLOOKUP($A39,[24]HISTOMARS24!$A$6:$AU$38,7,0)</f>
        <v>0</v>
      </c>
      <c r="Q39" s="36">
        <f>VLOOKUP($A39,[24]HISTOMARS24!$A$6:$AU$38,23,0)</f>
        <v>0</v>
      </c>
      <c r="R39" s="36">
        <f>VLOOKUP($A39,[24]HISTOMARS24!$A$6:$AU$38,46,0)</f>
        <v>0</v>
      </c>
      <c r="S39" s="36">
        <f>VLOOKUP($A39,[24]HISTOMARS24!$A$6:$AU$38,26,0)</f>
        <v>0</v>
      </c>
      <c r="T39" s="36">
        <f>VLOOKUP($A39,[24]HISTOMARS24!$A$6:$BG$38,58,0)</f>
        <v>0</v>
      </c>
      <c r="U39" s="36">
        <f>VLOOKUP($A39,[24]HISTOMARS24!$A$6:$AU$38,28,0)</f>
        <v>0</v>
      </c>
      <c r="V39" s="36">
        <f>VLOOKUP($A39,[24]HISTOMARS24!$A$6:$AU$38,19,0)</f>
        <v>0</v>
      </c>
      <c r="W39" s="36">
        <f>VLOOKUP($A39,[24]HISTOMARS24!$A$6:$AU$38,20,0)</f>
        <v>0</v>
      </c>
      <c r="X39" s="36">
        <f>VLOOKUP($A39,[24]HISTOMARS24!$A$6:$AU$38,27,0)</f>
        <v>0</v>
      </c>
      <c r="Y39" s="36">
        <f>VLOOKUP($A39,[24]HISTOMARS24!$A$6:$BM$38,33,0)</f>
        <v>0</v>
      </c>
      <c r="Z39" s="36">
        <f>VLOOKUP($A39,[24]HISTOMARS24!$A$6:$BM$38,65,0)</f>
        <v>0</v>
      </c>
      <c r="AA39" s="36"/>
      <c r="AB39" s="36">
        <f>VLOOKUP($A39,[24]HISTOMARS24!$A$6:$AU$38,43,0)</f>
        <v>0</v>
      </c>
      <c r="AC39" s="36">
        <f>VLOOKUP($A39,[24]HISTOMARS24!$A$6:$AU$38,44,0)</f>
        <v>0</v>
      </c>
      <c r="AD39" s="36">
        <f>VLOOKUP($A39,[24]HISTOMARS24!$A$6:$AU$38,47,0)</f>
        <v>0</v>
      </c>
      <c r="AE39" s="36">
        <f>VLOOKUP(A39,[24]HISTOMARS24!$A$6:$BB$38,54,0)</f>
        <v>0</v>
      </c>
      <c r="AF39" s="36">
        <f>VLOOKUP($A39,[24]HISTOMARS24!$A$6:$CB$38,60,0)</f>
        <v>0</v>
      </c>
      <c r="AG39" s="36">
        <f>VLOOKUP($A39,[24]HISTOMARS24!$A$6:$CB$38,61,0)</f>
        <v>0</v>
      </c>
      <c r="AH39" s="36">
        <f>VLOOKUP($A39,[24]HISTOMARS24!$A$6:$CB$38,62,0)</f>
        <v>0</v>
      </c>
      <c r="AI39" s="36">
        <f>VLOOKUP($A39,[24]HISTOMARS24!$A$6:$CB$38,63,0)</f>
        <v>100000</v>
      </c>
      <c r="AJ39" s="36">
        <f>VLOOKUP($A39,[24]HISTOMARS24!$A$6:$CB$38,64,0)</f>
        <v>0</v>
      </c>
      <c r="AK39" s="36">
        <f>VLOOKUP($A39,[24]HISTOMARS24!$A$6:$CB$38,65,0)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28441656.073121924</v>
      </c>
      <c r="G41" s="9">
        <f t="shared" si="10"/>
        <v>27109439.073121924</v>
      </c>
      <c r="H41" s="36">
        <f t="shared" si="10"/>
        <v>92499.999999999985</v>
      </c>
      <c r="I41" s="9">
        <f t="shared" si="10"/>
        <v>28534156.07312192</v>
      </c>
      <c r="J41" s="9">
        <f t="shared" si="10"/>
        <v>0</v>
      </c>
      <c r="K41" s="9">
        <f t="shared" si="10"/>
        <v>951000</v>
      </c>
      <c r="L41" s="9">
        <f t="shared" si="10"/>
        <v>759000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8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4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77">
        <v>45399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VLOOKUP($A6,[24]HISTOAVRIL24!$A$6:$BA$38,48,0)</f>
        <v>0</v>
      </c>
      <c r="F6" s="36">
        <f>MVTMARS24!I6-E6+L6</f>
        <v>945003.79869763087</v>
      </c>
      <c r="G6" s="5">
        <f>IF(MVTMARS24!I6+L6&gt;700000,(MVTMARS24!I6-E6+L6),0)</f>
        <v>945003.79869763087</v>
      </c>
      <c r="H6" s="36">
        <f t="shared" ref="H6:H39" si="0">$T$41/$G$41*G6</f>
        <v>0</v>
      </c>
      <c r="I6" s="6">
        <f>F6+H6</f>
        <v>945003.79869763087</v>
      </c>
      <c r="J6" s="36">
        <f>VLOOKUP($A6,[24]HISTOAVRIL24!$A$6:$AQ$42,22,0)</f>
        <v>0</v>
      </c>
      <c r="K6" s="36">
        <f>VLOOKUP($A6,[24]HISTOAVRIL24!$A$6:$AU$38,45,0)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VLOOKUP($A6,[24]HISTOAVRIL24!$A$6:$AU$38,7,0)</f>
        <v>0</v>
      </c>
      <c r="Q6" s="36">
        <f>VLOOKUP($A6,[24]HISTOAVRIL24!$A$6:$AU$38,23,0)</f>
        <v>0</v>
      </c>
      <c r="R6" s="36">
        <f>VLOOKUP($A6,[24]HISTOAVRIL24!$A$6:$AU$38,46,0)</f>
        <v>0</v>
      </c>
      <c r="S6" s="36">
        <f>VLOOKUP($A6,[24]HISTOAVRIL24!$A$6:$AU$38,26,0)</f>
        <v>0</v>
      </c>
      <c r="T6" s="36">
        <f>VLOOKUP($A6,[24]HISTOAVRIL24!$A$6:$BG$38,58,0)</f>
        <v>0</v>
      </c>
      <c r="U6" s="36">
        <f>VLOOKUP($A6,[24]HISTOAVRIL24!$A$6:$AU$38,28,0)</f>
        <v>0</v>
      </c>
      <c r="V6" s="36">
        <f>VLOOKUP($A6,[24]HISTOAVRIL24!$A$6:$AU$38,19,0)</f>
        <v>0</v>
      </c>
      <c r="W6" s="36">
        <f>VLOOKUP($A6,[24]HISTOAVRIL24!$A$6:$AU$38,20,0)</f>
        <v>0</v>
      </c>
      <c r="X6" s="36">
        <f>VLOOKUP($A6,[24]HISTOAVRIL24!$A$6:$AU$38,27,0)</f>
        <v>0</v>
      </c>
      <c r="Y6" s="36">
        <f>VLOOKUP($A6,[24]HISTOAVRIL24!$A$6:$BM$38,33,0)</f>
        <v>0</v>
      </c>
      <c r="Z6" s="36">
        <f>VLOOKUP($A6,[24]HISTOAVRIL24!$A$6:$BM$38,65,0)</f>
        <v>0</v>
      </c>
      <c r="AA6" s="36"/>
      <c r="AB6" s="36">
        <f>VLOOKUP($A6,[24]HISTOAVRIL24!$A$6:$AU$38,43,0)</f>
        <v>0</v>
      </c>
      <c r="AC6" s="36">
        <f>VLOOKUP($A6,[24]HISTOAVRIL24!$A$6:$AU$38,44,0)</f>
        <v>0</v>
      </c>
      <c r="AD6" s="36">
        <f>VLOOKUP($A6,[24]HISTOAVRIL24!$A$6:$AU$38,47,0)</f>
        <v>0</v>
      </c>
      <c r="AE6" s="36">
        <f>VLOOKUP(A6,[24]HISTOAVRIL24!$A$6:$BB$38,54,0)</f>
        <v>0</v>
      </c>
      <c r="AF6" s="36">
        <f>VLOOKUP($A6,[24]HISTOAVRIL24!$A$6:$CB$38,60,0)</f>
        <v>21000</v>
      </c>
      <c r="AG6" s="36">
        <f>VLOOKUP($A6,[24]HISTOAVRIL24!$A$6:$CB$38,61,0)</f>
        <v>100000</v>
      </c>
      <c r="AH6" s="36">
        <f>VLOOKUP($A6,[24]HISTOAVRIL24!$A$6:$CB$38,62,0)</f>
        <v>0</v>
      </c>
      <c r="AI6" s="36">
        <f>VLOOKUP($A6,[24]HISTOAVRIL24!$A$6:$CB$38,63,0)</f>
        <v>100000</v>
      </c>
      <c r="AJ6" s="36">
        <f>VLOOKUP($A6,[24]HISTOAVRIL24!$A$6:$CB$38,64,0)</f>
        <v>0</v>
      </c>
      <c r="AK6" s="36">
        <f>VLOOKUP($A6,[24]HISTOAVRIL24!$A$6:$CB$38,65,0)</f>
        <v>0</v>
      </c>
      <c r="AL6" s="36">
        <f>VLOOKUP($A6,[24]HISTOAVRIL24!$A$6:$CB$38,66,0)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VLOOKUP($A7,[24]HISTOAVRIL24!$A$6:$BA$38,48,0)</f>
        <v>0</v>
      </c>
      <c r="F7" s="36">
        <f>MVTMARS24!I7-E7+L7</f>
        <v>776773.28476822353</v>
      </c>
      <c r="G7" s="5">
        <f>IF(MVTMARS24!I7+L7&gt;700000,(MVTMARS24!I7-E7+L7),0)</f>
        <v>776773.28476822353</v>
      </c>
      <c r="H7" s="36">
        <f t="shared" si="0"/>
        <v>0</v>
      </c>
      <c r="I7" s="6">
        <f t="shared" ref="I7:I39" si="2">F7+H7</f>
        <v>776773.28476822353</v>
      </c>
      <c r="J7" s="36">
        <f>VLOOKUP($A7,[24]HISTOAVRIL24!$A$6:$AQ$42,22,0)</f>
        <v>0</v>
      </c>
      <c r="K7" s="36">
        <f>VLOOKUP($A7,[24]HISTOAVRIL24!$A$6:$AU$38,45,0)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VLOOKUP($A7,[24]HISTOAVRIL24!$A$6:$AU$38,7,0)</f>
        <v>3000</v>
      </c>
      <c r="Q7" s="36">
        <f>VLOOKUP($A7,[24]HISTOAVRIL24!$A$6:$AU$38,23,0)</f>
        <v>0</v>
      </c>
      <c r="R7" s="36">
        <f>VLOOKUP($A7,[24]HISTOAVRIL24!$A$6:$AU$38,46,0)</f>
        <v>0</v>
      </c>
      <c r="S7" s="36">
        <f>VLOOKUP($A7,[24]HISTOAVRIL24!$A$6:$AU$38,26,0)</f>
        <v>0</v>
      </c>
      <c r="T7" s="36">
        <f>VLOOKUP($A7,[24]HISTOAVRIL24!$A$6:$BG$38,58,0)</f>
        <v>0</v>
      </c>
      <c r="U7" s="36">
        <f>VLOOKUP($A7,[24]HISTOAVRIL24!$A$6:$AU$38,28,0)</f>
        <v>0</v>
      </c>
      <c r="V7" s="36">
        <f>VLOOKUP($A7,[24]HISTOAVRIL24!$A$6:$AU$38,19,0)</f>
        <v>0</v>
      </c>
      <c r="W7" s="36">
        <f>VLOOKUP($A7,[24]HISTOAVRIL24!$A$6:$AU$38,20,0)</f>
        <v>0</v>
      </c>
      <c r="X7" s="36">
        <f>VLOOKUP($A7,[24]HISTOAVRIL24!$A$6:$AU$38,27,0)</f>
        <v>0</v>
      </c>
      <c r="Y7" s="36">
        <f>VLOOKUP($A7,[24]HISTOAVRIL24!$A$6:$BM$38,33,0)</f>
        <v>0</v>
      </c>
      <c r="Z7" s="36">
        <f>VLOOKUP($A7,[24]HISTOAVRIL24!$A$6:$BM$38,65,0)</f>
        <v>0</v>
      </c>
      <c r="AA7" s="36"/>
      <c r="AB7" s="36">
        <f>VLOOKUP($A7,[24]HISTOAVRIL24!$A$6:$AU$38,43,0)</f>
        <v>0</v>
      </c>
      <c r="AC7" s="36">
        <f>VLOOKUP($A7,[24]HISTOAVRIL24!$A$6:$AU$38,44,0)</f>
        <v>0</v>
      </c>
      <c r="AD7" s="36">
        <f>VLOOKUP($A7,[24]HISTOAVRIL24!$A$6:$AU$38,47,0)</f>
        <v>0</v>
      </c>
      <c r="AE7" s="36">
        <f>VLOOKUP(A7,[24]HISTOAVRIL24!$A$6:$BB$38,54,0)</f>
        <v>0</v>
      </c>
      <c r="AF7" s="36">
        <f>VLOOKUP($A7,[24]HISTOAVRIL24!$A$6:$CB$38,60,0)</f>
        <v>0</v>
      </c>
      <c r="AG7" s="36">
        <f>VLOOKUP($A7,[24]HISTOAVRIL24!$A$6:$CB$38,61,0)</f>
        <v>0</v>
      </c>
      <c r="AH7" s="36">
        <f>VLOOKUP($A7,[24]HISTOAVRIL24!$A$6:$CB$38,62,0)</f>
        <v>0</v>
      </c>
      <c r="AI7" s="36">
        <f>VLOOKUP($A7,[24]HISTOAVRIL24!$A$6:$CB$38,63,0)</f>
        <v>0</v>
      </c>
      <c r="AJ7" s="36">
        <f>VLOOKUP($A7,[24]HISTOAVRIL24!$A$6:$CB$38,64,0)</f>
        <v>0</v>
      </c>
      <c r="AK7" s="36">
        <f>VLOOKUP($A7,[24]HISTOAVRIL24!$A$6:$CB$38,65,0)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VLOOKUP($A8,[24]HISTOAVRIL24!$A$6:$BA$38,48,0)</f>
        <v>0</v>
      </c>
      <c r="F8" s="36">
        <f>MVTMARS24!I8-E8+L8</f>
        <v>819572.94063192862</v>
      </c>
      <c r="G8" s="5">
        <f>IF(MVTMARS24!I8+L8&gt;700000,(MVTMARS24!I8-E8+L8),0)</f>
        <v>819572.94063192862</v>
      </c>
      <c r="H8" s="36">
        <f t="shared" si="0"/>
        <v>0</v>
      </c>
      <c r="I8" s="6">
        <f t="shared" si="2"/>
        <v>819572.94063192862</v>
      </c>
      <c r="J8" s="36">
        <f>VLOOKUP($A8,[24]HISTOAVRIL24!$A$6:$AQ$42,22,0)</f>
        <v>0</v>
      </c>
      <c r="K8" s="36">
        <f>VLOOKUP($A8,[24]HISTOAVRIL24!$A$6:$AU$38,45,0)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VLOOKUP($A8,[24]HISTOAVRIL24!$A$6:$AU$38,7,0)</f>
        <v>0</v>
      </c>
      <c r="Q8" s="36">
        <f>VLOOKUP($A8,[24]HISTOAVRIL24!$A$6:$AU$38,23,0)</f>
        <v>0</v>
      </c>
      <c r="R8" s="36">
        <f>VLOOKUP($A8,[24]HISTOAVRIL24!$A$6:$AU$38,46,0)</f>
        <v>0</v>
      </c>
      <c r="S8" s="36">
        <f>VLOOKUP($A8,[24]HISTOAVRIL24!$A$6:$AU$38,26,0)</f>
        <v>0</v>
      </c>
      <c r="T8" s="36">
        <f>VLOOKUP($A8,[24]HISTOAVRIL24!$A$6:$BG$38,58,0)</f>
        <v>0</v>
      </c>
      <c r="U8" s="36">
        <f>VLOOKUP($A8,[24]HISTOAVRIL24!$A$6:$AU$38,28,0)</f>
        <v>0</v>
      </c>
      <c r="V8" s="36">
        <f>VLOOKUP($A8,[24]HISTOAVRIL24!$A$6:$AU$38,19,0)</f>
        <v>0</v>
      </c>
      <c r="W8" s="36">
        <f>VLOOKUP($A8,[24]HISTOAVRIL24!$A$6:$AU$38,20,0)</f>
        <v>0</v>
      </c>
      <c r="X8" s="36">
        <f>VLOOKUP($A8,[24]HISTOAVRIL24!$A$6:$AU$38,27,0)</f>
        <v>0</v>
      </c>
      <c r="Y8" s="36">
        <f>VLOOKUP($A8,[24]HISTOAVRIL24!$A$6:$BM$38,33,0)</f>
        <v>0</v>
      </c>
      <c r="Z8" s="36">
        <f>VLOOKUP($A8,[24]HISTOAVRIL24!$A$6:$BM$38,65,0)</f>
        <v>0</v>
      </c>
      <c r="AA8" s="36"/>
      <c r="AB8" s="36">
        <f>VLOOKUP($A8,[24]HISTOAVRIL24!$A$6:$AU$38,43,0)</f>
        <v>0</v>
      </c>
      <c r="AC8" s="36">
        <f>VLOOKUP($A8,[24]HISTOAVRIL24!$A$6:$AU$38,44,0)</f>
        <v>0</v>
      </c>
      <c r="AD8" s="36">
        <f>VLOOKUP($A8,[24]HISTOAVRIL24!$A$6:$AU$38,47,0)</f>
        <v>0</v>
      </c>
      <c r="AE8" s="36">
        <f>VLOOKUP(A8,[24]HISTOAVRIL24!$A$6:$BB$38,54,0)</f>
        <v>0</v>
      </c>
      <c r="AF8" s="36">
        <f>VLOOKUP($A8,[24]HISTOAVRIL24!$A$6:$CB$38,60,0)</f>
        <v>0</v>
      </c>
      <c r="AG8" s="36">
        <f>VLOOKUP($A8,[24]HISTOAVRIL24!$A$6:$CB$38,61,0)</f>
        <v>0</v>
      </c>
      <c r="AH8" s="36">
        <f>VLOOKUP($A8,[24]HISTOAVRIL24!$A$6:$CB$38,62,0)</f>
        <v>0</v>
      </c>
      <c r="AI8" s="36">
        <f>VLOOKUP($A8,[24]HISTOAVRIL24!$A$6:$CB$38,63,0)</f>
        <v>0</v>
      </c>
      <c r="AJ8" s="36">
        <f>VLOOKUP($A8,[24]HISTOAVRIL24!$A$6:$CB$38,64,0)</f>
        <v>0</v>
      </c>
      <c r="AK8" s="36">
        <f>VLOOKUP($A8,[24]HISTOAVRIL24!$A$6:$CB$38,65,0)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VLOOKUP($A9,[24]HISTOAVRIL24!$A$6:$BA$38,48,0)</f>
        <v>0</v>
      </c>
      <c r="F9" s="36">
        <f>MVTMARS24!I9-E9+L9</f>
        <v>876928.46184166172</v>
      </c>
      <c r="G9" s="5">
        <f>IF(MVTMARS24!I9+L9&gt;700000,(MVTMARS24!I9-E9+L9),0)</f>
        <v>876928.46184166172</v>
      </c>
      <c r="H9" s="36">
        <f t="shared" si="0"/>
        <v>0</v>
      </c>
      <c r="I9" s="6">
        <f t="shared" si="2"/>
        <v>876928.46184166172</v>
      </c>
      <c r="J9" s="36">
        <f>VLOOKUP($A9,[24]HISTOAVRIL24!$A$6:$AQ$42,22,0)</f>
        <v>0</v>
      </c>
      <c r="K9" s="36">
        <f>VLOOKUP($A9,[24]HISTOAVRIL24!$A$6:$AU$38,45,0)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VLOOKUP($A9,[24]HISTOAVRIL24!$A$6:$AU$38,7,0)</f>
        <v>0</v>
      </c>
      <c r="Q9" s="36">
        <f>VLOOKUP($A9,[24]HISTOAVRIL24!$A$6:$AU$38,23,0)</f>
        <v>0</v>
      </c>
      <c r="R9" s="36">
        <f>VLOOKUP($A9,[24]HISTOAVRIL24!$A$6:$AU$38,46,0)</f>
        <v>0</v>
      </c>
      <c r="S9" s="36">
        <f>VLOOKUP($A9,[24]HISTOAVRIL24!$A$6:$AU$38,26,0)</f>
        <v>0</v>
      </c>
      <c r="T9" s="36">
        <f>VLOOKUP($A9,[24]HISTOAVRIL24!$A$6:$BG$38,58,0)</f>
        <v>0</v>
      </c>
      <c r="U9" s="36">
        <f>VLOOKUP($A9,[24]HISTOAVRIL24!$A$6:$AU$38,28,0)</f>
        <v>0</v>
      </c>
      <c r="V9" s="36">
        <f>VLOOKUP($A9,[24]HISTOAVRIL24!$A$6:$AU$38,19,0)</f>
        <v>0</v>
      </c>
      <c r="W9" s="36">
        <f>VLOOKUP($A9,[24]HISTOAVRIL24!$A$6:$AU$38,20,0)</f>
        <v>0</v>
      </c>
      <c r="X9" s="36">
        <f>VLOOKUP($A9,[24]HISTOAVRIL24!$A$6:$AU$38,27,0)</f>
        <v>0</v>
      </c>
      <c r="Y9" s="36">
        <f>VLOOKUP($A9,[24]HISTOAVRIL24!$A$6:$BM$38,33,0)</f>
        <v>0</v>
      </c>
      <c r="Z9" s="36">
        <f>VLOOKUP($A9,[24]HISTOAVRIL24!$A$6:$BM$38,65,0)</f>
        <v>0</v>
      </c>
      <c r="AA9" s="36"/>
      <c r="AB9" s="36">
        <f>VLOOKUP($A9,[24]HISTOAVRIL24!$A$6:$AU$38,43,0)</f>
        <v>0</v>
      </c>
      <c r="AC9" s="36">
        <f>VLOOKUP($A9,[24]HISTOAVRIL24!$A$6:$AU$38,44,0)</f>
        <v>0</v>
      </c>
      <c r="AD9" s="36">
        <f>VLOOKUP($A9,[24]HISTOAVRIL24!$A$6:$AU$38,47,0)</f>
        <v>0</v>
      </c>
      <c r="AE9" s="36">
        <f>VLOOKUP(A9,[24]HISTOAVRIL24!$A$6:$BB$38,54,0)</f>
        <v>0</v>
      </c>
      <c r="AF9" s="36">
        <f>VLOOKUP($A9,[24]HISTOAVRIL24!$A$6:$CB$38,60,0)</f>
        <v>0</v>
      </c>
      <c r="AG9" s="36">
        <f>VLOOKUP($A9,[24]HISTOAVRIL24!$A$6:$CB$38,61,0)</f>
        <v>0</v>
      </c>
      <c r="AH9" s="36">
        <f>VLOOKUP($A9,[24]HISTOAVRIL24!$A$6:$CB$38,62,0)</f>
        <v>0</v>
      </c>
      <c r="AI9" s="36">
        <f>VLOOKUP($A9,[24]HISTOAVRIL24!$A$6:$CB$38,63,0)</f>
        <v>0</v>
      </c>
      <c r="AJ9" s="36">
        <f>VLOOKUP($A9,[24]HISTOAVRIL24!$A$6:$CB$38,64,0)</f>
        <v>0</v>
      </c>
      <c r="AK9" s="36">
        <f>VLOOKUP($A9,[24]HISTOAVRIL24!$A$6:$CB$38,65,0)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VLOOKUP($A10,[24]HISTOAVRIL24!$A$6:$BA$38,48,0)</f>
        <v>0</v>
      </c>
      <c r="F10" s="36">
        <f>MVTMARS24!I10-E10+L10</f>
        <v>816844.47000147158</v>
      </c>
      <c r="G10" s="5">
        <f>IF(MVTMARS24!I10+L10&gt;700000,(MVTMARS24!I10-E10+L10),0)</f>
        <v>816844.47000147158</v>
      </c>
      <c r="H10" s="36">
        <f t="shared" si="0"/>
        <v>0</v>
      </c>
      <c r="I10" s="6">
        <f t="shared" si="2"/>
        <v>816844.47000147158</v>
      </c>
      <c r="J10" s="36">
        <f>VLOOKUP($A10,[24]HISTOAVRIL24!$A$6:$AQ$42,22,0)</f>
        <v>0</v>
      </c>
      <c r="K10" s="36">
        <f>VLOOKUP($A10,[24]HISTOAVRIL24!$A$6:$AU$38,45,0)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VLOOKUP($A10,[24]HISTOAVRIL24!$A$6:$AU$38,7,0)</f>
        <v>0</v>
      </c>
      <c r="Q10" s="36">
        <f>VLOOKUP($A10,[24]HISTOAVRIL24!$A$6:$AU$38,23,0)</f>
        <v>0</v>
      </c>
      <c r="R10" s="36">
        <f>VLOOKUP($A10,[24]HISTOAVRIL24!$A$6:$AU$38,46,0)</f>
        <v>0</v>
      </c>
      <c r="S10" s="36">
        <f>VLOOKUP($A10,[24]HISTOAVRIL24!$A$6:$AU$38,26,0)</f>
        <v>0</v>
      </c>
      <c r="T10" s="36">
        <f>VLOOKUP($A10,[24]HISTOAVRIL24!$A$6:$BG$38,58,0)</f>
        <v>0</v>
      </c>
      <c r="U10" s="36">
        <f>VLOOKUP($A10,[24]HISTOAVRIL24!$A$6:$AU$38,28,0)</f>
        <v>0</v>
      </c>
      <c r="V10" s="36">
        <f>VLOOKUP($A10,[24]HISTOAVRIL24!$A$6:$AU$38,19,0)</f>
        <v>0</v>
      </c>
      <c r="W10" s="36">
        <f>VLOOKUP($A10,[24]HISTOAVRIL24!$A$6:$AU$38,20,0)</f>
        <v>0</v>
      </c>
      <c r="X10" s="36">
        <f>VLOOKUP($A10,[24]HISTOAVRIL24!$A$6:$AU$38,27,0)</f>
        <v>0</v>
      </c>
      <c r="Y10" s="36">
        <f>VLOOKUP($A10,[24]HISTOAVRIL24!$A$6:$BM$38,33,0)</f>
        <v>0</v>
      </c>
      <c r="Z10" s="36">
        <f>VLOOKUP($A10,[24]HISTOAVRIL24!$A$6:$BM$38,65,0)</f>
        <v>0</v>
      </c>
      <c r="AA10" s="36"/>
      <c r="AB10" s="36">
        <f>VLOOKUP($A10,[24]HISTOAVRIL24!$A$6:$AU$38,43,0)</f>
        <v>0</v>
      </c>
      <c r="AC10" s="36">
        <f>VLOOKUP($A10,[24]HISTOAVRIL24!$A$6:$AU$38,44,0)</f>
        <v>0</v>
      </c>
      <c r="AD10" s="36">
        <f>VLOOKUP($A10,[24]HISTOAVRIL24!$A$6:$AU$38,47,0)</f>
        <v>0</v>
      </c>
      <c r="AE10" s="36">
        <f>VLOOKUP(A10,[24]HISTOAVRIL24!$A$6:$BB$38,54,0)</f>
        <v>0</v>
      </c>
      <c r="AF10" s="36">
        <f>VLOOKUP($A10,[24]HISTOAVRIL24!$A$6:$CB$38,60,0)</f>
        <v>0</v>
      </c>
      <c r="AG10" s="36">
        <f>VLOOKUP($A10,[24]HISTOAVRIL24!$A$6:$CB$38,61,0)</f>
        <v>0</v>
      </c>
      <c r="AH10" s="36">
        <f>VLOOKUP($A10,[24]HISTOAVRIL24!$A$6:$CB$38,62,0)</f>
        <v>0</v>
      </c>
      <c r="AI10" s="36">
        <f>VLOOKUP($A10,[24]HISTOAVRIL24!$A$6:$CB$38,63,0)</f>
        <v>0</v>
      </c>
      <c r="AJ10" s="36">
        <f>VLOOKUP($A10,[24]HISTOAVRIL24!$A$6:$CB$38,64,0)</f>
        <v>0</v>
      </c>
      <c r="AK10" s="36">
        <f>VLOOKUP($A10,[24]HISTOAVRIL24!$A$6:$CB$38,65,0)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VLOOKUP($A11,[24]HISTOAVRIL24!$A$6:$BA$38,48,0)</f>
        <v>0</v>
      </c>
      <c r="F11" s="36">
        <f>MVTMARS24!I11-E11+L11</f>
        <v>834892.50466802681</v>
      </c>
      <c r="G11" s="5">
        <f>IF(MVTMARS24!I11+L11&gt;700000,(MVTMARS24!I11-E11+L11),0)</f>
        <v>834892.50466802681</v>
      </c>
      <c r="H11" s="36">
        <f t="shared" si="0"/>
        <v>0</v>
      </c>
      <c r="I11" s="6">
        <f t="shared" si="2"/>
        <v>834892.50466802681</v>
      </c>
      <c r="J11" s="36">
        <f>VLOOKUP($A11,[24]HISTOAVRIL24!$A$6:$AQ$42,22,0)</f>
        <v>0</v>
      </c>
      <c r="K11" s="36">
        <f>VLOOKUP($A11,[24]HISTOAVRIL24!$A$6:$AU$38,45,0)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VLOOKUP($A11,[24]HISTOAVRIL24!$A$6:$AU$38,7,0)</f>
        <v>0</v>
      </c>
      <c r="Q11" s="36">
        <f>VLOOKUP($A11,[24]HISTOAVRIL24!$A$6:$AU$38,23,0)</f>
        <v>0</v>
      </c>
      <c r="R11" s="36">
        <f>VLOOKUP($A11,[24]HISTOAVRIL24!$A$6:$AU$38,46,0)</f>
        <v>0</v>
      </c>
      <c r="S11" s="36">
        <f>VLOOKUP($A11,[24]HISTOAVRIL24!$A$6:$AU$38,26,0)</f>
        <v>0</v>
      </c>
      <c r="T11" s="36">
        <f>VLOOKUP($A11,[24]HISTOAVRIL24!$A$6:$BG$38,58,0)</f>
        <v>0</v>
      </c>
      <c r="U11" s="36">
        <f>VLOOKUP($A11,[24]HISTOAVRIL24!$A$6:$AU$38,28,0)</f>
        <v>0</v>
      </c>
      <c r="V11" s="36">
        <f>VLOOKUP($A11,[24]HISTOAVRIL24!$A$6:$AU$38,19,0)</f>
        <v>0</v>
      </c>
      <c r="W11" s="36">
        <f>VLOOKUP($A11,[24]HISTOAVRIL24!$A$6:$AU$38,20,0)</f>
        <v>0</v>
      </c>
      <c r="X11" s="36">
        <f>VLOOKUP($A11,[24]HISTOAVRIL24!$A$6:$AU$38,27,0)</f>
        <v>0</v>
      </c>
      <c r="Y11" s="36">
        <f>VLOOKUP($A11,[24]HISTOAVRIL24!$A$6:$BM$38,33,0)</f>
        <v>0</v>
      </c>
      <c r="Z11" s="36">
        <f>VLOOKUP($A11,[24]HISTOAVRIL24!$A$6:$BM$38,65,0)</f>
        <v>0</v>
      </c>
      <c r="AA11" s="36"/>
      <c r="AB11" s="36">
        <f>VLOOKUP($A11,[24]HISTOAVRIL24!$A$6:$AU$38,43,0)</f>
        <v>0</v>
      </c>
      <c r="AC11" s="36">
        <f>VLOOKUP($A11,[24]HISTOAVRIL24!$A$6:$AU$38,44,0)</f>
        <v>0</v>
      </c>
      <c r="AD11" s="36">
        <f>VLOOKUP($A11,[24]HISTOAVRIL24!$A$6:$AU$38,47,0)</f>
        <v>0</v>
      </c>
      <c r="AE11" s="36">
        <f>VLOOKUP(A11,[24]HISTOAVRIL24!$A$6:$BB$38,54,0)</f>
        <v>0</v>
      </c>
      <c r="AF11" s="36">
        <f>VLOOKUP($A11,[24]HISTOAVRIL24!$A$6:$CB$38,60,0)</f>
        <v>0</v>
      </c>
      <c r="AG11" s="36">
        <f>VLOOKUP($A11,[24]HISTOAVRIL24!$A$6:$CB$38,61,0)</f>
        <v>0</v>
      </c>
      <c r="AH11" s="36">
        <f>VLOOKUP($A11,[24]HISTOAVRIL24!$A$6:$CB$38,62,0)</f>
        <v>0</v>
      </c>
      <c r="AI11" s="36">
        <f>VLOOKUP($A11,[24]HISTOAVRIL24!$A$6:$CB$38,63,0)</f>
        <v>0</v>
      </c>
      <c r="AJ11" s="36">
        <f>VLOOKUP($A11,[24]HISTOAVRIL24!$A$6:$CB$38,64,0)</f>
        <v>0</v>
      </c>
      <c r="AK11" s="36">
        <f>VLOOKUP($A11,[24]HISTOAVRIL24!$A$6:$CB$38,65,0)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VLOOKUP($A12,[24]HISTOAVRIL24!$A$6:$BA$38,48,0)</f>
        <v>0</v>
      </c>
      <c r="F12" s="36">
        <f>MVTMARS24!I12-E12+L12</f>
        <v>858120.04206278268</v>
      </c>
      <c r="G12" s="5">
        <f>IF(MVTMARS24!I12+L12&gt;700000,(MVTMARS24!I12-E12+L12),0)</f>
        <v>858120.04206278268</v>
      </c>
      <c r="H12" s="36">
        <f t="shared" si="0"/>
        <v>0</v>
      </c>
      <c r="I12" s="6">
        <f t="shared" si="2"/>
        <v>858120.04206278268</v>
      </c>
      <c r="J12" s="36">
        <f>VLOOKUP($A12,[24]HISTOAVRIL24!$A$6:$AQ$42,22,0)</f>
        <v>0</v>
      </c>
      <c r="K12" s="36">
        <f>VLOOKUP($A12,[24]HISTOAVRIL24!$A$6:$AU$38,45,0)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VLOOKUP($A12,[24]HISTOAVRIL24!$A$6:$AU$38,7,0)</f>
        <v>0</v>
      </c>
      <c r="Q12" s="36">
        <f>VLOOKUP($A12,[24]HISTOAVRIL24!$A$6:$AU$38,23,0)</f>
        <v>0</v>
      </c>
      <c r="R12" s="36">
        <f>VLOOKUP($A12,[24]HISTOAVRIL24!$A$6:$AU$38,46,0)</f>
        <v>0</v>
      </c>
      <c r="S12" s="36">
        <f>VLOOKUP($A12,[24]HISTOAVRIL24!$A$6:$AU$38,26,0)</f>
        <v>0</v>
      </c>
      <c r="T12" s="36">
        <f>VLOOKUP($A12,[24]HISTOAVRIL24!$A$6:$BG$38,58,0)</f>
        <v>0</v>
      </c>
      <c r="U12" s="36">
        <f>VLOOKUP($A12,[24]HISTOAVRIL24!$A$6:$AU$38,28,0)</f>
        <v>0</v>
      </c>
      <c r="V12" s="36">
        <f>VLOOKUP($A12,[24]HISTOAVRIL24!$A$6:$AU$38,19,0)</f>
        <v>0</v>
      </c>
      <c r="W12" s="36">
        <f>VLOOKUP($A12,[24]HISTOAVRIL24!$A$6:$AU$38,20,0)</f>
        <v>0</v>
      </c>
      <c r="X12" s="36">
        <f>VLOOKUP($A12,[24]HISTOAVRIL24!$A$6:$AU$38,27,0)</f>
        <v>0</v>
      </c>
      <c r="Y12" s="36">
        <f>VLOOKUP($A12,[24]HISTOAVRIL24!$A$6:$BM$38,33,0)</f>
        <v>0</v>
      </c>
      <c r="Z12" s="36">
        <f>VLOOKUP($A12,[24]HISTOAVRIL24!$A$6:$BM$38,65,0)</f>
        <v>0</v>
      </c>
      <c r="AA12" s="36"/>
      <c r="AB12" s="36">
        <f>VLOOKUP($A12,[24]HISTOAVRIL24!$A$6:$AU$38,43,0)</f>
        <v>0</v>
      </c>
      <c r="AC12" s="36">
        <f>VLOOKUP($A12,[24]HISTOAVRIL24!$A$6:$AU$38,44,0)</f>
        <v>0</v>
      </c>
      <c r="AD12" s="36">
        <f>VLOOKUP($A12,[24]HISTOAVRIL24!$A$6:$AU$38,47,0)</f>
        <v>0</v>
      </c>
      <c r="AE12" s="36">
        <f>VLOOKUP(A12,[24]HISTOAVRIL24!$A$6:$BB$38,54,0)</f>
        <v>0</v>
      </c>
      <c r="AF12" s="36">
        <f>VLOOKUP($A12,[24]HISTOAVRIL24!$A$6:$CB$38,60,0)</f>
        <v>0</v>
      </c>
      <c r="AG12" s="36">
        <f>VLOOKUP($A12,[24]HISTOAVRIL24!$A$6:$CB$38,61,0)</f>
        <v>0</v>
      </c>
      <c r="AH12" s="36">
        <f>VLOOKUP($A12,[24]HISTOAVRIL24!$A$6:$CB$38,62,0)</f>
        <v>0</v>
      </c>
      <c r="AI12" s="36">
        <f>VLOOKUP($A12,[24]HISTOAVRIL24!$A$6:$CB$38,63,0)</f>
        <v>0</v>
      </c>
      <c r="AJ12" s="36">
        <f>VLOOKUP($A12,[24]HISTOAVRIL24!$A$6:$CB$38,64,0)</f>
        <v>0</v>
      </c>
      <c r="AK12" s="36">
        <f>VLOOKUP($A12,[24]HISTOAVRIL24!$A$6:$CB$38,65,0)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VLOOKUP($A13,[24]HISTOAVRIL24!$A$6:$BA$38,48,0)</f>
        <v>0</v>
      </c>
      <c r="F13" s="36">
        <f>MVTMARS24!I13-E13+L13</f>
        <v>822594.78039043082</v>
      </c>
      <c r="G13" s="5">
        <f>IF(MVTMARS24!I13+L13&gt;700000,(MVTMARS24!I13-E13+L13),0)</f>
        <v>822594.78039043082</v>
      </c>
      <c r="H13" s="36">
        <f t="shared" si="0"/>
        <v>0</v>
      </c>
      <c r="I13" s="6">
        <f t="shared" si="2"/>
        <v>822594.78039043082</v>
      </c>
      <c r="J13" s="36">
        <f>VLOOKUP($A13,[24]HISTOAVRIL24!$A$6:$AQ$42,22,0)</f>
        <v>0</v>
      </c>
      <c r="K13" s="36">
        <f>VLOOKUP($A13,[24]HISTOAVRIL24!$A$6:$AU$38,45,0)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VLOOKUP($A13,[24]HISTOAVRIL24!$A$6:$AU$38,7,0)</f>
        <v>0</v>
      </c>
      <c r="Q13" s="36">
        <f>VLOOKUP($A13,[24]HISTOAVRIL24!$A$6:$AU$38,23,0)</f>
        <v>0</v>
      </c>
      <c r="R13" s="36">
        <f>VLOOKUP($A13,[24]HISTOAVRIL24!$A$6:$AU$38,46,0)</f>
        <v>0</v>
      </c>
      <c r="S13" s="36">
        <f>VLOOKUP($A13,[24]HISTOAVRIL24!$A$6:$AU$38,26,0)</f>
        <v>0</v>
      </c>
      <c r="T13" s="36">
        <f>VLOOKUP($A13,[24]HISTOAVRIL24!$A$6:$BG$38,58,0)</f>
        <v>0</v>
      </c>
      <c r="U13" s="36">
        <f>VLOOKUP($A13,[24]HISTOAVRIL24!$A$6:$AU$38,28,0)</f>
        <v>0</v>
      </c>
      <c r="V13" s="36">
        <f>VLOOKUP($A13,[24]HISTOAVRIL24!$A$6:$AU$38,19,0)</f>
        <v>0</v>
      </c>
      <c r="W13" s="36">
        <f>VLOOKUP($A13,[24]HISTOAVRIL24!$A$6:$AU$38,20,0)</f>
        <v>0</v>
      </c>
      <c r="X13" s="36">
        <f>VLOOKUP($A13,[24]HISTOAVRIL24!$A$6:$AU$38,27,0)</f>
        <v>0</v>
      </c>
      <c r="Y13" s="36">
        <f>VLOOKUP($A13,[24]HISTOAVRIL24!$A$6:$BM$38,33,0)</f>
        <v>0</v>
      </c>
      <c r="Z13" s="36">
        <f>VLOOKUP($A13,[24]HISTOAVRIL24!$A$6:$BM$38,65,0)</f>
        <v>0</v>
      </c>
      <c r="AA13" s="36"/>
      <c r="AB13" s="36">
        <f>VLOOKUP($A13,[24]HISTOAVRIL24!$A$6:$AU$38,43,0)</f>
        <v>0</v>
      </c>
      <c r="AC13" s="36">
        <f>VLOOKUP($A13,[24]HISTOAVRIL24!$A$6:$AU$38,44,0)</f>
        <v>0</v>
      </c>
      <c r="AD13" s="36">
        <f>VLOOKUP($A13,[24]HISTOAVRIL24!$A$6:$AU$38,47,0)</f>
        <v>0</v>
      </c>
      <c r="AE13" s="36">
        <f>VLOOKUP(A13,[24]HISTOAVRIL24!$A$6:$BB$38,54,0)</f>
        <v>0</v>
      </c>
      <c r="AF13" s="36">
        <f>VLOOKUP($A13,[24]HISTOAVRIL24!$A$6:$CB$38,60,0)</f>
        <v>0</v>
      </c>
      <c r="AG13" s="36">
        <f>VLOOKUP($A13,[24]HISTOAVRIL24!$A$6:$CB$38,61,0)</f>
        <v>0</v>
      </c>
      <c r="AH13" s="36">
        <f>VLOOKUP($A13,[24]HISTOAVRIL24!$A$6:$CB$38,62,0)</f>
        <v>0</v>
      </c>
      <c r="AI13" s="36">
        <f>VLOOKUP($A13,[24]HISTOAVRIL24!$A$6:$CB$38,63,0)</f>
        <v>0</v>
      </c>
      <c r="AJ13" s="36">
        <f>VLOOKUP($A13,[24]HISTOAVRIL24!$A$6:$CB$38,64,0)</f>
        <v>0</v>
      </c>
      <c r="AK13" s="36">
        <f>VLOOKUP($A13,[24]HISTOAVRIL24!$A$6:$CB$38,65,0)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VLOOKUP($A14,[24]HISTOAVRIL24!$A$6:$BA$38,48,0)</f>
        <v>0</v>
      </c>
      <c r="F14" s="36">
        <f>MVTMARS24!I14-E14+L14</f>
        <v>1374754.6531689162</v>
      </c>
      <c r="G14" s="5">
        <f>IF(MVTMARS24!I14+L14&gt;700000,(MVTMARS24!I14-E14+L14),0)</f>
        <v>1374754.6531689162</v>
      </c>
      <c r="H14" s="36">
        <f t="shared" si="0"/>
        <v>0</v>
      </c>
      <c r="I14" s="6">
        <f t="shared" si="2"/>
        <v>1374754.6531689162</v>
      </c>
      <c r="J14" s="36">
        <f>VLOOKUP($A14,[24]HISTOAVRIL24!$A$6:$AQ$42,22,0)</f>
        <v>0</v>
      </c>
      <c r="K14" s="36">
        <f>VLOOKUP($A14,[24]HISTOAVRIL24!$A$6:$AU$38,45,0)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VLOOKUP($A14,[24]HISTOAVRIL24!$A$6:$AU$38,7,0)</f>
        <v>0</v>
      </c>
      <c r="Q14" s="36">
        <f>VLOOKUP($A14,[24]HISTOAVRIL24!$A$6:$AU$38,23,0)</f>
        <v>0</v>
      </c>
      <c r="R14" s="36">
        <f>VLOOKUP($A14,[24]HISTOAVRIL24!$A$6:$AU$38,46,0)</f>
        <v>0</v>
      </c>
      <c r="S14" s="36">
        <f>VLOOKUP($A14,[24]HISTOAVRIL24!$A$6:$AU$38,26,0)</f>
        <v>0</v>
      </c>
      <c r="T14" s="36">
        <f>VLOOKUP($A14,[24]HISTOAVRIL24!$A$6:$BG$38,58,0)</f>
        <v>0</v>
      </c>
      <c r="U14" s="36">
        <f>VLOOKUP($A14,[24]HISTOAVRIL24!$A$6:$AU$38,28,0)</f>
        <v>0</v>
      </c>
      <c r="V14" s="36">
        <f>VLOOKUP($A14,[24]HISTOAVRIL24!$A$6:$AU$38,19,0)</f>
        <v>0</v>
      </c>
      <c r="W14" s="36">
        <f>VLOOKUP($A14,[24]HISTOAVRIL24!$A$6:$AU$38,20,0)</f>
        <v>0</v>
      </c>
      <c r="X14" s="36">
        <f>VLOOKUP($A14,[24]HISTOAVRIL24!$A$6:$AU$38,27,0)</f>
        <v>0</v>
      </c>
      <c r="Y14" s="36">
        <f>VLOOKUP($A14,[24]HISTOAVRIL24!$A$6:$BM$38,33,0)</f>
        <v>0</v>
      </c>
      <c r="Z14" s="36">
        <f>VLOOKUP($A14,[24]HISTOAVRIL24!$A$6:$BM$38,65,0)</f>
        <v>0</v>
      </c>
      <c r="AA14" s="36"/>
      <c r="AB14" s="36">
        <f>VLOOKUP($A14,[24]HISTOAVRIL24!$A$6:$AU$38,43,0)</f>
        <v>0</v>
      </c>
      <c r="AC14" s="36">
        <f>VLOOKUP($A14,[24]HISTOAVRIL24!$A$6:$AU$38,44,0)</f>
        <v>0</v>
      </c>
      <c r="AD14" s="36">
        <f>VLOOKUP($A14,[24]HISTOAVRIL24!$A$6:$AU$38,47,0)</f>
        <v>0</v>
      </c>
      <c r="AE14" s="36">
        <f>VLOOKUP(A14,[24]HISTOAVRIL24!$A$6:$BB$38,54,0)</f>
        <v>0</v>
      </c>
      <c r="AF14" s="36">
        <f>VLOOKUP($A14,[24]HISTOAVRIL24!$A$6:$CB$38,60,0)</f>
        <v>0</v>
      </c>
      <c r="AG14" s="36">
        <f>VLOOKUP($A14,[24]HISTOAVRIL24!$A$6:$CB$38,61,0)</f>
        <v>0</v>
      </c>
      <c r="AH14" s="36">
        <f>VLOOKUP($A14,[24]HISTOAVRIL24!$A$6:$CB$38,62,0)</f>
        <v>0</v>
      </c>
      <c r="AI14" s="36">
        <f>VLOOKUP($A14,[24]HISTOAVRIL24!$A$6:$CB$38,63,0)</f>
        <v>0</v>
      </c>
      <c r="AJ14" s="36">
        <f>VLOOKUP($A14,[24]HISTOAVRIL24!$A$6:$CB$38,64,0)</f>
        <v>0</v>
      </c>
      <c r="AK14" s="36">
        <f>VLOOKUP($A14,[24]HISTOAVRIL24!$A$6:$CB$38,65,0)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VLOOKUP($A15,[24]HISTOAVRIL24!$A$6:$BA$38,48,0)</f>
        <v>0</v>
      </c>
      <c r="F15" s="36">
        <f>MVTMARS24!I15-E15+L15</f>
        <v>884269.84272856009</v>
      </c>
      <c r="G15" s="5">
        <f>IF(MVTMARS24!I15+L15&gt;700000,(MVTMARS24!I15-E15+L15),0)</f>
        <v>884269.84272856009</v>
      </c>
      <c r="H15" s="36">
        <f t="shared" si="0"/>
        <v>0</v>
      </c>
      <c r="I15" s="6">
        <f t="shared" si="2"/>
        <v>884269.84272856009</v>
      </c>
      <c r="J15" s="36">
        <f>VLOOKUP($A15,[24]HISTOAVRIL24!$A$6:$AQ$42,22,0)</f>
        <v>0</v>
      </c>
      <c r="K15" s="36">
        <f>VLOOKUP($A15,[24]HISTOAVRIL24!$A$6:$AU$38,45,0)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VLOOKUP($A15,[24]HISTOAVRIL24!$A$6:$AU$38,7,0)</f>
        <v>0</v>
      </c>
      <c r="Q15" s="36">
        <f>VLOOKUP($A15,[24]HISTOAVRIL24!$A$6:$AU$38,23,0)</f>
        <v>0</v>
      </c>
      <c r="R15" s="36">
        <f>VLOOKUP($A15,[24]HISTOAVRIL24!$A$6:$AU$38,46,0)</f>
        <v>0</v>
      </c>
      <c r="S15" s="36">
        <f>VLOOKUP($A15,[24]HISTOAVRIL24!$A$6:$AU$38,26,0)</f>
        <v>0</v>
      </c>
      <c r="T15" s="36">
        <f>VLOOKUP($A15,[24]HISTOAVRIL24!$A$6:$BG$38,58,0)</f>
        <v>0</v>
      </c>
      <c r="U15" s="36">
        <f>VLOOKUP($A15,[24]HISTOAVRIL24!$A$6:$AU$38,28,0)</f>
        <v>0</v>
      </c>
      <c r="V15" s="36">
        <f>VLOOKUP($A15,[24]HISTOAVRIL24!$A$6:$AU$38,19,0)</f>
        <v>0</v>
      </c>
      <c r="W15" s="36">
        <f>VLOOKUP($A15,[24]HISTOAVRIL24!$A$6:$AU$38,20,0)</f>
        <v>0</v>
      </c>
      <c r="X15" s="36">
        <f>VLOOKUP($A15,[24]HISTOAVRIL24!$A$6:$AU$38,27,0)</f>
        <v>0</v>
      </c>
      <c r="Y15" s="36">
        <f>VLOOKUP($A15,[24]HISTOAVRIL24!$A$6:$BM$38,33,0)</f>
        <v>0</v>
      </c>
      <c r="Z15" s="36">
        <f>VLOOKUP($A15,[24]HISTOAVRIL24!$A$6:$BM$38,65,0)</f>
        <v>0</v>
      </c>
      <c r="AA15" s="36"/>
      <c r="AB15" s="36">
        <f>VLOOKUP($A15,[24]HISTOAVRIL24!$A$6:$AU$38,43,0)</f>
        <v>0</v>
      </c>
      <c r="AC15" s="36">
        <f>VLOOKUP($A15,[24]HISTOAVRIL24!$A$6:$AU$38,44,0)</f>
        <v>0</v>
      </c>
      <c r="AD15" s="36">
        <f>VLOOKUP($A15,[24]HISTOAVRIL24!$A$6:$AU$38,47,0)</f>
        <v>0</v>
      </c>
      <c r="AE15" s="36">
        <f>VLOOKUP(A15,[24]HISTOAVRIL24!$A$6:$BB$38,54,0)</f>
        <v>0</v>
      </c>
      <c r="AF15" s="36">
        <f>VLOOKUP($A15,[24]HISTOAVRIL24!$A$6:$CB$38,60,0)</f>
        <v>0</v>
      </c>
      <c r="AG15" s="36">
        <f>VLOOKUP($A15,[24]HISTOAVRIL24!$A$6:$CB$38,61,0)</f>
        <v>0</v>
      </c>
      <c r="AH15" s="36">
        <f>VLOOKUP($A15,[24]HISTOAVRIL24!$A$6:$CB$38,62,0)</f>
        <v>0</v>
      </c>
      <c r="AI15" s="36">
        <f>VLOOKUP($A15,[24]HISTOAVRIL24!$A$6:$CB$38,63,0)</f>
        <v>0</v>
      </c>
      <c r="AJ15" s="36">
        <f>VLOOKUP($A15,[24]HISTOAVRIL24!$A$6:$CB$38,64,0)</f>
        <v>0</v>
      </c>
      <c r="AK15" s="36">
        <f>VLOOKUP($A15,[24]HISTOAVRIL24!$A$6:$CB$38,65,0)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VLOOKUP($A16,[24]HISTOAVRIL24!$A$6:$BA$38,48,0)</f>
        <v>0</v>
      </c>
      <c r="F16" s="36">
        <f>MVTMARS24!I16-E16+L16</f>
        <v>994858.55322916305</v>
      </c>
      <c r="G16" s="5">
        <f>IF(MVTMARS24!I16+L16&gt;700000,(MVTMARS24!I16-E16+L16),0)</f>
        <v>994858.55322916305</v>
      </c>
      <c r="H16" s="36">
        <f t="shared" si="0"/>
        <v>0</v>
      </c>
      <c r="I16" s="6">
        <f t="shared" si="2"/>
        <v>994858.55322916305</v>
      </c>
      <c r="J16" s="36">
        <f>VLOOKUP($A16,[24]HISTOAVRIL24!$A$6:$AQ$42,22,0)</f>
        <v>0</v>
      </c>
      <c r="K16" s="36">
        <f>VLOOKUP($A16,[24]HISTOAVRIL24!$A$6:$AU$38,45,0)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VLOOKUP($A16,[24]HISTOAVRIL24!$A$6:$AU$38,7,0)</f>
        <v>0</v>
      </c>
      <c r="Q16" s="36">
        <f>VLOOKUP($A16,[24]HISTOAVRIL24!$A$6:$AU$38,23,0)</f>
        <v>0</v>
      </c>
      <c r="R16" s="36">
        <f>VLOOKUP($A16,[24]HISTOAVRIL24!$A$6:$AU$38,46,0)</f>
        <v>0</v>
      </c>
      <c r="S16" s="36">
        <f>VLOOKUP($A16,[24]HISTOAVRIL24!$A$6:$AU$38,26,0)</f>
        <v>0</v>
      </c>
      <c r="T16" s="36">
        <f>VLOOKUP($A16,[24]HISTOAVRIL24!$A$6:$BG$38,58,0)</f>
        <v>0</v>
      </c>
      <c r="U16" s="36">
        <f>VLOOKUP($A16,[24]HISTOAVRIL24!$A$6:$AU$38,28,0)</f>
        <v>0</v>
      </c>
      <c r="V16" s="36">
        <f>VLOOKUP($A16,[24]HISTOAVRIL24!$A$6:$AU$38,19,0)</f>
        <v>0</v>
      </c>
      <c r="W16" s="36">
        <f>VLOOKUP($A16,[24]HISTOAVRIL24!$A$6:$AU$38,20,0)</f>
        <v>0</v>
      </c>
      <c r="X16" s="36">
        <f>VLOOKUP($A16,[24]HISTOAVRIL24!$A$6:$AU$38,27,0)</f>
        <v>0</v>
      </c>
      <c r="Y16" s="36">
        <f>VLOOKUP($A16,[24]HISTOAVRIL24!$A$6:$BM$38,33,0)</f>
        <v>0</v>
      </c>
      <c r="Z16" s="36">
        <f>VLOOKUP($A16,[24]HISTOAVRIL24!$A$6:$BM$38,65,0)</f>
        <v>0</v>
      </c>
      <c r="AA16" s="36"/>
      <c r="AB16" s="36">
        <f>VLOOKUP($A16,[24]HISTOAVRIL24!$A$6:$AU$38,43,0)</f>
        <v>0</v>
      </c>
      <c r="AC16" s="36">
        <f>VLOOKUP($A16,[24]HISTOAVRIL24!$A$6:$AU$38,44,0)</f>
        <v>0</v>
      </c>
      <c r="AD16" s="36">
        <f>VLOOKUP($A16,[24]HISTOAVRIL24!$A$6:$AU$38,47,0)</f>
        <v>0</v>
      </c>
      <c r="AE16" s="36">
        <f>VLOOKUP(A16,[24]HISTOAVRIL24!$A$6:$BB$38,54,0)</f>
        <v>0</v>
      </c>
      <c r="AF16" s="36">
        <f>VLOOKUP($A16,[24]HISTOAVRIL24!$A$6:$CB$38,60,0)</f>
        <v>0</v>
      </c>
      <c r="AG16" s="36">
        <f>VLOOKUP($A16,[24]HISTOAVRIL24!$A$6:$CB$38,61,0)</f>
        <v>0</v>
      </c>
      <c r="AH16" s="36">
        <f>VLOOKUP($A16,[24]HISTOAVRIL24!$A$6:$CB$38,62,0)</f>
        <v>0</v>
      </c>
      <c r="AI16" s="36">
        <f>VLOOKUP($A16,[24]HISTOAVRIL24!$A$6:$CB$38,63,0)</f>
        <v>0</v>
      </c>
      <c r="AJ16" s="36">
        <f>VLOOKUP($A16,[24]HISTOAVRIL24!$A$6:$CB$38,64,0)</f>
        <v>0</v>
      </c>
      <c r="AK16" s="36">
        <f>VLOOKUP($A16,[24]HISTOAVRIL24!$A$6:$CB$38,65,0)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VLOOKUP($A17,[24]HISTOAVRIL24!$A$6:$BA$38,48,0)</f>
        <v>0</v>
      </c>
      <c r="F17" s="36">
        <f>MVTMARS24!I17-E17+L17</f>
        <v>832429.67134556815</v>
      </c>
      <c r="G17" s="5">
        <f>IF(MVTMARS24!I17+L17&gt;700000,(MVTMARS24!I17-E17+L17),0)</f>
        <v>832429.67134556815</v>
      </c>
      <c r="H17" s="36">
        <f t="shared" si="0"/>
        <v>0</v>
      </c>
      <c r="I17" s="6">
        <f t="shared" si="2"/>
        <v>832429.67134556815</v>
      </c>
      <c r="J17" s="36">
        <f>VLOOKUP($A17,[24]HISTOAVRIL24!$A$6:$AQ$42,22,0)</f>
        <v>0</v>
      </c>
      <c r="K17" s="36">
        <f>VLOOKUP($A17,[24]HISTOAVRIL24!$A$6:$AU$38,45,0)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VLOOKUP($A17,[24]HISTOAVRIL24!$A$6:$AU$38,7,0)</f>
        <v>0</v>
      </c>
      <c r="Q17" s="36">
        <f>VLOOKUP($A17,[24]HISTOAVRIL24!$A$6:$AU$38,23,0)</f>
        <v>0</v>
      </c>
      <c r="R17" s="36">
        <f>VLOOKUP($A17,[24]HISTOAVRIL24!$A$6:$AU$38,46,0)</f>
        <v>0</v>
      </c>
      <c r="S17" s="36">
        <f>VLOOKUP($A17,[24]HISTOAVRIL24!$A$6:$AU$38,26,0)</f>
        <v>0</v>
      </c>
      <c r="T17" s="36">
        <f>VLOOKUP($A17,[24]HISTOAVRIL24!$A$6:$BG$38,58,0)</f>
        <v>0</v>
      </c>
      <c r="U17" s="36">
        <f>VLOOKUP($A17,[24]HISTOAVRIL24!$A$6:$AU$38,28,0)</f>
        <v>0</v>
      </c>
      <c r="V17" s="36">
        <f>VLOOKUP($A17,[24]HISTOAVRIL24!$A$6:$AU$38,19,0)</f>
        <v>0</v>
      </c>
      <c r="W17" s="36">
        <f>VLOOKUP($A17,[24]HISTOAVRIL24!$A$6:$AU$38,20,0)</f>
        <v>0</v>
      </c>
      <c r="X17" s="36">
        <f>VLOOKUP($A17,[24]HISTOAVRIL24!$A$6:$AU$38,27,0)</f>
        <v>0</v>
      </c>
      <c r="Y17" s="36">
        <f>VLOOKUP($A17,[24]HISTOAVRIL24!$A$6:$BM$38,33,0)</f>
        <v>0</v>
      </c>
      <c r="Z17" s="36">
        <f>VLOOKUP($A17,[24]HISTOAVRIL24!$A$6:$BM$38,65,0)</f>
        <v>0</v>
      </c>
      <c r="AA17" s="36"/>
      <c r="AB17" s="36">
        <f>VLOOKUP($A17,[24]HISTOAVRIL24!$A$6:$AU$38,43,0)</f>
        <v>0</v>
      </c>
      <c r="AC17" s="36">
        <f>VLOOKUP($A17,[24]HISTOAVRIL24!$A$6:$AU$38,44,0)</f>
        <v>0</v>
      </c>
      <c r="AD17" s="36">
        <f>VLOOKUP($A17,[24]HISTOAVRIL24!$A$6:$AU$38,47,0)</f>
        <v>0</v>
      </c>
      <c r="AE17" s="36">
        <f>VLOOKUP(A17,[24]HISTOAVRIL24!$A$6:$BB$38,54,0)</f>
        <v>0</v>
      </c>
      <c r="AF17" s="36">
        <f>VLOOKUP($A17,[24]HISTOAVRIL24!$A$6:$CB$38,60,0)</f>
        <v>0</v>
      </c>
      <c r="AG17" s="36">
        <f>VLOOKUP($A17,[24]HISTOAVRIL24!$A$6:$CB$38,61,0)</f>
        <v>0</v>
      </c>
      <c r="AH17" s="36">
        <f>VLOOKUP($A17,[24]HISTOAVRIL24!$A$6:$CB$38,62,0)</f>
        <v>0</v>
      </c>
      <c r="AI17" s="36">
        <f>VLOOKUP($A17,[24]HISTOAVRIL24!$A$6:$CB$38,63,0)</f>
        <v>0</v>
      </c>
      <c r="AJ17" s="36">
        <f>VLOOKUP($A17,[24]HISTOAVRIL24!$A$6:$CB$38,64,0)</f>
        <v>0</v>
      </c>
      <c r="AK17" s="36">
        <f>VLOOKUP($A17,[24]HISTOAVRIL24!$A$6:$CB$38,65,0)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VLOOKUP($A18,[24]HISTOAVRIL24!$A$6:$BA$38,48,0)</f>
        <v>0</v>
      </c>
      <c r="F18" s="36">
        <f>MVTMARS24!I18-E18+L18</f>
        <v>878669.02055502485</v>
      </c>
      <c r="G18" s="5">
        <f>IF(MVTMARS24!I18+L18&gt;700000,(MVTMARS24!I18-E18+L18),0)</f>
        <v>878669.02055502485</v>
      </c>
      <c r="H18" s="36">
        <f t="shared" si="0"/>
        <v>0</v>
      </c>
      <c r="I18" s="6">
        <f t="shared" si="2"/>
        <v>878669.02055502485</v>
      </c>
      <c r="J18" s="36">
        <f>VLOOKUP($A18,[24]HISTOAVRIL24!$A$6:$AQ$42,22,0)</f>
        <v>0</v>
      </c>
      <c r="K18" s="36">
        <f>VLOOKUP($A18,[24]HISTOAVRIL24!$A$6:$AU$38,45,0)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VLOOKUP($A18,[24]HISTOAVRIL24!$A$6:$AU$38,7,0)</f>
        <v>0</v>
      </c>
      <c r="Q18" s="36">
        <f>VLOOKUP($A18,[24]HISTOAVRIL24!$A$6:$AU$38,23,0)</f>
        <v>0</v>
      </c>
      <c r="R18" s="36">
        <f>VLOOKUP($A18,[24]HISTOAVRIL24!$A$6:$AU$38,46,0)</f>
        <v>0</v>
      </c>
      <c r="S18" s="36">
        <f>VLOOKUP($A18,[24]HISTOAVRIL24!$A$6:$AU$38,26,0)</f>
        <v>0</v>
      </c>
      <c r="T18" s="36">
        <f>VLOOKUP($A18,[24]HISTOAVRIL24!$A$6:$BG$38,58,0)</f>
        <v>0</v>
      </c>
      <c r="U18" s="36">
        <f>VLOOKUP($A18,[24]HISTOAVRIL24!$A$6:$AU$38,28,0)</f>
        <v>0</v>
      </c>
      <c r="V18" s="36">
        <f>VLOOKUP($A18,[24]HISTOAVRIL24!$A$6:$AU$38,19,0)</f>
        <v>0</v>
      </c>
      <c r="W18" s="36">
        <f>VLOOKUP($A18,[24]HISTOAVRIL24!$A$6:$AU$38,20,0)</f>
        <v>0</v>
      </c>
      <c r="X18" s="36">
        <f>VLOOKUP($A18,[24]HISTOAVRIL24!$A$6:$AU$38,27,0)</f>
        <v>0</v>
      </c>
      <c r="Y18" s="36">
        <f>VLOOKUP($A18,[24]HISTOAVRIL24!$A$6:$BM$38,33,0)</f>
        <v>0</v>
      </c>
      <c r="Z18" s="36">
        <f>VLOOKUP($A18,[24]HISTOAVRIL24!$A$6:$BM$38,65,0)</f>
        <v>0</v>
      </c>
      <c r="AA18" s="36"/>
      <c r="AB18" s="36">
        <f>VLOOKUP($A18,[24]HISTOAVRIL24!$A$6:$AU$38,43,0)</f>
        <v>0</v>
      </c>
      <c r="AC18" s="36">
        <f>VLOOKUP($A18,[24]HISTOAVRIL24!$A$6:$AU$38,44,0)</f>
        <v>0</v>
      </c>
      <c r="AD18" s="36">
        <f>VLOOKUP($A18,[24]HISTOAVRIL24!$A$6:$AU$38,47,0)</f>
        <v>0</v>
      </c>
      <c r="AE18" s="36">
        <f>VLOOKUP(A18,[24]HISTOAVRIL24!$A$6:$BB$38,54,0)</f>
        <v>0</v>
      </c>
      <c r="AF18" s="36">
        <f>VLOOKUP($A18,[24]HISTOAVRIL24!$A$6:$CB$38,60,0)</f>
        <v>0</v>
      </c>
      <c r="AG18" s="36">
        <f>VLOOKUP($A18,[24]HISTOAVRIL24!$A$6:$CB$38,61,0)</f>
        <v>0</v>
      </c>
      <c r="AH18" s="36">
        <f>VLOOKUP($A18,[24]HISTOAVRIL24!$A$6:$CB$38,62,0)</f>
        <v>0</v>
      </c>
      <c r="AI18" s="36">
        <f>VLOOKUP($A18,[24]HISTOAVRIL24!$A$6:$CB$38,63,0)</f>
        <v>0</v>
      </c>
      <c r="AJ18" s="36">
        <f>VLOOKUP($A18,[24]HISTOAVRIL24!$A$6:$CB$38,64,0)</f>
        <v>0</v>
      </c>
      <c r="AK18" s="36">
        <f>VLOOKUP($A18,[24]HISTOAVRIL24!$A$6:$CB$38,65,0)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VLOOKUP($A20,[24]HISTOAVRIL24!$A$6:$AQ$42,22,0)</f>
        <v>0</v>
      </c>
      <c r="K20" s="36">
        <f>VLOOKUP($A20,[24]HISTOAVRIL24!$A$6:$AU$38,45,0)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VLOOKUP($A20,[24]HISTOAVRIL24!$A$6:$AU$38,7,0)</f>
        <v>0</v>
      </c>
      <c r="Q20" s="36">
        <f>VLOOKUP($A20,[24]HISTOAVRIL24!$A$6:$AU$38,23,0)</f>
        <v>0</v>
      </c>
      <c r="R20" s="36">
        <f>VLOOKUP($A20,[24]HISTOAVRIL24!$A$6:$AU$38,46,0)</f>
        <v>0</v>
      </c>
      <c r="S20" s="36">
        <f>VLOOKUP($A20,[24]HISTOAVRIL24!$A$6:$AU$38,26,0)</f>
        <v>0</v>
      </c>
      <c r="T20" s="36">
        <f>VLOOKUP($A20,[24]HISTOAVRIL24!$A$6:$BG$38,58,0)</f>
        <v>0</v>
      </c>
      <c r="U20" s="36">
        <f>VLOOKUP($A20,[24]HISTOAVRIL24!$A$6:$AU$38,28,0)</f>
        <v>0</v>
      </c>
      <c r="V20" s="36">
        <f>VLOOKUP($A20,[24]HISTOAVRIL24!$A$6:$AU$38,19,0)</f>
        <v>0</v>
      </c>
      <c r="W20" s="36">
        <f>VLOOKUP($A20,[24]HISTOAVRIL24!$A$6:$AU$38,20,0)</f>
        <v>0</v>
      </c>
      <c r="X20" s="36">
        <f>VLOOKUP($A20,[24]HISTOAVRIL24!$A$6:$AU$38,27,0)</f>
        <v>0</v>
      </c>
      <c r="Y20" s="36">
        <f>VLOOKUP($A20,[24]HISTOAVRIL24!$A$6:$BM$38,33,0)</f>
        <v>0</v>
      </c>
      <c r="Z20" s="36">
        <f>VLOOKUP($A20,[24]HISTOAVRIL24!$A$6:$BM$38,65,0)</f>
        <v>0</v>
      </c>
      <c r="AA20" s="36"/>
      <c r="AB20" s="36">
        <f>VLOOKUP($A20,[24]HISTOAVRIL24!$A$6:$AU$38,43,0)</f>
        <v>0</v>
      </c>
      <c r="AC20" s="36">
        <f>VLOOKUP($A20,[24]HISTOAVRIL24!$A$6:$AU$38,44,0)</f>
        <v>0</v>
      </c>
      <c r="AD20" s="36">
        <f>VLOOKUP($A20,[24]HISTOAVRIL24!$A$6:$AU$38,47,0)</f>
        <v>0</v>
      </c>
      <c r="AE20" s="36">
        <f>VLOOKUP(A20,[24]HISTOAVRIL24!$A$6:$BB$38,54,0)</f>
        <v>0</v>
      </c>
      <c r="AF20" s="36">
        <f>VLOOKUP($A20,[24]HISTOAVRIL24!$A$6:$CB$38,60,0)</f>
        <v>0</v>
      </c>
      <c r="AG20" s="36">
        <f>VLOOKUP($A20,[24]HISTOAVRIL24!$A$6:$CB$38,61,0)</f>
        <v>0</v>
      </c>
      <c r="AH20" s="36">
        <f>VLOOKUP($A20,[24]HISTOAVRIL24!$A$6:$CB$38,62,0)</f>
        <v>0</v>
      </c>
      <c r="AI20" s="36">
        <f>VLOOKUP($A20,[24]HISTOAVRIL24!$A$6:$CB$38,63,0)</f>
        <v>0</v>
      </c>
      <c r="AJ20" s="36">
        <f>VLOOKUP($A20,[24]HISTOAVRIL24!$A$6:$CB$38,64,0)</f>
        <v>0</v>
      </c>
      <c r="AK20" s="36">
        <f>VLOOKUP($A20,[24]HISTOAVRIL24!$A$6:$CB$38,65,0)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MVTMARS24!I21-E21+L21</f>
        <v>855351.96899536892</v>
      </c>
      <c r="G21" s="5">
        <f>IF(MVTMARS24!I21+L21&gt;700000,(MVTMARS24!I21-E21+L21),0)</f>
        <v>855351.96899536892</v>
      </c>
      <c r="H21" s="36">
        <f t="shared" si="0"/>
        <v>0</v>
      </c>
      <c r="I21" s="6">
        <f t="shared" si="2"/>
        <v>855351.96899536892</v>
      </c>
      <c r="J21" s="36">
        <f>VLOOKUP($A21,[24]HISTOAVRIL24!$A$6:$AQ$42,22,0)</f>
        <v>0</v>
      </c>
      <c r="K21" s="36">
        <f>VLOOKUP($A21,[24]HISTOAVRIL24!$A$6:$AU$38,45,0)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VLOOKUP($A21,[24]HISTOAVRIL24!$A$6:$AU$38,7,0)</f>
        <v>0</v>
      </c>
      <c r="Q21" s="36">
        <f>VLOOKUP($A21,[24]HISTOAVRIL24!$A$6:$AU$38,23,0)</f>
        <v>0</v>
      </c>
      <c r="R21" s="36">
        <f>VLOOKUP($A21,[24]HISTOAVRIL24!$A$6:$AU$38,46,0)</f>
        <v>0</v>
      </c>
      <c r="S21" s="36">
        <f>VLOOKUP($A21,[24]HISTOAVRIL24!$A$6:$AU$38,26,0)</f>
        <v>0</v>
      </c>
      <c r="T21" s="36">
        <f>VLOOKUP($A21,[24]HISTOAVRIL24!$A$6:$BG$38,58,0)</f>
        <v>0</v>
      </c>
      <c r="U21" s="36">
        <f>VLOOKUP($A21,[24]HISTOAVRIL24!$A$6:$AU$38,28,0)</f>
        <v>0</v>
      </c>
      <c r="V21" s="36">
        <f>VLOOKUP($A21,[24]HISTOAVRIL24!$A$6:$AU$38,19,0)</f>
        <v>0</v>
      </c>
      <c r="W21" s="36">
        <f>VLOOKUP($A21,[24]HISTOAVRIL24!$A$6:$AU$38,20,0)</f>
        <v>0</v>
      </c>
      <c r="X21" s="36">
        <f>VLOOKUP($A21,[24]HISTOAVRIL24!$A$6:$AU$38,27,0)</f>
        <v>0</v>
      </c>
      <c r="Y21" s="36">
        <f>VLOOKUP($A21,[24]HISTOAVRIL24!$A$6:$BM$38,33,0)</f>
        <v>0</v>
      </c>
      <c r="Z21" s="36">
        <f>VLOOKUP($A21,[24]HISTOAVRIL24!$A$6:$BM$38,65,0)</f>
        <v>0</v>
      </c>
      <c r="AA21" s="36"/>
      <c r="AB21" s="36">
        <f>VLOOKUP($A21,[24]HISTOAVRIL24!$A$6:$AU$38,43,0)</f>
        <v>0</v>
      </c>
      <c r="AC21" s="36">
        <f>VLOOKUP($A21,[24]HISTOAVRIL24!$A$6:$AU$38,44,0)</f>
        <v>0</v>
      </c>
      <c r="AD21" s="36">
        <f>VLOOKUP($A21,[24]HISTOAVRIL24!$A$6:$AU$38,47,0)</f>
        <v>0</v>
      </c>
      <c r="AE21" s="36">
        <f>VLOOKUP(A21,[24]HISTOAVRIL24!$A$6:$BB$38,54,0)</f>
        <v>0</v>
      </c>
      <c r="AF21" s="36">
        <f>VLOOKUP($A21,[24]HISTOAVRIL24!$A$6:$CB$38,60,0)</f>
        <v>0</v>
      </c>
      <c r="AG21" s="36">
        <f>VLOOKUP($A21,[24]HISTOAVRIL24!$A$6:$CB$38,61,0)</f>
        <v>0</v>
      </c>
      <c r="AH21" s="36">
        <f>VLOOKUP($A21,[24]HISTOAVRIL24!$A$6:$CB$38,62,0)</f>
        <v>0</v>
      </c>
      <c r="AI21" s="36">
        <f>VLOOKUP($A21,[24]HISTOAVRIL24!$A$6:$CB$38,63,0)</f>
        <v>0</v>
      </c>
      <c r="AJ21" s="36">
        <f>VLOOKUP($A21,[24]HISTOAVRIL24!$A$6:$CB$38,64,0)</f>
        <v>0</v>
      </c>
      <c r="AK21" s="36">
        <f>VLOOKUP($A21,[24]HISTOAVRIL24!$A$6:$CB$38,65,0)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MVTMARS24!I22-E22+L22</f>
        <v>823777.07147251477</v>
      </c>
      <c r="G22" s="5">
        <f>IF(MVTMARS24!I22+L22&gt;700000,(MVTMARS24!I22-E22+L22),0)</f>
        <v>823777.07147251477</v>
      </c>
      <c r="H22" s="36">
        <f t="shared" si="0"/>
        <v>0</v>
      </c>
      <c r="I22" s="6">
        <f t="shared" si="2"/>
        <v>823777.07147251477</v>
      </c>
      <c r="J22" s="36">
        <f>VLOOKUP($A22,[24]HISTOAVRIL24!$A$6:$AQ$42,22,0)</f>
        <v>0</v>
      </c>
      <c r="K22" s="36">
        <f>VLOOKUP($A22,[24]HISTOAVRIL24!$A$6:$AU$38,45,0)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VLOOKUP($A22,[24]HISTOAVRIL24!$A$6:$AU$38,7,0)</f>
        <v>0</v>
      </c>
      <c r="Q22" s="36">
        <f>VLOOKUP($A22,[24]HISTOAVRIL24!$A$6:$AU$38,23,0)</f>
        <v>0</v>
      </c>
      <c r="R22" s="36">
        <f>VLOOKUP($A22,[24]HISTOAVRIL24!$A$6:$AU$38,46,0)</f>
        <v>0</v>
      </c>
      <c r="S22" s="36">
        <f>VLOOKUP($A22,[24]HISTOAVRIL24!$A$6:$AU$38,26,0)</f>
        <v>0</v>
      </c>
      <c r="T22" s="36">
        <f>VLOOKUP($A22,[24]HISTOAVRIL24!$A$6:$BG$38,58,0)</f>
        <v>0</v>
      </c>
      <c r="U22" s="36">
        <f>VLOOKUP($A22,[24]HISTOAVRIL24!$A$6:$AU$38,28,0)</f>
        <v>0</v>
      </c>
      <c r="V22" s="36">
        <f>VLOOKUP($A22,[24]HISTOAVRIL24!$A$6:$AU$38,19,0)</f>
        <v>0</v>
      </c>
      <c r="W22" s="36">
        <f>VLOOKUP($A22,[24]HISTOAVRIL24!$A$6:$AU$38,20,0)</f>
        <v>0</v>
      </c>
      <c r="X22" s="36">
        <f>VLOOKUP($A22,[24]HISTOAVRIL24!$A$6:$AU$38,27,0)</f>
        <v>0</v>
      </c>
      <c r="Y22" s="36">
        <f>VLOOKUP($A22,[24]HISTOAVRIL24!$A$6:$BM$38,33,0)</f>
        <v>0</v>
      </c>
      <c r="Z22" s="36">
        <f>VLOOKUP($A22,[24]HISTOAVRIL24!$A$6:$BM$38,65,0)</f>
        <v>0</v>
      </c>
      <c r="AA22" s="36"/>
      <c r="AB22" s="36">
        <f>VLOOKUP($A22,[24]HISTOAVRIL24!$A$6:$AU$38,43,0)</f>
        <v>0</v>
      </c>
      <c r="AC22" s="36">
        <f>VLOOKUP($A22,[24]HISTOAVRIL24!$A$6:$AU$38,44,0)</f>
        <v>0</v>
      </c>
      <c r="AD22" s="36">
        <f>VLOOKUP($A22,[24]HISTOAVRIL24!$A$6:$AU$38,47,0)</f>
        <v>0</v>
      </c>
      <c r="AE22" s="36">
        <f>VLOOKUP(A22,[24]HISTOAVRIL24!$A$6:$BB$38,54,0)</f>
        <v>0</v>
      </c>
      <c r="AF22" s="36">
        <f>VLOOKUP($A22,[24]HISTOAVRIL24!$A$6:$CB$38,60,0)</f>
        <v>0</v>
      </c>
      <c r="AG22" s="36">
        <f>VLOOKUP($A22,[24]HISTOAVRIL24!$A$6:$CB$38,61,0)</f>
        <v>0</v>
      </c>
      <c r="AH22" s="36">
        <f>VLOOKUP($A22,[24]HISTOAVRIL24!$A$6:$CB$38,62,0)</f>
        <v>0</v>
      </c>
      <c r="AI22" s="36">
        <f>VLOOKUP($A22,[24]HISTOAVRIL24!$A$6:$CB$38,63,0)</f>
        <v>0</v>
      </c>
      <c r="AJ22" s="36">
        <f>VLOOKUP($A22,[24]HISTOAVRIL24!$A$6:$CB$38,64,0)</f>
        <v>0</v>
      </c>
      <c r="AK22" s="36">
        <f>VLOOKUP($A22,[24]HISTOAVRIL24!$A$6:$CB$38,65,0)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MVTMARS24!I23-E23+L23</f>
        <v>929576.20918963733</v>
      </c>
      <c r="G23" s="5">
        <f>IF(MVTMARS24!I23+L23&gt;700000,(MVTMARS24!I23-E23+L23),0)</f>
        <v>929576.20918963733</v>
      </c>
      <c r="H23" s="36">
        <f t="shared" si="0"/>
        <v>0</v>
      </c>
      <c r="I23" s="6">
        <f t="shared" si="2"/>
        <v>929576.20918963733</v>
      </c>
      <c r="J23" s="36">
        <f>VLOOKUP($A23,[24]HISTOAVRIL24!$A$6:$AQ$42,22,0)</f>
        <v>0</v>
      </c>
      <c r="K23" s="36">
        <f>VLOOKUP($A23,[24]HISTOAVRIL24!$A$6:$AU$38,45,0)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VLOOKUP($A23,[24]HISTOAVRIL24!$A$6:$AU$38,7,0)</f>
        <v>0</v>
      </c>
      <c r="Q23" s="36">
        <f>VLOOKUP($A23,[24]HISTOAVRIL24!$A$6:$AU$38,23,0)</f>
        <v>0</v>
      </c>
      <c r="R23" s="36">
        <f>VLOOKUP($A23,[24]HISTOAVRIL24!$A$6:$AU$38,46,0)</f>
        <v>0</v>
      </c>
      <c r="S23" s="36">
        <f>VLOOKUP($A23,[24]HISTOAVRIL24!$A$6:$AU$38,26,0)</f>
        <v>0</v>
      </c>
      <c r="T23" s="36">
        <f>VLOOKUP($A23,[24]HISTOAVRIL24!$A$6:$BG$38,58,0)</f>
        <v>0</v>
      </c>
      <c r="U23" s="36">
        <f>VLOOKUP($A23,[24]HISTOAVRIL24!$A$6:$AU$38,28,0)</f>
        <v>0</v>
      </c>
      <c r="V23" s="36">
        <f>VLOOKUP($A23,[24]HISTOAVRIL24!$A$6:$AU$38,19,0)</f>
        <v>0</v>
      </c>
      <c r="W23" s="36">
        <f>VLOOKUP($A23,[24]HISTOAVRIL24!$A$6:$AU$38,20,0)</f>
        <v>0</v>
      </c>
      <c r="X23" s="36">
        <f>VLOOKUP($A23,[24]HISTOAVRIL24!$A$6:$AU$38,27,0)</f>
        <v>0</v>
      </c>
      <c r="Y23" s="36">
        <f>VLOOKUP($A23,[24]HISTOAVRIL24!$A$6:$BM$38,33,0)</f>
        <v>0</v>
      </c>
      <c r="Z23" s="36">
        <f>VLOOKUP($A23,[24]HISTOAVRIL24!$A$6:$BM$38,65,0)</f>
        <v>0</v>
      </c>
      <c r="AA23" s="36"/>
      <c r="AB23" s="36">
        <f>VLOOKUP($A23,[24]HISTOAVRIL24!$A$6:$AU$38,43,0)</f>
        <v>0</v>
      </c>
      <c r="AC23" s="36">
        <f>VLOOKUP($A23,[24]HISTOAVRIL24!$A$6:$AU$38,44,0)</f>
        <v>0</v>
      </c>
      <c r="AD23" s="36">
        <f>VLOOKUP($A23,[24]HISTOAVRIL24!$A$6:$AU$38,47,0)</f>
        <v>0</v>
      </c>
      <c r="AE23" s="36">
        <f>VLOOKUP(A23,[24]HISTOAVRIL24!$A$6:$BB$38,54,0)</f>
        <v>0</v>
      </c>
      <c r="AF23" s="36">
        <f>VLOOKUP($A23,[24]HISTOAVRIL24!$A$6:$CB$38,60,0)</f>
        <v>0</v>
      </c>
      <c r="AG23" s="36">
        <f>VLOOKUP($A23,[24]HISTOAVRIL24!$A$6:$CB$38,61,0)</f>
        <v>0</v>
      </c>
      <c r="AH23" s="36">
        <f>VLOOKUP($A23,[24]HISTOAVRIL24!$A$6:$CB$38,62,0)</f>
        <v>0</v>
      </c>
      <c r="AI23" s="36">
        <f>VLOOKUP($A23,[24]HISTOAVRIL24!$A$6:$CB$38,63,0)</f>
        <v>0</v>
      </c>
      <c r="AJ23" s="36">
        <f>VLOOKUP($A23,[24]HISTOAVRIL24!$A$6:$CB$38,64,0)</f>
        <v>0</v>
      </c>
      <c r="AK23" s="36">
        <f>VLOOKUP($A23,[24]HISTOAVRIL24!$A$6:$CB$38,65,0)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MVTMARS24!I24-E24+L24</f>
        <v>1102559.0010468005</v>
      </c>
      <c r="G24" s="5">
        <f>IF(MVTMARS24!I24+L24&gt;700000,(MVTMARS24!I24-E24+L24),0)</f>
        <v>1102559.0010468005</v>
      </c>
      <c r="H24" s="36">
        <f t="shared" si="0"/>
        <v>0</v>
      </c>
      <c r="I24" s="6">
        <f t="shared" si="2"/>
        <v>1102559.0010468005</v>
      </c>
      <c r="J24" s="36">
        <f>VLOOKUP($A24,[24]HISTOAVRIL24!$A$6:$AQ$42,22,0)</f>
        <v>0</v>
      </c>
      <c r="K24" s="36">
        <f>VLOOKUP($A24,[24]HISTOAVRIL24!$A$6:$AU$38,45,0)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VLOOKUP($A24,[24]HISTOAVRIL24!$A$6:$AU$38,7,0)</f>
        <v>0</v>
      </c>
      <c r="Q24" s="36">
        <f>VLOOKUP($A24,[24]HISTOAVRIL24!$A$6:$AU$38,23,0)</f>
        <v>0</v>
      </c>
      <c r="R24" s="36">
        <f>VLOOKUP($A24,[24]HISTOAVRIL24!$A$6:$AU$38,46,0)</f>
        <v>0</v>
      </c>
      <c r="S24" s="36">
        <f>VLOOKUP($A24,[24]HISTOAVRIL24!$A$6:$AU$38,26,0)</f>
        <v>0</v>
      </c>
      <c r="T24" s="36">
        <f>VLOOKUP($A24,[24]HISTOAVRIL24!$A$6:$BG$38,58,0)</f>
        <v>0</v>
      </c>
      <c r="U24" s="36">
        <f>VLOOKUP($A24,[24]HISTOAVRIL24!$A$6:$AU$38,28,0)</f>
        <v>0</v>
      </c>
      <c r="V24" s="36">
        <f>VLOOKUP($A24,[24]HISTOAVRIL24!$A$6:$AU$38,19,0)</f>
        <v>0</v>
      </c>
      <c r="W24" s="36">
        <f>VLOOKUP($A24,[24]HISTOAVRIL24!$A$6:$AU$38,20,0)</f>
        <v>0</v>
      </c>
      <c r="X24" s="36">
        <f>VLOOKUP($A24,[24]HISTOAVRIL24!$A$6:$AU$38,27,0)</f>
        <v>0</v>
      </c>
      <c r="Y24" s="36">
        <f>VLOOKUP($A24,[24]HISTOAVRIL24!$A$6:$BM$38,33,0)</f>
        <v>0</v>
      </c>
      <c r="Z24" s="36">
        <f>VLOOKUP($A24,[24]HISTOAVRIL24!$A$6:$BM$38,65,0)</f>
        <v>0</v>
      </c>
      <c r="AA24" s="36"/>
      <c r="AB24" s="36">
        <f>VLOOKUP($A24,[24]HISTOAVRIL24!$A$6:$AU$38,43,0)</f>
        <v>0</v>
      </c>
      <c r="AC24" s="36">
        <f>VLOOKUP($A24,[24]HISTOAVRIL24!$A$6:$AU$38,44,0)</f>
        <v>0</v>
      </c>
      <c r="AD24" s="36">
        <f>VLOOKUP($A24,[24]HISTOAVRIL24!$A$6:$AU$38,47,0)</f>
        <v>0</v>
      </c>
      <c r="AE24" s="36">
        <f>VLOOKUP(A24,[24]HISTOAVRIL24!$A$6:$BB$38,54,0)</f>
        <v>0</v>
      </c>
      <c r="AF24" s="36">
        <f>VLOOKUP($A24,[24]HISTOAVRIL24!$A$6:$CB$38,60,0)</f>
        <v>0</v>
      </c>
      <c r="AG24" s="36">
        <f>VLOOKUP($A24,[24]HISTOAVRIL24!$A$6:$CB$38,61,0)</f>
        <v>0</v>
      </c>
      <c r="AH24" s="36">
        <f>VLOOKUP($A24,[24]HISTOAVRIL24!$A$6:$CB$38,62,0)</f>
        <v>0</v>
      </c>
      <c r="AI24" s="36">
        <f>VLOOKUP($A24,[24]HISTOAVRIL24!$A$6:$CB$38,63,0)</f>
        <v>0</v>
      </c>
      <c r="AJ24" s="36">
        <f>VLOOKUP($A24,[24]HISTOAVRIL24!$A$6:$CB$38,64,0)</f>
        <v>0</v>
      </c>
      <c r="AK24" s="36">
        <f>VLOOKUP($A24,[24]HISTOAVRIL24!$A$6:$CB$38,65,0)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MVTMARS24!I25-E25+L25</f>
        <v>936102.52476419345</v>
      </c>
      <c r="G25" s="5">
        <f>IF(MVTMARS24!I25+L25&gt;700000,(MVTMARS24!I25-E25+L25),0)</f>
        <v>936102.52476419345</v>
      </c>
      <c r="H25" s="36">
        <f t="shared" si="0"/>
        <v>0</v>
      </c>
      <c r="I25" s="6">
        <f t="shared" si="2"/>
        <v>936102.52476419345</v>
      </c>
      <c r="J25" s="36">
        <f>VLOOKUP($A25,[24]HISTOAVRIL24!$A$6:$AQ$42,22,0)</f>
        <v>0</v>
      </c>
      <c r="K25" s="36">
        <f>VLOOKUP($A25,[24]HISTOAVRIL24!$A$6:$AU$38,45,0)</f>
        <v>47000</v>
      </c>
      <c r="L25" s="36">
        <f t="shared" si="3"/>
        <v>41000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VLOOKUP($A25,[24]HISTOAVRIL24!$A$6:$AU$38,7,0)</f>
        <v>3000</v>
      </c>
      <c r="Q25" s="36">
        <f>VLOOKUP($A25,[24]HISTOAVRIL24!$A$6:$AU$38,23,0)</f>
        <v>0</v>
      </c>
      <c r="R25" s="36">
        <f>VLOOKUP($A25,[24]HISTOAVRIL24!$A$6:$AU$38,46,0)</f>
        <v>0</v>
      </c>
      <c r="S25" s="36">
        <f>VLOOKUP($A25,[24]HISTOAVRIL24!$A$6:$AU$38,26,0)</f>
        <v>0</v>
      </c>
      <c r="T25" s="36">
        <f>VLOOKUP($A25,[24]HISTOAVRIL24!$A$6:$BG$38,58,0)</f>
        <v>0</v>
      </c>
      <c r="U25" s="36">
        <f>VLOOKUP($A25,[24]HISTOAVRIL24!$A$6:$AU$38,28,0)</f>
        <v>0</v>
      </c>
      <c r="V25" s="36">
        <f>VLOOKUP($A25,[24]HISTOAVRIL24!$A$6:$AU$38,19,0)</f>
        <v>0</v>
      </c>
      <c r="W25" s="36">
        <f>VLOOKUP($A25,[24]HISTOAVRIL24!$A$6:$AU$38,20,0)</f>
        <v>0</v>
      </c>
      <c r="X25" s="36">
        <f>VLOOKUP($A25,[24]HISTOAVRIL24!$A$6:$AU$38,27,0)</f>
        <v>0</v>
      </c>
      <c r="Y25" s="36">
        <f>VLOOKUP($A25,[24]HISTOAVRIL24!$A$6:$BM$38,33,0)</f>
        <v>0</v>
      </c>
      <c r="Z25" s="36">
        <f>VLOOKUP($A25,[24]HISTOAVRIL24!$A$6:$BM$38,65,0)</f>
        <v>0</v>
      </c>
      <c r="AA25" s="36"/>
      <c r="AB25" s="36">
        <f>VLOOKUP($A25,[24]HISTOAVRIL24!$A$6:$AU$38,43,0)</f>
        <v>0</v>
      </c>
      <c r="AC25" s="36">
        <f>VLOOKUP($A25,[24]HISTOAVRIL24!$A$6:$AU$38,44,0)</f>
        <v>0</v>
      </c>
      <c r="AD25" s="36">
        <f>VLOOKUP($A25,[24]HISTOAVRIL24!$A$6:$AU$38,47,0)</f>
        <v>0</v>
      </c>
      <c r="AE25" s="36">
        <f>VLOOKUP(A25,[24]HISTOAVRIL24!$A$6:$BB$38,54,0)</f>
        <v>0</v>
      </c>
      <c r="AF25" s="36">
        <f>VLOOKUP($A25,[24]HISTOAVRIL24!$A$6:$CB$38,60,0)</f>
        <v>0</v>
      </c>
      <c r="AG25" s="36">
        <f>VLOOKUP($A25,[24]HISTOAVRIL24!$A$6:$CB$38,61,0)</f>
        <v>0</v>
      </c>
      <c r="AH25" s="36">
        <f>VLOOKUP($A25,[24]HISTOAVRIL24!$A$6:$CB$38,62,0)</f>
        <v>0</v>
      </c>
      <c r="AI25" s="36">
        <f>VLOOKUP($A25,[24]HISTOAVRIL24!$A$6:$CB$38,63,0)</f>
        <v>0</v>
      </c>
      <c r="AJ25" s="36">
        <f>VLOOKUP($A25,[24]HISTOAVRIL24!$A$6:$CB$38,64,0)</f>
        <v>0</v>
      </c>
      <c r="AK25" s="36">
        <f>VLOOKUP($A25,[24]HISTOAVRIL24!$A$6:$CB$38,65,0)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MVTMARS24!I26-E26+L26</f>
        <v>842278.18276075949</v>
      </c>
      <c r="G26" s="5">
        <f>IF(MVTMARS24!I26+L26&gt;700000,(MVTMARS24!I26-E26+L26),0)</f>
        <v>842278.18276075949</v>
      </c>
      <c r="H26" s="36">
        <f t="shared" si="0"/>
        <v>0</v>
      </c>
      <c r="I26" s="6">
        <f t="shared" si="2"/>
        <v>842278.18276075949</v>
      </c>
      <c r="J26" s="36">
        <f>VLOOKUP($A26,[24]HISTOAVRIL24!$A$6:$AQ$42,22,0)</f>
        <v>0</v>
      </c>
      <c r="K26" s="36">
        <f>VLOOKUP($A26,[24]HISTOAVRIL24!$A$6:$AU$38,45,0)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VLOOKUP($A26,[24]HISTOAVRIL24!$A$6:$AU$38,7,0)</f>
        <v>0</v>
      </c>
      <c r="Q26" s="36">
        <f>VLOOKUP($A26,[24]HISTOAVRIL24!$A$6:$AU$38,23,0)</f>
        <v>0</v>
      </c>
      <c r="R26" s="36">
        <f>VLOOKUP($A26,[24]HISTOAVRIL24!$A$6:$AU$38,46,0)</f>
        <v>0</v>
      </c>
      <c r="S26" s="36">
        <f>VLOOKUP($A26,[24]HISTOAVRIL24!$A$6:$AU$38,26,0)</f>
        <v>0</v>
      </c>
      <c r="T26" s="36">
        <f>VLOOKUP($A26,[24]HISTOAVRIL24!$A$6:$BG$38,58,0)</f>
        <v>0</v>
      </c>
      <c r="U26" s="36">
        <f>VLOOKUP($A26,[24]HISTOAVRIL24!$A$6:$AU$38,28,0)</f>
        <v>0</v>
      </c>
      <c r="V26" s="36">
        <f>VLOOKUP($A26,[24]HISTOAVRIL24!$A$6:$AU$38,19,0)</f>
        <v>0</v>
      </c>
      <c r="W26" s="36">
        <f>VLOOKUP($A26,[24]HISTOAVRIL24!$A$6:$AU$38,20,0)</f>
        <v>0</v>
      </c>
      <c r="X26" s="36">
        <f>VLOOKUP($A26,[24]HISTOAVRIL24!$A$6:$AU$38,27,0)</f>
        <v>0</v>
      </c>
      <c r="Y26" s="36">
        <f>VLOOKUP($A26,[24]HISTOAVRIL24!$A$6:$BM$38,33,0)</f>
        <v>0</v>
      </c>
      <c r="Z26" s="36">
        <f>VLOOKUP($A26,[24]HISTOAVRIL24!$A$6:$BM$38,65,0)</f>
        <v>0</v>
      </c>
      <c r="AA26" s="36"/>
      <c r="AB26" s="36">
        <f>VLOOKUP($A26,[24]HISTOAVRIL24!$A$6:$AU$38,43,0)</f>
        <v>0</v>
      </c>
      <c r="AC26" s="36">
        <f>VLOOKUP($A26,[24]HISTOAVRIL24!$A$6:$AU$38,44,0)</f>
        <v>0</v>
      </c>
      <c r="AD26" s="36">
        <f>VLOOKUP($A26,[24]HISTOAVRIL24!$A$6:$AU$38,47,0)</f>
        <v>0</v>
      </c>
      <c r="AE26" s="36">
        <f>VLOOKUP(A26,[24]HISTOAVRIL24!$A$6:$BB$38,54,0)</f>
        <v>0</v>
      </c>
      <c r="AF26" s="36">
        <f>VLOOKUP($A26,[24]HISTOAVRIL24!$A$6:$CB$38,60,0)</f>
        <v>0</v>
      </c>
      <c r="AG26" s="36">
        <f>VLOOKUP($A26,[24]HISTOAVRIL24!$A$6:$CB$38,61,0)</f>
        <v>0</v>
      </c>
      <c r="AH26" s="36">
        <f>VLOOKUP($A26,[24]HISTOAVRIL24!$A$6:$CB$38,62,0)</f>
        <v>0</v>
      </c>
      <c r="AI26" s="36">
        <f>VLOOKUP($A26,[24]HISTOAVRIL24!$A$6:$CB$38,63,0)</f>
        <v>0</v>
      </c>
      <c r="AJ26" s="36">
        <f>VLOOKUP($A26,[24]HISTOAVRIL24!$A$6:$CB$38,64,0)</f>
        <v>0</v>
      </c>
      <c r="AK26" s="36">
        <f>VLOOKUP($A26,[24]HISTOAVRIL24!$A$6:$CB$38,65,0)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MVTMARS24!I27-E27+L27</f>
        <v>842837.74305685516</v>
      </c>
      <c r="G27" s="5">
        <f>IF(MVTMARS24!I27+L27&gt;700000,(MVTMARS24!I27-E27+L27),0)</f>
        <v>842837.74305685516</v>
      </c>
      <c r="H27" s="36">
        <f t="shared" si="0"/>
        <v>0</v>
      </c>
      <c r="I27" s="6">
        <f t="shared" si="2"/>
        <v>842837.74305685516</v>
      </c>
      <c r="J27" s="36">
        <f>VLOOKUP($A27,[24]HISTOAVRIL24!$A$6:$AQ$42,22,0)</f>
        <v>0</v>
      </c>
      <c r="K27" s="36">
        <f>VLOOKUP($A27,[24]HISTOAVRIL24!$A$6:$AU$38,45,0)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VLOOKUP($A27,[24]HISTOAVRIL24!$A$6:$AU$38,7,0)</f>
        <v>0</v>
      </c>
      <c r="Q27" s="36">
        <f>VLOOKUP($A27,[24]HISTOAVRIL24!$A$6:$AU$38,23,0)</f>
        <v>0</v>
      </c>
      <c r="R27" s="36">
        <f>VLOOKUP($A27,[24]HISTOAVRIL24!$A$6:$AU$38,46,0)</f>
        <v>0</v>
      </c>
      <c r="S27" s="36">
        <f>VLOOKUP($A27,[24]HISTOAVRIL24!$A$6:$AU$38,26,0)</f>
        <v>0</v>
      </c>
      <c r="T27" s="36">
        <f>VLOOKUP($A27,[24]HISTOAVRIL24!$A$6:$BG$38,58,0)</f>
        <v>0</v>
      </c>
      <c r="U27" s="36">
        <f>VLOOKUP($A27,[24]HISTOAVRIL24!$A$6:$AU$38,28,0)</f>
        <v>0</v>
      </c>
      <c r="V27" s="36">
        <f>VLOOKUP($A27,[24]HISTOAVRIL24!$A$6:$AU$38,19,0)</f>
        <v>0</v>
      </c>
      <c r="W27" s="36">
        <f>VLOOKUP($A27,[24]HISTOAVRIL24!$A$6:$AU$38,20,0)</f>
        <v>0</v>
      </c>
      <c r="X27" s="36">
        <f>VLOOKUP($A27,[24]HISTOAVRIL24!$A$6:$AU$38,27,0)</f>
        <v>0</v>
      </c>
      <c r="Y27" s="36">
        <f>VLOOKUP($A27,[24]HISTOAVRIL24!$A$6:$BM$38,33,0)</f>
        <v>0</v>
      </c>
      <c r="Z27" s="36">
        <f>VLOOKUP($A27,[24]HISTOAVRIL24!$A$6:$BM$38,65,0)</f>
        <v>0</v>
      </c>
      <c r="AA27" s="36"/>
      <c r="AB27" s="36">
        <f>VLOOKUP($A27,[24]HISTOAVRIL24!$A$6:$AU$38,43,0)</f>
        <v>0</v>
      </c>
      <c r="AC27" s="36">
        <f>VLOOKUP($A27,[24]HISTOAVRIL24!$A$6:$AU$38,44,0)</f>
        <v>0</v>
      </c>
      <c r="AD27" s="36">
        <f>VLOOKUP($A27,[24]HISTOAVRIL24!$A$6:$AU$38,47,0)</f>
        <v>0</v>
      </c>
      <c r="AE27" s="36">
        <f>VLOOKUP(A27,[24]HISTOAVRIL24!$A$6:$BB$38,54,0)</f>
        <v>0</v>
      </c>
      <c r="AF27" s="36">
        <f>VLOOKUP($A27,[24]HISTOAVRIL24!$A$6:$CB$38,60,0)</f>
        <v>0</v>
      </c>
      <c r="AG27" s="36">
        <f>VLOOKUP($A27,[24]HISTOAVRIL24!$A$6:$CB$38,61,0)</f>
        <v>0</v>
      </c>
      <c r="AH27" s="36">
        <f>VLOOKUP($A27,[24]HISTOAVRIL24!$A$6:$CB$38,62,0)</f>
        <v>0</v>
      </c>
      <c r="AI27" s="36">
        <f>VLOOKUP($A27,[24]HISTOAVRIL24!$A$6:$CB$38,63,0)</f>
        <v>0</v>
      </c>
      <c r="AJ27" s="36">
        <f>VLOOKUP($A27,[24]HISTOAVRIL24!$A$6:$CB$38,64,0)</f>
        <v>0</v>
      </c>
      <c r="AK27" s="36">
        <f>VLOOKUP($A27,[24]HISTOAVRIL24!$A$6:$CB$38,65,0)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MVTMARS24!I28-E28+L28</f>
        <v>745180.40115325153</v>
      </c>
      <c r="G28" s="5">
        <f>IF(MVTMARS24!I28+L28&gt;700000,(MVTMARS24!I28-E28+L28),0)</f>
        <v>745180.40115325153</v>
      </c>
      <c r="H28" s="36">
        <f t="shared" si="0"/>
        <v>0</v>
      </c>
      <c r="I28" s="6">
        <f t="shared" si="2"/>
        <v>745180.40115325153</v>
      </c>
      <c r="J28" s="36">
        <f>VLOOKUP($A28,[24]HISTOAVRIL24!$A$6:$AQ$42,22,0)</f>
        <v>0</v>
      </c>
      <c r="K28" s="36">
        <f>VLOOKUP($A28,[24]HISTOAVRIL24!$A$6:$AU$38,45,0)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VLOOKUP($A28,[24]HISTOAVRIL24!$A$6:$AU$38,7,0)</f>
        <v>0</v>
      </c>
      <c r="Q28" s="36">
        <f>VLOOKUP($A28,[24]HISTOAVRIL24!$A$6:$AU$38,23,0)</f>
        <v>0</v>
      </c>
      <c r="R28" s="36">
        <f>VLOOKUP($A28,[24]HISTOAVRIL24!$A$6:$AU$38,46,0)</f>
        <v>0</v>
      </c>
      <c r="S28" s="36">
        <f>VLOOKUP($A28,[24]HISTOAVRIL24!$A$6:$AU$38,26,0)</f>
        <v>0</v>
      </c>
      <c r="T28" s="36">
        <f>VLOOKUP($A28,[24]HISTOAVRIL24!$A$6:$BG$38,58,0)</f>
        <v>0</v>
      </c>
      <c r="U28" s="36">
        <f>VLOOKUP($A28,[24]HISTOAVRIL24!$A$6:$AU$38,28,0)</f>
        <v>0</v>
      </c>
      <c r="V28" s="36">
        <f>VLOOKUP($A28,[24]HISTOAVRIL24!$A$6:$AU$38,19,0)</f>
        <v>0</v>
      </c>
      <c r="W28" s="36">
        <f>VLOOKUP($A28,[24]HISTOAVRIL24!$A$6:$AU$38,20,0)</f>
        <v>0</v>
      </c>
      <c r="X28" s="36">
        <f>VLOOKUP($A28,[24]HISTOAVRIL24!$A$6:$AU$38,27,0)</f>
        <v>0</v>
      </c>
      <c r="Y28" s="36">
        <f>VLOOKUP($A28,[24]HISTOAVRIL24!$A$6:$BM$38,33,0)</f>
        <v>0</v>
      </c>
      <c r="Z28" s="36">
        <f>VLOOKUP($A28,[24]HISTOAVRIL24!$A$6:$BM$38,65,0)</f>
        <v>0</v>
      </c>
      <c r="AA28" s="36"/>
      <c r="AB28" s="36">
        <f>VLOOKUP($A28,[24]HISTOAVRIL24!$A$6:$AU$38,43,0)</f>
        <v>0</v>
      </c>
      <c r="AC28" s="36">
        <f>VLOOKUP($A28,[24]HISTOAVRIL24!$A$6:$AU$38,44,0)</f>
        <v>0</v>
      </c>
      <c r="AD28" s="36">
        <f>VLOOKUP($A28,[24]HISTOAVRIL24!$A$6:$AU$38,47,0)</f>
        <v>0</v>
      </c>
      <c r="AE28" s="36">
        <f>VLOOKUP(A28,[24]HISTOAVRIL24!$A$6:$BB$38,54,0)</f>
        <v>0</v>
      </c>
      <c r="AF28" s="36">
        <f>VLOOKUP($A28,[24]HISTOAVRIL24!$A$6:$CB$38,60,0)</f>
        <v>0</v>
      </c>
      <c r="AG28" s="36">
        <f>VLOOKUP($A28,[24]HISTOAVRIL24!$A$6:$CB$38,61,0)</f>
        <v>0</v>
      </c>
      <c r="AH28" s="36">
        <f>VLOOKUP($A28,[24]HISTOAVRIL24!$A$6:$CB$38,62,0)</f>
        <v>0</v>
      </c>
      <c r="AI28" s="36">
        <f>VLOOKUP($A28,[24]HISTOAVRIL24!$A$6:$CB$38,63,0)</f>
        <v>0</v>
      </c>
      <c r="AJ28" s="36">
        <f>VLOOKUP($A28,[24]HISTOAVRIL24!$A$6:$CB$38,64,0)</f>
        <v>0</v>
      </c>
      <c r="AK28" s="36">
        <f>VLOOKUP($A28,[24]HISTOAVRIL24!$A$6:$CB$38,65,0)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MVTMARS24!I29-E29+L29</f>
        <v>869131.05819251109</v>
      </c>
      <c r="G29" s="5">
        <f>IF(MVTMARS24!I29+L29&gt;700000,(MVTMARS24!I29-E29+L29),0)</f>
        <v>869131.05819251109</v>
      </c>
      <c r="H29" s="36">
        <f t="shared" si="0"/>
        <v>0</v>
      </c>
      <c r="I29" s="6">
        <f t="shared" si="2"/>
        <v>869131.05819251109</v>
      </c>
      <c r="J29" s="36">
        <f>VLOOKUP($A29,[24]HISTOAVRIL24!$A$6:$AQ$42,22,0)</f>
        <v>0</v>
      </c>
      <c r="K29" s="36">
        <f>VLOOKUP($A29,[24]HISTOAVRIL24!$A$6:$AU$38,45,0)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VLOOKUP($A29,[24]HISTOAVRIL24!$A$6:$AU$38,7,0)</f>
        <v>0</v>
      </c>
      <c r="Q29" s="36">
        <f>VLOOKUP($A29,[24]HISTOAVRIL24!$A$6:$AU$38,23,0)</f>
        <v>0</v>
      </c>
      <c r="R29" s="36">
        <f>VLOOKUP($A29,[24]HISTOAVRIL24!$A$6:$AU$38,46,0)</f>
        <v>0</v>
      </c>
      <c r="S29" s="36">
        <f>VLOOKUP($A29,[24]HISTOAVRIL24!$A$6:$AU$38,26,0)</f>
        <v>0</v>
      </c>
      <c r="T29" s="36">
        <f>VLOOKUP($A29,[24]HISTOAVRIL24!$A$6:$BG$38,58,0)</f>
        <v>0</v>
      </c>
      <c r="U29" s="36">
        <f>VLOOKUP($A29,[24]HISTOAVRIL24!$A$6:$AU$38,28,0)</f>
        <v>0</v>
      </c>
      <c r="V29" s="36">
        <f>VLOOKUP($A29,[24]HISTOAVRIL24!$A$6:$AU$38,19,0)</f>
        <v>0</v>
      </c>
      <c r="W29" s="36">
        <f>VLOOKUP($A29,[24]HISTOAVRIL24!$A$6:$AU$38,20,0)</f>
        <v>0</v>
      </c>
      <c r="X29" s="36">
        <f>VLOOKUP($A29,[24]HISTOAVRIL24!$A$6:$AU$38,27,0)</f>
        <v>0</v>
      </c>
      <c r="Y29" s="36">
        <f>VLOOKUP($A29,[24]HISTOAVRIL24!$A$6:$BM$38,33,0)</f>
        <v>0</v>
      </c>
      <c r="Z29" s="36">
        <f>VLOOKUP($A29,[24]HISTOAVRIL24!$A$6:$BM$38,65,0)</f>
        <v>0</v>
      </c>
      <c r="AA29" s="36"/>
      <c r="AB29" s="36">
        <f>VLOOKUP($A29,[24]HISTOAVRIL24!$A$6:$AU$38,43,0)</f>
        <v>0</v>
      </c>
      <c r="AC29" s="36">
        <f>VLOOKUP($A29,[24]HISTOAVRIL24!$A$6:$AU$38,44,0)</f>
        <v>0</v>
      </c>
      <c r="AD29" s="36">
        <f>VLOOKUP($A29,[24]HISTOAVRIL24!$A$6:$AU$38,47,0)</f>
        <v>0</v>
      </c>
      <c r="AE29" s="36">
        <f>VLOOKUP(A29,[24]HISTOAVRIL24!$A$6:$BB$38,54,0)</f>
        <v>0</v>
      </c>
      <c r="AF29" s="36">
        <f>VLOOKUP($A29,[24]HISTOAVRIL24!$A$6:$CB$38,60,0)</f>
        <v>0</v>
      </c>
      <c r="AG29" s="36">
        <f>VLOOKUP($A29,[24]HISTOAVRIL24!$A$6:$CB$38,61,0)</f>
        <v>0</v>
      </c>
      <c r="AH29" s="36">
        <f>VLOOKUP($A29,[24]HISTOAVRIL24!$A$6:$CB$38,62,0)</f>
        <v>0</v>
      </c>
      <c r="AI29" s="36">
        <f>VLOOKUP($A29,[24]HISTOAVRIL24!$A$6:$CB$38,63,0)</f>
        <v>0</v>
      </c>
      <c r="AJ29" s="36">
        <f>VLOOKUP($A29,[24]HISTOAVRIL24!$A$6:$CB$38,64,0)</f>
        <v>0</v>
      </c>
      <c r="AK29" s="36">
        <f>VLOOKUP($A29,[24]HISTOAVRIL24!$A$6:$CB$38,65,0)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MVTMARS24!I30-E30+L30</f>
        <v>774791.07097684417</v>
      </c>
      <c r="G30" s="5">
        <f>IF(MVTMARS24!I30+L30&gt;700000,(MVTMARS24!I30-E30+L30),0)</f>
        <v>774791.07097684417</v>
      </c>
      <c r="H30" s="36">
        <f t="shared" si="0"/>
        <v>0</v>
      </c>
      <c r="I30" s="6">
        <f t="shared" si="2"/>
        <v>774791.07097684417</v>
      </c>
      <c r="J30" s="36">
        <f>VLOOKUP($A30,[24]HISTOAVRIL24!$A$6:$AQ$42,22,0)</f>
        <v>0</v>
      </c>
      <c r="K30" s="36">
        <f>VLOOKUP($A30,[24]HISTOAVRIL24!$A$6:$AU$38,45,0)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VLOOKUP($A30,[24]HISTOAVRIL24!$A$6:$AU$38,7,0)</f>
        <v>0</v>
      </c>
      <c r="Q30" s="36">
        <f>VLOOKUP($A30,[24]HISTOAVRIL24!$A$6:$AU$38,23,0)</f>
        <v>0</v>
      </c>
      <c r="R30" s="36">
        <f>VLOOKUP($A30,[24]HISTOAVRIL24!$A$6:$AU$38,46,0)</f>
        <v>0</v>
      </c>
      <c r="S30" s="36">
        <f>VLOOKUP($A30,[24]HISTOAVRIL24!$A$6:$AU$38,26,0)</f>
        <v>0</v>
      </c>
      <c r="T30" s="36">
        <f>VLOOKUP($A30,[24]HISTOAVRIL24!$A$6:$BG$38,58,0)</f>
        <v>0</v>
      </c>
      <c r="U30" s="36">
        <f>VLOOKUP($A30,[24]HISTOAVRIL24!$A$6:$AU$38,28,0)</f>
        <v>0</v>
      </c>
      <c r="V30" s="36">
        <f>VLOOKUP($A30,[24]HISTOAVRIL24!$A$6:$AU$38,19,0)</f>
        <v>0</v>
      </c>
      <c r="W30" s="36">
        <f>VLOOKUP($A30,[24]HISTOAVRIL24!$A$6:$AU$38,20,0)</f>
        <v>0</v>
      </c>
      <c r="X30" s="36">
        <f>VLOOKUP($A30,[24]HISTOAVRIL24!$A$6:$AU$38,27,0)</f>
        <v>0</v>
      </c>
      <c r="Y30" s="36">
        <f>VLOOKUP($A30,[24]HISTOAVRIL24!$A$6:$BM$38,33,0)</f>
        <v>0</v>
      </c>
      <c r="Z30" s="36">
        <f>VLOOKUP($A30,[24]HISTOAVRIL24!$A$6:$BM$38,65,0)</f>
        <v>0</v>
      </c>
      <c r="AA30" s="36"/>
      <c r="AB30" s="36">
        <f>VLOOKUP($A30,[24]HISTOAVRIL24!$A$6:$AU$38,43,0)</f>
        <v>0</v>
      </c>
      <c r="AC30" s="36">
        <f>VLOOKUP($A30,[24]HISTOAVRIL24!$A$6:$AU$38,44,0)</f>
        <v>0</v>
      </c>
      <c r="AD30" s="36">
        <f>VLOOKUP($A30,[24]HISTOAVRIL24!$A$6:$AU$38,47,0)</f>
        <v>0</v>
      </c>
      <c r="AE30" s="36">
        <f>VLOOKUP(A30,[24]HISTOAVRIL24!$A$6:$BB$38,54,0)</f>
        <v>0</v>
      </c>
      <c r="AF30" s="36">
        <f>VLOOKUP($A30,[24]HISTOAVRIL24!$A$6:$CB$38,60,0)</f>
        <v>0</v>
      </c>
      <c r="AG30" s="36">
        <f>VLOOKUP($A30,[24]HISTOAVRIL24!$A$6:$CB$38,61,0)</f>
        <v>0</v>
      </c>
      <c r="AH30" s="36">
        <f>VLOOKUP($A30,[24]HISTOAVRIL24!$A$6:$CB$38,62,0)</f>
        <v>0</v>
      </c>
      <c r="AI30" s="36">
        <f>VLOOKUP($A30,[24]HISTOAVRIL24!$A$6:$CB$38,63,0)</f>
        <v>0</v>
      </c>
      <c r="AJ30" s="36">
        <f>VLOOKUP($A30,[24]HISTOAVRIL24!$A$6:$CB$38,64,0)</f>
        <v>0</v>
      </c>
      <c r="AK30" s="36">
        <f>VLOOKUP($A30,[24]HISTOAVRIL24!$A$6:$CB$38,65,0)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MVTMARS24!I31-E31+L31</f>
        <v>933799.47776563698</v>
      </c>
      <c r="G31" s="5">
        <f>IF(MVTMARS24!I31+L31&gt;700000,(MVTMARS24!I31-E31+L31),0)</f>
        <v>933799.47776563698</v>
      </c>
      <c r="H31" s="36">
        <f t="shared" si="0"/>
        <v>0</v>
      </c>
      <c r="I31" s="6">
        <f t="shared" si="2"/>
        <v>933799.47776563698</v>
      </c>
      <c r="J31" s="36">
        <f>VLOOKUP($A31,[24]HISTOAVRIL24!$A$6:$AQ$42,22,0)</f>
        <v>0</v>
      </c>
      <c r="K31" s="36">
        <f>VLOOKUP($A31,[24]HISTOAVRIL24!$A$6:$AU$38,45,0)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VLOOKUP($A31,[24]HISTOAVRIL24!$A$6:$AU$38,7,0)</f>
        <v>0</v>
      </c>
      <c r="Q31" s="36">
        <f>VLOOKUP($A31,[24]HISTOAVRIL24!$A$6:$AU$38,23,0)</f>
        <v>0</v>
      </c>
      <c r="R31" s="36">
        <f>VLOOKUP($A31,[24]HISTOAVRIL24!$A$6:$AU$38,46,0)</f>
        <v>0</v>
      </c>
      <c r="S31" s="36">
        <f>VLOOKUP($A31,[24]HISTOAVRIL24!$A$6:$AU$38,26,0)</f>
        <v>0</v>
      </c>
      <c r="T31" s="36">
        <f>VLOOKUP($A31,[24]HISTOAVRIL24!$A$6:$BG$38,58,0)</f>
        <v>0</v>
      </c>
      <c r="U31" s="36">
        <f>VLOOKUP($A31,[24]HISTOAVRIL24!$A$6:$AU$38,28,0)</f>
        <v>0</v>
      </c>
      <c r="V31" s="36">
        <f>VLOOKUP($A31,[24]HISTOAVRIL24!$A$6:$AU$38,19,0)</f>
        <v>0</v>
      </c>
      <c r="W31" s="36">
        <f>VLOOKUP($A31,[24]HISTOAVRIL24!$A$6:$AU$38,20,0)</f>
        <v>0</v>
      </c>
      <c r="X31" s="36">
        <f>VLOOKUP($A31,[24]HISTOAVRIL24!$A$6:$AU$38,27,0)</f>
        <v>0</v>
      </c>
      <c r="Y31" s="36">
        <f>VLOOKUP($A31,[24]HISTOAVRIL24!$A$6:$BM$38,33,0)</f>
        <v>0</v>
      </c>
      <c r="Z31" s="36">
        <f>VLOOKUP($A31,[24]HISTOAVRIL24!$A$6:$BM$38,65,0)</f>
        <v>0</v>
      </c>
      <c r="AA31" s="36"/>
      <c r="AB31" s="36">
        <f>VLOOKUP($A31,[24]HISTOAVRIL24!$A$6:$AU$38,43,0)</f>
        <v>0</v>
      </c>
      <c r="AC31" s="36">
        <f>VLOOKUP($A31,[24]HISTOAVRIL24!$A$6:$AU$38,44,0)</f>
        <v>0</v>
      </c>
      <c r="AD31" s="36">
        <f>VLOOKUP($A31,[24]HISTOAVRIL24!$A$6:$AU$38,47,0)</f>
        <v>0</v>
      </c>
      <c r="AE31" s="36">
        <f>VLOOKUP(A31,[24]HISTOAVRIL24!$A$6:$BB$38,54,0)</f>
        <v>0</v>
      </c>
      <c r="AF31" s="36">
        <f>VLOOKUP($A31,[24]HISTOAVRIL24!$A$6:$CB$38,60,0)</f>
        <v>0</v>
      </c>
      <c r="AG31" s="36">
        <f>VLOOKUP($A31,[24]HISTOAVRIL24!$A$6:$CB$38,61,0)</f>
        <v>0</v>
      </c>
      <c r="AH31" s="36">
        <f>VLOOKUP($A31,[24]HISTOAVRIL24!$A$6:$CB$38,62,0)</f>
        <v>0</v>
      </c>
      <c r="AI31" s="36">
        <f>VLOOKUP($A31,[24]HISTOAVRIL24!$A$6:$CB$38,63,0)</f>
        <v>0</v>
      </c>
      <c r="AJ31" s="36">
        <f>VLOOKUP($A31,[24]HISTOAVRIL24!$A$6:$CB$38,64,0)</f>
        <v>0</v>
      </c>
      <c r="AK31" s="36">
        <f>VLOOKUP($A31,[24]HISTOAVRIL24!$A$6:$CB$38,65,0)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MVTMARS24!I32-E32+L32</f>
        <v>823282.72977224528</v>
      </c>
      <c r="G32" s="5">
        <f>IF(MVTMARS24!I32+L32&gt;700000,(MVTMARS24!I32-E32+L32),0)</f>
        <v>823282.72977224528</v>
      </c>
      <c r="H32" s="36">
        <f t="shared" si="0"/>
        <v>0</v>
      </c>
      <c r="I32" s="6">
        <f t="shared" si="2"/>
        <v>823282.72977224528</v>
      </c>
      <c r="J32" s="36">
        <f>VLOOKUP($A32,[24]HISTOAVRIL24!$A$6:$AQ$42,22,0)</f>
        <v>0</v>
      </c>
      <c r="K32" s="36">
        <f>VLOOKUP($A32,[24]HISTOAVRIL24!$A$6:$AU$38,45,0)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VLOOKUP($A32,[24]HISTOAVRIL24!$A$6:$AU$38,7,0)</f>
        <v>0</v>
      </c>
      <c r="Q32" s="36">
        <f>VLOOKUP($A32,[24]HISTOAVRIL24!$A$6:$AU$38,23,0)</f>
        <v>0</v>
      </c>
      <c r="R32" s="36">
        <f>VLOOKUP($A32,[24]HISTOAVRIL24!$A$6:$AU$38,46,0)</f>
        <v>0</v>
      </c>
      <c r="S32" s="36">
        <f>VLOOKUP($A32,[24]HISTOAVRIL24!$A$6:$AU$38,26,0)</f>
        <v>0</v>
      </c>
      <c r="T32" s="36">
        <f>VLOOKUP($A32,[24]HISTOAVRIL24!$A$6:$BG$38,58,0)</f>
        <v>0</v>
      </c>
      <c r="U32" s="36">
        <f>VLOOKUP($A32,[24]HISTOAVRIL24!$A$6:$AU$38,28,0)</f>
        <v>0</v>
      </c>
      <c r="V32" s="36">
        <f>VLOOKUP($A32,[24]HISTOAVRIL24!$A$6:$AU$38,19,0)</f>
        <v>0</v>
      </c>
      <c r="W32" s="36">
        <f>VLOOKUP($A32,[24]HISTOAVRIL24!$A$6:$AU$38,20,0)</f>
        <v>0</v>
      </c>
      <c r="X32" s="36">
        <f>VLOOKUP($A32,[24]HISTOAVRIL24!$A$6:$AU$38,27,0)</f>
        <v>0</v>
      </c>
      <c r="Y32" s="36">
        <f>VLOOKUP($A32,[24]HISTOAVRIL24!$A$6:$BM$38,33,0)</f>
        <v>0</v>
      </c>
      <c r="Z32" s="36">
        <f>VLOOKUP($A32,[24]HISTOAVRIL24!$A$6:$BM$38,65,0)</f>
        <v>0</v>
      </c>
      <c r="AA32" s="36"/>
      <c r="AB32" s="36">
        <f>VLOOKUP($A32,[24]HISTOAVRIL24!$A$6:$AU$38,43,0)</f>
        <v>0</v>
      </c>
      <c r="AC32" s="36">
        <f>VLOOKUP($A32,[24]HISTOAVRIL24!$A$6:$AU$38,44,0)</f>
        <v>0</v>
      </c>
      <c r="AD32" s="36">
        <f>VLOOKUP($A32,[24]HISTOAVRIL24!$A$6:$AU$38,47,0)</f>
        <v>0</v>
      </c>
      <c r="AE32" s="36">
        <f>VLOOKUP(A32,[24]HISTOAVRIL24!$A$6:$BB$38,54,0)</f>
        <v>0</v>
      </c>
      <c r="AF32" s="36">
        <f>VLOOKUP($A32,[24]HISTOAVRIL24!$A$6:$CB$38,60,0)</f>
        <v>0</v>
      </c>
      <c r="AG32" s="36">
        <f>VLOOKUP($A32,[24]HISTOAVRIL24!$A$6:$CB$38,61,0)</f>
        <v>0</v>
      </c>
      <c r="AH32" s="36">
        <f>VLOOKUP($A32,[24]HISTOAVRIL24!$A$6:$CB$38,62,0)</f>
        <v>0</v>
      </c>
      <c r="AI32" s="36">
        <f>VLOOKUP($A32,[24]HISTOAVRIL24!$A$6:$CB$38,63,0)</f>
        <v>0</v>
      </c>
      <c r="AJ32" s="36">
        <f>VLOOKUP($A32,[24]HISTOAVRIL24!$A$6:$CB$38,64,0)</f>
        <v>0</v>
      </c>
      <c r="AK32" s="36">
        <f>VLOOKUP($A32,[24]HISTOAVRIL24!$A$6:$CB$38,65,0)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MVTMARS24!I33-E33+L33</f>
        <v>823591.00081650028</v>
      </c>
      <c r="G33" s="5">
        <f>IF(MVTMARS24!I33+L33&gt;700000,(MVTMARS24!I33-E33+L33),0)</f>
        <v>823591.00081650028</v>
      </c>
      <c r="H33" s="36">
        <f t="shared" si="0"/>
        <v>0</v>
      </c>
      <c r="I33" s="6">
        <f t="shared" si="2"/>
        <v>823591.00081650028</v>
      </c>
      <c r="J33" s="36">
        <f>VLOOKUP($A33,[24]HISTOAVRIL24!$A$6:$AQ$42,22,0)</f>
        <v>0</v>
      </c>
      <c r="K33" s="36">
        <f>VLOOKUP($A33,[24]HISTOAVRIL24!$A$6:$AU$38,45,0)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VLOOKUP($A33,[24]HISTOAVRIL24!$A$6:$AU$38,7,0)</f>
        <v>0</v>
      </c>
      <c r="Q33" s="36">
        <f>VLOOKUP($A33,[24]HISTOAVRIL24!$A$6:$AU$38,23,0)</f>
        <v>0</v>
      </c>
      <c r="R33" s="36">
        <f>VLOOKUP($A33,[24]HISTOAVRIL24!$A$6:$AU$38,46,0)</f>
        <v>0</v>
      </c>
      <c r="S33" s="36">
        <f>VLOOKUP($A33,[24]HISTOAVRIL24!$A$6:$AU$38,26,0)</f>
        <v>0</v>
      </c>
      <c r="T33" s="36">
        <f>VLOOKUP($A33,[24]HISTOAVRIL24!$A$6:$BG$38,58,0)</f>
        <v>0</v>
      </c>
      <c r="U33" s="36">
        <f>VLOOKUP($A33,[24]HISTOAVRIL24!$A$6:$AU$38,28,0)</f>
        <v>0</v>
      </c>
      <c r="V33" s="36">
        <f>VLOOKUP($A33,[24]HISTOAVRIL24!$A$6:$AU$38,19,0)</f>
        <v>0</v>
      </c>
      <c r="W33" s="36">
        <f>VLOOKUP($A33,[24]HISTOAVRIL24!$A$6:$AU$38,20,0)</f>
        <v>0</v>
      </c>
      <c r="X33" s="36">
        <f>VLOOKUP($A33,[24]HISTOAVRIL24!$A$6:$AU$38,27,0)</f>
        <v>0</v>
      </c>
      <c r="Y33" s="36">
        <f>VLOOKUP($A33,[24]HISTOAVRIL24!$A$6:$BM$38,33,0)</f>
        <v>0</v>
      </c>
      <c r="Z33" s="36">
        <f>VLOOKUP($A33,[24]HISTOAVRIL24!$A$6:$BM$38,65,0)</f>
        <v>0</v>
      </c>
      <c r="AA33" s="36"/>
      <c r="AB33" s="36">
        <f>VLOOKUP($A33,[24]HISTOAVRIL24!$A$6:$AU$38,43,0)</f>
        <v>0</v>
      </c>
      <c r="AC33" s="36">
        <f>VLOOKUP($A33,[24]HISTOAVRIL24!$A$6:$AU$38,44,0)</f>
        <v>0</v>
      </c>
      <c r="AD33" s="36">
        <f>VLOOKUP($A33,[24]HISTOAVRIL24!$A$6:$AU$38,47,0)</f>
        <v>0</v>
      </c>
      <c r="AE33" s="36">
        <f>VLOOKUP(A33,[24]HISTOAVRIL24!$A$6:$BB$38,54,0)</f>
        <v>0</v>
      </c>
      <c r="AF33" s="36">
        <f>VLOOKUP($A33,[24]HISTOAVRIL24!$A$6:$CB$38,60,0)</f>
        <v>0</v>
      </c>
      <c r="AG33" s="36">
        <f>VLOOKUP($A33,[24]HISTOAVRIL24!$A$6:$CB$38,61,0)</f>
        <v>0</v>
      </c>
      <c r="AH33" s="36">
        <f>VLOOKUP($A33,[24]HISTOAVRIL24!$A$6:$CB$38,62,0)</f>
        <v>0</v>
      </c>
      <c r="AI33" s="36">
        <f>VLOOKUP($A33,[24]HISTOAVRIL24!$A$6:$CB$38,63,0)</f>
        <v>0</v>
      </c>
      <c r="AJ33" s="36">
        <f>VLOOKUP($A33,[24]HISTOAVRIL24!$A$6:$CB$38,64,0)</f>
        <v>0</v>
      </c>
      <c r="AK33" s="36">
        <f>VLOOKUP($A33,[24]HISTOAVRIL24!$A$6:$CB$38,65,0)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VLOOKUP($A34,[24]HISTOAVRIL24!$A$6:$AQ$42,22,0)</f>
        <v>0</v>
      </c>
      <c r="K34" s="36">
        <f>VLOOKUP($A34,[24]HISTOAVRIL24!$A$6:$AU$38,45,0)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VLOOKUP($A34,[24]HISTOAVRIL24!$A$6:$AU$38,7,0)</f>
        <v>0</v>
      </c>
      <c r="Q34" s="36">
        <f>VLOOKUP($A34,[24]HISTOAVRIL24!$A$6:$AU$38,23,0)</f>
        <v>0</v>
      </c>
      <c r="R34" s="36">
        <f>VLOOKUP($A34,[24]HISTOAVRIL24!$A$6:$AU$38,46,0)</f>
        <v>0</v>
      </c>
      <c r="S34" s="36">
        <f>VLOOKUP($A34,[24]HISTOAVRIL24!$A$6:$AU$38,26,0)</f>
        <v>0</v>
      </c>
      <c r="T34" s="36">
        <f>VLOOKUP($A34,[24]HISTOAVRIL24!$A$6:$BG$38,58,0)</f>
        <v>0</v>
      </c>
      <c r="U34" s="36">
        <f>VLOOKUP($A34,[24]HISTOAVRIL24!$A$6:$AU$38,28,0)</f>
        <v>0</v>
      </c>
      <c r="V34" s="36">
        <f>VLOOKUP($A34,[24]HISTOAVRIL24!$A$6:$AU$38,19,0)</f>
        <v>0</v>
      </c>
      <c r="W34" s="36">
        <f>VLOOKUP($A34,[24]HISTOAVRIL24!$A$6:$AU$38,20,0)</f>
        <v>0</v>
      </c>
      <c r="X34" s="36">
        <f>VLOOKUP($A34,[24]HISTOAVRIL24!$A$6:$AU$38,27,0)</f>
        <v>0</v>
      </c>
      <c r="Y34" s="36">
        <f>VLOOKUP($A34,[24]HISTOAVRIL24!$A$6:$BM$38,33,0)</f>
        <v>0</v>
      </c>
      <c r="Z34" s="36">
        <f>VLOOKUP($A34,[24]HISTOAVRIL24!$A$6:$BM$38,65,0)</f>
        <v>0</v>
      </c>
      <c r="AA34" s="36"/>
      <c r="AB34" s="36">
        <f>VLOOKUP($A34,[24]HISTOAVRIL24!$A$6:$AU$38,43,0)</f>
        <v>0</v>
      </c>
      <c r="AC34" s="36">
        <f>VLOOKUP($A34,[24]HISTOAVRIL24!$A$6:$AU$38,44,0)</f>
        <v>0</v>
      </c>
      <c r="AD34" s="36">
        <f>VLOOKUP($A34,[24]HISTOAVRIL24!$A$6:$AU$38,47,0)</f>
        <v>0</v>
      </c>
      <c r="AE34" s="36">
        <f>VLOOKUP(A34,[24]HISTOAVRIL24!$A$6:$BB$38,54,0)</f>
        <v>0</v>
      </c>
      <c r="AF34" s="36">
        <f>VLOOKUP($A34,[24]HISTOAVRIL24!$A$6:$CB$38,60,0)</f>
        <v>0</v>
      </c>
      <c r="AG34" s="36">
        <f>VLOOKUP($A34,[24]HISTOAVRIL24!$A$6:$CB$38,61,0)</f>
        <v>0</v>
      </c>
      <c r="AH34" s="36">
        <f>VLOOKUP($A34,[24]HISTOAVRIL24!$A$6:$CB$38,62,0)</f>
        <v>0</v>
      </c>
      <c r="AI34" s="36">
        <f>VLOOKUP($A34,[24]HISTOAVRIL24!$A$6:$CB$38,63,0)</f>
        <v>0</v>
      </c>
      <c r="AJ34" s="36">
        <f>VLOOKUP($A34,[24]HISTOAVRIL24!$A$6:$CB$38,64,0)</f>
        <v>0</v>
      </c>
      <c r="AK34" s="36">
        <f>VLOOKUP($A34,[24]HISTOAVRIL24!$A$6:$CB$38,65,0)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VLOOKUP($A35,[24]HISTOAVRIL24!$A$6:$AQ$42,22,0)</f>
        <v>0</v>
      </c>
      <c r="K35" s="36">
        <f>VLOOKUP($A35,[24]HISTOAVRIL24!$A$6:$AU$38,45,0)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VLOOKUP($A35,[24]HISTOAVRIL24!$A$6:$AU$38,7,0)</f>
        <v>3000</v>
      </c>
      <c r="Q35" s="36">
        <f>VLOOKUP($A35,[24]HISTOAVRIL24!$A$6:$AU$38,23,0)</f>
        <v>0</v>
      </c>
      <c r="R35" s="36">
        <f>VLOOKUP($A35,[24]HISTOAVRIL24!$A$6:$AU$38,46,0)</f>
        <v>0</v>
      </c>
      <c r="S35" s="36">
        <f>VLOOKUP($A35,[24]HISTOAVRIL24!$A$6:$AU$38,26,0)</f>
        <v>0</v>
      </c>
      <c r="T35" s="36">
        <f>VLOOKUP($A35,[24]HISTOAVRIL24!$A$6:$BG$38,58,0)</f>
        <v>0</v>
      </c>
      <c r="U35" s="36">
        <f>VLOOKUP($A35,[24]HISTOAVRIL24!$A$6:$AU$38,28,0)</f>
        <v>0</v>
      </c>
      <c r="V35" s="36">
        <f>VLOOKUP($A35,[24]HISTOAVRIL24!$A$6:$AU$38,19,0)</f>
        <v>0</v>
      </c>
      <c r="W35" s="36">
        <f>VLOOKUP($A35,[24]HISTOAVRIL24!$A$6:$AU$38,20,0)</f>
        <v>0</v>
      </c>
      <c r="X35" s="36">
        <f>VLOOKUP($A35,[24]HISTOAVRIL24!$A$6:$AU$38,27,0)</f>
        <v>0</v>
      </c>
      <c r="Y35" s="36">
        <f>VLOOKUP($A35,[24]HISTOAVRIL24!$A$6:$BM$38,33,0)</f>
        <v>0</v>
      </c>
      <c r="Z35" s="36">
        <f>VLOOKUP($A35,[24]HISTOAVRIL24!$A$6:$BM$38,65,0)</f>
        <v>0</v>
      </c>
      <c r="AA35" s="36"/>
      <c r="AB35" s="36">
        <f>VLOOKUP($A35,[24]HISTOAVRIL24!$A$6:$AU$38,43,0)</f>
        <v>0</v>
      </c>
      <c r="AC35" s="36">
        <f>VLOOKUP($A35,[24]HISTOAVRIL24!$A$6:$AU$38,44,0)</f>
        <v>0</v>
      </c>
      <c r="AD35" s="36">
        <f>VLOOKUP($A35,[24]HISTOAVRIL24!$A$6:$AU$38,47,0)</f>
        <v>0</v>
      </c>
      <c r="AE35" s="36">
        <f>VLOOKUP(A35,[24]HISTOAVRIL24!$A$6:$BB$38,54,0)</f>
        <v>0</v>
      </c>
      <c r="AF35" s="36">
        <f>VLOOKUP($A35,[24]HISTOAVRIL24!$A$6:$CB$38,60,0)</f>
        <v>0</v>
      </c>
      <c r="AG35" s="36">
        <f>VLOOKUP($A35,[24]HISTOAVRIL24!$A$6:$CB$38,61,0)</f>
        <v>0</v>
      </c>
      <c r="AH35" s="36">
        <f>VLOOKUP($A35,[24]HISTOAVRIL24!$A$6:$CB$38,62,0)</f>
        <v>0</v>
      </c>
      <c r="AI35" s="36">
        <f>VLOOKUP($A35,[24]HISTOAVRIL24!$A$6:$CB$38,63,0)</f>
        <v>0</v>
      </c>
      <c r="AJ35" s="36">
        <f>VLOOKUP($A35,[24]HISTOAVRIL24!$A$6:$CB$38,64,0)</f>
        <v>0</v>
      </c>
      <c r="AK35" s="36">
        <f>VLOOKUP($A35,[24]HISTOAVRIL24!$A$6:$CB$38,65,0)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MVTMARS24!I36-E36+L36</f>
        <v>860641.58514659188</v>
      </c>
      <c r="G36" s="5">
        <f>IF(MVTMARS24!I36+L36&gt;700000,(MVTMARS24!I36-E36+L36),0)</f>
        <v>860641.58514659188</v>
      </c>
      <c r="H36" s="36">
        <f t="shared" si="0"/>
        <v>0</v>
      </c>
      <c r="I36" s="6">
        <f t="shared" si="2"/>
        <v>860641.58514659188</v>
      </c>
      <c r="J36" s="36">
        <f>VLOOKUP($A36,[24]HISTOAVRIL24!$A$6:$AQ$42,22,0)</f>
        <v>0</v>
      </c>
      <c r="K36" s="36">
        <f>VLOOKUP($A36,[24]HISTOAVRIL24!$A$6:$AU$38,45,0)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VLOOKUP($A36,[24]HISTOAVRIL24!$A$6:$AU$38,7,0)</f>
        <v>0</v>
      </c>
      <c r="Q36" s="36">
        <f>VLOOKUP($A36,[24]HISTOAVRIL24!$A$6:$AU$38,23,0)</f>
        <v>0</v>
      </c>
      <c r="R36" s="36">
        <f>VLOOKUP($A36,[24]HISTOAVRIL24!$A$6:$AU$38,46,0)</f>
        <v>0</v>
      </c>
      <c r="S36" s="36">
        <f>VLOOKUP($A36,[24]HISTOAVRIL24!$A$6:$AU$38,26,0)</f>
        <v>0</v>
      </c>
      <c r="T36" s="36">
        <f>VLOOKUP($A36,[24]HISTOAVRIL24!$A$6:$BG$38,58,0)</f>
        <v>0</v>
      </c>
      <c r="U36" s="36">
        <f>VLOOKUP($A36,[24]HISTOAVRIL24!$A$6:$AU$38,28,0)</f>
        <v>0</v>
      </c>
      <c r="V36" s="36">
        <f>VLOOKUP($A36,[24]HISTOAVRIL24!$A$6:$AU$38,19,0)</f>
        <v>0</v>
      </c>
      <c r="W36" s="36">
        <f>VLOOKUP($A36,[24]HISTOAVRIL24!$A$6:$AU$38,20,0)</f>
        <v>0</v>
      </c>
      <c r="X36" s="36">
        <f>VLOOKUP($A36,[24]HISTOAVRIL24!$A$6:$AU$38,27,0)</f>
        <v>0</v>
      </c>
      <c r="Y36" s="36">
        <f>VLOOKUP($A36,[24]HISTOAVRIL24!$A$6:$BM$38,33,0)</f>
        <v>0</v>
      </c>
      <c r="Z36" s="36">
        <f>VLOOKUP($A36,[24]HISTOAVRIL24!$A$6:$BM$38,65,0)</f>
        <v>0</v>
      </c>
      <c r="AA36" s="36"/>
      <c r="AB36" s="36">
        <f>VLOOKUP($A36,[24]HISTOAVRIL24!$A$6:$AU$38,43,0)</f>
        <v>0</v>
      </c>
      <c r="AC36" s="36">
        <f>VLOOKUP($A36,[24]HISTOAVRIL24!$A$6:$AU$38,44,0)</f>
        <v>0</v>
      </c>
      <c r="AD36" s="36">
        <f>VLOOKUP($A36,[24]HISTOAVRIL24!$A$6:$AU$38,47,0)</f>
        <v>0</v>
      </c>
      <c r="AE36" s="36">
        <f>VLOOKUP(A36,[24]HISTOAVRIL24!$A$6:$BB$38,54,0)</f>
        <v>0</v>
      </c>
      <c r="AF36" s="36">
        <f>VLOOKUP($A36,[24]HISTOAVRIL24!$A$6:$CB$38,60,0)</f>
        <v>0</v>
      </c>
      <c r="AG36" s="36">
        <f>VLOOKUP($A36,[24]HISTOAVRIL24!$A$6:$CB$38,61,0)</f>
        <v>0</v>
      </c>
      <c r="AH36" s="36">
        <f>VLOOKUP($A36,[24]HISTOAVRIL24!$A$6:$CB$38,62,0)</f>
        <v>0</v>
      </c>
      <c r="AI36" s="36">
        <f>VLOOKUP($A36,[24]HISTOAVRIL24!$A$6:$CB$38,63,0)</f>
        <v>0</v>
      </c>
      <c r="AJ36" s="36">
        <f>VLOOKUP($A36,[24]HISTOAVRIL24!$A$6:$CB$38,64,0)</f>
        <v>0</v>
      </c>
      <c r="AK36" s="36">
        <f>VLOOKUP($A36,[24]HISTOAVRIL24!$A$6:$CB$38,65,0)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MVTMARS24!I37-E37+L37</f>
        <v>1892063.2967345803</v>
      </c>
      <c r="G37" s="5">
        <f>IF(MVTMARS24!I37+L37&gt;700000,(MVTMARS24!I37-E37+L37),0)</f>
        <v>1892063.2967345803</v>
      </c>
      <c r="H37" s="36">
        <f t="shared" si="0"/>
        <v>0</v>
      </c>
      <c r="I37" s="6">
        <f t="shared" si="2"/>
        <v>1892063.2967345803</v>
      </c>
      <c r="J37" s="36">
        <f>VLOOKUP($A37,[24]HISTOAVRIL24!$A$6:$AQ$42,22,0)</f>
        <v>0</v>
      </c>
      <c r="K37" s="36">
        <f>VLOOKUP($A37,[24]HISTOAVRIL24!$A$6:$AU$38,45,0)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VLOOKUP($A37,[24]HISTOAVRIL24!$A$6:$AU$38,7,0)</f>
        <v>3000</v>
      </c>
      <c r="Q37" s="36">
        <f>VLOOKUP($A37,[24]HISTOAVRIL24!$A$6:$AU$38,23,0)</f>
        <v>0</v>
      </c>
      <c r="R37" s="36">
        <f>VLOOKUP($A37,[24]HISTOAVRIL24!$A$6:$AU$38,46,0)</f>
        <v>0</v>
      </c>
      <c r="S37" s="36">
        <f>VLOOKUP($A37,[24]HISTOAVRIL24!$A$6:$AU$38,26,0)</f>
        <v>0</v>
      </c>
      <c r="T37" s="36">
        <f>VLOOKUP($A37,[24]HISTOAVRIL24!$A$6:$BG$38,58,0)</f>
        <v>0</v>
      </c>
      <c r="U37" s="36">
        <f>VLOOKUP($A37,[24]HISTOAVRIL24!$A$6:$AU$38,28,0)</f>
        <v>0</v>
      </c>
      <c r="V37" s="36">
        <f>VLOOKUP($A37,[24]HISTOAVRIL24!$A$6:$AU$38,19,0)</f>
        <v>0</v>
      </c>
      <c r="W37" s="36">
        <f>VLOOKUP($A37,[24]HISTOAVRIL24!$A$6:$AU$38,20,0)</f>
        <v>0</v>
      </c>
      <c r="X37" s="36">
        <f>VLOOKUP($A37,[24]HISTOAVRIL24!$A$6:$AU$38,27,0)</f>
        <v>0</v>
      </c>
      <c r="Y37" s="36">
        <f>VLOOKUP($A37,[24]HISTOAVRIL24!$A$6:$BM$38,33,0)</f>
        <v>0</v>
      </c>
      <c r="Z37" s="36">
        <f>VLOOKUP($A37,[24]HISTOAVRIL24!$A$6:$BM$38,65,0)</f>
        <v>0</v>
      </c>
      <c r="AA37" s="36"/>
      <c r="AB37" s="36">
        <f>VLOOKUP($A37,[24]HISTOAVRIL24!$A$6:$AU$38,43,0)</f>
        <v>0</v>
      </c>
      <c r="AC37" s="36">
        <f>VLOOKUP($A37,[24]HISTOAVRIL24!$A$6:$AU$38,44,0)</f>
        <v>0</v>
      </c>
      <c r="AD37" s="36">
        <f>VLOOKUP($A37,[24]HISTOAVRIL24!$A$6:$AU$38,47,0)</f>
        <v>0</v>
      </c>
      <c r="AE37" s="36">
        <f>VLOOKUP(A37,[24]HISTOAVRIL24!$A$6:$BB$38,54,0)</f>
        <v>0</v>
      </c>
      <c r="AF37" s="36">
        <f>VLOOKUP($A37,[24]HISTOAVRIL24!$A$6:$CB$38,60,0)</f>
        <v>0</v>
      </c>
      <c r="AG37" s="36">
        <f>VLOOKUP($A37,[24]HISTOAVRIL24!$A$6:$CB$38,61,0)</f>
        <v>0</v>
      </c>
      <c r="AH37" s="36">
        <f>VLOOKUP($A37,[24]HISTOAVRIL24!$A$6:$CB$38,62,0)</f>
        <v>0</v>
      </c>
      <c r="AI37" s="36">
        <f>VLOOKUP($A37,[24]HISTOAVRIL24!$A$6:$CB$38,63,0)</f>
        <v>0</v>
      </c>
      <c r="AJ37" s="36">
        <f>VLOOKUP($A37,[24]HISTOAVRIL24!$A$6:$CB$38,64,0)</f>
        <v>0</v>
      </c>
      <c r="AK37" s="36">
        <f>VLOOKUP($A37,[24]HISTOAVRIL24!$A$6:$CB$38,65,0)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VLOOKUP($A38,[24]HISTOAVRIL24!$A$6:$AQ$42,22,0)</f>
        <v>0</v>
      </c>
      <c r="K38" s="36">
        <f>VLOOKUP($A38,[24]HISTOAVRIL24!$A$6:$AU$38,45,0)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VLOOKUP($A38,[24]HISTOAVRIL24!$A$6:$AU$38,7,0)</f>
        <v>0</v>
      </c>
      <c r="Q38" s="36">
        <f>VLOOKUP($A38,[24]HISTOAVRIL24!$A$6:$AU$38,23,0)</f>
        <v>0</v>
      </c>
      <c r="R38" s="36">
        <f>VLOOKUP($A38,[24]HISTOAVRIL24!$A$6:$AU$38,46,0)</f>
        <v>0</v>
      </c>
      <c r="S38" s="36">
        <f>VLOOKUP($A38,[24]HISTOAVRIL24!$A$6:$AU$38,26,0)</f>
        <v>0</v>
      </c>
      <c r="T38" s="36">
        <f>VLOOKUP($A38,[24]HISTOAVRIL24!$A$6:$BG$38,58,0)</f>
        <v>0</v>
      </c>
      <c r="U38" s="36">
        <f>VLOOKUP($A38,[24]HISTOAVRIL24!$A$6:$AU$38,28,0)</f>
        <v>0</v>
      </c>
      <c r="V38" s="36">
        <f>VLOOKUP($A38,[24]HISTOAVRIL24!$A$6:$AU$38,19,0)</f>
        <v>0</v>
      </c>
      <c r="W38" s="36">
        <f>VLOOKUP($A38,[24]HISTOAVRIL24!$A$6:$AU$38,20,0)</f>
        <v>0</v>
      </c>
      <c r="X38" s="36">
        <f>VLOOKUP($A38,[24]HISTOAVRIL24!$A$6:$AU$38,27,0)</f>
        <v>0</v>
      </c>
      <c r="Y38" s="36">
        <f>VLOOKUP($A38,[24]HISTOAVRIL24!$A$6:$BM$38,33,0)</f>
        <v>0</v>
      </c>
      <c r="Z38" s="36">
        <f>VLOOKUP($A38,[24]HISTOAVRIL24!$A$6:$BM$38,65,0)</f>
        <v>0</v>
      </c>
      <c r="AA38" s="36"/>
      <c r="AB38" s="36">
        <f>VLOOKUP($A38,[24]HISTOAVRIL24!$A$6:$AU$38,43,0)</f>
        <v>0</v>
      </c>
      <c r="AC38" s="36">
        <f>VLOOKUP($A38,[24]HISTOAVRIL24!$A$6:$AU$38,44,0)</f>
        <v>0</v>
      </c>
      <c r="AD38" s="36">
        <f>VLOOKUP($A38,[24]HISTOAVRIL24!$A$6:$AU$38,47,0)</f>
        <v>0</v>
      </c>
      <c r="AE38" s="36">
        <f>VLOOKUP(A38,[24]HISTOAVRIL24!$A$6:$BB$38,54,0)</f>
        <v>0</v>
      </c>
      <c r="AF38" s="36">
        <f>VLOOKUP($A38,[24]HISTOAVRIL24!$A$6:$CB$38,60,0)</f>
        <v>0</v>
      </c>
      <c r="AG38" s="36">
        <f>VLOOKUP($A38,[24]HISTOAVRIL24!$A$6:$CB$38,61,0)</f>
        <v>0</v>
      </c>
      <c r="AH38" s="36">
        <f>VLOOKUP($A38,[24]HISTOAVRIL24!$A$6:$CB$38,62,0)</f>
        <v>0</v>
      </c>
      <c r="AI38" s="36">
        <f>VLOOKUP($A38,[24]HISTOAVRIL24!$A$6:$CB$38,63,0)</f>
        <v>0</v>
      </c>
      <c r="AJ38" s="36">
        <f>VLOOKUP($A38,[24]HISTOAVRIL24!$A$6:$CB$38,64,0)</f>
        <v>0</v>
      </c>
      <c r="AK38" s="36">
        <f>VLOOKUP($A38,[24]HISTOAVRIL24!$A$6:$CB$38,65,0)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MVTMARS24!I39-E39+L39</f>
        <v>2056763.7271882389</v>
      </c>
      <c r="G39" s="5">
        <f>IF(MVTMARS24!I39+L39&gt;700000,(MVTMARS24!I39-E39+L39),0)</f>
        <v>2056763.7271882389</v>
      </c>
      <c r="H39" s="36">
        <f t="shared" si="0"/>
        <v>0</v>
      </c>
      <c r="I39" s="6">
        <f t="shared" si="2"/>
        <v>2056763.7271882389</v>
      </c>
      <c r="J39" s="36">
        <f>VLOOKUP($A39,[24]HISTOAVRIL24!$A$6:$AQ$42,22,0)</f>
        <v>0</v>
      </c>
      <c r="K39" s="36">
        <f>VLOOKUP($A39,[24]HISTOAVRIL24!$A$6:$AU$38,45,0)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VLOOKUP($A39,[24]HISTOAVRIL24!$A$6:$AU$38,7,0)</f>
        <v>0</v>
      </c>
      <c r="Q39" s="36">
        <f>VLOOKUP($A39,[24]HISTOAVRIL24!$A$6:$AU$38,23,0)</f>
        <v>0</v>
      </c>
      <c r="R39" s="36">
        <f>VLOOKUP($A39,[24]HISTOAVRIL24!$A$6:$AU$38,46,0)</f>
        <v>0</v>
      </c>
      <c r="S39" s="36">
        <f>VLOOKUP($A39,[24]HISTOAVRIL24!$A$6:$AU$38,26,0)</f>
        <v>0</v>
      </c>
      <c r="T39" s="36">
        <f>VLOOKUP($A39,[24]HISTOAVRIL24!$A$6:$BG$38,58,0)</f>
        <v>0</v>
      </c>
      <c r="U39" s="36">
        <f>VLOOKUP($A39,[24]HISTOAVRIL24!$A$6:$AU$38,28,0)</f>
        <v>0</v>
      </c>
      <c r="V39" s="36">
        <f>VLOOKUP($A39,[24]HISTOAVRIL24!$A$6:$AU$38,19,0)</f>
        <v>0</v>
      </c>
      <c r="W39" s="36">
        <f>VLOOKUP($A39,[24]HISTOAVRIL24!$A$6:$AU$38,20,0)</f>
        <v>0</v>
      </c>
      <c r="X39" s="36">
        <f>VLOOKUP($A39,[24]HISTOAVRIL24!$A$6:$AU$38,27,0)</f>
        <v>0</v>
      </c>
      <c r="Y39" s="36">
        <f>VLOOKUP($A39,[24]HISTOAVRIL24!$A$6:$BM$38,33,0)</f>
        <v>0</v>
      </c>
      <c r="Z39" s="36">
        <f>VLOOKUP($A39,[24]HISTOAVRIL24!$A$6:$BM$38,65,0)</f>
        <v>0</v>
      </c>
      <c r="AA39" s="36"/>
      <c r="AB39" s="36">
        <f>VLOOKUP($A39,[24]HISTOAVRIL24!$A$6:$AU$38,43,0)</f>
        <v>0</v>
      </c>
      <c r="AC39" s="36">
        <f>VLOOKUP($A39,[24]HISTOAVRIL24!$A$6:$AU$38,44,0)</f>
        <v>0</v>
      </c>
      <c r="AD39" s="36">
        <f>VLOOKUP($A39,[24]HISTOAVRIL24!$A$6:$AU$38,47,0)</f>
        <v>0</v>
      </c>
      <c r="AE39" s="36">
        <f>VLOOKUP(A39,[24]HISTOAVRIL24!$A$6:$BB$38,54,0)</f>
        <v>0</v>
      </c>
      <c r="AF39" s="36">
        <f>VLOOKUP($A39,[24]HISTOAVRIL24!$A$6:$CB$38,60,0)</f>
        <v>0</v>
      </c>
      <c r="AG39" s="36">
        <f>VLOOKUP($A39,[24]HISTOAVRIL24!$A$6:$CB$38,61,0)</f>
        <v>0</v>
      </c>
      <c r="AH39" s="36">
        <f>VLOOKUP($A39,[24]HISTOAVRIL24!$A$6:$CB$38,62,0)</f>
        <v>0</v>
      </c>
      <c r="AI39" s="36">
        <f>VLOOKUP($A39,[24]HISTOAVRIL24!$A$6:$CB$38,63,0)</f>
        <v>0</v>
      </c>
      <c r="AJ39" s="36">
        <f>VLOOKUP($A39,[24]HISTOAVRIL24!$A$6:$CB$38,64,0)</f>
        <v>0</v>
      </c>
      <c r="AK39" s="36">
        <f>VLOOKUP($A39,[24]HISTOAVRIL24!$A$6:$CB$38,65,0)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29312656.07312192</v>
      </c>
      <c r="G41" s="9">
        <f t="shared" si="10"/>
        <v>27827439.07312192</v>
      </c>
      <c r="H41" s="36">
        <f t="shared" si="10"/>
        <v>0</v>
      </c>
      <c r="I41" s="9">
        <f t="shared" si="10"/>
        <v>29312656.07312192</v>
      </c>
      <c r="J41" s="9">
        <f t="shared" si="10"/>
        <v>0</v>
      </c>
      <c r="K41" s="9">
        <f t="shared" si="10"/>
        <v>970500</v>
      </c>
      <c r="L41" s="9">
        <f t="shared" si="10"/>
        <v>778500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21000</v>
      </c>
      <c r="AG41" s="9">
        <f t="shared" si="10"/>
        <v>100000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9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44"/>
  <sheetViews>
    <sheetView workbookViewId="0">
      <pane xSplit="2" ySplit="5" topLeftCell="G39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77">
        <v>45429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VLOOKUP($A6,[24]HISTOMAI24!$A$6:$BA$38,48,0)</f>
        <v>0</v>
      </c>
      <c r="F6" s="36">
        <f>MVTAVRIL24!I6-E6+L6</f>
        <v>945003.79869763087</v>
      </c>
      <c r="G6" s="5">
        <f>IF(MVTAVRIL24!I6+L6&gt;700000,(MVTAVRIL24!I6-E6+L6),0)</f>
        <v>945003.79869763087</v>
      </c>
      <c r="H6" s="36">
        <f t="shared" ref="H6:H39" si="0">$T$41/$G$41*G6</f>
        <v>2788.5580942068755</v>
      </c>
      <c r="I6" s="6">
        <f>F6+H6</f>
        <v>947792.35679183772</v>
      </c>
      <c r="J6" s="36">
        <f>VLOOKUP($A6,[24]HISTOMAI24!$A$6:$AQ$42,22,0)</f>
        <v>0</v>
      </c>
      <c r="K6" s="36">
        <f>VLOOKUP($A6,[24]HISTOMAI24!$A$6:$AU$38,45,0)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VLOOKUP($A6,[24]HISTOMAI24!$A$6:$AU$38,7,0)</f>
        <v>0</v>
      </c>
      <c r="Q6" s="36">
        <f>VLOOKUP($A6,[24]HISTOMAI24!$A$6:$AU$38,23,0)</f>
        <v>0</v>
      </c>
      <c r="R6" s="36">
        <f>VLOOKUP($A6,[24]HISTOMAI24!$A$6:$AU$38,46,0)</f>
        <v>0</v>
      </c>
      <c r="S6" s="36">
        <f>VLOOKUP($A6,[24]HISTOMAI24!$A$6:$AU$38,26,0)</f>
        <v>0</v>
      </c>
      <c r="T6" s="36">
        <f>VLOOKUP($A6,[24]HISTOMAI24!$A$6:$BG$38,58,0)</f>
        <v>0</v>
      </c>
      <c r="U6" s="36">
        <f>VLOOKUP($A6,[24]HISTOMAI24!$A$6:$AU$38,28,0)</f>
        <v>0</v>
      </c>
      <c r="V6" s="36">
        <f>VLOOKUP($A6,[24]HISTOMAI24!$A$6:$AU$38,19,0)</f>
        <v>0</v>
      </c>
      <c r="W6" s="36">
        <f>VLOOKUP($A6,[24]HISTOMAI24!$A$6:$AU$38,20,0)</f>
        <v>0</v>
      </c>
      <c r="X6" s="36">
        <f>VLOOKUP($A6,[24]HISTOMAI24!$A$6:$AU$38,27,0)</f>
        <v>0</v>
      </c>
      <c r="Y6" s="36">
        <f>VLOOKUP($A6,[24]HISTOMAI24!$A$6:$BM$38,33,0)</f>
        <v>0</v>
      </c>
      <c r="Z6" s="36">
        <f>VLOOKUP($A6,[24]HISTOMAI24!$A$6:$BM$38,65,0)</f>
        <v>0</v>
      </c>
      <c r="AA6" s="36"/>
      <c r="AB6" s="36">
        <f>VLOOKUP($A6,[24]HISTOMAI24!$A$6:$AU$38,43,0)</f>
        <v>0</v>
      </c>
      <c r="AC6" s="36">
        <f>VLOOKUP($A6,[24]HISTOMAI24!$A$6:$AU$38,44,0)</f>
        <v>0</v>
      </c>
      <c r="AD6" s="36">
        <f>VLOOKUP($A6,[24]HISTOMAI24!$A$6:$AU$38,47,0)</f>
        <v>0</v>
      </c>
      <c r="AE6" s="36">
        <f>VLOOKUP(A6,[24]HISTOMAI24!$A$6:$BB$38,54,0)</f>
        <v>0</v>
      </c>
      <c r="AF6" s="36">
        <f>VLOOKUP($A6,[24]HISTOMAI24!$A$6:$CB$38,60,0)</f>
        <v>19000</v>
      </c>
      <c r="AG6" s="36">
        <f>VLOOKUP($A6,[24]HISTOMAI24!$A$6:$CB$38,61,0)</f>
        <v>0</v>
      </c>
      <c r="AH6" s="36">
        <f>VLOOKUP($A6,[24]HISTOMAI24!$A$6:$CB$38,62,0)</f>
        <v>0</v>
      </c>
      <c r="AI6" s="36">
        <f>VLOOKUP($A6,[24]HISTOMAI24!$A$6:$CB$38,63,0)</f>
        <v>100000</v>
      </c>
      <c r="AJ6" s="36">
        <f>VLOOKUP($A6,[24]HISTOMAI24!$A$6:$CB$38,64,0)</f>
        <v>0</v>
      </c>
      <c r="AK6" s="36">
        <f>VLOOKUP($A6,[24]HISTOMAI24!$A$6:$CB$38,65,0)</f>
        <v>0</v>
      </c>
      <c r="AL6" s="36">
        <f>VLOOKUP($A6,[24]HISTOMAI24!$A$6:$CB$38,66,0)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VLOOKUP($A7,[24]HISTOMAI24!$A$6:$BA$38,48,0)</f>
        <v>0</v>
      </c>
      <c r="F7" s="36">
        <f>MVTAVRIL24!I7-E7+L7</f>
        <v>795773.28476822353</v>
      </c>
      <c r="G7" s="5">
        <f>IF(MVTAVRIL24!I7+L7&gt;700000,(MVTAVRIL24!I7-E7+L7),0)</f>
        <v>795773.28476822353</v>
      </c>
      <c r="H7" s="36">
        <f t="shared" si="0"/>
        <v>2348.2022373372984</v>
      </c>
      <c r="I7" s="6">
        <f t="shared" ref="I7:I39" si="2">F7+H7</f>
        <v>798121.48700556078</v>
      </c>
      <c r="J7" s="36">
        <f>VLOOKUP($A7,[24]HISTOMAI24!$A$6:$AQ$42,22,0)</f>
        <v>0</v>
      </c>
      <c r="K7" s="36">
        <f>VLOOKUP($A7,[24]HISTOMAI24!$A$6:$AU$38,45,0)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VLOOKUP($A7,[24]HISTOMAI24!$A$6:$AU$38,7,0)</f>
        <v>0</v>
      </c>
      <c r="Q7" s="36">
        <f>VLOOKUP($A7,[24]HISTOMAI24!$A$6:$AU$38,23,0)</f>
        <v>0</v>
      </c>
      <c r="R7" s="36">
        <f>VLOOKUP($A7,[24]HISTOMAI24!$A$6:$AU$38,46,0)</f>
        <v>0</v>
      </c>
      <c r="S7" s="36">
        <f>VLOOKUP($A7,[24]HISTOMAI24!$A$6:$AU$38,26,0)</f>
        <v>0</v>
      </c>
      <c r="T7" s="36">
        <f>VLOOKUP($A7,[24]HISTOMAI24!$A$6:$BG$38,58,0)</f>
        <v>0</v>
      </c>
      <c r="U7" s="36">
        <f>VLOOKUP($A7,[24]HISTOMAI24!$A$6:$AU$38,28,0)</f>
        <v>0</v>
      </c>
      <c r="V7" s="36">
        <f>VLOOKUP($A7,[24]HISTOMAI24!$A$6:$AU$38,19,0)</f>
        <v>0</v>
      </c>
      <c r="W7" s="36">
        <f>VLOOKUP($A7,[24]HISTOMAI24!$A$6:$AU$38,20,0)</f>
        <v>0</v>
      </c>
      <c r="X7" s="36">
        <f>VLOOKUP($A7,[24]HISTOMAI24!$A$6:$AU$38,27,0)</f>
        <v>0</v>
      </c>
      <c r="Y7" s="36">
        <f>VLOOKUP($A7,[24]HISTOMAI24!$A$6:$BM$38,33,0)</f>
        <v>0</v>
      </c>
      <c r="Z7" s="36">
        <f>VLOOKUP($A7,[24]HISTOMAI24!$A$6:$BM$38,65,0)</f>
        <v>0</v>
      </c>
      <c r="AA7" s="36"/>
      <c r="AB7" s="36">
        <f>VLOOKUP($A7,[24]HISTOMAI24!$A$6:$AU$38,43,0)</f>
        <v>0</v>
      </c>
      <c r="AC7" s="36">
        <f>VLOOKUP($A7,[24]HISTOMAI24!$A$6:$AU$38,44,0)</f>
        <v>0</v>
      </c>
      <c r="AD7" s="36">
        <f>VLOOKUP($A7,[24]HISTOMAI24!$A$6:$AU$38,47,0)</f>
        <v>0</v>
      </c>
      <c r="AE7" s="36">
        <f>VLOOKUP(A7,[24]HISTOMAI24!$A$6:$BB$38,54,0)</f>
        <v>0</v>
      </c>
      <c r="AF7" s="36">
        <f>VLOOKUP($A7,[24]HISTOMAI24!$A$6:$CB$38,60,0)</f>
        <v>0</v>
      </c>
      <c r="AG7" s="36">
        <f>VLOOKUP($A7,[24]HISTOMAI24!$A$6:$CB$38,61,0)</f>
        <v>0</v>
      </c>
      <c r="AH7" s="36">
        <f>VLOOKUP($A7,[24]HISTOMAI24!$A$6:$CB$38,62,0)</f>
        <v>0</v>
      </c>
      <c r="AI7" s="36">
        <f>VLOOKUP($A7,[24]HISTOMAI24!$A$6:$CB$38,63,0)</f>
        <v>0</v>
      </c>
      <c r="AJ7" s="36">
        <f>VLOOKUP($A7,[24]HISTOMAI24!$A$6:$CB$38,64,0)</f>
        <v>0</v>
      </c>
      <c r="AK7" s="36">
        <f>VLOOKUP($A7,[24]HISTOMAI24!$A$6:$CB$38,65,0)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VLOOKUP($A8,[24]HISTOMAI24!$A$6:$BA$38,48,0)</f>
        <v>0</v>
      </c>
      <c r="F8" s="36">
        <f>MVTAVRIL24!I8-E8+L8</f>
        <v>838572.94063192862</v>
      </c>
      <c r="G8" s="5">
        <f>IF(MVTAVRIL24!I8+L8&gt;700000,(MVTAVRIL24!I8-E8+L8),0)</f>
        <v>838572.94063192862</v>
      </c>
      <c r="H8" s="36">
        <f t="shared" si="0"/>
        <v>2474.497313560787</v>
      </c>
      <c r="I8" s="6">
        <f t="shared" si="2"/>
        <v>841047.43794548942</v>
      </c>
      <c r="J8" s="36">
        <f>VLOOKUP($A8,[24]HISTOMAI24!$A$6:$AQ$42,22,0)</f>
        <v>0</v>
      </c>
      <c r="K8" s="36">
        <f>VLOOKUP($A8,[24]HISTOMAI24!$A$6:$AU$38,45,0)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VLOOKUP($A8,[24]HISTOMAI24!$A$6:$AU$38,7,0)</f>
        <v>0</v>
      </c>
      <c r="Q8" s="36">
        <f>VLOOKUP($A8,[24]HISTOMAI24!$A$6:$AU$38,23,0)</f>
        <v>0</v>
      </c>
      <c r="R8" s="36">
        <f>VLOOKUP($A8,[24]HISTOMAI24!$A$6:$AU$38,46,0)</f>
        <v>0</v>
      </c>
      <c r="S8" s="36">
        <f>VLOOKUP($A8,[24]HISTOMAI24!$A$6:$AU$38,26,0)</f>
        <v>0</v>
      </c>
      <c r="T8" s="36">
        <f>VLOOKUP($A8,[24]HISTOMAI24!$A$6:$BG$38,58,0)</f>
        <v>0</v>
      </c>
      <c r="U8" s="36">
        <f>VLOOKUP($A8,[24]HISTOMAI24!$A$6:$AU$38,28,0)</f>
        <v>0</v>
      </c>
      <c r="V8" s="36">
        <f>VLOOKUP($A8,[24]HISTOMAI24!$A$6:$AU$38,19,0)</f>
        <v>0</v>
      </c>
      <c r="W8" s="36">
        <f>VLOOKUP($A8,[24]HISTOMAI24!$A$6:$AU$38,20,0)</f>
        <v>0</v>
      </c>
      <c r="X8" s="36">
        <f>VLOOKUP($A8,[24]HISTOMAI24!$A$6:$AU$38,27,0)</f>
        <v>0</v>
      </c>
      <c r="Y8" s="36">
        <f>VLOOKUP($A8,[24]HISTOMAI24!$A$6:$BM$38,33,0)</f>
        <v>0</v>
      </c>
      <c r="Z8" s="36">
        <f>VLOOKUP($A8,[24]HISTOMAI24!$A$6:$BM$38,65,0)</f>
        <v>0</v>
      </c>
      <c r="AA8" s="36"/>
      <c r="AB8" s="36">
        <f>VLOOKUP($A8,[24]HISTOMAI24!$A$6:$AU$38,43,0)</f>
        <v>0</v>
      </c>
      <c r="AC8" s="36">
        <f>VLOOKUP($A8,[24]HISTOMAI24!$A$6:$AU$38,44,0)</f>
        <v>0</v>
      </c>
      <c r="AD8" s="36">
        <f>VLOOKUP($A8,[24]HISTOMAI24!$A$6:$AU$38,47,0)</f>
        <v>0</v>
      </c>
      <c r="AE8" s="36">
        <f>VLOOKUP(A8,[24]HISTOMAI24!$A$6:$BB$38,54,0)</f>
        <v>0</v>
      </c>
      <c r="AF8" s="36">
        <f>VLOOKUP($A8,[24]HISTOMAI24!$A$6:$CB$38,60,0)</f>
        <v>0</v>
      </c>
      <c r="AG8" s="36">
        <f>VLOOKUP($A8,[24]HISTOMAI24!$A$6:$CB$38,61,0)</f>
        <v>0</v>
      </c>
      <c r="AH8" s="36">
        <f>VLOOKUP($A8,[24]HISTOMAI24!$A$6:$CB$38,62,0)</f>
        <v>0</v>
      </c>
      <c r="AI8" s="36">
        <f>VLOOKUP($A8,[24]HISTOMAI24!$A$6:$CB$38,63,0)</f>
        <v>0</v>
      </c>
      <c r="AJ8" s="36">
        <f>VLOOKUP($A8,[24]HISTOMAI24!$A$6:$CB$38,64,0)</f>
        <v>0</v>
      </c>
      <c r="AK8" s="36">
        <f>VLOOKUP($A8,[24]HISTOMAI24!$A$6:$CB$38,65,0)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VLOOKUP($A9,[24]HISTOMAI24!$A$6:$BA$38,48,0)</f>
        <v>0</v>
      </c>
      <c r="F9" s="36">
        <f>MVTAVRIL24!I9-E9+L9</f>
        <v>895928.46184166172</v>
      </c>
      <c r="G9" s="5">
        <f>IF(MVTAVRIL24!I9+L9&gt;700000,(MVTAVRIL24!I9-E9+L9),0)</f>
        <v>895928.46184166172</v>
      </c>
      <c r="H9" s="36">
        <f t="shared" si="0"/>
        <v>2643.7444669979241</v>
      </c>
      <c r="I9" s="6">
        <f t="shared" si="2"/>
        <v>898572.20630865963</v>
      </c>
      <c r="J9" s="36">
        <f>VLOOKUP($A9,[24]HISTOMAI24!$A$6:$AQ$42,22,0)</f>
        <v>0</v>
      </c>
      <c r="K9" s="36">
        <f>VLOOKUP($A9,[24]HISTOMAI24!$A$6:$AU$38,45,0)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VLOOKUP($A9,[24]HISTOMAI24!$A$6:$AU$38,7,0)</f>
        <v>0</v>
      </c>
      <c r="Q9" s="36">
        <f>VLOOKUP($A9,[24]HISTOMAI24!$A$6:$AU$38,23,0)</f>
        <v>0</v>
      </c>
      <c r="R9" s="36">
        <f>VLOOKUP($A9,[24]HISTOMAI24!$A$6:$AU$38,46,0)</f>
        <v>0</v>
      </c>
      <c r="S9" s="36">
        <f>VLOOKUP($A9,[24]HISTOMAI24!$A$6:$AU$38,26,0)</f>
        <v>0</v>
      </c>
      <c r="T9" s="36">
        <f>VLOOKUP($A9,[24]HISTOMAI24!$A$6:$BG$38,58,0)</f>
        <v>0</v>
      </c>
      <c r="U9" s="36">
        <f>VLOOKUP($A9,[24]HISTOMAI24!$A$6:$AU$38,28,0)</f>
        <v>0</v>
      </c>
      <c r="V9" s="36">
        <f>VLOOKUP($A9,[24]HISTOMAI24!$A$6:$AU$38,19,0)</f>
        <v>0</v>
      </c>
      <c r="W9" s="36">
        <f>VLOOKUP($A9,[24]HISTOMAI24!$A$6:$AU$38,20,0)</f>
        <v>0</v>
      </c>
      <c r="X9" s="36">
        <f>VLOOKUP($A9,[24]HISTOMAI24!$A$6:$AU$38,27,0)</f>
        <v>0</v>
      </c>
      <c r="Y9" s="36">
        <f>VLOOKUP($A9,[24]HISTOMAI24!$A$6:$BM$38,33,0)</f>
        <v>0</v>
      </c>
      <c r="Z9" s="36">
        <f>VLOOKUP($A9,[24]HISTOMAI24!$A$6:$BM$38,65,0)</f>
        <v>0</v>
      </c>
      <c r="AA9" s="36"/>
      <c r="AB9" s="36">
        <f>VLOOKUP($A9,[24]HISTOMAI24!$A$6:$AU$38,43,0)</f>
        <v>0</v>
      </c>
      <c r="AC9" s="36">
        <f>VLOOKUP($A9,[24]HISTOMAI24!$A$6:$AU$38,44,0)</f>
        <v>0</v>
      </c>
      <c r="AD9" s="36">
        <f>VLOOKUP($A9,[24]HISTOMAI24!$A$6:$AU$38,47,0)</f>
        <v>0</v>
      </c>
      <c r="AE9" s="36">
        <f>VLOOKUP(A9,[24]HISTOMAI24!$A$6:$BB$38,54,0)</f>
        <v>0</v>
      </c>
      <c r="AF9" s="36">
        <f>VLOOKUP($A9,[24]HISTOMAI24!$A$6:$CB$38,60,0)</f>
        <v>0</v>
      </c>
      <c r="AG9" s="36">
        <f>VLOOKUP($A9,[24]HISTOMAI24!$A$6:$CB$38,61,0)</f>
        <v>0</v>
      </c>
      <c r="AH9" s="36">
        <f>VLOOKUP($A9,[24]HISTOMAI24!$A$6:$CB$38,62,0)</f>
        <v>0</v>
      </c>
      <c r="AI9" s="36">
        <f>VLOOKUP($A9,[24]HISTOMAI24!$A$6:$CB$38,63,0)</f>
        <v>0</v>
      </c>
      <c r="AJ9" s="36">
        <f>VLOOKUP($A9,[24]HISTOMAI24!$A$6:$CB$38,64,0)</f>
        <v>0</v>
      </c>
      <c r="AK9" s="36">
        <f>VLOOKUP($A9,[24]HISTOMAI24!$A$6:$CB$38,65,0)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VLOOKUP($A10,[24]HISTOMAI24!$A$6:$BA$38,48,0)</f>
        <v>0</v>
      </c>
      <c r="F10" s="36">
        <f>MVTAVRIL24!I10-E10+L10</f>
        <v>833844.47000147158</v>
      </c>
      <c r="G10" s="5">
        <f>IF(MVTAVRIL24!I10+L10&gt;700000,(MVTAVRIL24!I10-E10+L10),0)</f>
        <v>833844.47000147158</v>
      </c>
      <c r="H10" s="36">
        <f t="shared" si="0"/>
        <v>2460.5443378500518</v>
      </c>
      <c r="I10" s="6">
        <f t="shared" si="2"/>
        <v>836305.01433932164</v>
      </c>
      <c r="J10" s="36">
        <f>VLOOKUP($A10,[24]HISTOMAI24!$A$6:$AQ$42,22,0)</f>
        <v>0</v>
      </c>
      <c r="K10" s="36">
        <f>VLOOKUP($A10,[24]HISTOMAI24!$A$6:$AU$38,45,0)</f>
        <v>23000</v>
      </c>
      <c r="L10" s="36">
        <f t="shared" si="3"/>
        <v>17000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VLOOKUP($A10,[24]HISTOMAI24!$A$6:$AU$38,7,0)</f>
        <v>0</v>
      </c>
      <c r="Q10" s="36">
        <f>VLOOKUP($A10,[24]HISTOMAI24!$A$6:$AU$38,23,0)</f>
        <v>0</v>
      </c>
      <c r="R10" s="36">
        <f>VLOOKUP($A10,[24]HISTOMAI24!$A$6:$AU$38,46,0)</f>
        <v>0</v>
      </c>
      <c r="S10" s="36">
        <f>VLOOKUP($A10,[24]HISTOMAI24!$A$6:$AU$38,26,0)</f>
        <v>0</v>
      </c>
      <c r="T10" s="36">
        <f>VLOOKUP($A10,[24]HISTOMAI24!$A$6:$BG$38,58,0)</f>
        <v>0</v>
      </c>
      <c r="U10" s="36">
        <f>VLOOKUP($A10,[24]HISTOMAI24!$A$6:$AU$38,28,0)</f>
        <v>0</v>
      </c>
      <c r="V10" s="36">
        <f>VLOOKUP($A10,[24]HISTOMAI24!$A$6:$AU$38,19,0)</f>
        <v>0</v>
      </c>
      <c r="W10" s="36">
        <f>VLOOKUP($A10,[24]HISTOMAI24!$A$6:$AU$38,20,0)</f>
        <v>0</v>
      </c>
      <c r="X10" s="36">
        <f>VLOOKUP($A10,[24]HISTOMAI24!$A$6:$AU$38,27,0)</f>
        <v>0</v>
      </c>
      <c r="Y10" s="36">
        <f>VLOOKUP($A10,[24]HISTOMAI24!$A$6:$BM$38,33,0)</f>
        <v>0</v>
      </c>
      <c r="Z10" s="36">
        <f>VLOOKUP($A10,[24]HISTOMAI24!$A$6:$BM$38,65,0)</f>
        <v>0</v>
      </c>
      <c r="AA10" s="36"/>
      <c r="AB10" s="36">
        <f>VLOOKUP($A10,[24]HISTOMAI24!$A$6:$AU$38,43,0)</f>
        <v>0</v>
      </c>
      <c r="AC10" s="36">
        <f>VLOOKUP($A10,[24]HISTOMAI24!$A$6:$AU$38,44,0)</f>
        <v>0</v>
      </c>
      <c r="AD10" s="36">
        <f>VLOOKUP($A10,[24]HISTOMAI24!$A$6:$AU$38,47,0)</f>
        <v>0</v>
      </c>
      <c r="AE10" s="36">
        <f>VLOOKUP(A10,[24]HISTOMAI24!$A$6:$BB$38,54,0)</f>
        <v>0</v>
      </c>
      <c r="AF10" s="36">
        <f>VLOOKUP($A10,[24]HISTOMAI24!$A$6:$CB$38,60,0)</f>
        <v>0</v>
      </c>
      <c r="AG10" s="36">
        <f>VLOOKUP($A10,[24]HISTOMAI24!$A$6:$CB$38,61,0)</f>
        <v>0</v>
      </c>
      <c r="AH10" s="36">
        <f>VLOOKUP($A10,[24]HISTOMAI24!$A$6:$CB$38,62,0)</f>
        <v>0</v>
      </c>
      <c r="AI10" s="36">
        <f>VLOOKUP($A10,[24]HISTOMAI24!$A$6:$CB$38,63,0)</f>
        <v>0</v>
      </c>
      <c r="AJ10" s="36">
        <f>VLOOKUP($A10,[24]HISTOMAI24!$A$6:$CB$38,64,0)</f>
        <v>0</v>
      </c>
      <c r="AK10" s="36">
        <f>VLOOKUP($A10,[24]HISTOMAI24!$A$6:$CB$38,65,0)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VLOOKUP($A11,[24]HISTOMAI24!$A$6:$BA$38,48,0)</f>
        <v>0</v>
      </c>
      <c r="F11" s="36">
        <f>MVTAVRIL24!I11-E11+L11</f>
        <v>858892.50466802681</v>
      </c>
      <c r="G11" s="5">
        <f>IF(MVTAVRIL24!I11+L11&gt;700000,(MVTAVRIL24!I11-E11+L11),0)</f>
        <v>858892.50466802681</v>
      </c>
      <c r="H11" s="36">
        <f t="shared" si="0"/>
        <v>2534.4571622319841</v>
      </c>
      <c r="I11" s="6">
        <f t="shared" si="2"/>
        <v>861426.96183025884</v>
      </c>
      <c r="J11" s="36">
        <f>VLOOKUP($A11,[24]HISTOMAI24!$A$6:$AQ$42,22,0)</f>
        <v>0</v>
      </c>
      <c r="K11" s="36">
        <f>VLOOKUP($A11,[24]HISTOMAI24!$A$6:$AU$38,45,0)</f>
        <v>30000</v>
      </c>
      <c r="L11" s="36">
        <f t="shared" si="3"/>
        <v>24000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VLOOKUP($A11,[24]HISTOMAI24!$A$6:$AU$38,7,0)</f>
        <v>0</v>
      </c>
      <c r="Q11" s="36">
        <f>VLOOKUP($A11,[24]HISTOMAI24!$A$6:$AU$38,23,0)</f>
        <v>0</v>
      </c>
      <c r="R11" s="36">
        <f>VLOOKUP($A11,[24]HISTOMAI24!$A$6:$AU$38,46,0)</f>
        <v>0</v>
      </c>
      <c r="S11" s="36">
        <f>VLOOKUP($A11,[24]HISTOMAI24!$A$6:$AU$38,26,0)</f>
        <v>0</v>
      </c>
      <c r="T11" s="36">
        <f>VLOOKUP($A11,[24]HISTOMAI24!$A$6:$BG$38,58,0)</f>
        <v>0</v>
      </c>
      <c r="U11" s="36">
        <f>VLOOKUP($A11,[24]HISTOMAI24!$A$6:$AU$38,28,0)</f>
        <v>0</v>
      </c>
      <c r="V11" s="36">
        <f>VLOOKUP($A11,[24]HISTOMAI24!$A$6:$AU$38,19,0)</f>
        <v>0</v>
      </c>
      <c r="W11" s="36">
        <f>VLOOKUP($A11,[24]HISTOMAI24!$A$6:$AU$38,20,0)</f>
        <v>0</v>
      </c>
      <c r="X11" s="36">
        <f>VLOOKUP($A11,[24]HISTOMAI24!$A$6:$AU$38,27,0)</f>
        <v>0</v>
      </c>
      <c r="Y11" s="36">
        <f>VLOOKUP($A11,[24]HISTOMAI24!$A$6:$BM$38,33,0)</f>
        <v>0</v>
      </c>
      <c r="Z11" s="36">
        <f>VLOOKUP($A11,[24]HISTOMAI24!$A$6:$BM$38,65,0)</f>
        <v>0</v>
      </c>
      <c r="AA11" s="36"/>
      <c r="AB11" s="36">
        <f>VLOOKUP($A11,[24]HISTOMAI24!$A$6:$AU$38,43,0)</f>
        <v>0</v>
      </c>
      <c r="AC11" s="36">
        <f>VLOOKUP($A11,[24]HISTOMAI24!$A$6:$AU$38,44,0)</f>
        <v>0</v>
      </c>
      <c r="AD11" s="36">
        <f>VLOOKUP($A11,[24]HISTOMAI24!$A$6:$AU$38,47,0)</f>
        <v>0</v>
      </c>
      <c r="AE11" s="36">
        <f>VLOOKUP(A11,[24]HISTOMAI24!$A$6:$BB$38,54,0)</f>
        <v>0</v>
      </c>
      <c r="AF11" s="36">
        <f>VLOOKUP($A11,[24]HISTOMAI24!$A$6:$CB$38,60,0)</f>
        <v>0</v>
      </c>
      <c r="AG11" s="36">
        <f>VLOOKUP($A11,[24]HISTOMAI24!$A$6:$CB$38,61,0)</f>
        <v>0</v>
      </c>
      <c r="AH11" s="36">
        <f>VLOOKUP($A11,[24]HISTOMAI24!$A$6:$CB$38,62,0)</f>
        <v>0</v>
      </c>
      <c r="AI11" s="36">
        <f>VLOOKUP($A11,[24]HISTOMAI24!$A$6:$CB$38,63,0)</f>
        <v>0</v>
      </c>
      <c r="AJ11" s="36">
        <f>VLOOKUP($A11,[24]HISTOMAI24!$A$6:$CB$38,64,0)</f>
        <v>0</v>
      </c>
      <c r="AK11" s="36">
        <f>VLOOKUP($A11,[24]HISTOMAI24!$A$6:$CB$38,65,0)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VLOOKUP($A12,[24]HISTOMAI24!$A$6:$BA$38,48,0)</f>
        <v>0</v>
      </c>
      <c r="F12" s="36">
        <f>MVTAVRIL24!I12-E12+L12</f>
        <v>882120.04206278268</v>
      </c>
      <c r="G12" s="5">
        <f>IF(MVTAVRIL24!I12+L12&gt;700000,(MVTAVRIL24!I12-E12+L12),0)</f>
        <v>882120.04206278268</v>
      </c>
      <c r="H12" s="36">
        <f t="shared" si="0"/>
        <v>2602.9979845015928</v>
      </c>
      <c r="I12" s="6">
        <f t="shared" si="2"/>
        <v>884723.04004728433</v>
      </c>
      <c r="J12" s="36">
        <f>VLOOKUP($A12,[24]HISTOMAI24!$A$6:$AQ$42,22,0)</f>
        <v>0</v>
      </c>
      <c r="K12" s="36">
        <f>VLOOKUP($A12,[24]HISTOMAI24!$A$6:$AU$38,45,0)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VLOOKUP($A12,[24]HISTOMAI24!$A$6:$AU$38,7,0)</f>
        <v>0</v>
      </c>
      <c r="Q12" s="36">
        <f>VLOOKUP($A12,[24]HISTOMAI24!$A$6:$AU$38,23,0)</f>
        <v>0</v>
      </c>
      <c r="R12" s="36">
        <f>VLOOKUP($A12,[24]HISTOMAI24!$A$6:$AU$38,46,0)</f>
        <v>0</v>
      </c>
      <c r="S12" s="36">
        <f>VLOOKUP($A12,[24]HISTOMAI24!$A$6:$AU$38,26,0)</f>
        <v>0</v>
      </c>
      <c r="T12" s="36">
        <f>VLOOKUP($A12,[24]HISTOMAI24!$A$6:$BG$38,58,0)</f>
        <v>0</v>
      </c>
      <c r="U12" s="36">
        <f>VLOOKUP($A12,[24]HISTOMAI24!$A$6:$AU$38,28,0)</f>
        <v>0</v>
      </c>
      <c r="V12" s="36">
        <f>VLOOKUP($A12,[24]HISTOMAI24!$A$6:$AU$38,19,0)</f>
        <v>500000</v>
      </c>
      <c r="W12" s="36" t="str">
        <f>VLOOKUP($A12,[24]HISTOMAI24!$A$6:$AU$38,20,0)</f>
        <v>BANQUE</v>
      </c>
      <c r="X12" s="36">
        <f>VLOOKUP($A12,[24]HISTOMAI24!$A$6:$AU$38,27,0)</f>
        <v>0</v>
      </c>
      <c r="Y12" s="36">
        <f>VLOOKUP($A12,[24]HISTOMAI24!$A$6:$BM$38,33,0)</f>
        <v>0</v>
      </c>
      <c r="Z12" s="36">
        <f>VLOOKUP($A12,[24]HISTOMAI24!$A$6:$BM$38,65,0)</f>
        <v>0</v>
      </c>
      <c r="AA12" s="36"/>
      <c r="AB12" s="36">
        <f>VLOOKUP($A12,[24]HISTOMAI24!$A$6:$AU$38,43,0)</f>
        <v>0</v>
      </c>
      <c r="AC12" s="36">
        <f>VLOOKUP($A12,[24]HISTOMAI24!$A$6:$AU$38,44,0)</f>
        <v>0</v>
      </c>
      <c r="AD12" s="36">
        <f>VLOOKUP($A12,[24]HISTOMAI24!$A$6:$AU$38,47,0)</f>
        <v>0</v>
      </c>
      <c r="AE12" s="36">
        <f>VLOOKUP(A12,[24]HISTOMAI24!$A$6:$BB$38,54,0)</f>
        <v>0</v>
      </c>
      <c r="AF12" s="36">
        <f>VLOOKUP($A12,[24]HISTOMAI24!$A$6:$CB$38,60,0)</f>
        <v>0</v>
      </c>
      <c r="AG12" s="36">
        <f>VLOOKUP($A12,[24]HISTOMAI24!$A$6:$CB$38,61,0)</f>
        <v>0</v>
      </c>
      <c r="AH12" s="36">
        <f>VLOOKUP($A12,[24]HISTOMAI24!$A$6:$CB$38,62,0)</f>
        <v>0</v>
      </c>
      <c r="AI12" s="36">
        <f>VLOOKUP($A12,[24]HISTOMAI24!$A$6:$CB$38,63,0)</f>
        <v>0</v>
      </c>
      <c r="AJ12" s="36">
        <f>VLOOKUP($A12,[24]HISTOMAI24!$A$6:$CB$38,64,0)</f>
        <v>0</v>
      </c>
      <c r="AK12" s="36">
        <f>VLOOKUP($A12,[24]HISTOMAI24!$A$6:$CB$38,65,0)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VLOOKUP($A13,[24]HISTOMAI24!$A$6:$BA$38,48,0)</f>
        <v>0</v>
      </c>
      <c r="F13" s="36">
        <f>MVTAVRIL24!I13-E13+L13</f>
        <v>841594.78039043082</v>
      </c>
      <c r="G13" s="5">
        <f>IF(MVTAVRIL24!I13+L13&gt;700000,(MVTAVRIL24!I13-E13+L13),0)</f>
        <v>841594.78039043082</v>
      </c>
      <c r="H13" s="36">
        <f t="shared" si="0"/>
        <v>2483.4142890582193</v>
      </c>
      <c r="I13" s="6">
        <f t="shared" si="2"/>
        <v>844078.19467948901</v>
      </c>
      <c r="J13" s="36">
        <f>VLOOKUP($A13,[24]HISTOMAI24!$A$6:$AQ$42,22,0)</f>
        <v>0</v>
      </c>
      <c r="K13" s="36">
        <f>VLOOKUP($A13,[24]HISTOMAI24!$A$6:$AU$38,45,0)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VLOOKUP($A13,[24]HISTOMAI24!$A$6:$AU$38,7,0)</f>
        <v>0</v>
      </c>
      <c r="Q13" s="36">
        <f>VLOOKUP($A13,[24]HISTOMAI24!$A$6:$AU$38,23,0)</f>
        <v>0</v>
      </c>
      <c r="R13" s="36">
        <f>VLOOKUP($A13,[24]HISTOMAI24!$A$6:$AU$38,46,0)</f>
        <v>0</v>
      </c>
      <c r="S13" s="36">
        <f>VLOOKUP($A13,[24]HISTOMAI24!$A$6:$AU$38,26,0)</f>
        <v>0</v>
      </c>
      <c r="T13" s="36">
        <f>VLOOKUP($A13,[24]HISTOMAI24!$A$6:$BG$38,58,0)</f>
        <v>0</v>
      </c>
      <c r="U13" s="36">
        <f>VLOOKUP($A13,[24]HISTOMAI24!$A$6:$AU$38,28,0)</f>
        <v>0</v>
      </c>
      <c r="V13" s="36">
        <f>VLOOKUP($A13,[24]HISTOMAI24!$A$6:$AU$38,19,0)</f>
        <v>0</v>
      </c>
      <c r="W13" s="36">
        <f>VLOOKUP($A13,[24]HISTOMAI24!$A$6:$AU$38,20,0)</f>
        <v>0</v>
      </c>
      <c r="X13" s="36">
        <f>VLOOKUP($A13,[24]HISTOMAI24!$A$6:$AU$38,27,0)</f>
        <v>0</v>
      </c>
      <c r="Y13" s="36">
        <f>VLOOKUP($A13,[24]HISTOMAI24!$A$6:$BM$38,33,0)</f>
        <v>0</v>
      </c>
      <c r="Z13" s="36">
        <f>VLOOKUP($A13,[24]HISTOMAI24!$A$6:$BM$38,65,0)</f>
        <v>0</v>
      </c>
      <c r="AA13" s="36"/>
      <c r="AB13" s="36">
        <f>VLOOKUP($A13,[24]HISTOMAI24!$A$6:$AU$38,43,0)</f>
        <v>0</v>
      </c>
      <c r="AC13" s="36">
        <f>VLOOKUP($A13,[24]HISTOMAI24!$A$6:$AU$38,44,0)</f>
        <v>0</v>
      </c>
      <c r="AD13" s="36">
        <f>VLOOKUP($A13,[24]HISTOMAI24!$A$6:$AU$38,47,0)</f>
        <v>0</v>
      </c>
      <c r="AE13" s="36">
        <f>VLOOKUP(A13,[24]HISTOMAI24!$A$6:$BB$38,54,0)</f>
        <v>0</v>
      </c>
      <c r="AF13" s="36">
        <f>VLOOKUP($A13,[24]HISTOMAI24!$A$6:$CB$38,60,0)</f>
        <v>0</v>
      </c>
      <c r="AG13" s="36">
        <f>VLOOKUP($A13,[24]HISTOMAI24!$A$6:$CB$38,61,0)</f>
        <v>0</v>
      </c>
      <c r="AH13" s="36">
        <f>VLOOKUP($A13,[24]HISTOMAI24!$A$6:$CB$38,62,0)</f>
        <v>0</v>
      </c>
      <c r="AI13" s="36">
        <f>VLOOKUP($A13,[24]HISTOMAI24!$A$6:$CB$38,63,0)</f>
        <v>0</v>
      </c>
      <c r="AJ13" s="36">
        <f>VLOOKUP($A13,[24]HISTOMAI24!$A$6:$CB$38,64,0)</f>
        <v>0</v>
      </c>
      <c r="AK13" s="36">
        <f>VLOOKUP($A13,[24]HISTOMAI24!$A$6:$CB$38,65,0)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VLOOKUP($A14,[24]HISTOMAI24!$A$6:$BA$38,48,0)</f>
        <v>0</v>
      </c>
      <c r="F14" s="36">
        <f>MVTAVRIL24!I14-E14+L14</f>
        <v>1393754.6531689162</v>
      </c>
      <c r="G14" s="5">
        <f>IF(MVTAVRIL24!I14+L14&gt;700000,(MVTAVRIL24!I14-E14+L14),0)</f>
        <v>1393754.6531689162</v>
      </c>
      <c r="H14" s="36">
        <f t="shared" si="0"/>
        <v>4112.7515305113047</v>
      </c>
      <c r="I14" s="6">
        <f t="shared" si="2"/>
        <v>1397867.4046994275</v>
      </c>
      <c r="J14" s="36">
        <f>VLOOKUP($A14,[24]HISTOMAI24!$A$6:$AQ$42,22,0)</f>
        <v>0</v>
      </c>
      <c r="K14" s="36">
        <f>VLOOKUP($A14,[24]HISTOMAI24!$A$6:$AU$38,45,0)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VLOOKUP($A14,[24]HISTOMAI24!$A$6:$AU$38,7,0)</f>
        <v>0</v>
      </c>
      <c r="Q14" s="36">
        <f>VLOOKUP($A14,[24]HISTOMAI24!$A$6:$AU$38,23,0)</f>
        <v>0</v>
      </c>
      <c r="R14" s="36">
        <f>VLOOKUP($A14,[24]HISTOMAI24!$A$6:$AU$38,46,0)</f>
        <v>0</v>
      </c>
      <c r="S14" s="36">
        <f>VLOOKUP($A14,[24]HISTOMAI24!$A$6:$AU$38,26,0)</f>
        <v>0</v>
      </c>
      <c r="T14" s="36">
        <f>VLOOKUP($A14,[24]HISTOMAI24!$A$6:$BG$38,58,0)</f>
        <v>0</v>
      </c>
      <c r="U14" s="36">
        <f>VLOOKUP($A14,[24]HISTOMAI24!$A$6:$AU$38,28,0)</f>
        <v>0</v>
      </c>
      <c r="V14" s="36">
        <f>VLOOKUP($A14,[24]HISTOMAI24!$A$6:$AU$38,19,0)</f>
        <v>0</v>
      </c>
      <c r="W14" s="36">
        <f>VLOOKUP($A14,[24]HISTOMAI24!$A$6:$AU$38,20,0)</f>
        <v>0</v>
      </c>
      <c r="X14" s="36">
        <f>VLOOKUP($A14,[24]HISTOMAI24!$A$6:$AU$38,27,0)</f>
        <v>0</v>
      </c>
      <c r="Y14" s="36">
        <f>VLOOKUP($A14,[24]HISTOMAI24!$A$6:$BM$38,33,0)</f>
        <v>0</v>
      </c>
      <c r="Z14" s="36">
        <f>VLOOKUP($A14,[24]HISTOMAI24!$A$6:$BM$38,65,0)</f>
        <v>0</v>
      </c>
      <c r="AA14" s="36"/>
      <c r="AB14" s="36">
        <f>VLOOKUP($A14,[24]HISTOMAI24!$A$6:$AU$38,43,0)</f>
        <v>0</v>
      </c>
      <c r="AC14" s="36">
        <f>VLOOKUP($A14,[24]HISTOMAI24!$A$6:$AU$38,44,0)</f>
        <v>0</v>
      </c>
      <c r="AD14" s="36">
        <f>VLOOKUP($A14,[24]HISTOMAI24!$A$6:$AU$38,47,0)</f>
        <v>0</v>
      </c>
      <c r="AE14" s="36">
        <f>VLOOKUP(A14,[24]HISTOMAI24!$A$6:$BB$38,54,0)</f>
        <v>0</v>
      </c>
      <c r="AF14" s="36">
        <f>VLOOKUP($A14,[24]HISTOMAI24!$A$6:$CB$38,60,0)</f>
        <v>0</v>
      </c>
      <c r="AG14" s="36">
        <f>VLOOKUP($A14,[24]HISTOMAI24!$A$6:$CB$38,61,0)</f>
        <v>0</v>
      </c>
      <c r="AH14" s="36">
        <f>VLOOKUP($A14,[24]HISTOMAI24!$A$6:$CB$38,62,0)</f>
        <v>0</v>
      </c>
      <c r="AI14" s="36">
        <f>VLOOKUP($A14,[24]HISTOMAI24!$A$6:$CB$38,63,0)</f>
        <v>0</v>
      </c>
      <c r="AJ14" s="36">
        <f>VLOOKUP($A14,[24]HISTOMAI24!$A$6:$CB$38,64,0)</f>
        <v>0</v>
      </c>
      <c r="AK14" s="36">
        <f>VLOOKUP($A14,[24]HISTOMAI24!$A$6:$CB$38,65,0)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VLOOKUP($A15,[24]HISTOMAI24!$A$6:$BA$38,48,0)</f>
        <v>0</v>
      </c>
      <c r="F15" s="36">
        <f>MVTAVRIL24!I15-E15+L15</f>
        <v>903269.84272856009</v>
      </c>
      <c r="G15" s="5">
        <f>IF(MVTAVRIL24!I15+L15&gt;700000,(MVTAVRIL24!I15-E15+L15),0)</f>
        <v>903269.84272856009</v>
      </c>
      <c r="H15" s="36">
        <f t="shared" si="0"/>
        <v>2665.4077313393263</v>
      </c>
      <c r="I15" s="6">
        <f t="shared" si="2"/>
        <v>905935.25045989943</v>
      </c>
      <c r="J15" s="36">
        <f>VLOOKUP($A15,[24]HISTOMAI24!$A$6:$AQ$42,22,0)</f>
        <v>0</v>
      </c>
      <c r="K15" s="36">
        <f>VLOOKUP($A15,[24]HISTOMAI24!$A$6:$AU$38,45,0)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VLOOKUP($A15,[24]HISTOMAI24!$A$6:$AU$38,7,0)</f>
        <v>0</v>
      </c>
      <c r="Q15" s="36">
        <f>VLOOKUP($A15,[24]HISTOMAI24!$A$6:$AU$38,23,0)</f>
        <v>0</v>
      </c>
      <c r="R15" s="36">
        <f>VLOOKUP($A15,[24]HISTOMAI24!$A$6:$AU$38,46,0)</f>
        <v>0</v>
      </c>
      <c r="S15" s="36">
        <f>VLOOKUP($A15,[24]HISTOMAI24!$A$6:$AU$38,26,0)</f>
        <v>1000000</v>
      </c>
      <c r="T15" s="36">
        <f>VLOOKUP($A15,[24]HISTOMAI24!$A$6:$BG$38,58,0)</f>
        <v>70000</v>
      </c>
      <c r="U15" s="36">
        <f>VLOOKUP($A15,[24]HISTOMAI24!$A$6:$AU$38,28,0)</f>
        <v>0</v>
      </c>
      <c r="V15" s="36">
        <f>VLOOKUP($A15,[24]HISTOMAI24!$A$6:$AU$38,19,0)</f>
        <v>0</v>
      </c>
      <c r="W15" s="36">
        <f>VLOOKUP($A15,[24]HISTOMAI24!$A$6:$AU$38,20,0)</f>
        <v>0</v>
      </c>
      <c r="X15" s="36" t="str">
        <f>VLOOKUP($A15,[24]HISTOMAI24!$A$6:$AU$38,27,0)</f>
        <v>BQNAUE</v>
      </c>
      <c r="Y15" s="36">
        <f>VLOOKUP($A15,[24]HISTOMAI24!$A$6:$BM$38,33,0)</f>
        <v>0</v>
      </c>
      <c r="Z15" s="36">
        <f>VLOOKUP($A15,[24]HISTOMAI24!$A$6:$BM$38,65,0)</f>
        <v>0</v>
      </c>
      <c r="AA15" s="36"/>
      <c r="AB15" s="36">
        <f>VLOOKUP($A15,[24]HISTOMAI24!$A$6:$AU$38,43,0)</f>
        <v>0</v>
      </c>
      <c r="AC15" s="36">
        <f>VLOOKUP($A15,[24]HISTOMAI24!$A$6:$AU$38,44,0)</f>
        <v>0</v>
      </c>
      <c r="AD15" s="36">
        <f>VLOOKUP($A15,[24]HISTOMAI24!$A$6:$AU$38,47,0)</f>
        <v>0</v>
      </c>
      <c r="AE15" s="36">
        <f>VLOOKUP(A15,[24]HISTOMAI24!$A$6:$BB$38,54,0)</f>
        <v>0</v>
      </c>
      <c r="AF15" s="36">
        <f>VLOOKUP($A15,[24]HISTOMAI24!$A$6:$CB$38,60,0)</f>
        <v>0</v>
      </c>
      <c r="AG15" s="36">
        <f>VLOOKUP($A15,[24]HISTOMAI24!$A$6:$CB$38,61,0)</f>
        <v>0</v>
      </c>
      <c r="AH15" s="36">
        <f>VLOOKUP($A15,[24]HISTOMAI24!$A$6:$CB$38,62,0)</f>
        <v>0</v>
      </c>
      <c r="AI15" s="36">
        <f>VLOOKUP($A15,[24]HISTOMAI24!$A$6:$CB$38,63,0)</f>
        <v>0</v>
      </c>
      <c r="AJ15" s="36">
        <f>VLOOKUP($A15,[24]HISTOMAI24!$A$6:$CB$38,64,0)</f>
        <v>0</v>
      </c>
      <c r="AK15" s="36">
        <f>VLOOKUP($A15,[24]HISTOMAI24!$A$6:$CB$38,65,0)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VLOOKUP($A16,[24]HISTOMAI24!$A$6:$BA$38,48,0)</f>
        <v>0</v>
      </c>
      <c r="F16" s="36">
        <f>MVTAVRIL24!I16-E16+L16</f>
        <v>1048858.5532291629</v>
      </c>
      <c r="G16" s="5">
        <f>IF(MVTAVRIL24!I16+L16&gt;700000,(MVTAVRIL24!I16-E16+L16),0)</f>
        <v>1048858.5532291629</v>
      </c>
      <c r="H16" s="36">
        <f t="shared" si="0"/>
        <v>3095.017197090795</v>
      </c>
      <c r="I16" s="6">
        <f t="shared" si="2"/>
        <v>1051953.5704262538</v>
      </c>
      <c r="J16" s="36">
        <f>VLOOKUP($A16,[24]HISTOMAI24!$A$6:$AQ$42,22,0)</f>
        <v>0</v>
      </c>
      <c r="K16" s="36">
        <f>VLOOKUP($A16,[24]HISTOMAI24!$A$6:$AU$38,45,0)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VLOOKUP($A16,[24]HISTOMAI24!$A$6:$AU$38,7,0)</f>
        <v>0</v>
      </c>
      <c r="Q16" s="36">
        <f>VLOOKUP($A16,[24]HISTOMAI24!$A$6:$AU$38,23,0)</f>
        <v>0</v>
      </c>
      <c r="R16" s="36">
        <f>VLOOKUP($A16,[24]HISTOMAI24!$A$6:$AU$38,46,0)</f>
        <v>0</v>
      </c>
      <c r="S16" s="36">
        <f>VLOOKUP($A16,[24]HISTOMAI24!$A$6:$AU$38,26,0)</f>
        <v>0</v>
      </c>
      <c r="T16" s="36">
        <f>VLOOKUP($A16,[24]HISTOMAI24!$A$6:$BG$38,58,0)</f>
        <v>0</v>
      </c>
      <c r="U16" s="36">
        <f>VLOOKUP($A16,[24]HISTOMAI24!$A$6:$AU$38,28,0)</f>
        <v>0</v>
      </c>
      <c r="V16" s="36">
        <f>VLOOKUP($A16,[24]HISTOMAI24!$A$6:$AU$38,19,0)</f>
        <v>0</v>
      </c>
      <c r="W16" s="36">
        <f>VLOOKUP($A16,[24]HISTOMAI24!$A$6:$AU$38,20,0)</f>
        <v>0</v>
      </c>
      <c r="X16" s="36">
        <f>VLOOKUP($A16,[24]HISTOMAI24!$A$6:$AU$38,27,0)</f>
        <v>0</v>
      </c>
      <c r="Y16" s="36">
        <f>VLOOKUP($A16,[24]HISTOMAI24!$A$6:$BM$38,33,0)</f>
        <v>0</v>
      </c>
      <c r="Z16" s="36">
        <f>VLOOKUP($A16,[24]HISTOMAI24!$A$6:$BM$38,65,0)</f>
        <v>0</v>
      </c>
      <c r="AA16" s="36"/>
      <c r="AB16" s="36">
        <f>VLOOKUP($A16,[24]HISTOMAI24!$A$6:$AU$38,43,0)</f>
        <v>0</v>
      </c>
      <c r="AC16" s="36">
        <f>VLOOKUP($A16,[24]HISTOMAI24!$A$6:$AU$38,44,0)</f>
        <v>0</v>
      </c>
      <c r="AD16" s="36">
        <f>VLOOKUP($A16,[24]HISTOMAI24!$A$6:$AU$38,47,0)</f>
        <v>0</v>
      </c>
      <c r="AE16" s="36">
        <f>VLOOKUP(A16,[24]HISTOMAI24!$A$6:$BB$38,54,0)</f>
        <v>0</v>
      </c>
      <c r="AF16" s="36">
        <f>VLOOKUP($A16,[24]HISTOMAI24!$A$6:$CB$38,60,0)</f>
        <v>0</v>
      </c>
      <c r="AG16" s="36">
        <f>VLOOKUP($A16,[24]HISTOMAI24!$A$6:$CB$38,61,0)</f>
        <v>0</v>
      </c>
      <c r="AH16" s="36">
        <f>VLOOKUP($A16,[24]HISTOMAI24!$A$6:$CB$38,62,0)</f>
        <v>0</v>
      </c>
      <c r="AI16" s="36">
        <f>VLOOKUP($A16,[24]HISTOMAI24!$A$6:$CB$38,63,0)</f>
        <v>0</v>
      </c>
      <c r="AJ16" s="36">
        <f>VLOOKUP($A16,[24]HISTOMAI24!$A$6:$CB$38,64,0)</f>
        <v>0</v>
      </c>
      <c r="AK16" s="36">
        <f>VLOOKUP($A16,[24]HISTOMAI24!$A$6:$CB$38,65,0)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VLOOKUP($A17,[24]HISTOMAI24!$A$6:$BA$38,48,0)</f>
        <v>0</v>
      </c>
      <c r="F17" s="36">
        <f>MVTAVRIL24!I17-E17+L17</f>
        <v>851429.67134556815</v>
      </c>
      <c r="G17" s="5">
        <f>IF(MVTAVRIL24!I17+L17&gt;700000,(MVTAVRIL24!I17-E17+L17),0)</f>
        <v>851429.67134556815</v>
      </c>
      <c r="H17" s="36">
        <f t="shared" si="0"/>
        <v>2512.4355107891656</v>
      </c>
      <c r="I17" s="6">
        <f t="shared" si="2"/>
        <v>853942.10685635731</v>
      </c>
      <c r="J17" s="36">
        <f>VLOOKUP($A17,[24]HISTOMAI24!$A$6:$AQ$42,22,0)</f>
        <v>0</v>
      </c>
      <c r="K17" s="36">
        <f>VLOOKUP($A17,[24]HISTOMAI24!$A$6:$AU$38,45,0)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VLOOKUP($A17,[24]HISTOMAI24!$A$6:$AU$38,7,0)</f>
        <v>0</v>
      </c>
      <c r="Q17" s="36">
        <f>VLOOKUP($A17,[24]HISTOMAI24!$A$6:$AU$38,23,0)</f>
        <v>0</v>
      </c>
      <c r="R17" s="36">
        <f>VLOOKUP($A17,[24]HISTOMAI24!$A$6:$AU$38,46,0)</f>
        <v>0</v>
      </c>
      <c r="S17" s="36">
        <f>VLOOKUP($A17,[24]HISTOMAI24!$A$6:$AU$38,26,0)</f>
        <v>0</v>
      </c>
      <c r="T17" s="36">
        <f>VLOOKUP($A17,[24]HISTOMAI24!$A$6:$BG$38,58,0)</f>
        <v>0</v>
      </c>
      <c r="U17" s="36">
        <f>VLOOKUP($A17,[24]HISTOMAI24!$A$6:$AU$38,28,0)</f>
        <v>0</v>
      </c>
      <c r="V17" s="36">
        <f>VLOOKUP($A17,[24]HISTOMAI24!$A$6:$AU$38,19,0)</f>
        <v>0</v>
      </c>
      <c r="W17" s="36">
        <f>VLOOKUP($A17,[24]HISTOMAI24!$A$6:$AU$38,20,0)</f>
        <v>0</v>
      </c>
      <c r="X17" s="36">
        <f>VLOOKUP($A17,[24]HISTOMAI24!$A$6:$AU$38,27,0)</f>
        <v>0</v>
      </c>
      <c r="Y17" s="36">
        <f>VLOOKUP($A17,[24]HISTOMAI24!$A$6:$BM$38,33,0)</f>
        <v>0</v>
      </c>
      <c r="Z17" s="36">
        <f>VLOOKUP($A17,[24]HISTOMAI24!$A$6:$BM$38,65,0)</f>
        <v>0</v>
      </c>
      <c r="AA17" s="36"/>
      <c r="AB17" s="36">
        <f>VLOOKUP($A17,[24]HISTOMAI24!$A$6:$AU$38,43,0)</f>
        <v>0</v>
      </c>
      <c r="AC17" s="36">
        <f>VLOOKUP($A17,[24]HISTOMAI24!$A$6:$AU$38,44,0)</f>
        <v>0</v>
      </c>
      <c r="AD17" s="36">
        <f>VLOOKUP($A17,[24]HISTOMAI24!$A$6:$AU$38,47,0)</f>
        <v>0</v>
      </c>
      <c r="AE17" s="36">
        <f>VLOOKUP(A17,[24]HISTOMAI24!$A$6:$BB$38,54,0)</f>
        <v>0</v>
      </c>
      <c r="AF17" s="36">
        <f>VLOOKUP($A17,[24]HISTOMAI24!$A$6:$CB$38,60,0)</f>
        <v>0</v>
      </c>
      <c r="AG17" s="36">
        <f>VLOOKUP($A17,[24]HISTOMAI24!$A$6:$CB$38,61,0)</f>
        <v>0</v>
      </c>
      <c r="AH17" s="36">
        <f>VLOOKUP($A17,[24]HISTOMAI24!$A$6:$CB$38,62,0)</f>
        <v>0</v>
      </c>
      <c r="AI17" s="36">
        <f>VLOOKUP($A17,[24]HISTOMAI24!$A$6:$CB$38,63,0)</f>
        <v>0</v>
      </c>
      <c r="AJ17" s="36">
        <f>VLOOKUP($A17,[24]HISTOMAI24!$A$6:$CB$38,64,0)</f>
        <v>0</v>
      </c>
      <c r="AK17" s="36">
        <f>VLOOKUP($A17,[24]HISTOMAI24!$A$6:$CB$38,65,0)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VLOOKUP($A18,[24]HISTOMAI24!$A$6:$BA$38,48,0)</f>
        <v>0</v>
      </c>
      <c r="F18" s="36">
        <f>MVTAVRIL24!I18-E18+L18</f>
        <v>907669.02055502485</v>
      </c>
      <c r="G18" s="5">
        <f>IF(MVTAVRIL24!I18+L18&gt;700000,(MVTAVRIL24!I18-E18+L18),0)</f>
        <v>907669.02055502485</v>
      </c>
      <c r="H18" s="36">
        <f t="shared" si="0"/>
        <v>2678.38901559739</v>
      </c>
      <c r="I18" s="6">
        <f t="shared" si="2"/>
        <v>910347.40957062226</v>
      </c>
      <c r="J18" s="36">
        <f>VLOOKUP($A18,[24]HISTOMAI24!$A$6:$AQ$42,22,0)</f>
        <v>0</v>
      </c>
      <c r="K18" s="36">
        <f>VLOOKUP($A18,[24]HISTOMAI24!$A$6:$AU$38,45,0)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VLOOKUP($A18,[24]HISTOMAI24!$A$6:$AU$38,7,0)</f>
        <v>3000</v>
      </c>
      <c r="Q18" s="36">
        <f>VLOOKUP($A18,[24]HISTOMAI24!$A$6:$AU$38,23,0)</f>
        <v>0</v>
      </c>
      <c r="R18" s="36">
        <f>VLOOKUP($A18,[24]HISTOMAI24!$A$6:$AU$38,46,0)</f>
        <v>0</v>
      </c>
      <c r="S18" s="36">
        <f>VLOOKUP($A18,[24]HISTOMAI24!$A$6:$AU$38,26,0)</f>
        <v>350000</v>
      </c>
      <c r="T18" s="36">
        <f>VLOOKUP($A18,[24]HISTOMAI24!$A$6:$BG$38,58,0)</f>
        <v>14000</v>
      </c>
      <c r="U18" s="36">
        <f>VLOOKUP($A18,[24]HISTOMAI24!$A$6:$AU$38,28,0)</f>
        <v>0</v>
      </c>
      <c r="V18" s="36">
        <f>VLOOKUP($A18,[24]HISTOMAI24!$A$6:$AU$38,19,0)</f>
        <v>1000000</v>
      </c>
      <c r="W18" s="36" t="str">
        <f>VLOOKUP($A18,[24]HISTOMAI24!$A$6:$AU$38,20,0)</f>
        <v>BANQUE</v>
      </c>
      <c r="X18" s="36" t="str">
        <f>VLOOKUP($A18,[24]HISTOMAI24!$A$6:$AU$38,27,0)</f>
        <v>BANQUE</v>
      </c>
      <c r="Y18" s="36">
        <f>VLOOKUP($A18,[24]HISTOMAI24!$A$6:$BM$38,33,0)</f>
        <v>0</v>
      </c>
      <c r="Z18" s="36">
        <f>VLOOKUP($A18,[24]HISTOMAI24!$A$6:$BM$38,65,0)</f>
        <v>0</v>
      </c>
      <c r="AA18" s="36"/>
      <c r="AB18" s="36">
        <f>VLOOKUP($A18,[24]HISTOMAI24!$A$6:$AU$38,43,0)</f>
        <v>0</v>
      </c>
      <c r="AC18" s="36">
        <f>VLOOKUP($A18,[24]HISTOMAI24!$A$6:$AU$38,44,0)</f>
        <v>0</v>
      </c>
      <c r="AD18" s="36">
        <f>VLOOKUP($A18,[24]HISTOMAI24!$A$6:$AU$38,47,0)</f>
        <v>0</v>
      </c>
      <c r="AE18" s="36">
        <f>VLOOKUP(A18,[24]HISTOMAI24!$A$6:$BB$38,54,0)</f>
        <v>0</v>
      </c>
      <c r="AF18" s="36">
        <f>VLOOKUP($A18,[24]HISTOMAI24!$A$6:$CB$38,60,0)</f>
        <v>0</v>
      </c>
      <c r="AG18" s="36">
        <f>VLOOKUP($A18,[24]HISTOMAI24!$A$6:$CB$38,61,0)</f>
        <v>0</v>
      </c>
      <c r="AH18" s="36">
        <f>VLOOKUP($A18,[24]HISTOMAI24!$A$6:$CB$38,62,0)</f>
        <v>0</v>
      </c>
      <c r="AI18" s="36">
        <f>VLOOKUP($A18,[24]HISTOMAI24!$A$6:$CB$38,63,0)</f>
        <v>0</v>
      </c>
      <c r="AJ18" s="36">
        <f>VLOOKUP($A18,[24]HISTOMAI24!$A$6:$CB$38,64,0)</f>
        <v>0</v>
      </c>
      <c r="AK18" s="36">
        <f>VLOOKUP($A18,[24]HISTOMAI24!$A$6:$CB$38,65,0)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VLOOKUP($A20,[24]HISTOMAI24!$A$6:$AQ$42,22,0)</f>
        <v>0</v>
      </c>
      <c r="K20" s="36">
        <f>VLOOKUP($A20,[24]HISTOMAI24!$A$6:$AU$38,45,0)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VLOOKUP($A20,[24]HISTOMAI24!$A$6:$AU$38,7,0)</f>
        <v>0</v>
      </c>
      <c r="Q20" s="36">
        <f>VLOOKUP($A20,[24]HISTOMAI24!$A$6:$AU$38,23,0)</f>
        <v>0</v>
      </c>
      <c r="R20" s="36">
        <f>VLOOKUP($A20,[24]HISTOMAI24!$A$6:$AU$38,46,0)</f>
        <v>0</v>
      </c>
      <c r="S20" s="36">
        <f>VLOOKUP($A20,[24]HISTOMAI24!$A$6:$AU$38,26,0)</f>
        <v>0</v>
      </c>
      <c r="T20" s="36">
        <f>VLOOKUP($A20,[24]HISTOMAI24!$A$6:$BG$38,58,0)</f>
        <v>0</v>
      </c>
      <c r="U20" s="36">
        <f>VLOOKUP($A20,[24]HISTOMAI24!$A$6:$AU$38,28,0)</f>
        <v>0</v>
      </c>
      <c r="V20" s="36">
        <f>VLOOKUP($A20,[24]HISTOMAI24!$A$6:$AU$38,19,0)</f>
        <v>0</v>
      </c>
      <c r="W20" s="36">
        <f>VLOOKUP($A20,[24]HISTOMAI24!$A$6:$AU$38,20,0)</f>
        <v>0</v>
      </c>
      <c r="X20" s="36">
        <f>VLOOKUP($A20,[24]HISTOMAI24!$A$6:$AU$38,27,0)</f>
        <v>0</v>
      </c>
      <c r="Y20" s="36">
        <f>VLOOKUP($A20,[24]HISTOMAI24!$A$6:$BM$38,33,0)</f>
        <v>0</v>
      </c>
      <c r="Z20" s="36">
        <f>VLOOKUP($A20,[24]HISTOMAI24!$A$6:$BM$38,65,0)</f>
        <v>0</v>
      </c>
      <c r="AA20" s="36"/>
      <c r="AB20" s="36">
        <f>VLOOKUP($A20,[24]HISTOMAI24!$A$6:$AU$38,43,0)</f>
        <v>0</v>
      </c>
      <c r="AC20" s="36">
        <f>VLOOKUP($A20,[24]HISTOMAI24!$A$6:$AU$38,44,0)</f>
        <v>0</v>
      </c>
      <c r="AD20" s="36">
        <f>VLOOKUP($A20,[24]HISTOMAI24!$A$6:$AU$38,47,0)</f>
        <v>0</v>
      </c>
      <c r="AE20" s="36">
        <f>VLOOKUP(A20,[24]HISTOMAI24!$A$6:$BB$38,54,0)</f>
        <v>0</v>
      </c>
      <c r="AF20" s="36">
        <f>VLOOKUP($A20,[24]HISTOMAI24!$A$6:$CB$38,60,0)</f>
        <v>0</v>
      </c>
      <c r="AG20" s="36">
        <f>VLOOKUP($A20,[24]HISTOMAI24!$A$6:$CB$38,61,0)</f>
        <v>0</v>
      </c>
      <c r="AH20" s="36">
        <f>VLOOKUP($A20,[24]HISTOMAI24!$A$6:$CB$38,62,0)</f>
        <v>0</v>
      </c>
      <c r="AI20" s="36">
        <f>VLOOKUP($A20,[24]HISTOMAI24!$A$6:$CB$38,63,0)</f>
        <v>0</v>
      </c>
      <c r="AJ20" s="36">
        <f>VLOOKUP($A20,[24]HISTOMAI24!$A$6:$CB$38,64,0)</f>
        <v>0</v>
      </c>
      <c r="AK20" s="36">
        <f>VLOOKUP($A20,[24]HISTOMAI24!$A$6:$CB$38,65,0)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MVTAVRIL24!I21-E21+L21</f>
        <v>873851.96899536892</v>
      </c>
      <c r="G21" s="5">
        <f>IF(MVTAVRIL24!I21+L21&gt;700000,(MVTAVRIL24!I21-E21+L21),0)</f>
        <v>873851.96899536892</v>
      </c>
      <c r="H21" s="36">
        <f t="shared" si="0"/>
        <v>2578.6001967811567</v>
      </c>
      <c r="I21" s="6">
        <f t="shared" si="2"/>
        <v>876430.56919215003</v>
      </c>
      <c r="J21" s="36">
        <f>VLOOKUP($A21,[24]HISTOMAI24!$A$6:$AQ$42,22,0)</f>
        <v>0</v>
      </c>
      <c r="K21" s="36">
        <f>VLOOKUP($A21,[24]HISTOMAI24!$A$6:$AU$38,45,0)</f>
        <v>24500</v>
      </c>
      <c r="L21" s="36">
        <f t="shared" si="3"/>
        <v>18500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VLOOKUP($A21,[24]HISTOMAI24!$A$6:$AU$38,7,0)</f>
        <v>0</v>
      </c>
      <c r="Q21" s="36">
        <f>VLOOKUP($A21,[24]HISTOMAI24!$A$6:$AU$38,23,0)</f>
        <v>0</v>
      </c>
      <c r="R21" s="36">
        <f>VLOOKUP($A21,[24]HISTOMAI24!$A$6:$AU$38,46,0)</f>
        <v>0</v>
      </c>
      <c r="S21" s="36">
        <f>VLOOKUP($A21,[24]HISTOMAI24!$A$6:$AU$38,26,0)</f>
        <v>0</v>
      </c>
      <c r="T21" s="36">
        <f>VLOOKUP($A21,[24]HISTOMAI24!$A$6:$BG$38,58,0)</f>
        <v>0</v>
      </c>
      <c r="U21" s="36">
        <f>VLOOKUP($A21,[24]HISTOMAI24!$A$6:$AU$38,28,0)</f>
        <v>0</v>
      </c>
      <c r="V21" s="36">
        <f>VLOOKUP($A21,[24]HISTOMAI24!$A$6:$AU$38,19,0)</f>
        <v>0</v>
      </c>
      <c r="W21" s="36">
        <f>VLOOKUP($A21,[24]HISTOMAI24!$A$6:$AU$38,20,0)</f>
        <v>0</v>
      </c>
      <c r="X21" s="36">
        <f>VLOOKUP($A21,[24]HISTOMAI24!$A$6:$AU$38,27,0)</f>
        <v>0</v>
      </c>
      <c r="Y21" s="36">
        <f>VLOOKUP($A21,[24]HISTOMAI24!$A$6:$BM$38,33,0)</f>
        <v>0</v>
      </c>
      <c r="Z21" s="36">
        <f>VLOOKUP($A21,[24]HISTOMAI24!$A$6:$BM$38,65,0)</f>
        <v>0</v>
      </c>
      <c r="AA21" s="36"/>
      <c r="AB21" s="36">
        <f>VLOOKUP($A21,[24]HISTOMAI24!$A$6:$AU$38,43,0)</f>
        <v>0</v>
      </c>
      <c r="AC21" s="36">
        <f>VLOOKUP($A21,[24]HISTOMAI24!$A$6:$AU$38,44,0)</f>
        <v>0</v>
      </c>
      <c r="AD21" s="36">
        <f>VLOOKUP($A21,[24]HISTOMAI24!$A$6:$AU$38,47,0)</f>
        <v>0</v>
      </c>
      <c r="AE21" s="36">
        <f>VLOOKUP(A21,[24]HISTOMAI24!$A$6:$BB$38,54,0)</f>
        <v>0</v>
      </c>
      <c r="AF21" s="36">
        <f>VLOOKUP($A21,[24]HISTOMAI24!$A$6:$CB$38,60,0)</f>
        <v>0</v>
      </c>
      <c r="AG21" s="36">
        <f>VLOOKUP($A21,[24]HISTOMAI24!$A$6:$CB$38,61,0)</f>
        <v>0</v>
      </c>
      <c r="AH21" s="36">
        <f>VLOOKUP($A21,[24]HISTOMAI24!$A$6:$CB$38,62,0)</f>
        <v>0</v>
      </c>
      <c r="AI21" s="36">
        <f>VLOOKUP($A21,[24]HISTOMAI24!$A$6:$CB$38,63,0)</f>
        <v>0</v>
      </c>
      <c r="AJ21" s="36">
        <f>VLOOKUP($A21,[24]HISTOMAI24!$A$6:$CB$38,64,0)</f>
        <v>0</v>
      </c>
      <c r="AK21" s="36">
        <f>VLOOKUP($A21,[24]HISTOMAI24!$A$6:$CB$38,65,0)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MVTAVRIL24!I22-E22+L22</f>
        <v>842777.07147251477</v>
      </c>
      <c r="G22" s="5">
        <f>IF(MVTAVRIL24!I22+L22&gt;700000,(MVTAVRIL24!I22-E22+L22),0)</f>
        <v>842777.07147251477</v>
      </c>
      <c r="H22" s="36">
        <f t="shared" si="0"/>
        <v>2486.9030447343316</v>
      </c>
      <c r="I22" s="6">
        <f t="shared" si="2"/>
        <v>845263.97451724915</v>
      </c>
      <c r="J22" s="36">
        <f>VLOOKUP($A22,[24]HISTOMAI24!$A$6:$AQ$42,22,0)</f>
        <v>0</v>
      </c>
      <c r="K22" s="36">
        <f>VLOOKUP($A22,[24]HISTOMAI24!$A$6:$AU$38,45,0)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VLOOKUP($A22,[24]HISTOMAI24!$A$6:$AU$38,7,0)</f>
        <v>0</v>
      </c>
      <c r="Q22" s="36">
        <f>VLOOKUP($A22,[24]HISTOMAI24!$A$6:$AU$38,23,0)</f>
        <v>0</v>
      </c>
      <c r="R22" s="36">
        <f>VLOOKUP($A22,[24]HISTOMAI24!$A$6:$AU$38,46,0)</f>
        <v>0</v>
      </c>
      <c r="S22" s="36">
        <f>VLOOKUP($A22,[24]HISTOMAI24!$A$6:$AU$38,26,0)</f>
        <v>0</v>
      </c>
      <c r="T22" s="36">
        <f>VLOOKUP($A22,[24]HISTOMAI24!$A$6:$BG$38,58,0)</f>
        <v>0</v>
      </c>
      <c r="U22" s="36">
        <f>VLOOKUP($A22,[24]HISTOMAI24!$A$6:$AU$38,28,0)</f>
        <v>0</v>
      </c>
      <c r="V22" s="36">
        <f>VLOOKUP($A22,[24]HISTOMAI24!$A$6:$AU$38,19,0)</f>
        <v>0</v>
      </c>
      <c r="W22" s="36">
        <f>VLOOKUP($A22,[24]HISTOMAI24!$A$6:$AU$38,20,0)</f>
        <v>0</v>
      </c>
      <c r="X22" s="36">
        <f>VLOOKUP($A22,[24]HISTOMAI24!$A$6:$AU$38,27,0)</f>
        <v>0</v>
      </c>
      <c r="Y22" s="36">
        <f>VLOOKUP($A22,[24]HISTOMAI24!$A$6:$BM$38,33,0)</f>
        <v>0</v>
      </c>
      <c r="Z22" s="36">
        <f>VLOOKUP($A22,[24]HISTOMAI24!$A$6:$BM$38,65,0)</f>
        <v>0</v>
      </c>
      <c r="AA22" s="36"/>
      <c r="AB22" s="36">
        <f>VLOOKUP($A22,[24]HISTOMAI24!$A$6:$AU$38,43,0)</f>
        <v>0</v>
      </c>
      <c r="AC22" s="36">
        <f>VLOOKUP($A22,[24]HISTOMAI24!$A$6:$AU$38,44,0)</f>
        <v>0</v>
      </c>
      <c r="AD22" s="36">
        <f>VLOOKUP($A22,[24]HISTOMAI24!$A$6:$AU$38,47,0)</f>
        <v>0</v>
      </c>
      <c r="AE22" s="36">
        <f>VLOOKUP(A22,[24]HISTOMAI24!$A$6:$BB$38,54,0)</f>
        <v>0</v>
      </c>
      <c r="AF22" s="36">
        <f>VLOOKUP($A22,[24]HISTOMAI24!$A$6:$CB$38,60,0)</f>
        <v>0</v>
      </c>
      <c r="AG22" s="36">
        <f>VLOOKUP($A22,[24]HISTOMAI24!$A$6:$CB$38,61,0)</f>
        <v>0</v>
      </c>
      <c r="AH22" s="36">
        <f>VLOOKUP($A22,[24]HISTOMAI24!$A$6:$CB$38,62,0)</f>
        <v>0</v>
      </c>
      <c r="AI22" s="36">
        <f>VLOOKUP($A22,[24]HISTOMAI24!$A$6:$CB$38,63,0)</f>
        <v>0</v>
      </c>
      <c r="AJ22" s="36">
        <f>VLOOKUP($A22,[24]HISTOMAI24!$A$6:$CB$38,64,0)</f>
        <v>0</v>
      </c>
      <c r="AK22" s="36">
        <f>VLOOKUP($A22,[24]HISTOMAI24!$A$6:$CB$38,65,0)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MVTAVRIL24!I23-E23+L23</f>
        <v>948576.20918963733</v>
      </c>
      <c r="G23" s="5">
        <f>IF(MVTAVRIL24!I23+L23&gt;700000,(MVTAVRIL24!I23-E23+L23),0)</f>
        <v>948576.20918963733</v>
      </c>
      <c r="H23" s="36">
        <f t="shared" si="0"/>
        <v>2799.0997176448377</v>
      </c>
      <c r="I23" s="6">
        <f t="shared" si="2"/>
        <v>951375.30890728219</v>
      </c>
      <c r="J23" s="36">
        <f>VLOOKUP($A23,[24]HISTOMAI24!$A$6:$AQ$42,22,0)</f>
        <v>0</v>
      </c>
      <c r="K23" s="36">
        <f>VLOOKUP($A23,[24]HISTOMAI24!$A$6:$AU$38,45,0)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VLOOKUP($A23,[24]HISTOMAI24!$A$6:$AU$38,7,0)</f>
        <v>0</v>
      </c>
      <c r="Q23" s="36">
        <f>VLOOKUP($A23,[24]HISTOMAI24!$A$6:$AU$38,23,0)</f>
        <v>0</v>
      </c>
      <c r="R23" s="36">
        <f>VLOOKUP($A23,[24]HISTOMAI24!$A$6:$AU$38,46,0)</f>
        <v>0</v>
      </c>
      <c r="S23" s="36">
        <f>VLOOKUP($A23,[24]HISTOMAI24!$A$6:$AU$38,26,0)</f>
        <v>0</v>
      </c>
      <c r="T23" s="36">
        <f>VLOOKUP($A23,[24]HISTOMAI24!$A$6:$BG$38,58,0)</f>
        <v>0</v>
      </c>
      <c r="U23" s="36">
        <f>VLOOKUP($A23,[24]HISTOMAI24!$A$6:$AU$38,28,0)</f>
        <v>0</v>
      </c>
      <c r="V23" s="36">
        <f>VLOOKUP($A23,[24]HISTOMAI24!$A$6:$AU$38,19,0)</f>
        <v>0</v>
      </c>
      <c r="W23" s="36">
        <f>VLOOKUP($A23,[24]HISTOMAI24!$A$6:$AU$38,20,0)</f>
        <v>0</v>
      </c>
      <c r="X23" s="36">
        <f>VLOOKUP($A23,[24]HISTOMAI24!$A$6:$AU$38,27,0)</f>
        <v>0</v>
      </c>
      <c r="Y23" s="36">
        <f>VLOOKUP($A23,[24]HISTOMAI24!$A$6:$BM$38,33,0)</f>
        <v>0</v>
      </c>
      <c r="Z23" s="36">
        <f>VLOOKUP($A23,[24]HISTOMAI24!$A$6:$BM$38,65,0)</f>
        <v>0</v>
      </c>
      <c r="AA23" s="36"/>
      <c r="AB23" s="36">
        <f>VLOOKUP($A23,[24]HISTOMAI24!$A$6:$AU$38,43,0)</f>
        <v>0</v>
      </c>
      <c r="AC23" s="36">
        <f>VLOOKUP($A23,[24]HISTOMAI24!$A$6:$AU$38,44,0)</f>
        <v>0</v>
      </c>
      <c r="AD23" s="36">
        <f>VLOOKUP($A23,[24]HISTOMAI24!$A$6:$AU$38,47,0)</f>
        <v>0</v>
      </c>
      <c r="AE23" s="36">
        <f>VLOOKUP(A23,[24]HISTOMAI24!$A$6:$BB$38,54,0)</f>
        <v>0</v>
      </c>
      <c r="AF23" s="36">
        <f>VLOOKUP($A23,[24]HISTOMAI24!$A$6:$CB$38,60,0)</f>
        <v>0</v>
      </c>
      <c r="AG23" s="36">
        <f>VLOOKUP($A23,[24]HISTOMAI24!$A$6:$CB$38,61,0)</f>
        <v>0</v>
      </c>
      <c r="AH23" s="36">
        <f>VLOOKUP($A23,[24]HISTOMAI24!$A$6:$CB$38,62,0)</f>
        <v>0</v>
      </c>
      <c r="AI23" s="36">
        <f>VLOOKUP($A23,[24]HISTOMAI24!$A$6:$CB$38,63,0)</f>
        <v>0</v>
      </c>
      <c r="AJ23" s="36">
        <f>VLOOKUP($A23,[24]HISTOMAI24!$A$6:$CB$38,64,0)</f>
        <v>0</v>
      </c>
      <c r="AK23" s="36">
        <f>VLOOKUP($A23,[24]HISTOMAI24!$A$6:$CB$38,65,0)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MVTAVRIL24!I24-E24+L24</f>
        <v>1141559.0010468005</v>
      </c>
      <c r="G24" s="5">
        <f>IF(MVTAVRIL24!I24+L24&gt;700000,(MVTAVRIL24!I24-E24+L24),0)</f>
        <v>1141559.0010468005</v>
      </c>
      <c r="H24" s="36">
        <f t="shared" si="0"/>
        <v>3368.5616891391142</v>
      </c>
      <c r="I24" s="6">
        <f t="shared" si="2"/>
        <v>1144927.5627359396</v>
      </c>
      <c r="J24" s="36">
        <f>VLOOKUP($A24,[24]HISTOMAI24!$A$6:$AQ$42,22,0)</f>
        <v>0</v>
      </c>
      <c r="K24" s="36">
        <f>VLOOKUP($A24,[24]HISTOMAI24!$A$6:$AU$38,45,0)</f>
        <v>45000</v>
      </c>
      <c r="L24" s="36">
        <f t="shared" si="3"/>
        <v>39000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VLOOKUP($A24,[24]HISTOMAI24!$A$6:$AU$38,7,0)</f>
        <v>0</v>
      </c>
      <c r="Q24" s="36">
        <f>VLOOKUP($A24,[24]HISTOMAI24!$A$6:$AU$38,23,0)</f>
        <v>0</v>
      </c>
      <c r="R24" s="36">
        <f>VLOOKUP($A24,[24]HISTOMAI24!$A$6:$AU$38,46,0)</f>
        <v>0</v>
      </c>
      <c r="S24" s="36">
        <f>VLOOKUP($A24,[24]HISTOMAI24!$A$6:$AU$38,26,0)</f>
        <v>0</v>
      </c>
      <c r="T24" s="36">
        <f>VLOOKUP($A24,[24]HISTOMAI24!$A$6:$BG$38,58,0)</f>
        <v>0</v>
      </c>
      <c r="U24" s="36">
        <f>VLOOKUP($A24,[24]HISTOMAI24!$A$6:$AU$38,28,0)</f>
        <v>0</v>
      </c>
      <c r="V24" s="36">
        <f>VLOOKUP($A24,[24]HISTOMAI24!$A$6:$AU$38,19,0)</f>
        <v>0</v>
      </c>
      <c r="W24" s="36">
        <f>VLOOKUP($A24,[24]HISTOMAI24!$A$6:$AU$38,20,0)</f>
        <v>0</v>
      </c>
      <c r="X24" s="36">
        <f>VLOOKUP($A24,[24]HISTOMAI24!$A$6:$AU$38,27,0)</f>
        <v>0</v>
      </c>
      <c r="Y24" s="36">
        <f>VLOOKUP($A24,[24]HISTOMAI24!$A$6:$BM$38,33,0)</f>
        <v>0</v>
      </c>
      <c r="Z24" s="36">
        <f>VLOOKUP($A24,[24]HISTOMAI24!$A$6:$BM$38,65,0)</f>
        <v>0</v>
      </c>
      <c r="AA24" s="36"/>
      <c r="AB24" s="36">
        <f>VLOOKUP($A24,[24]HISTOMAI24!$A$6:$AU$38,43,0)</f>
        <v>0</v>
      </c>
      <c r="AC24" s="36">
        <f>VLOOKUP($A24,[24]HISTOMAI24!$A$6:$AU$38,44,0)</f>
        <v>0</v>
      </c>
      <c r="AD24" s="36">
        <f>VLOOKUP($A24,[24]HISTOMAI24!$A$6:$AU$38,47,0)</f>
        <v>0</v>
      </c>
      <c r="AE24" s="36">
        <f>VLOOKUP(A24,[24]HISTOMAI24!$A$6:$BB$38,54,0)</f>
        <v>0</v>
      </c>
      <c r="AF24" s="36">
        <f>VLOOKUP($A24,[24]HISTOMAI24!$A$6:$CB$38,60,0)</f>
        <v>0</v>
      </c>
      <c r="AG24" s="36">
        <f>VLOOKUP($A24,[24]HISTOMAI24!$A$6:$CB$38,61,0)</f>
        <v>0</v>
      </c>
      <c r="AH24" s="36">
        <f>VLOOKUP($A24,[24]HISTOMAI24!$A$6:$CB$38,62,0)</f>
        <v>0</v>
      </c>
      <c r="AI24" s="36">
        <f>VLOOKUP($A24,[24]HISTOMAI24!$A$6:$CB$38,63,0)</f>
        <v>0</v>
      </c>
      <c r="AJ24" s="36">
        <f>VLOOKUP($A24,[24]HISTOMAI24!$A$6:$CB$38,64,0)</f>
        <v>0</v>
      </c>
      <c r="AK24" s="36">
        <f>VLOOKUP($A24,[24]HISTOMAI24!$A$6:$CB$38,65,0)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MVTAVRIL24!I25-E25+L25</f>
        <v>980102.52476419345</v>
      </c>
      <c r="G25" s="5">
        <f>IF(MVTAVRIL24!I25+L25&gt;700000,(MVTAVRIL24!I25-E25+L25),0)</f>
        <v>980102.52476419345</v>
      </c>
      <c r="H25" s="36">
        <f t="shared" si="0"/>
        <v>2892.1289336089503</v>
      </c>
      <c r="I25" s="6">
        <f t="shared" si="2"/>
        <v>982994.65369780245</v>
      </c>
      <c r="J25" s="36">
        <f>VLOOKUP($A25,[24]HISTOMAI24!$A$6:$AQ$42,22,0)</f>
        <v>0</v>
      </c>
      <c r="K25" s="36">
        <f>VLOOKUP($A25,[24]HISTOMAI24!$A$6:$AU$38,45,0)</f>
        <v>50000</v>
      </c>
      <c r="L25" s="36">
        <f t="shared" si="3"/>
        <v>44000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VLOOKUP($A25,[24]HISTOMAI24!$A$6:$AU$38,7,0)</f>
        <v>0</v>
      </c>
      <c r="Q25" s="36">
        <f>VLOOKUP($A25,[24]HISTOMAI24!$A$6:$AU$38,23,0)</f>
        <v>0</v>
      </c>
      <c r="R25" s="36">
        <f>VLOOKUP($A25,[24]HISTOMAI24!$A$6:$AU$38,46,0)</f>
        <v>0</v>
      </c>
      <c r="S25" s="36">
        <f>VLOOKUP($A25,[24]HISTOMAI24!$A$6:$AU$38,26,0)</f>
        <v>0</v>
      </c>
      <c r="T25" s="36">
        <f>VLOOKUP($A25,[24]HISTOMAI24!$A$6:$BG$38,58,0)</f>
        <v>0</v>
      </c>
      <c r="U25" s="36">
        <f>VLOOKUP($A25,[24]HISTOMAI24!$A$6:$AU$38,28,0)</f>
        <v>0</v>
      </c>
      <c r="V25" s="36">
        <f>VLOOKUP($A25,[24]HISTOMAI24!$A$6:$AU$38,19,0)</f>
        <v>0</v>
      </c>
      <c r="W25" s="36">
        <f>VLOOKUP($A25,[24]HISTOMAI24!$A$6:$AU$38,20,0)</f>
        <v>0</v>
      </c>
      <c r="X25" s="36">
        <f>VLOOKUP($A25,[24]HISTOMAI24!$A$6:$AU$38,27,0)</f>
        <v>0</v>
      </c>
      <c r="Y25" s="36">
        <f>VLOOKUP($A25,[24]HISTOMAI24!$A$6:$BM$38,33,0)</f>
        <v>0</v>
      </c>
      <c r="Z25" s="36">
        <f>VLOOKUP($A25,[24]HISTOMAI24!$A$6:$BM$38,65,0)</f>
        <v>0</v>
      </c>
      <c r="AA25" s="36"/>
      <c r="AB25" s="36">
        <f>VLOOKUP($A25,[24]HISTOMAI24!$A$6:$AU$38,43,0)</f>
        <v>0</v>
      </c>
      <c r="AC25" s="36">
        <f>VLOOKUP($A25,[24]HISTOMAI24!$A$6:$AU$38,44,0)</f>
        <v>0</v>
      </c>
      <c r="AD25" s="36">
        <f>VLOOKUP($A25,[24]HISTOMAI24!$A$6:$AU$38,47,0)</f>
        <v>0</v>
      </c>
      <c r="AE25" s="36">
        <f>VLOOKUP(A25,[24]HISTOMAI24!$A$6:$BB$38,54,0)</f>
        <v>0</v>
      </c>
      <c r="AF25" s="36">
        <f>VLOOKUP($A25,[24]HISTOMAI24!$A$6:$CB$38,60,0)</f>
        <v>0</v>
      </c>
      <c r="AG25" s="36">
        <f>VLOOKUP($A25,[24]HISTOMAI24!$A$6:$CB$38,61,0)</f>
        <v>0</v>
      </c>
      <c r="AH25" s="36">
        <f>VLOOKUP($A25,[24]HISTOMAI24!$A$6:$CB$38,62,0)</f>
        <v>0</v>
      </c>
      <c r="AI25" s="36">
        <f>VLOOKUP($A25,[24]HISTOMAI24!$A$6:$CB$38,63,0)</f>
        <v>0</v>
      </c>
      <c r="AJ25" s="36">
        <f>VLOOKUP($A25,[24]HISTOMAI24!$A$6:$CB$38,64,0)</f>
        <v>0</v>
      </c>
      <c r="AK25" s="36">
        <f>VLOOKUP($A25,[24]HISTOMAI24!$A$6:$CB$38,65,0)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MVTAVRIL24!I26-E26+L26</f>
        <v>860778.18276075949</v>
      </c>
      <c r="G26" s="5">
        <f>IF(MVTAVRIL24!I26+L26&gt;700000,(MVTAVRIL24!I26-E26+L26),0)</f>
        <v>860778.18276075949</v>
      </c>
      <c r="H26" s="36">
        <f t="shared" si="0"/>
        <v>2540.0215027307263</v>
      </c>
      <c r="I26" s="6">
        <f t="shared" si="2"/>
        <v>863318.20426349016</v>
      </c>
      <c r="J26" s="36">
        <f>VLOOKUP($A26,[24]HISTOMAI24!$A$6:$AQ$42,22,0)</f>
        <v>0</v>
      </c>
      <c r="K26" s="36">
        <f>VLOOKUP($A26,[24]HISTOMAI24!$A$6:$AU$38,45,0)</f>
        <v>24500</v>
      </c>
      <c r="L26" s="36">
        <f t="shared" si="3"/>
        <v>18500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VLOOKUP($A26,[24]HISTOMAI24!$A$6:$AU$38,7,0)</f>
        <v>0</v>
      </c>
      <c r="Q26" s="36">
        <f>VLOOKUP($A26,[24]HISTOMAI24!$A$6:$AU$38,23,0)</f>
        <v>0</v>
      </c>
      <c r="R26" s="36">
        <f>VLOOKUP($A26,[24]HISTOMAI24!$A$6:$AU$38,46,0)</f>
        <v>0</v>
      </c>
      <c r="S26" s="36">
        <f>VLOOKUP($A26,[24]HISTOMAI24!$A$6:$AU$38,26,0)</f>
        <v>0</v>
      </c>
      <c r="T26" s="36">
        <f>VLOOKUP($A26,[24]HISTOMAI24!$A$6:$BG$38,58,0)</f>
        <v>0</v>
      </c>
      <c r="U26" s="36">
        <f>VLOOKUP($A26,[24]HISTOMAI24!$A$6:$AU$38,28,0)</f>
        <v>0</v>
      </c>
      <c r="V26" s="36">
        <f>VLOOKUP($A26,[24]HISTOMAI24!$A$6:$AU$38,19,0)</f>
        <v>0</v>
      </c>
      <c r="W26" s="36">
        <f>VLOOKUP($A26,[24]HISTOMAI24!$A$6:$AU$38,20,0)</f>
        <v>0</v>
      </c>
      <c r="X26" s="36">
        <f>VLOOKUP($A26,[24]HISTOMAI24!$A$6:$AU$38,27,0)</f>
        <v>0</v>
      </c>
      <c r="Y26" s="36">
        <f>VLOOKUP($A26,[24]HISTOMAI24!$A$6:$BM$38,33,0)</f>
        <v>0</v>
      </c>
      <c r="Z26" s="36">
        <f>VLOOKUP($A26,[24]HISTOMAI24!$A$6:$BM$38,65,0)</f>
        <v>0</v>
      </c>
      <c r="AA26" s="36"/>
      <c r="AB26" s="36">
        <f>VLOOKUP($A26,[24]HISTOMAI24!$A$6:$AU$38,43,0)</f>
        <v>0</v>
      </c>
      <c r="AC26" s="36">
        <f>VLOOKUP($A26,[24]HISTOMAI24!$A$6:$AU$38,44,0)</f>
        <v>0</v>
      </c>
      <c r="AD26" s="36">
        <f>VLOOKUP($A26,[24]HISTOMAI24!$A$6:$AU$38,47,0)</f>
        <v>0</v>
      </c>
      <c r="AE26" s="36">
        <f>VLOOKUP(A26,[24]HISTOMAI24!$A$6:$BB$38,54,0)</f>
        <v>0</v>
      </c>
      <c r="AF26" s="36">
        <f>VLOOKUP($A26,[24]HISTOMAI24!$A$6:$CB$38,60,0)</f>
        <v>0</v>
      </c>
      <c r="AG26" s="36">
        <f>VLOOKUP($A26,[24]HISTOMAI24!$A$6:$CB$38,61,0)</f>
        <v>0</v>
      </c>
      <c r="AH26" s="36">
        <f>VLOOKUP($A26,[24]HISTOMAI24!$A$6:$CB$38,62,0)</f>
        <v>0</v>
      </c>
      <c r="AI26" s="36">
        <f>VLOOKUP($A26,[24]HISTOMAI24!$A$6:$CB$38,63,0)</f>
        <v>0</v>
      </c>
      <c r="AJ26" s="36">
        <f>VLOOKUP($A26,[24]HISTOMAI24!$A$6:$CB$38,64,0)</f>
        <v>0</v>
      </c>
      <c r="AK26" s="36">
        <f>VLOOKUP($A26,[24]HISTOMAI24!$A$6:$CB$38,65,0)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MVTAVRIL24!I27-E27+L27</f>
        <v>861837.74305685516</v>
      </c>
      <c r="G27" s="5">
        <f>IF(MVTAVRIL24!I27+L27&gt;700000,(MVTAVRIL24!I27-E27+L27),0)</f>
        <v>861837.74305685516</v>
      </c>
      <c r="H27" s="36">
        <f t="shared" si="0"/>
        <v>2543.148099093672</v>
      </c>
      <c r="I27" s="6">
        <f t="shared" si="2"/>
        <v>864380.89115594886</v>
      </c>
      <c r="J27" s="36">
        <f>VLOOKUP($A27,[24]HISTOMAI24!$A$6:$AQ$42,22,0)</f>
        <v>0</v>
      </c>
      <c r="K27" s="36">
        <f>VLOOKUP($A27,[24]HISTOMAI24!$A$6:$AU$38,45,0)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VLOOKUP($A27,[24]HISTOMAI24!$A$6:$AU$38,7,0)</f>
        <v>0</v>
      </c>
      <c r="Q27" s="36">
        <f>VLOOKUP($A27,[24]HISTOMAI24!$A$6:$AU$38,23,0)</f>
        <v>0</v>
      </c>
      <c r="R27" s="36">
        <f>VLOOKUP($A27,[24]HISTOMAI24!$A$6:$AU$38,46,0)</f>
        <v>0</v>
      </c>
      <c r="S27" s="36">
        <f>VLOOKUP($A27,[24]HISTOMAI24!$A$6:$AU$38,26,0)</f>
        <v>0</v>
      </c>
      <c r="T27" s="36">
        <f>VLOOKUP($A27,[24]HISTOMAI24!$A$6:$BG$38,58,0)</f>
        <v>0</v>
      </c>
      <c r="U27" s="36">
        <f>VLOOKUP($A27,[24]HISTOMAI24!$A$6:$AU$38,28,0)</f>
        <v>0</v>
      </c>
      <c r="V27" s="36">
        <f>VLOOKUP($A27,[24]HISTOMAI24!$A$6:$AU$38,19,0)</f>
        <v>0</v>
      </c>
      <c r="W27" s="36">
        <f>VLOOKUP($A27,[24]HISTOMAI24!$A$6:$AU$38,20,0)</f>
        <v>0</v>
      </c>
      <c r="X27" s="36">
        <f>VLOOKUP($A27,[24]HISTOMAI24!$A$6:$AU$38,27,0)</f>
        <v>0</v>
      </c>
      <c r="Y27" s="36">
        <f>VLOOKUP($A27,[24]HISTOMAI24!$A$6:$BM$38,33,0)</f>
        <v>0</v>
      </c>
      <c r="Z27" s="36">
        <f>VLOOKUP($A27,[24]HISTOMAI24!$A$6:$BM$38,65,0)</f>
        <v>0</v>
      </c>
      <c r="AA27" s="36"/>
      <c r="AB27" s="36">
        <f>VLOOKUP($A27,[24]HISTOMAI24!$A$6:$AU$38,43,0)</f>
        <v>0</v>
      </c>
      <c r="AC27" s="36">
        <f>VLOOKUP($A27,[24]HISTOMAI24!$A$6:$AU$38,44,0)</f>
        <v>0</v>
      </c>
      <c r="AD27" s="36">
        <f>VLOOKUP($A27,[24]HISTOMAI24!$A$6:$AU$38,47,0)</f>
        <v>0</v>
      </c>
      <c r="AE27" s="36">
        <f>VLOOKUP(A27,[24]HISTOMAI24!$A$6:$BB$38,54,0)</f>
        <v>0</v>
      </c>
      <c r="AF27" s="36">
        <f>VLOOKUP($A27,[24]HISTOMAI24!$A$6:$CB$38,60,0)</f>
        <v>0</v>
      </c>
      <c r="AG27" s="36">
        <f>VLOOKUP($A27,[24]HISTOMAI24!$A$6:$CB$38,61,0)</f>
        <v>0</v>
      </c>
      <c r="AH27" s="36">
        <f>VLOOKUP($A27,[24]HISTOMAI24!$A$6:$CB$38,62,0)</f>
        <v>0</v>
      </c>
      <c r="AI27" s="36">
        <f>VLOOKUP($A27,[24]HISTOMAI24!$A$6:$CB$38,63,0)</f>
        <v>0</v>
      </c>
      <c r="AJ27" s="36">
        <f>VLOOKUP($A27,[24]HISTOMAI24!$A$6:$CB$38,64,0)</f>
        <v>0</v>
      </c>
      <c r="AK27" s="36">
        <f>VLOOKUP($A27,[24]HISTOMAI24!$A$6:$CB$38,65,0)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MVTAVRIL24!I28-E28+L28</f>
        <v>764180.40115325153</v>
      </c>
      <c r="G28" s="5">
        <f>IF(MVTAVRIL24!I28+L28&gt;700000,(MVTAVRIL24!I28-E28+L28),0)</f>
        <v>764180.40115325153</v>
      </c>
      <c r="H28" s="36">
        <f t="shared" si="0"/>
        <v>2254.976589519501</v>
      </c>
      <c r="I28" s="6">
        <f t="shared" si="2"/>
        <v>766435.37774277106</v>
      </c>
      <c r="J28" s="36">
        <f>VLOOKUP($A28,[24]HISTOMAI24!$A$6:$AQ$42,22,0)</f>
        <v>0</v>
      </c>
      <c r="K28" s="36">
        <f>VLOOKUP($A28,[24]HISTOMAI24!$A$6:$AU$38,45,0)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VLOOKUP($A28,[24]HISTOMAI24!$A$6:$AU$38,7,0)</f>
        <v>0</v>
      </c>
      <c r="Q28" s="36">
        <f>VLOOKUP($A28,[24]HISTOMAI24!$A$6:$AU$38,23,0)</f>
        <v>0</v>
      </c>
      <c r="R28" s="36">
        <f>VLOOKUP($A28,[24]HISTOMAI24!$A$6:$AU$38,46,0)</f>
        <v>0</v>
      </c>
      <c r="S28" s="36">
        <f>VLOOKUP($A28,[24]HISTOMAI24!$A$6:$AU$38,26,0)</f>
        <v>0</v>
      </c>
      <c r="T28" s="36">
        <f>VLOOKUP($A28,[24]HISTOMAI24!$A$6:$BG$38,58,0)</f>
        <v>0</v>
      </c>
      <c r="U28" s="36">
        <f>VLOOKUP($A28,[24]HISTOMAI24!$A$6:$AU$38,28,0)</f>
        <v>0</v>
      </c>
      <c r="V28" s="36">
        <f>VLOOKUP($A28,[24]HISTOMAI24!$A$6:$AU$38,19,0)</f>
        <v>0</v>
      </c>
      <c r="W28" s="36">
        <f>VLOOKUP($A28,[24]HISTOMAI24!$A$6:$AU$38,20,0)</f>
        <v>0</v>
      </c>
      <c r="X28" s="36">
        <f>VLOOKUP($A28,[24]HISTOMAI24!$A$6:$AU$38,27,0)</f>
        <v>0</v>
      </c>
      <c r="Y28" s="36">
        <f>VLOOKUP($A28,[24]HISTOMAI24!$A$6:$BM$38,33,0)</f>
        <v>0</v>
      </c>
      <c r="Z28" s="36">
        <f>VLOOKUP($A28,[24]HISTOMAI24!$A$6:$BM$38,65,0)</f>
        <v>0</v>
      </c>
      <c r="AA28" s="36"/>
      <c r="AB28" s="36">
        <f>VLOOKUP($A28,[24]HISTOMAI24!$A$6:$AU$38,43,0)</f>
        <v>0</v>
      </c>
      <c r="AC28" s="36">
        <f>VLOOKUP($A28,[24]HISTOMAI24!$A$6:$AU$38,44,0)</f>
        <v>0</v>
      </c>
      <c r="AD28" s="36">
        <f>VLOOKUP($A28,[24]HISTOMAI24!$A$6:$AU$38,47,0)</f>
        <v>0</v>
      </c>
      <c r="AE28" s="36">
        <f>VLOOKUP(A28,[24]HISTOMAI24!$A$6:$BB$38,54,0)</f>
        <v>0</v>
      </c>
      <c r="AF28" s="36">
        <f>VLOOKUP($A28,[24]HISTOMAI24!$A$6:$CB$38,60,0)</f>
        <v>0</v>
      </c>
      <c r="AG28" s="36">
        <f>VLOOKUP($A28,[24]HISTOMAI24!$A$6:$CB$38,61,0)</f>
        <v>0</v>
      </c>
      <c r="AH28" s="36">
        <f>VLOOKUP($A28,[24]HISTOMAI24!$A$6:$CB$38,62,0)</f>
        <v>0</v>
      </c>
      <c r="AI28" s="36">
        <f>VLOOKUP($A28,[24]HISTOMAI24!$A$6:$CB$38,63,0)</f>
        <v>0</v>
      </c>
      <c r="AJ28" s="36">
        <f>VLOOKUP($A28,[24]HISTOMAI24!$A$6:$CB$38,64,0)</f>
        <v>0</v>
      </c>
      <c r="AK28" s="36">
        <f>VLOOKUP($A28,[24]HISTOMAI24!$A$6:$CB$38,65,0)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MVTAVRIL24!I29-E29+L29</f>
        <v>888131.05819251109</v>
      </c>
      <c r="G29" s="5">
        <f>IF(MVTAVRIL24!I29+L29&gt;700000,(MVTAVRIL24!I29-E29+L29),0)</f>
        <v>888131.05819251109</v>
      </c>
      <c r="H29" s="36">
        <f t="shared" si="0"/>
        <v>2620.7355509601225</v>
      </c>
      <c r="I29" s="6">
        <f t="shared" si="2"/>
        <v>890751.79374347127</v>
      </c>
      <c r="J29" s="36">
        <f>VLOOKUP($A29,[24]HISTOMAI24!$A$6:$AQ$42,22,0)</f>
        <v>0</v>
      </c>
      <c r="K29" s="36">
        <f>VLOOKUP($A29,[24]HISTOMAI24!$A$6:$AU$38,45,0)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VLOOKUP($A29,[24]HISTOMAI24!$A$6:$AU$38,7,0)</f>
        <v>0</v>
      </c>
      <c r="Q29" s="36">
        <f>VLOOKUP($A29,[24]HISTOMAI24!$A$6:$AU$38,23,0)</f>
        <v>0</v>
      </c>
      <c r="R29" s="36">
        <f>VLOOKUP($A29,[24]HISTOMAI24!$A$6:$AU$38,46,0)</f>
        <v>0</v>
      </c>
      <c r="S29" s="36">
        <f>VLOOKUP($A29,[24]HISTOMAI24!$A$6:$AU$38,26,0)</f>
        <v>0</v>
      </c>
      <c r="T29" s="36">
        <f>VLOOKUP($A29,[24]HISTOMAI24!$A$6:$BG$38,58,0)</f>
        <v>0</v>
      </c>
      <c r="U29" s="36">
        <f>VLOOKUP($A29,[24]HISTOMAI24!$A$6:$AU$38,28,0)</f>
        <v>0</v>
      </c>
      <c r="V29" s="36">
        <f>VLOOKUP($A29,[24]HISTOMAI24!$A$6:$AU$38,19,0)</f>
        <v>0</v>
      </c>
      <c r="W29" s="36">
        <f>VLOOKUP($A29,[24]HISTOMAI24!$A$6:$AU$38,20,0)</f>
        <v>0</v>
      </c>
      <c r="X29" s="36">
        <f>VLOOKUP($A29,[24]HISTOMAI24!$A$6:$AU$38,27,0)</f>
        <v>0</v>
      </c>
      <c r="Y29" s="36">
        <f>VLOOKUP($A29,[24]HISTOMAI24!$A$6:$BM$38,33,0)</f>
        <v>0</v>
      </c>
      <c r="Z29" s="36">
        <f>VLOOKUP($A29,[24]HISTOMAI24!$A$6:$BM$38,65,0)</f>
        <v>0</v>
      </c>
      <c r="AA29" s="36"/>
      <c r="AB29" s="36">
        <f>VLOOKUP($A29,[24]HISTOMAI24!$A$6:$AU$38,43,0)</f>
        <v>0</v>
      </c>
      <c r="AC29" s="36">
        <f>VLOOKUP($A29,[24]HISTOMAI24!$A$6:$AU$38,44,0)</f>
        <v>0</v>
      </c>
      <c r="AD29" s="36">
        <f>VLOOKUP($A29,[24]HISTOMAI24!$A$6:$AU$38,47,0)</f>
        <v>0</v>
      </c>
      <c r="AE29" s="36">
        <f>VLOOKUP(A29,[24]HISTOMAI24!$A$6:$BB$38,54,0)</f>
        <v>0</v>
      </c>
      <c r="AF29" s="36">
        <f>VLOOKUP($A29,[24]HISTOMAI24!$A$6:$CB$38,60,0)</f>
        <v>0</v>
      </c>
      <c r="AG29" s="36">
        <f>VLOOKUP($A29,[24]HISTOMAI24!$A$6:$CB$38,61,0)</f>
        <v>0</v>
      </c>
      <c r="AH29" s="36">
        <f>VLOOKUP($A29,[24]HISTOMAI24!$A$6:$CB$38,62,0)</f>
        <v>0</v>
      </c>
      <c r="AI29" s="36">
        <f>VLOOKUP($A29,[24]HISTOMAI24!$A$6:$CB$38,63,0)</f>
        <v>0</v>
      </c>
      <c r="AJ29" s="36">
        <f>VLOOKUP($A29,[24]HISTOMAI24!$A$6:$CB$38,64,0)</f>
        <v>0</v>
      </c>
      <c r="AK29" s="36">
        <f>VLOOKUP($A29,[24]HISTOMAI24!$A$6:$CB$38,65,0)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MVTAVRIL24!I30-E30+L30</f>
        <v>793791.07097684417</v>
      </c>
      <c r="G30" s="5">
        <f>IF(MVTAVRIL24!I30+L30&gt;700000,(MVTAVRIL24!I30-E30+L30),0)</f>
        <v>793791.07097684417</v>
      </c>
      <c r="H30" s="36">
        <f t="shared" si="0"/>
        <v>2342.3530351224317</v>
      </c>
      <c r="I30" s="6">
        <f t="shared" si="2"/>
        <v>796133.42401196656</v>
      </c>
      <c r="J30" s="36">
        <f>VLOOKUP($A30,[24]HISTOMAI24!$A$6:$AQ$42,22,0)</f>
        <v>0</v>
      </c>
      <c r="K30" s="36">
        <f>VLOOKUP($A30,[24]HISTOMAI24!$A$6:$AU$38,45,0)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VLOOKUP($A30,[24]HISTOMAI24!$A$6:$AU$38,7,0)</f>
        <v>0</v>
      </c>
      <c r="Q30" s="36">
        <f>VLOOKUP($A30,[24]HISTOMAI24!$A$6:$AU$38,23,0)</f>
        <v>0</v>
      </c>
      <c r="R30" s="36">
        <f>VLOOKUP($A30,[24]HISTOMAI24!$A$6:$AU$38,46,0)</f>
        <v>0</v>
      </c>
      <c r="S30" s="36">
        <f>VLOOKUP($A30,[24]HISTOMAI24!$A$6:$AU$38,26,0)</f>
        <v>0</v>
      </c>
      <c r="T30" s="36">
        <f>VLOOKUP($A30,[24]HISTOMAI24!$A$6:$BG$38,58,0)</f>
        <v>0</v>
      </c>
      <c r="U30" s="36">
        <f>VLOOKUP($A30,[24]HISTOMAI24!$A$6:$AU$38,28,0)</f>
        <v>0</v>
      </c>
      <c r="V30" s="36">
        <f>VLOOKUP($A30,[24]HISTOMAI24!$A$6:$AU$38,19,0)</f>
        <v>0</v>
      </c>
      <c r="W30" s="36">
        <f>VLOOKUP($A30,[24]HISTOMAI24!$A$6:$AU$38,20,0)</f>
        <v>0</v>
      </c>
      <c r="X30" s="36">
        <f>VLOOKUP($A30,[24]HISTOMAI24!$A$6:$AU$38,27,0)</f>
        <v>0</v>
      </c>
      <c r="Y30" s="36">
        <f>VLOOKUP($A30,[24]HISTOMAI24!$A$6:$BM$38,33,0)</f>
        <v>0</v>
      </c>
      <c r="Z30" s="36">
        <f>VLOOKUP($A30,[24]HISTOMAI24!$A$6:$BM$38,65,0)</f>
        <v>0</v>
      </c>
      <c r="AA30" s="36"/>
      <c r="AB30" s="36">
        <f>VLOOKUP($A30,[24]HISTOMAI24!$A$6:$AU$38,43,0)</f>
        <v>0</v>
      </c>
      <c r="AC30" s="36">
        <f>VLOOKUP($A30,[24]HISTOMAI24!$A$6:$AU$38,44,0)</f>
        <v>0</v>
      </c>
      <c r="AD30" s="36">
        <f>VLOOKUP($A30,[24]HISTOMAI24!$A$6:$AU$38,47,0)</f>
        <v>0</v>
      </c>
      <c r="AE30" s="36">
        <f>VLOOKUP(A30,[24]HISTOMAI24!$A$6:$BB$38,54,0)</f>
        <v>0</v>
      </c>
      <c r="AF30" s="36">
        <f>VLOOKUP($A30,[24]HISTOMAI24!$A$6:$CB$38,60,0)</f>
        <v>0</v>
      </c>
      <c r="AG30" s="36">
        <f>VLOOKUP($A30,[24]HISTOMAI24!$A$6:$CB$38,61,0)</f>
        <v>0</v>
      </c>
      <c r="AH30" s="36">
        <f>VLOOKUP($A30,[24]HISTOMAI24!$A$6:$CB$38,62,0)</f>
        <v>0</v>
      </c>
      <c r="AI30" s="36">
        <f>VLOOKUP($A30,[24]HISTOMAI24!$A$6:$CB$38,63,0)</f>
        <v>0</v>
      </c>
      <c r="AJ30" s="36">
        <f>VLOOKUP($A30,[24]HISTOMAI24!$A$6:$CB$38,64,0)</f>
        <v>0</v>
      </c>
      <c r="AK30" s="36">
        <f>VLOOKUP($A30,[24]HISTOMAI24!$A$6:$CB$38,65,0)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MVTAVRIL24!I31-E31+L31</f>
        <v>952799.47776563698</v>
      </c>
      <c r="G31" s="5">
        <f>IF(MVTAVRIL24!I31+L31&gt;700000,(MVTAVRIL24!I31-E31+L31),0)</f>
        <v>952799.47776563698</v>
      </c>
      <c r="H31" s="36">
        <f t="shared" si="0"/>
        <v>2811.561921276023</v>
      </c>
      <c r="I31" s="6">
        <f t="shared" si="2"/>
        <v>955611.03968691302</v>
      </c>
      <c r="J31" s="36">
        <f>VLOOKUP($A31,[24]HISTOMAI24!$A$6:$AQ$42,22,0)</f>
        <v>0</v>
      </c>
      <c r="K31" s="36">
        <f>VLOOKUP($A31,[24]HISTOMAI24!$A$6:$AU$38,45,0)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VLOOKUP($A31,[24]HISTOMAI24!$A$6:$AU$38,7,0)</f>
        <v>0</v>
      </c>
      <c r="Q31" s="36">
        <f>VLOOKUP($A31,[24]HISTOMAI24!$A$6:$AU$38,23,0)</f>
        <v>0</v>
      </c>
      <c r="R31" s="36">
        <f>VLOOKUP($A31,[24]HISTOMAI24!$A$6:$AU$38,46,0)</f>
        <v>0</v>
      </c>
      <c r="S31" s="36">
        <f>VLOOKUP($A31,[24]HISTOMAI24!$A$6:$AU$38,26,0)</f>
        <v>0</v>
      </c>
      <c r="T31" s="36">
        <f>VLOOKUP($A31,[24]HISTOMAI24!$A$6:$BG$38,58,0)</f>
        <v>0</v>
      </c>
      <c r="U31" s="36">
        <f>VLOOKUP($A31,[24]HISTOMAI24!$A$6:$AU$38,28,0)</f>
        <v>0</v>
      </c>
      <c r="V31" s="36">
        <f>VLOOKUP($A31,[24]HISTOMAI24!$A$6:$AU$38,19,0)</f>
        <v>0</v>
      </c>
      <c r="W31" s="36">
        <f>VLOOKUP($A31,[24]HISTOMAI24!$A$6:$AU$38,20,0)</f>
        <v>0</v>
      </c>
      <c r="X31" s="36">
        <f>VLOOKUP($A31,[24]HISTOMAI24!$A$6:$AU$38,27,0)</f>
        <v>0</v>
      </c>
      <c r="Y31" s="36">
        <f>VLOOKUP($A31,[24]HISTOMAI24!$A$6:$BM$38,33,0)</f>
        <v>0</v>
      </c>
      <c r="Z31" s="36">
        <f>VLOOKUP($A31,[24]HISTOMAI24!$A$6:$BM$38,65,0)</f>
        <v>0</v>
      </c>
      <c r="AA31" s="36"/>
      <c r="AB31" s="36">
        <f>VLOOKUP($A31,[24]HISTOMAI24!$A$6:$AU$38,43,0)</f>
        <v>0</v>
      </c>
      <c r="AC31" s="36">
        <f>VLOOKUP($A31,[24]HISTOMAI24!$A$6:$AU$38,44,0)</f>
        <v>0</v>
      </c>
      <c r="AD31" s="36">
        <f>VLOOKUP($A31,[24]HISTOMAI24!$A$6:$AU$38,47,0)</f>
        <v>0</v>
      </c>
      <c r="AE31" s="36">
        <f>VLOOKUP(A31,[24]HISTOMAI24!$A$6:$BB$38,54,0)</f>
        <v>0</v>
      </c>
      <c r="AF31" s="36">
        <f>VLOOKUP($A31,[24]HISTOMAI24!$A$6:$CB$38,60,0)</f>
        <v>0</v>
      </c>
      <c r="AG31" s="36">
        <f>VLOOKUP($A31,[24]HISTOMAI24!$A$6:$CB$38,61,0)</f>
        <v>0</v>
      </c>
      <c r="AH31" s="36">
        <f>VLOOKUP($A31,[24]HISTOMAI24!$A$6:$CB$38,62,0)</f>
        <v>0</v>
      </c>
      <c r="AI31" s="36">
        <f>VLOOKUP($A31,[24]HISTOMAI24!$A$6:$CB$38,63,0)</f>
        <v>0</v>
      </c>
      <c r="AJ31" s="36">
        <f>VLOOKUP($A31,[24]HISTOMAI24!$A$6:$CB$38,64,0)</f>
        <v>0</v>
      </c>
      <c r="AK31" s="36">
        <f>VLOOKUP($A31,[24]HISTOMAI24!$A$6:$CB$38,65,0)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MVTAVRIL24!I32-E32+L32</f>
        <v>842282.72977224528</v>
      </c>
      <c r="G32" s="5">
        <f>IF(MVTAVRIL24!I32+L32&gt;700000,(MVTAVRIL24!I32-E32+L32),0)</f>
        <v>842282.72977224528</v>
      </c>
      <c r="H32" s="36">
        <f t="shared" si="0"/>
        <v>2485.4443198577856</v>
      </c>
      <c r="I32" s="6">
        <f t="shared" si="2"/>
        <v>844768.17409210303</v>
      </c>
      <c r="J32" s="36">
        <f>VLOOKUP($A32,[24]HISTOMAI24!$A$6:$AQ$42,22,0)</f>
        <v>0</v>
      </c>
      <c r="K32" s="36">
        <f>VLOOKUP($A32,[24]HISTOMAI24!$A$6:$AU$38,45,0)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VLOOKUP($A32,[24]HISTOMAI24!$A$6:$AU$38,7,0)</f>
        <v>0</v>
      </c>
      <c r="Q32" s="36">
        <f>VLOOKUP($A32,[24]HISTOMAI24!$A$6:$AU$38,23,0)</f>
        <v>0</v>
      </c>
      <c r="R32" s="36">
        <f>VLOOKUP($A32,[24]HISTOMAI24!$A$6:$AU$38,46,0)</f>
        <v>0</v>
      </c>
      <c r="S32" s="36">
        <f>VLOOKUP($A32,[24]HISTOMAI24!$A$6:$AU$38,26,0)</f>
        <v>0</v>
      </c>
      <c r="T32" s="36">
        <f>VLOOKUP($A32,[24]HISTOMAI24!$A$6:$BG$38,58,0)</f>
        <v>0</v>
      </c>
      <c r="U32" s="36">
        <f>VLOOKUP($A32,[24]HISTOMAI24!$A$6:$AU$38,28,0)</f>
        <v>0</v>
      </c>
      <c r="V32" s="36">
        <f>VLOOKUP($A32,[24]HISTOMAI24!$A$6:$AU$38,19,0)</f>
        <v>0</v>
      </c>
      <c r="W32" s="36">
        <f>VLOOKUP($A32,[24]HISTOMAI24!$A$6:$AU$38,20,0)</f>
        <v>0</v>
      </c>
      <c r="X32" s="36">
        <f>VLOOKUP($A32,[24]HISTOMAI24!$A$6:$AU$38,27,0)</f>
        <v>0</v>
      </c>
      <c r="Y32" s="36">
        <f>VLOOKUP($A32,[24]HISTOMAI24!$A$6:$BM$38,33,0)</f>
        <v>0</v>
      </c>
      <c r="Z32" s="36">
        <f>VLOOKUP($A32,[24]HISTOMAI24!$A$6:$BM$38,65,0)</f>
        <v>0</v>
      </c>
      <c r="AA32" s="36"/>
      <c r="AB32" s="36">
        <f>VLOOKUP($A32,[24]HISTOMAI24!$A$6:$AU$38,43,0)</f>
        <v>0</v>
      </c>
      <c r="AC32" s="36">
        <f>VLOOKUP($A32,[24]HISTOMAI24!$A$6:$AU$38,44,0)</f>
        <v>0</v>
      </c>
      <c r="AD32" s="36">
        <f>VLOOKUP($A32,[24]HISTOMAI24!$A$6:$AU$38,47,0)</f>
        <v>0</v>
      </c>
      <c r="AE32" s="36">
        <f>VLOOKUP(A32,[24]HISTOMAI24!$A$6:$BB$38,54,0)</f>
        <v>0</v>
      </c>
      <c r="AF32" s="36">
        <f>VLOOKUP($A32,[24]HISTOMAI24!$A$6:$CB$38,60,0)</f>
        <v>0</v>
      </c>
      <c r="AG32" s="36">
        <f>VLOOKUP($A32,[24]HISTOMAI24!$A$6:$CB$38,61,0)</f>
        <v>0</v>
      </c>
      <c r="AH32" s="36">
        <f>VLOOKUP($A32,[24]HISTOMAI24!$A$6:$CB$38,62,0)</f>
        <v>0</v>
      </c>
      <c r="AI32" s="36">
        <f>VLOOKUP($A32,[24]HISTOMAI24!$A$6:$CB$38,63,0)</f>
        <v>0</v>
      </c>
      <c r="AJ32" s="36">
        <f>VLOOKUP($A32,[24]HISTOMAI24!$A$6:$CB$38,64,0)</f>
        <v>0</v>
      </c>
      <c r="AK32" s="36">
        <f>VLOOKUP($A32,[24]HISTOMAI24!$A$6:$CB$38,65,0)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MVTAVRIL24!I33-E33+L33</f>
        <v>842591.00081650028</v>
      </c>
      <c r="G33" s="5">
        <f>IF(MVTAVRIL24!I33+L33&gt;700000,(MVTAVRIL24!I33-E33+L33),0)</f>
        <v>842591.00081650028</v>
      </c>
      <c r="H33" s="36">
        <f t="shared" si="0"/>
        <v>2486.353979392331</v>
      </c>
      <c r="I33" s="6">
        <f t="shared" si="2"/>
        <v>845077.35479589261</v>
      </c>
      <c r="J33" s="36">
        <f>VLOOKUP($A33,[24]HISTOMAI24!$A$6:$AQ$42,22,0)</f>
        <v>0</v>
      </c>
      <c r="K33" s="36">
        <f>VLOOKUP($A33,[24]HISTOMAI24!$A$6:$AU$38,45,0)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VLOOKUP($A33,[24]HISTOMAI24!$A$6:$AU$38,7,0)</f>
        <v>0</v>
      </c>
      <c r="Q33" s="36">
        <f>VLOOKUP($A33,[24]HISTOMAI24!$A$6:$AU$38,23,0)</f>
        <v>0</v>
      </c>
      <c r="R33" s="36">
        <f>VLOOKUP($A33,[24]HISTOMAI24!$A$6:$AU$38,46,0)</f>
        <v>0</v>
      </c>
      <c r="S33" s="36">
        <f>VLOOKUP($A33,[24]HISTOMAI24!$A$6:$AU$38,26,0)</f>
        <v>0</v>
      </c>
      <c r="T33" s="36">
        <f>VLOOKUP($A33,[24]HISTOMAI24!$A$6:$BG$38,58,0)</f>
        <v>0</v>
      </c>
      <c r="U33" s="36">
        <f>VLOOKUP($A33,[24]HISTOMAI24!$A$6:$AU$38,28,0)</f>
        <v>0</v>
      </c>
      <c r="V33" s="36">
        <f>VLOOKUP($A33,[24]HISTOMAI24!$A$6:$AU$38,19,0)</f>
        <v>0</v>
      </c>
      <c r="W33" s="36">
        <f>VLOOKUP($A33,[24]HISTOMAI24!$A$6:$AU$38,20,0)</f>
        <v>0</v>
      </c>
      <c r="X33" s="36">
        <f>VLOOKUP($A33,[24]HISTOMAI24!$A$6:$AU$38,27,0)</f>
        <v>0</v>
      </c>
      <c r="Y33" s="36">
        <f>VLOOKUP($A33,[24]HISTOMAI24!$A$6:$BM$38,33,0)</f>
        <v>0</v>
      </c>
      <c r="Z33" s="36">
        <f>VLOOKUP($A33,[24]HISTOMAI24!$A$6:$BM$38,65,0)</f>
        <v>0</v>
      </c>
      <c r="AA33" s="36"/>
      <c r="AB33" s="36">
        <f>VLOOKUP($A33,[24]HISTOMAI24!$A$6:$AU$38,43,0)</f>
        <v>0</v>
      </c>
      <c r="AC33" s="36">
        <f>VLOOKUP($A33,[24]HISTOMAI24!$A$6:$AU$38,44,0)</f>
        <v>0</v>
      </c>
      <c r="AD33" s="36">
        <f>VLOOKUP($A33,[24]HISTOMAI24!$A$6:$AU$38,47,0)</f>
        <v>0</v>
      </c>
      <c r="AE33" s="36">
        <f>VLOOKUP(A33,[24]HISTOMAI24!$A$6:$BB$38,54,0)</f>
        <v>0</v>
      </c>
      <c r="AF33" s="36">
        <f>VLOOKUP($A33,[24]HISTOMAI24!$A$6:$CB$38,60,0)</f>
        <v>0</v>
      </c>
      <c r="AG33" s="36">
        <f>VLOOKUP($A33,[24]HISTOMAI24!$A$6:$CB$38,61,0)</f>
        <v>0</v>
      </c>
      <c r="AH33" s="36">
        <f>VLOOKUP($A33,[24]HISTOMAI24!$A$6:$CB$38,62,0)</f>
        <v>0</v>
      </c>
      <c r="AI33" s="36">
        <f>VLOOKUP($A33,[24]HISTOMAI24!$A$6:$CB$38,63,0)</f>
        <v>0</v>
      </c>
      <c r="AJ33" s="36">
        <f>VLOOKUP($A33,[24]HISTOMAI24!$A$6:$CB$38,64,0)</f>
        <v>0</v>
      </c>
      <c r="AK33" s="36">
        <f>VLOOKUP($A33,[24]HISTOMAI24!$A$6:$CB$38,65,0)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MVTAVRIL24!I34-E34+L34</f>
        <v>510000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510000</v>
      </c>
      <c r="J34" s="36">
        <f>VLOOKUP($A34,[24]HISTOMAI24!$A$6:$AQ$42,22,0)</f>
        <v>0</v>
      </c>
      <c r="K34" s="36">
        <f>VLOOKUP($A34,[24]HISTOMAI24!$A$6:$AU$38,45,0)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VLOOKUP($A34,[24]HISTOMAI24!$A$6:$AU$38,7,0)</f>
        <v>0</v>
      </c>
      <c r="Q34" s="36">
        <f>VLOOKUP($A34,[24]HISTOMAI24!$A$6:$AU$38,23,0)</f>
        <v>0</v>
      </c>
      <c r="R34" s="36">
        <f>VLOOKUP($A34,[24]HISTOMAI24!$A$6:$AU$38,46,0)</f>
        <v>0</v>
      </c>
      <c r="S34" s="36">
        <f>VLOOKUP($A34,[24]HISTOMAI24!$A$6:$AU$38,26,0)</f>
        <v>0</v>
      </c>
      <c r="T34" s="36">
        <f>VLOOKUP($A34,[24]HISTOMAI24!$A$6:$BG$38,58,0)</f>
        <v>0</v>
      </c>
      <c r="U34" s="36">
        <f>VLOOKUP($A34,[24]HISTOMAI24!$A$6:$AU$38,28,0)</f>
        <v>0</v>
      </c>
      <c r="V34" s="36">
        <f>VLOOKUP($A34,[24]HISTOMAI24!$A$6:$AU$38,19,0)</f>
        <v>0</v>
      </c>
      <c r="W34" s="36">
        <f>VLOOKUP($A34,[24]HISTOMAI24!$A$6:$AU$38,20,0)</f>
        <v>0</v>
      </c>
      <c r="X34" s="36">
        <f>VLOOKUP($A34,[24]HISTOMAI24!$A$6:$AU$38,27,0)</f>
        <v>0</v>
      </c>
      <c r="Y34" s="36">
        <f>VLOOKUP($A34,[24]HISTOMAI24!$A$6:$BM$38,33,0)</f>
        <v>0</v>
      </c>
      <c r="Z34" s="36">
        <f>VLOOKUP($A34,[24]HISTOMAI24!$A$6:$BM$38,65,0)</f>
        <v>0</v>
      </c>
      <c r="AA34" s="36"/>
      <c r="AB34" s="36">
        <f>VLOOKUP($A34,[24]HISTOMAI24!$A$6:$AU$38,43,0)</f>
        <v>0</v>
      </c>
      <c r="AC34" s="36">
        <f>VLOOKUP($A34,[24]HISTOMAI24!$A$6:$AU$38,44,0)</f>
        <v>0</v>
      </c>
      <c r="AD34" s="36">
        <f>VLOOKUP($A34,[24]HISTOMAI24!$A$6:$AU$38,47,0)</f>
        <v>0</v>
      </c>
      <c r="AE34" s="36">
        <f>VLOOKUP(A34,[24]HISTOMAI24!$A$6:$BB$38,54,0)</f>
        <v>0</v>
      </c>
      <c r="AF34" s="36">
        <f>VLOOKUP($A34,[24]HISTOMAI24!$A$6:$CB$38,60,0)</f>
        <v>0</v>
      </c>
      <c r="AG34" s="36">
        <f>VLOOKUP($A34,[24]HISTOMAI24!$A$6:$CB$38,61,0)</f>
        <v>0</v>
      </c>
      <c r="AH34" s="36">
        <f>VLOOKUP($A34,[24]HISTOMAI24!$A$6:$CB$38,62,0)</f>
        <v>0</v>
      </c>
      <c r="AI34" s="36">
        <f>VLOOKUP($A34,[24]HISTOMAI24!$A$6:$CB$38,63,0)</f>
        <v>0</v>
      </c>
      <c r="AJ34" s="36">
        <f>VLOOKUP($A34,[24]HISTOMAI24!$A$6:$CB$38,64,0)</f>
        <v>0</v>
      </c>
      <c r="AK34" s="36">
        <f>VLOOKUP($A34,[24]HISTOMAI24!$A$6:$CB$38,65,0)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VLOOKUP($A35,[24]HISTOMAI24!$A$6:$AQ$42,22,0)</f>
        <v>0</v>
      </c>
      <c r="K35" s="36">
        <f>VLOOKUP($A35,[24]HISTOMAI24!$A$6:$AU$38,45,0)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VLOOKUP($A35,[24]HISTOMAI24!$A$6:$AU$38,7,0)</f>
        <v>0</v>
      </c>
      <c r="Q35" s="36">
        <f>VLOOKUP($A35,[24]HISTOMAI24!$A$6:$AU$38,23,0)</f>
        <v>0</v>
      </c>
      <c r="R35" s="36">
        <f>VLOOKUP($A35,[24]HISTOMAI24!$A$6:$AU$38,46,0)</f>
        <v>0</v>
      </c>
      <c r="S35" s="36">
        <f>VLOOKUP($A35,[24]HISTOMAI24!$A$6:$AU$38,26,0)</f>
        <v>0</v>
      </c>
      <c r="T35" s="36">
        <f>VLOOKUP($A35,[24]HISTOMAI24!$A$6:$BG$38,58,0)</f>
        <v>0</v>
      </c>
      <c r="U35" s="36">
        <f>VLOOKUP($A35,[24]HISTOMAI24!$A$6:$AU$38,28,0)</f>
        <v>0</v>
      </c>
      <c r="V35" s="36">
        <f>VLOOKUP($A35,[24]HISTOMAI24!$A$6:$AU$38,19,0)</f>
        <v>0</v>
      </c>
      <c r="W35" s="36">
        <f>VLOOKUP($A35,[24]HISTOMAI24!$A$6:$AU$38,20,0)</f>
        <v>0</v>
      </c>
      <c r="X35" s="36">
        <f>VLOOKUP($A35,[24]HISTOMAI24!$A$6:$AU$38,27,0)</f>
        <v>0</v>
      </c>
      <c r="Y35" s="36">
        <f>VLOOKUP($A35,[24]HISTOMAI24!$A$6:$BM$38,33,0)</f>
        <v>0</v>
      </c>
      <c r="Z35" s="36">
        <f>VLOOKUP($A35,[24]HISTOMAI24!$A$6:$BM$38,65,0)</f>
        <v>0</v>
      </c>
      <c r="AA35" s="36"/>
      <c r="AB35" s="36">
        <f>VLOOKUP($A35,[24]HISTOMAI24!$A$6:$AU$38,43,0)</f>
        <v>0</v>
      </c>
      <c r="AC35" s="36">
        <f>VLOOKUP($A35,[24]HISTOMAI24!$A$6:$AU$38,44,0)</f>
        <v>0</v>
      </c>
      <c r="AD35" s="36">
        <f>VLOOKUP($A35,[24]HISTOMAI24!$A$6:$AU$38,47,0)</f>
        <v>0</v>
      </c>
      <c r="AE35" s="36">
        <f>VLOOKUP(A35,[24]HISTOMAI24!$A$6:$BB$38,54,0)</f>
        <v>0</v>
      </c>
      <c r="AF35" s="36">
        <f>VLOOKUP($A35,[24]HISTOMAI24!$A$6:$CB$38,60,0)</f>
        <v>0</v>
      </c>
      <c r="AG35" s="36">
        <f>VLOOKUP($A35,[24]HISTOMAI24!$A$6:$CB$38,61,0)</f>
        <v>0</v>
      </c>
      <c r="AH35" s="36">
        <f>VLOOKUP($A35,[24]HISTOMAI24!$A$6:$CB$38,62,0)</f>
        <v>0</v>
      </c>
      <c r="AI35" s="36">
        <f>VLOOKUP($A35,[24]HISTOMAI24!$A$6:$CB$38,63,0)</f>
        <v>0</v>
      </c>
      <c r="AJ35" s="36">
        <f>VLOOKUP($A35,[24]HISTOMAI24!$A$6:$CB$38,64,0)</f>
        <v>0</v>
      </c>
      <c r="AK35" s="36">
        <f>VLOOKUP($A35,[24]HISTOMAI24!$A$6:$CB$38,65,0)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MVTAVRIL24!I36-E36+L36</f>
        <v>889641.58514659188</v>
      </c>
      <c r="G36" s="5">
        <f>IF(MVTAVRIL24!I36+L36&gt;700000,(MVTAVRIL24!I36-E36+L36),0)</f>
        <v>889641.58514659188</v>
      </c>
      <c r="H36" s="36">
        <f t="shared" si="0"/>
        <v>2625.1928792482468</v>
      </c>
      <c r="I36" s="6">
        <f t="shared" si="2"/>
        <v>892266.77802584018</v>
      </c>
      <c r="J36" s="36">
        <f>VLOOKUP($A36,[24]HISTOMAI24!$A$6:$AQ$42,22,0)</f>
        <v>0</v>
      </c>
      <c r="K36" s="36">
        <f>VLOOKUP($A36,[24]HISTOMAI24!$A$6:$AU$38,45,0)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VLOOKUP($A36,[24]HISTOMAI24!$A$6:$AU$38,7,0)</f>
        <v>0</v>
      </c>
      <c r="Q36" s="36">
        <f>VLOOKUP($A36,[24]HISTOMAI24!$A$6:$AU$38,23,0)</f>
        <v>0</v>
      </c>
      <c r="R36" s="36">
        <f>VLOOKUP($A36,[24]HISTOMAI24!$A$6:$AU$38,46,0)</f>
        <v>0</v>
      </c>
      <c r="S36" s="36">
        <f>VLOOKUP($A36,[24]HISTOMAI24!$A$6:$AU$38,26,0)</f>
        <v>0</v>
      </c>
      <c r="T36" s="36">
        <f>VLOOKUP($A36,[24]HISTOMAI24!$A$6:$BG$38,58,0)</f>
        <v>0</v>
      </c>
      <c r="U36" s="36">
        <f>VLOOKUP($A36,[24]HISTOMAI24!$A$6:$AU$38,28,0)</f>
        <v>0</v>
      </c>
      <c r="V36" s="36">
        <f>VLOOKUP($A36,[24]HISTOMAI24!$A$6:$AU$38,19,0)</f>
        <v>0</v>
      </c>
      <c r="W36" s="36">
        <f>VLOOKUP($A36,[24]HISTOMAI24!$A$6:$AU$38,20,0)</f>
        <v>0</v>
      </c>
      <c r="X36" s="36">
        <f>VLOOKUP($A36,[24]HISTOMAI24!$A$6:$AU$38,27,0)</f>
        <v>0</v>
      </c>
      <c r="Y36" s="36">
        <f>VLOOKUP($A36,[24]HISTOMAI24!$A$6:$BM$38,33,0)</f>
        <v>0</v>
      </c>
      <c r="Z36" s="36">
        <f>VLOOKUP($A36,[24]HISTOMAI24!$A$6:$BM$38,65,0)</f>
        <v>0</v>
      </c>
      <c r="AA36" s="36"/>
      <c r="AB36" s="36">
        <f>VLOOKUP($A36,[24]HISTOMAI24!$A$6:$AU$38,43,0)</f>
        <v>0</v>
      </c>
      <c r="AC36" s="36">
        <f>VLOOKUP($A36,[24]HISTOMAI24!$A$6:$AU$38,44,0)</f>
        <v>0</v>
      </c>
      <c r="AD36" s="36">
        <f>VLOOKUP($A36,[24]HISTOMAI24!$A$6:$AU$38,47,0)</f>
        <v>0</v>
      </c>
      <c r="AE36" s="36">
        <f>VLOOKUP(A36,[24]HISTOMAI24!$A$6:$BB$38,54,0)</f>
        <v>0</v>
      </c>
      <c r="AF36" s="36">
        <f>VLOOKUP($A36,[24]HISTOMAI24!$A$6:$CB$38,60,0)</f>
        <v>0</v>
      </c>
      <c r="AG36" s="36">
        <f>VLOOKUP($A36,[24]HISTOMAI24!$A$6:$CB$38,61,0)</f>
        <v>0</v>
      </c>
      <c r="AH36" s="36">
        <f>VLOOKUP($A36,[24]HISTOMAI24!$A$6:$CB$38,62,0)</f>
        <v>0</v>
      </c>
      <c r="AI36" s="36">
        <f>VLOOKUP($A36,[24]HISTOMAI24!$A$6:$CB$38,63,0)</f>
        <v>0</v>
      </c>
      <c r="AJ36" s="36">
        <f>VLOOKUP($A36,[24]HISTOMAI24!$A$6:$CB$38,64,0)</f>
        <v>0</v>
      </c>
      <c r="AK36" s="36">
        <f>VLOOKUP($A36,[24]HISTOMAI24!$A$6:$CB$38,65,0)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MVTAVRIL24!I37-E37+L37</f>
        <v>1911063.2967345803</v>
      </c>
      <c r="G37" s="5">
        <f>IF(MVTAVRIL24!I37+L37&gt;700000,(MVTAVRIL24!I37-E37+L37),0)</f>
        <v>1911063.2967345803</v>
      </c>
      <c r="H37" s="36">
        <f t="shared" si="0"/>
        <v>5639.2482569861331</v>
      </c>
      <c r="I37" s="6">
        <f t="shared" si="2"/>
        <v>1916702.5449915663</v>
      </c>
      <c r="J37" s="36">
        <f>VLOOKUP($A37,[24]HISTOMAI24!$A$6:$AQ$42,22,0)</f>
        <v>0</v>
      </c>
      <c r="K37" s="36">
        <f>VLOOKUP($A37,[24]HISTOMAI24!$A$6:$AU$38,45,0)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VLOOKUP($A37,[24]HISTOMAI24!$A$6:$AU$38,7,0)</f>
        <v>3000</v>
      </c>
      <c r="Q37" s="36">
        <f>VLOOKUP($A37,[24]HISTOMAI24!$A$6:$AU$38,23,0)</f>
        <v>0</v>
      </c>
      <c r="R37" s="36">
        <f>VLOOKUP($A37,[24]HISTOMAI24!$A$6:$AU$38,46,0)</f>
        <v>0</v>
      </c>
      <c r="S37" s="36">
        <f>VLOOKUP($A37,[24]HISTOMAI24!$A$6:$AU$38,26,0)</f>
        <v>0</v>
      </c>
      <c r="T37" s="36">
        <f>VLOOKUP($A37,[24]HISTOMAI24!$A$6:$BG$38,58,0)</f>
        <v>0</v>
      </c>
      <c r="U37" s="36">
        <f>VLOOKUP($A37,[24]HISTOMAI24!$A$6:$AU$38,28,0)</f>
        <v>0</v>
      </c>
      <c r="V37" s="36">
        <f>VLOOKUP($A37,[24]HISTOMAI24!$A$6:$AU$38,19,0)</f>
        <v>0</v>
      </c>
      <c r="W37" s="36">
        <f>VLOOKUP($A37,[24]HISTOMAI24!$A$6:$AU$38,20,0)</f>
        <v>0</v>
      </c>
      <c r="X37" s="36">
        <f>VLOOKUP($A37,[24]HISTOMAI24!$A$6:$AU$38,27,0)</f>
        <v>0</v>
      </c>
      <c r="Y37" s="36">
        <f>VLOOKUP($A37,[24]HISTOMAI24!$A$6:$BM$38,33,0)</f>
        <v>0</v>
      </c>
      <c r="Z37" s="36">
        <f>VLOOKUP($A37,[24]HISTOMAI24!$A$6:$BM$38,65,0)</f>
        <v>0</v>
      </c>
      <c r="AA37" s="36"/>
      <c r="AB37" s="36">
        <f>VLOOKUP($A37,[24]HISTOMAI24!$A$6:$AU$38,43,0)</f>
        <v>0</v>
      </c>
      <c r="AC37" s="36">
        <f>VLOOKUP($A37,[24]HISTOMAI24!$A$6:$AU$38,44,0)</f>
        <v>0</v>
      </c>
      <c r="AD37" s="36">
        <f>VLOOKUP($A37,[24]HISTOMAI24!$A$6:$AU$38,47,0)</f>
        <v>0</v>
      </c>
      <c r="AE37" s="36">
        <f>VLOOKUP(A37,[24]HISTOMAI24!$A$6:$BB$38,54,0)</f>
        <v>0</v>
      </c>
      <c r="AF37" s="36">
        <f>VLOOKUP($A37,[24]HISTOMAI24!$A$6:$CB$38,60,0)</f>
        <v>0</v>
      </c>
      <c r="AG37" s="36">
        <f>VLOOKUP($A37,[24]HISTOMAI24!$A$6:$CB$38,61,0)</f>
        <v>0</v>
      </c>
      <c r="AH37" s="36">
        <f>VLOOKUP($A37,[24]HISTOMAI24!$A$6:$CB$38,62,0)</f>
        <v>0</v>
      </c>
      <c r="AI37" s="36">
        <f>VLOOKUP($A37,[24]HISTOMAI24!$A$6:$CB$38,63,0)</f>
        <v>0</v>
      </c>
      <c r="AJ37" s="36">
        <f>VLOOKUP($A37,[24]HISTOMAI24!$A$6:$CB$38,64,0)</f>
        <v>0</v>
      </c>
      <c r="AK37" s="36">
        <f>VLOOKUP($A37,[24]HISTOMAI24!$A$6:$CB$38,65,0)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VLOOKUP($A38,[24]HISTOMAI24!$A$6:$AQ$42,22,0)</f>
        <v>0</v>
      </c>
      <c r="K38" s="36">
        <f>VLOOKUP($A38,[24]HISTOMAI24!$A$6:$AU$38,45,0)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VLOOKUP($A38,[24]HISTOMAI24!$A$6:$AU$38,7,0)</f>
        <v>3000</v>
      </c>
      <c r="Q38" s="36">
        <f>VLOOKUP($A38,[24]HISTOMAI24!$A$6:$AU$38,23,0)</f>
        <v>0</v>
      </c>
      <c r="R38" s="36">
        <f>VLOOKUP($A38,[24]HISTOMAI24!$A$6:$AU$38,46,0)</f>
        <v>0</v>
      </c>
      <c r="S38" s="36">
        <f>VLOOKUP($A38,[24]HISTOMAI24!$A$6:$AU$38,26,0)</f>
        <v>0</v>
      </c>
      <c r="T38" s="36">
        <f>VLOOKUP($A38,[24]HISTOMAI24!$A$6:$BG$38,58,0)</f>
        <v>0</v>
      </c>
      <c r="U38" s="36">
        <f>VLOOKUP($A38,[24]HISTOMAI24!$A$6:$AU$38,28,0)</f>
        <v>0</v>
      </c>
      <c r="V38" s="36">
        <f>VLOOKUP($A38,[24]HISTOMAI24!$A$6:$AU$38,19,0)</f>
        <v>0</v>
      </c>
      <c r="W38" s="36">
        <f>VLOOKUP($A38,[24]HISTOMAI24!$A$6:$AU$38,20,0)</f>
        <v>0</v>
      </c>
      <c r="X38" s="36">
        <f>VLOOKUP($A38,[24]HISTOMAI24!$A$6:$AU$38,27,0)</f>
        <v>0</v>
      </c>
      <c r="Y38" s="36">
        <f>VLOOKUP($A38,[24]HISTOMAI24!$A$6:$BM$38,33,0)</f>
        <v>0</v>
      </c>
      <c r="Z38" s="36">
        <f>VLOOKUP($A38,[24]HISTOMAI24!$A$6:$BM$38,65,0)</f>
        <v>0</v>
      </c>
      <c r="AA38" s="36"/>
      <c r="AB38" s="36">
        <f>VLOOKUP($A38,[24]HISTOMAI24!$A$6:$AU$38,43,0)</f>
        <v>0</v>
      </c>
      <c r="AC38" s="36">
        <f>VLOOKUP($A38,[24]HISTOMAI24!$A$6:$AU$38,44,0)</f>
        <v>0</v>
      </c>
      <c r="AD38" s="36">
        <f>VLOOKUP($A38,[24]HISTOMAI24!$A$6:$AU$38,47,0)</f>
        <v>0</v>
      </c>
      <c r="AE38" s="36">
        <f>VLOOKUP(A38,[24]HISTOMAI24!$A$6:$BB$38,54,0)</f>
        <v>0</v>
      </c>
      <c r="AF38" s="36">
        <f>VLOOKUP($A38,[24]HISTOMAI24!$A$6:$CB$38,60,0)</f>
        <v>0</v>
      </c>
      <c r="AG38" s="36">
        <f>VLOOKUP($A38,[24]HISTOMAI24!$A$6:$CB$38,61,0)</f>
        <v>0</v>
      </c>
      <c r="AH38" s="36">
        <f>VLOOKUP($A38,[24]HISTOMAI24!$A$6:$CB$38,62,0)</f>
        <v>0</v>
      </c>
      <c r="AI38" s="36">
        <f>VLOOKUP($A38,[24]HISTOMAI24!$A$6:$CB$38,63,0)</f>
        <v>0</v>
      </c>
      <c r="AJ38" s="36">
        <f>VLOOKUP($A38,[24]HISTOMAI24!$A$6:$CB$38,64,0)</f>
        <v>0</v>
      </c>
      <c r="AK38" s="36">
        <f>VLOOKUP($A38,[24]HISTOMAI24!$A$6:$CB$38,65,0)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MVTAVRIL24!I39-E39+L39</f>
        <v>2075763.7271882389</v>
      </c>
      <c r="G39" s="5">
        <f>IF(MVTAVRIL24!I39+L39&gt;700000,(MVTAVRIL24!I39-E39+L39),0)</f>
        <v>2075763.7271882389</v>
      </c>
      <c r="H39" s="36">
        <f t="shared" si="0"/>
        <v>6125.2534128319239</v>
      </c>
      <c r="I39" s="6">
        <f t="shared" si="2"/>
        <v>2081888.9806010709</v>
      </c>
      <c r="J39" s="36">
        <f>VLOOKUP($A39,[24]HISTOMAI24!$A$6:$AQ$42,22,0)</f>
        <v>0</v>
      </c>
      <c r="K39" s="36">
        <f>VLOOKUP($A39,[24]HISTOMAI24!$A$6:$AU$38,45,0)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VLOOKUP($A39,[24]HISTOMAI24!$A$6:$AU$38,7,0)</f>
        <v>0</v>
      </c>
      <c r="Q39" s="36">
        <f>VLOOKUP($A39,[24]HISTOMAI24!$A$6:$AU$38,23,0)</f>
        <v>0</v>
      </c>
      <c r="R39" s="36">
        <f>VLOOKUP($A39,[24]HISTOMAI24!$A$6:$AU$38,46,0)</f>
        <v>0</v>
      </c>
      <c r="S39" s="36">
        <f>VLOOKUP($A39,[24]HISTOMAI24!$A$6:$AU$38,26,0)</f>
        <v>0</v>
      </c>
      <c r="T39" s="36">
        <f>VLOOKUP($A39,[24]HISTOMAI24!$A$6:$BG$38,58,0)</f>
        <v>0</v>
      </c>
      <c r="U39" s="36">
        <f>VLOOKUP($A39,[24]HISTOMAI24!$A$6:$AU$38,28,0)</f>
        <v>0</v>
      </c>
      <c r="V39" s="36">
        <f>VLOOKUP($A39,[24]HISTOMAI24!$A$6:$AU$38,19,0)</f>
        <v>0</v>
      </c>
      <c r="W39" s="36">
        <f>VLOOKUP($A39,[24]HISTOMAI24!$A$6:$AU$38,20,0)</f>
        <v>0</v>
      </c>
      <c r="X39" s="36">
        <f>VLOOKUP($A39,[24]HISTOMAI24!$A$6:$AU$38,27,0)</f>
        <v>0</v>
      </c>
      <c r="Y39" s="36">
        <f>VLOOKUP($A39,[24]HISTOMAI24!$A$6:$BM$38,33,0)</f>
        <v>0</v>
      </c>
      <c r="Z39" s="36">
        <f>VLOOKUP($A39,[24]HISTOMAI24!$A$6:$BM$38,65,0)</f>
        <v>0</v>
      </c>
      <c r="AA39" s="36"/>
      <c r="AB39" s="36">
        <f>VLOOKUP($A39,[24]HISTOMAI24!$A$6:$AU$38,43,0)</f>
        <v>0</v>
      </c>
      <c r="AC39" s="36">
        <f>VLOOKUP($A39,[24]HISTOMAI24!$A$6:$AU$38,44,0)</f>
        <v>0</v>
      </c>
      <c r="AD39" s="36">
        <f>VLOOKUP($A39,[24]HISTOMAI24!$A$6:$AU$38,47,0)</f>
        <v>0</v>
      </c>
      <c r="AE39" s="36">
        <f>VLOOKUP(A39,[24]HISTOMAI24!$A$6:$BB$38,54,0)</f>
        <v>0</v>
      </c>
      <c r="AF39" s="36">
        <f>VLOOKUP($A39,[24]HISTOMAI24!$A$6:$CB$38,60,0)</f>
        <v>0</v>
      </c>
      <c r="AG39" s="36">
        <f>VLOOKUP($A39,[24]HISTOMAI24!$A$6:$CB$38,61,0)</f>
        <v>0</v>
      </c>
      <c r="AH39" s="36">
        <f>VLOOKUP($A39,[24]HISTOMAI24!$A$6:$CB$38,62,0)</f>
        <v>0</v>
      </c>
      <c r="AI39" s="36">
        <f>VLOOKUP($A39,[24]HISTOMAI24!$A$6:$CB$38,63,0)</f>
        <v>0</v>
      </c>
      <c r="AJ39" s="36">
        <f>VLOOKUP($A39,[24]HISTOMAI24!$A$6:$CB$38,64,0)</f>
        <v>0</v>
      </c>
      <c r="AK39" s="36">
        <f>VLOOKUP($A39,[24]HISTOMAI24!$A$6:$CB$38,65,0)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30037656.07312192</v>
      </c>
      <c r="G41" s="9">
        <f t="shared" si="10"/>
        <v>28466439.07312192</v>
      </c>
      <c r="H41" s="36">
        <f t="shared" si="10"/>
        <v>83999.999999999985</v>
      </c>
      <c r="I41" s="9">
        <f t="shared" si="10"/>
        <v>30121656.073121928</v>
      </c>
      <c r="J41" s="9">
        <f t="shared" si="10"/>
        <v>0</v>
      </c>
      <c r="K41" s="9">
        <f t="shared" si="10"/>
        <v>917000</v>
      </c>
      <c r="L41" s="9">
        <f t="shared" si="10"/>
        <v>725000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9000</v>
      </c>
      <c r="Q41" s="9">
        <f t="shared" si="10"/>
        <v>0</v>
      </c>
      <c r="R41" s="9">
        <f t="shared" si="10"/>
        <v>0</v>
      </c>
      <c r="S41" s="9">
        <f t="shared" si="10"/>
        <v>1350000</v>
      </c>
      <c r="T41" s="9">
        <f t="shared" si="10"/>
        <v>84000</v>
      </c>
      <c r="U41" s="9">
        <f t="shared" si="10"/>
        <v>0</v>
      </c>
      <c r="V41" s="9">
        <f t="shared" si="10"/>
        <v>1500000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19000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A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4"/>
  <sheetViews>
    <sheetView workbookViewId="0">
      <pane xSplit="2" ySplit="5" topLeftCell="G39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77">
        <v>45460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VLOOKUP($A6,[24]HISTOJUIN24!$A$6:$BA$38,48,0)</f>
        <v>0</v>
      </c>
      <c r="F6" s="36">
        <f>MVTMAI24!I6-E6+L6</f>
        <v>947792.35679183772</v>
      </c>
      <c r="G6" s="5">
        <f>IF(MVTMAI24!I6+L6&gt;700000,(MVTMAI24!I6-E6+L6),0)</f>
        <v>947792.35679183772</v>
      </c>
      <c r="H6" s="36">
        <f t="shared" ref="H6:H39" si="0">$T$41/$G$41*G6</f>
        <v>3573.0277576520334</v>
      </c>
      <c r="I6" s="6">
        <f>F6+H6</f>
        <v>951365.38454948971</v>
      </c>
      <c r="J6" s="36">
        <f>VLOOKUP($A6,[24]HISTOJUIN24!$A$6:$AQ$42,22,0)</f>
        <v>0</v>
      </c>
      <c r="K6" s="36">
        <f>VLOOKUP($A6,[24]HISTOJUIN24!$A$6:$AU$38,45,0)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VLOOKUP($A6,[24]HISTOJUIN24!$A$6:$AU$38,7,0)</f>
        <v>0</v>
      </c>
      <c r="Q6" s="36">
        <f>VLOOKUP($A6,[24]HISTOJUIN24!$A$6:$AU$38,23,0)</f>
        <v>0</v>
      </c>
      <c r="R6" s="36">
        <f>VLOOKUP($A6,[24]HISTOJUIN24!$A$6:$AU$38,46,0)</f>
        <v>0</v>
      </c>
      <c r="S6" s="36">
        <f>VLOOKUP($A6,[24]HISTOJUIN24!$A$6:$AU$38,26,0)</f>
        <v>0</v>
      </c>
      <c r="T6" s="36">
        <f>VLOOKUP($A6,[24]HISTOJUIN24!$A$6:$BG$38,58,0)</f>
        <v>0</v>
      </c>
      <c r="U6" s="36">
        <f>VLOOKUP($A6,[24]HISTOJUIN24!$A$6:$AU$38,28,0)</f>
        <v>0</v>
      </c>
      <c r="V6" s="36">
        <f>VLOOKUP($A6,[24]HISTOJUIN24!$A$6:$AU$38,19,0)</f>
        <v>0</v>
      </c>
      <c r="W6" s="36">
        <f>VLOOKUP($A6,[24]HISTOJUIN24!$A$6:$AU$38,20,0)</f>
        <v>0</v>
      </c>
      <c r="X6" s="36">
        <f>VLOOKUP($A6,[24]HISTOJUIN24!$A$6:$AU$38,27,0)</f>
        <v>0</v>
      </c>
      <c r="Y6" s="36">
        <f>VLOOKUP($A6,[24]HISTOJUIN24!$A$6:$BM$38,33,0)</f>
        <v>0</v>
      </c>
      <c r="Z6" s="36">
        <f>VLOOKUP($A6,[24]HISTOJUIN24!$A$6:$BM$38,65,0)</f>
        <v>0</v>
      </c>
      <c r="AA6" s="36"/>
      <c r="AB6" s="36">
        <f>VLOOKUP($A6,[24]HISTOJUIN24!$A$6:$AU$38,43,0)</f>
        <v>0</v>
      </c>
      <c r="AC6" s="36">
        <f>VLOOKUP($A6,[24]HISTOJUIN24!$A$6:$AU$38,44,0)</f>
        <v>0</v>
      </c>
      <c r="AD6" s="36">
        <f>VLOOKUP($A6,[24]HISTOJUIN24!$A$6:$AU$38,47,0)</f>
        <v>0</v>
      </c>
      <c r="AE6" s="36">
        <f>VLOOKUP(A6,[24]HISTOJUIN24!$A$6:$BB$38,54,0)</f>
        <v>0</v>
      </c>
      <c r="AF6" s="36">
        <f>VLOOKUP($A6,[24]HISTOJUIN24!$A$6:$CB$38,60,0)</f>
        <v>12000</v>
      </c>
      <c r="AG6" s="36">
        <f>VLOOKUP($A6,[24]HISTOJUIN24!$A$6:$CB$38,61,0)</f>
        <v>0</v>
      </c>
      <c r="AH6" s="36">
        <f>VLOOKUP($A6,[24]HISTOJUIN24!$A$6:$CB$38,62,0)</f>
        <v>0</v>
      </c>
      <c r="AI6" s="36">
        <f>VLOOKUP($A6,[24]HISTOJUIN24!$A$6:$CB$38,63,0)</f>
        <v>0</v>
      </c>
      <c r="AJ6" s="36">
        <f>VLOOKUP($A6,[24]HISTOJUIN24!$A$6:$CB$38,64,0)</f>
        <v>0</v>
      </c>
      <c r="AK6" s="36">
        <f>VLOOKUP($A6,[24]HISTOJUIN24!$A$6:$CB$38,65,0)</f>
        <v>0</v>
      </c>
      <c r="AL6" s="36">
        <f>VLOOKUP($A6,[24]HISTOJUIN24!$A$6:$CB$38,66,0)</f>
        <v>2000000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VLOOKUP($A7,[24]HISTOJUIN24!$A$6:$BA$38,48,0)</f>
        <v>0</v>
      </c>
      <c r="F7" s="36">
        <f>MVTMAI24!I7-E7+L7</f>
        <v>813121.48700556078</v>
      </c>
      <c r="G7" s="5">
        <f>IF(MVTMAI24!I7+L7&gt;700000,(MVTMAI24!I7-E7+L7),0)</f>
        <v>813121.48700556078</v>
      </c>
      <c r="H7" s="36">
        <f t="shared" si="0"/>
        <v>3065.3398105554193</v>
      </c>
      <c r="I7" s="6">
        <f t="shared" ref="I7:I39" si="2">F7+H7</f>
        <v>816186.82681611623</v>
      </c>
      <c r="J7" s="36">
        <f>VLOOKUP($A7,[24]HISTOJUIN24!$A$6:$AQ$42,22,0)</f>
        <v>0</v>
      </c>
      <c r="K7" s="36">
        <f>VLOOKUP($A7,[24]HISTOJUIN24!$A$6:$AU$38,45,0)</f>
        <v>21000</v>
      </c>
      <c r="L7" s="36">
        <f>IF(K7=0,0,K7-(M7+N7+O7))</f>
        <v>15000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VLOOKUP($A7,[24]HISTOJUIN24!$A$6:$AU$38,7,0)</f>
        <v>0</v>
      </c>
      <c r="Q7" s="36">
        <f>VLOOKUP($A7,[24]HISTOJUIN24!$A$6:$AU$38,23,0)</f>
        <v>0</v>
      </c>
      <c r="R7" s="36">
        <f>VLOOKUP($A7,[24]HISTOJUIN24!$A$6:$AU$38,46,0)</f>
        <v>0</v>
      </c>
      <c r="S7" s="36">
        <f>VLOOKUP($A7,[24]HISTOJUIN24!$A$6:$AU$38,26,0)</f>
        <v>0</v>
      </c>
      <c r="T7" s="36">
        <f>VLOOKUP($A7,[24]HISTOJUIN24!$A$6:$BG$38,58,0)</f>
        <v>0</v>
      </c>
      <c r="U7" s="36">
        <f>VLOOKUP($A7,[24]HISTOJUIN24!$A$6:$AU$38,28,0)</f>
        <v>0</v>
      </c>
      <c r="V7" s="36">
        <f>VLOOKUP($A7,[24]HISTOJUIN24!$A$6:$AU$38,19,0)</f>
        <v>0</v>
      </c>
      <c r="W7" s="36">
        <f>VLOOKUP($A7,[24]HISTOJUIN24!$A$6:$AU$38,20,0)</f>
        <v>0</v>
      </c>
      <c r="X7" s="36">
        <f>VLOOKUP($A7,[24]HISTOJUIN24!$A$6:$AU$38,27,0)</f>
        <v>0</v>
      </c>
      <c r="Y7" s="36">
        <f>VLOOKUP($A7,[24]HISTOJUIN24!$A$6:$BM$38,33,0)</f>
        <v>0</v>
      </c>
      <c r="Z7" s="36">
        <f>VLOOKUP($A7,[24]HISTOJUIN24!$A$6:$BM$38,65,0)</f>
        <v>0</v>
      </c>
      <c r="AA7" s="36"/>
      <c r="AB7" s="36">
        <f>VLOOKUP($A7,[24]HISTOJUIN24!$A$6:$AU$38,43,0)</f>
        <v>0</v>
      </c>
      <c r="AC7" s="36">
        <f>VLOOKUP($A7,[24]HISTOJUIN24!$A$6:$AU$38,44,0)</f>
        <v>0</v>
      </c>
      <c r="AD7" s="36">
        <f>VLOOKUP($A7,[24]HISTOJUIN24!$A$6:$AU$38,47,0)</f>
        <v>0</v>
      </c>
      <c r="AE7" s="36">
        <f>VLOOKUP(A7,[24]HISTOJUIN24!$A$6:$BB$38,54,0)</f>
        <v>0</v>
      </c>
      <c r="AF7" s="36">
        <f>VLOOKUP($A7,[24]HISTOJUIN24!$A$6:$CB$38,60,0)</f>
        <v>0</v>
      </c>
      <c r="AG7" s="36">
        <f>VLOOKUP($A7,[24]HISTOJUIN24!$A$6:$CB$38,61,0)</f>
        <v>0</v>
      </c>
      <c r="AH7" s="36">
        <f>VLOOKUP($A7,[24]HISTOJUIN24!$A$6:$CB$38,62,0)</f>
        <v>0</v>
      </c>
      <c r="AI7" s="36">
        <f>VLOOKUP($A7,[24]HISTOJUIN24!$A$6:$CB$38,63,0)</f>
        <v>0</v>
      </c>
      <c r="AJ7" s="36">
        <f>VLOOKUP($A7,[24]HISTOJUIN24!$A$6:$CB$38,64,0)</f>
        <v>0</v>
      </c>
      <c r="AK7" s="36">
        <f>VLOOKUP($A7,[24]HISTOJUIN24!$A$6:$CB$38,65,0)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VLOOKUP($A8,[24]HISTOJUIN24!$A$6:$BA$38,48,0)</f>
        <v>0</v>
      </c>
      <c r="F8" s="36">
        <f>MVTMAI24!I8-E8+L8</f>
        <v>860047.43794548942</v>
      </c>
      <c r="G8" s="5">
        <f>IF(MVTMAI24!I8+L8&gt;700000,(MVTMAI24!I8-E8+L8),0)</f>
        <v>860047.43794548942</v>
      </c>
      <c r="H8" s="36">
        <f t="shared" si="0"/>
        <v>3242.2432473272847</v>
      </c>
      <c r="I8" s="6">
        <f t="shared" si="2"/>
        <v>863289.6811928167</v>
      </c>
      <c r="J8" s="36">
        <f>VLOOKUP($A8,[24]HISTOJUIN24!$A$6:$AQ$42,22,0)</f>
        <v>0</v>
      </c>
      <c r="K8" s="36">
        <f>VLOOKUP($A8,[24]HISTOJUIN24!$A$6:$AU$38,45,0)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VLOOKUP($A8,[24]HISTOJUIN24!$A$6:$AU$38,7,0)</f>
        <v>0</v>
      </c>
      <c r="Q8" s="36">
        <f>VLOOKUP($A8,[24]HISTOJUIN24!$A$6:$AU$38,23,0)</f>
        <v>0</v>
      </c>
      <c r="R8" s="36">
        <f>VLOOKUP($A8,[24]HISTOJUIN24!$A$6:$AU$38,46,0)</f>
        <v>0</v>
      </c>
      <c r="S8" s="36">
        <f>VLOOKUP($A8,[24]HISTOJUIN24!$A$6:$AU$38,26,0)</f>
        <v>0</v>
      </c>
      <c r="T8" s="36">
        <f>VLOOKUP($A8,[24]HISTOJUIN24!$A$6:$BG$38,58,0)</f>
        <v>0</v>
      </c>
      <c r="U8" s="36">
        <f>VLOOKUP($A8,[24]HISTOJUIN24!$A$6:$AU$38,28,0)</f>
        <v>0</v>
      </c>
      <c r="V8" s="36">
        <f>VLOOKUP($A8,[24]HISTOJUIN24!$A$6:$AU$38,19,0)</f>
        <v>0</v>
      </c>
      <c r="W8" s="36">
        <f>VLOOKUP($A8,[24]HISTOJUIN24!$A$6:$AU$38,20,0)</f>
        <v>0</v>
      </c>
      <c r="X8" s="36">
        <f>VLOOKUP($A8,[24]HISTOJUIN24!$A$6:$AU$38,27,0)</f>
        <v>0</v>
      </c>
      <c r="Y8" s="36">
        <f>VLOOKUP($A8,[24]HISTOJUIN24!$A$6:$BM$38,33,0)</f>
        <v>0</v>
      </c>
      <c r="Z8" s="36">
        <f>VLOOKUP($A8,[24]HISTOJUIN24!$A$6:$BM$38,65,0)</f>
        <v>0</v>
      </c>
      <c r="AA8" s="36"/>
      <c r="AB8" s="36">
        <f>VLOOKUP($A8,[24]HISTOJUIN24!$A$6:$AU$38,43,0)</f>
        <v>0</v>
      </c>
      <c r="AC8" s="36">
        <f>VLOOKUP($A8,[24]HISTOJUIN24!$A$6:$AU$38,44,0)</f>
        <v>0</v>
      </c>
      <c r="AD8" s="36">
        <f>VLOOKUP($A8,[24]HISTOJUIN24!$A$6:$AU$38,47,0)</f>
        <v>0</v>
      </c>
      <c r="AE8" s="36">
        <f>VLOOKUP(A8,[24]HISTOJUIN24!$A$6:$BB$38,54,0)</f>
        <v>0</v>
      </c>
      <c r="AF8" s="36">
        <f>VLOOKUP($A8,[24]HISTOJUIN24!$A$6:$CB$38,60,0)</f>
        <v>0</v>
      </c>
      <c r="AG8" s="36">
        <f>VLOOKUP($A8,[24]HISTOJUIN24!$A$6:$CB$38,61,0)</f>
        <v>0</v>
      </c>
      <c r="AH8" s="36">
        <f>VLOOKUP($A8,[24]HISTOJUIN24!$A$6:$CB$38,62,0)</f>
        <v>0</v>
      </c>
      <c r="AI8" s="36">
        <f>VLOOKUP($A8,[24]HISTOJUIN24!$A$6:$CB$38,63,0)</f>
        <v>0</v>
      </c>
      <c r="AJ8" s="36">
        <f>VLOOKUP($A8,[24]HISTOJUIN24!$A$6:$CB$38,64,0)</f>
        <v>0</v>
      </c>
      <c r="AK8" s="36">
        <f>VLOOKUP($A8,[24]HISTOJUIN24!$A$6:$CB$38,65,0)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VLOOKUP($A9,[24]HISTOJUIN24!$A$6:$BA$38,48,0)</f>
        <v>0</v>
      </c>
      <c r="F9" s="36">
        <f>MVTMAI24!I9-E9+L9</f>
        <v>917572.20630865963</v>
      </c>
      <c r="G9" s="5">
        <f>IF(MVTMAI24!I9+L9&gt;700000,(MVTMAI24!I9-E9+L9),0)</f>
        <v>917572.20630865963</v>
      </c>
      <c r="H9" s="36">
        <f t="shared" si="0"/>
        <v>3459.1025547918762</v>
      </c>
      <c r="I9" s="6">
        <f t="shared" si="2"/>
        <v>921031.30886345147</v>
      </c>
      <c r="J9" s="36">
        <f>VLOOKUP($A9,[24]HISTOJUIN24!$A$6:$AQ$42,22,0)</f>
        <v>0</v>
      </c>
      <c r="K9" s="36">
        <f>VLOOKUP($A9,[24]HISTOJUIN24!$A$6:$AU$38,45,0)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VLOOKUP($A9,[24]HISTOJUIN24!$A$6:$AU$38,7,0)</f>
        <v>0</v>
      </c>
      <c r="Q9" s="36">
        <f>VLOOKUP($A9,[24]HISTOJUIN24!$A$6:$AU$38,23,0)</f>
        <v>0</v>
      </c>
      <c r="R9" s="36">
        <f>VLOOKUP($A9,[24]HISTOJUIN24!$A$6:$AU$38,46,0)</f>
        <v>0</v>
      </c>
      <c r="S9" s="36">
        <f>VLOOKUP($A9,[24]HISTOJUIN24!$A$6:$AU$38,26,0)</f>
        <v>0</v>
      </c>
      <c r="T9" s="36">
        <f>VLOOKUP($A9,[24]HISTOJUIN24!$A$6:$BG$38,58,0)</f>
        <v>0</v>
      </c>
      <c r="U9" s="36">
        <f>VLOOKUP($A9,[24]HISTOJUIN24!$A$6:$AU$38,28,0)</f>
        <v>0</v>
      </c>
      <c r="V9" s="36">
        <f>VLOOKUP($A9,[24]HISTOJUIN24!$A$6:$AU$38,19,0)</f>
        <v>0</v>
      </c>
      <c r="W9" s="36">
        <f>VLOOKUP($A9,[24]HISTOJUIN24!$A$6:$AU$38,20,0)</f>
        <v>0</v>
      </c>
      <c r="X9" s="36">
        <f>VLOOKUP($A9,[24]HISTOJUIN24!$A$6:$AU$38,27,0)</f>
        <v>0</v>
      </c>
      <c r="Y9" s="36">
        <f>VLOOKUP($A9,[24]HISTOJUIN24!$A$6:$BM$38,33,0)</f>
        <v>0</v>
      </c>
      <c r="Z9" s="36">
        <f>VLOOKUP($A9,[24]HISTOJUIN24!$A$6:$BM$38,65,0)</f>
        <v>0</v>
      </c>
      <c r="AA9" s="36"/>
      <c r="AB9" s="36">
        <f>VLOOKUP($A9,[24]HISTOJUIN24!$A$6:$AU$38,43,0)</f>
        <v>0</v>
      </c>
      <c r="AC9" s="36">
        <f>VLOOKUP($A9,[24]HISTOJUIN24!$A$6:$AU$38,44,0)</f>
        <v>0</v>
      </c>
      <c r="AD9" s="36">
        <f>VLOOKUP($A9,[24]HISTOJUIN24!$A$6:$AU$38,47,0)</f>
        <v>0</v>
      </c>
      <c r="AE9" s="36">
        <f>VLOOKUP(A9,[24]HISTOJUIN24!$A$6:$BB$38,54,0)</f>
        <v>0</v>
      </c>
      <c r="AF9" s="36">
        <f>VLOOKUP($A9,[24]HISTOJUIN24!$A$6:$CB$38,60,0)</f>
        <v>0</v>
      </c>
      <c r="AG9" s="36">
        <f>VLOOKUP($A9,[24]HISTOJUIN24!$A$6:$CB$38,61,0)</f>
        <v>0</v>
      </c>
      <c r="AH9" s="36">
        <f>VLOOKUP($A9,[24]HISTOJUIN24!$A$6:$CB$38,62,0)</f>
        <v>0</v>
      </c>
      <c r="AI9" s="36">
        <f>VLOOKUP($A9,[24]HISTOJUIN24!$A$6:$CB$38,63,0)</f>
        <v>0</v>
      </c>
      <c r="AJ9" s="36">
        <f>VLOOKUP($A9,[24]HISTOJUIN24!$A$6:$CB$38,64,0)</f>
        <v>0</v>
      </c>
      <c r="AK9" s="36">
        <f>VLOOKUP($A9,[24]HISTOJUIN24!$A$6:$CB$38,65,0)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VLOOKUP($A10,[24]HISTOJUIN24!$A$6:$BA$38,48,0)</f>
        <v>0</v>
      </c>
      <c r="F10" s="36">
        <f>MVTMAI24!I10-E10+L10</f>
        <v>855305.01433932164</v>
      </c>
      <c r="G10" s="5">
        <f>IF(MVTMAI24!I10+L10&gt;700000,(MVTMAI24!I10-E10+L10),0)</f>
        <v>855305.01433932164</v>
      </c>
      <c r="H10" s="36">
        <f t="shared" si="0"/>
        <v>3224.3650580150838</v>
      </c>
      <c r="I10" s="6">
        <f t="shared" si="2"/>
        <v>858529.37939733674</v>
      </c>
      <c r="J10" s="36">
        <f>VLOOKUP($A10,[24]HISTOJUIN24!$A$6:$AQ$42,22,0)</f>
        <v>0</v>
      </c>
      <c r="K10" s="36">
        <f>VLOOKUP($A10,[24]HISTOJUIN24!$A$6:$AU$38,45,0)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VLOOKUP($A10,[24]HISTOJUIN24!$A$6:$AU$38,7,0)</f>
        <v>3000</v>
      </c>
      <c r="Q10" s="36">
        <f>VLOOKUP($A10,[24]HISTOJUIN24!$A$6:$AU$38,23,0)</f>
        <v>0</v>
      </c>
      <c r="R10" s="36">
        <f>VLOOKUP($A10,[24]HISTOJUIN24!$A$6:$AU$38,46,0)</f>
        <v>0</v>
      </c>
      <c r="S10" s="36">
        <f>VLOOKUP($A10,[24]HISTOJUIN24!$A$6:$AU$38,26,0)</f>
        <v>0</v>
      </c>
      <c r="T10" s="36">
        <f>VLOOKUP($A10,[24]HISTOJUIN24!$A$6:$BG$38,58,0)</f>
        <v>0</v>
      </c>
      <c r="U10" s="36">
        <f>VLOOKUP($A10,[24]HISTOJUIN24!$A$6:$AU$38,28,0)</f>
        <v>0</v>
      </c>
      <c r="V10" s="36">
        <f>VLOOKUP($A10,[24]HISTOJUIN24!$A$6:$AU$38,19,0)</f>
        <v>0</v>
      </c>
      <c r="W10" s="36">
        <f>VLOOKUP($A10,[24]HISTOJUIN24!$A$6:$AU$38,20,0)</f>
        <v>0</v>
      </c>
      <c r="X10" s="36">
        <f>VLOOKUP($A10,[24]HISTOJUIN24!$A$6:$AU$38,27,0)</f>
        <v>0</v>
      </c>
      <c r="Y10" s="36">
        <f>VLOOKUP($A10,[24]HISTOJUIN24!$A$6:$BM$38,33,0)</f>
        <v>0</v>
      </c>
      <c r="Z10" s="36">
        <f>VLOOKUP($A10,[24]HISTOJUIN24!$A$6:$BM$38,65,0)</f>
        <v>0</v>
      </c>
      <c r="AA10" s="36"/>
      <c r="AB10" s="36">
        <f>VLOOKUP($A10,[24]HISTOJUIN24!$A$6:$AU$38,43,0)</f>
        <v>0</v>
      </c>
      <c r="AC10" s="36">
        <f>VLOOKUP($A10,[24]HISTOJUIN24!$A$6:$AU$38,44,0)</f>
        <v>0</v>
      </c>
      <c r="AD10" s="36">
        <f>VLOOKUP($A10,[24]HISTOJUIN24!$A$6:$AU$38,47,0)</f>
        <v>0</v>
      </c>
      <c r="AE10" s="36">
        <f>VLOOKUP(A10,[24]HISTOJUIN24!$A$6:$BB$38,54,0)</f>
        <v>0</v>
      </c>
      <c r="AF10" s="36">
        <f>VLOOKUP($A10,[24]HISTOJUIN24!$A$6:$CB$38,60,0)</f>
        <v>0</v>
      </c>
      <c r="AG10" s="36">
        <f>VLOOKUP($A10,[24]HISTOJUIN24!$A$6:$CB$38,61,0)</f>
        <v>0</v>
      </c>
      <c r="AH10" s="36">
        <f>VLOOKUP($A10,[24]HISTOJUIN24!$A$6:$CB$38,62,0)</f>
        <v>0</v>
      </c>
      <c r="AI10" s="36">
        <f>VLOOKUP($A10,[24]HISTOJUIN24!$A$6:$CB$38,63,0)</f>
        <v>0</v>
      </c>
      <c r="AJ10" s="36">
        <f>VLOOKUP($A10,[24]HISTOJUIN24!$A$6:$CB$38,64,0)</f>
        <v>0</v>
      </c>
      <c r="AK10" s="36">
        <f>VLOOKUP($A10,[24]HISTOJUIN24!$A$6:$CB$38,65,0)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VLOOKUP($A11,[24]HISTOJUIN24!$A$6:$BA$38,48,0)</f>
        <v>0</v>
      </c>
      <c r="F11" s="36">
        <f>MVTMAI24!I11-E11+L11</f>
        <v>885426.96183025884</v>
      </c>
      <c r="G11" s="5">
        <f>IF(MVTMAI24!I11+L11&gt;700000,(MVTMAI24!I11-E11+L11),0)</f>
        <v>885426.96183025884</v>
      </c>
      <c r="H11" s="36">
        <f t="shared" si="0"/>
        <v>3337.9200510770224</v>
      </c>
      <c r="I11" s="6">
        <f t="shared" si="2"/>
        <v>888764.88188133587</v>
      </c>
      <c r="J11" s="36">
        <f>VLOOKUP($A11,[24]HISTOJUIN24!$A$6:$AQ$42,22,0)</f>
        <v>0</v>
      </c>
      <c r="K11" s="36">
        <f>VLOOKUP($A11,[24]HISTOJUIN24!$A$6:$AU$38,45,0)</f>
        <v>30000</v>
      </c>
      <c r="L11" s="36">
        <f t="shared" si="3"/>
        <v>24000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VLOOKUP($A11,[24]HISTOJUIN24!$A$6:$AU$38,7,0)</f>
        <v>0</v>
      </c>
      <c r="Q11" s="36">
        <f>VLOOKUP($A11,[24]HISTOJUIN24!$A$6:$AU$38,23,0)</f>
        <v>0</v>
      </c>
      <c r="R11" s="36">
        <f>VLOOKUP($A11,[24]HISTOJUIN24!$A$6:$AU$38,46,0)</f>
        <v>0</v>
      </c>
      <c r="S11" s="36">
        <f>VLOOKUP($A11,[24]HISTOJUIN24!$A$6:$AU$38,26,0)</f>
        <v>0</v>
      </c>
      <c r="T11" s="36">
        <f>VLOOKUP($A11,[24]HISTOJUIN24!$A$6:$BG$38,58,0)</f>
        <v>20000</v>
      </c>
      <c r="U11" s="36">
        <f>VLOOKUP($A11,[24]HISTOJUIN24!$A$6:$AU$38,28,0)</f>
        <v>0</v>
      </c>
      <c r="V11" s="36">
        <f>VLOOKUP($A11,[24]HISTOJUIN24!$A$6:$AU$38,19,0)</f>
        <v>0</v>
      </c>
      <c r="W11" s="36">
        <f>VLOOKUP($A11,[24]HISTOJUIN24!$A$6:$AU$38,20,0)</f>
        <v>0</v>
      </c>
      <c r="X11" s="36">
        <f>VLOOKUP($A11,[24]HISTOJUIN24!$A$6:$AU$38,27,0)</f>
        <v>0</v>
      </c>
      <c r="Y11" s="36">
        <f>VLOOKUP($A11,[24]HISTOJUIN24!$A$6:$BM$38,33,0)</f>
        <v>0</v>
      </c>
      <c r="Z11" s="36">
        <f>VLOOKUP($A11,[24]HISTOJUIN24!$A$6:$BM$38,65,0)</f>
        <v>0</v>
      </c>
      <c r="AA11" s="36"/>
      <c r="AB11" s="36">
        <f>VLOOKUP($A11,[24]HISTOJUIN24!$A$6:$AU$38,43,0)</f>
        <v>0</v>
      </c>
      <c r="AC11" s="36">
        <f>VLOOKUP($A11,[24]HISTOJUIN24!$A$6:$AU$38,44,0)</f>
        <v>0</v>
      </c>
      <c r="AD11" s="36">
        <f>VLOOKUP($A11,[24]HISTOJUIN24!$A$6:$AU$38,47,0)</f>
        <v>0</v>
      </c>
      <c r="AE11" s="36">
        <f>VLOOKUP(A11,[24]HISTOJUIN24!$A$6:$BB$38,54,0)</f>
        <v>0</v>
      </c>
      <c r="AF11" s="36">
        <f>VLOOKUP($A11,[24]HISTOJUIN24!$A$6:$CB$38,60,0)</f>
        <v>0</v>
      </c>
      <c r="AG11" s="36">
        <f>VLOOKUP($A11,[24]HISTOJUIN24!$A$6:$CB$38,61,0)</f>
        <v>0</v>
      </c>
      <c r="AH11" s="36">
        <f>VLOOKUP($A11,[24]HISTOJUIN24!$A$6:$CB$38,62,0)</f>
        <v>0</v>
      </c>
      <c r="AI11" s="36">
        <f>VLOOKUP($A11,[24]HISTOJUIN24!$A$6:$CB$38,63,0)</f>
        <v>0</v>
      </c>
      <c r="AJ11" s="36">
        <f>VLOOKUP($A11,[24]HISTOJUIN24!$A$6:$CB$38,64,0)</f>
        <v>0</v>
      </c>
      <c r="AK11" s="36">
        <f>VLOOKUP($A11,[24]HISTOJUIN24!$A$6:$CB$38,65,0)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VLOOKUP($A12,[24]HISTOJUIN24!$A$6:$BA$38,48,0)</f>
        <v>0</v>
      </c>
      <c r="F12" s="36">
        <f>MVTMAI24!I12-E12+L12</f>
        <v>912723.04004728433</v>
      </c>
      <c r="G12" s="5">
        <f>IF(MVTMAI24!I12+L12&gt;700000,(MVTMAI24!I12-E12+L12),0)</f>
        <v>912723.04004728433</v>
      </c>
      <c r="H12" s="36">
        <f t="shared" si="0"/>
        <v>3440.8219624984217</v>
      </c>
      <c r="I12" s="6">
        <f t="shared" si="2"/>
        <v>916163.86200978281</v>
      </c>
      <c r="J12" s="36">
        <f>VLOOKUP($A12,[24]HISTOJUIN24!$A$6:$AQ$42,22,0)</f>
        <v>0</v>
      </c>
      <c r="K12" s="36">
        <f>VLOOKUP($A12,[24]HISTOJUIN24!$A$6:$AU$38,45,0)</f>
        <v>34000</v>
      </c>
      <c r="L12" s="36">
        <f t="shared" si="3"/>
        <v>28000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VLOOKUP($A12,[24]HISTOJUIN24!$A$6:$AU$38,7,0)</f>
        <v>0</v>
      </c>
      <c r="Q12" s="36">
        <f>VLOOKUP($A12,[24]HISTOJUIN24!$A$6:$AU$38,23,0)</f>
        <v>0</v>
      </c>
      <c r="R12" s="36">
        <f>VLOOKUP($A12,[24]HISTOJUIN24!$A$6:$AU$38,46,0)</f>
        <v>0</v>
      </c>
      <c r="S12" s="36">
        <f>VLOOKUP($A12,[24]HISTOJUIN24!$A$6:$AU$38,26,0)</f>
        <v>0</v>
      </c>
      <c r="T12" s="36">
        <f>VLOOKUP($A12,[24]HISTOJUIN24!$A$6:$BG$38,58,0)</f>
        <v>0</v>
      </c>
      <c r="U12" s="36">
        <f>VLOOKUP($A12,[24]HISTOJUIN24!$A$6:$AU$38,28,0)</f>
        <v>0</v>
      </c>
      <c r="V12" s="36">
        <f>VLOOKUP($A12,[24]HISTOJUIN24!$A$6:$AU$38,19,0)</f>
        <v>360000</v>
      </c>
      <c r="W12" s="36" t="str">
        <f>VLOOKUP($A12,[24]HISTOJUIN24!$A$6:$AU$38,20,0)</f>
        <v>BANQUE</v>
      </c>
      <c r="X12" s="36">
        <f>VLOOKUP($A12,[24]HISTOJUIN24!$A$6:$AU$38,27,0)</f>
        <v>0</v>
      </c>
      <c r="Y12" s="36">
        <f>VLOOKUP($A12,[24]HISTOJUIN24!$A$6:$BM$38,33,0)</f>
        <v>0</v>
      </c>
      <c r="Z12" s="36">
        <f>VLOOKUP($A12,[24]HISTOJUIN24!$A$6:$BM$38,65,0)</f>
        <v>0</v>
      </c>
      <c r="AA12" s="36"/>
      <c r="AB12" s="36">
        <f>VLOOKUP($A12,[24]HISTOJUIN24!$A$6:$AU$38,43,0)</f>
        <v>0</v>
      </c>
      <c r="AC12" s="36">
        <f>VLOOKUP($A12,[24]HISTOJUIN24!$A$6:$AU$38,44,0)</f>
        <v>0</v>
      </c>
      <c r="AD12" s="36">
        <f>VLOOKUP($A12,[24]HISTOJUIN24!$A$6:$AU$38,47,0)</f>
        <v>0</v>
      </c>
      <c r="AE12" s="36">
        <f>VLOOKUP(A12,[24]HISTOJUIN24!$A$6:$BB$38,54,0)</f>
        <v>0</v>
      </c>
      <c r="AF12" s="36">
        <f>VLOOKUP($A12,[24]HISTOJUIN24!$A$6:$CB$38,60,0)</f>
        <v>0</v>
      </c>
      <c r="AG12" s="36">
        <f>VLOOKUP($A12,[24]HISTOJUIN24!$A$6:$CB$38,61,0)</f>
        <v>0</v>
      </c>
      <c r="AH12" s="36">
        <f>VLOOKUP($A12,[24]HISTOJUIN24!$A$6:$CB$38,62,0)</f>
        <v>0</v>
      </c>
      <c r="AI12" s="36">
        <f>VLOOKUP($A12,[24]HISTOJUIN24!$A$6:$CB$38,63,0)</f>
        <v>0</v>
      </c>
      <c r="AJ12" s="36">
        <f>VLOOKUP($A12,[24]HISTOJUIN24!$A$6:$CB$38,64,0)</f>
        <v>0</v>
      </c>
      <c r="AK12" s="36">
        <f>VLOOKUP($A12,[24]HISTOJUIN24!$A$6:$CB$38,65,0)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VLOOKUP($A13,[24]HISTOJUIN24!$A$6:$BA$38,48,0)</f>
        <v>0</v>
      </c>
      <c r="F13" s="36">
        <f>MVTMAI24!I13-E13+L13</f>
        <v>863078.19467948901</v>
      </c>
      <c r="G13" s="5">
        <f>IF(MVTMAI24!I13+L13&gt;700000,(MVTMAI24!I13-E13+L13),0)</f>
        <v>863078.19467948901</v>
      </c>
      <c r="H13" s="36">
        <f t="shared" si="0"/>
        <v>3253.6687223901204</v>
      </c>
      <c r="I13" s="6">
        <f t="shared" si="2"/>
        <v>866331.86340187909</v>
      </c>
      <c r="J13" s="36">
        <f>VLOOKUP($A13,[24]HISTOJUIN24!$A$6:$AQ$42,22,0)</f>
        <v>0</v>
      </c>
      <c r="K13" s="36">
        <f>VLOOKUP($A13,[24]HISTOJUIN24!$A$6:$AU$38,45,0)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VLOOKUP($A13,[24]HISTOJUIN24!$A$6:$AU$38,7,0)</f>
        <v>0</v>
      </c>
      <c r="Q13" s="36">
        <f>VLOOKUP($A13,[24]HISTOJUIN24!$A$6:$AU$38,23,0)</f>
        <v>0</v>
      </c>
      <c r="R13" s="36">
        <f>VLOOKUP($A13,[24]HISTOJUIN24!$A$6:$AU$38,46,0)</f>
        <v>0</v>
      </c>
      <c r="S13" s="36">
        <f>VLOOKUP($A13,[24]HISTOJUIN24!$A$6:$AU$38,26,0)</f>
        <v>0</v>
      </c>
      <c r="T13" s="36">
        <f>VLOOKUP($A13,[24]HISTOJUIN24!$A$6:$BG$38,58,0)</f>
        <v>0</v>
      </c>
      <c r="U13" s="36">
        <f>VLOOKUP($A13,[24]HISTOJUIN24!$A$6:$AU$38,28,0)</f>
        <v>0</v>
      </c>
      <c r="V13" s="36">
        <f>VLOOKUP($A13,[24]HISTOJUIN24!$A$6:$AU$38,19,0)</f>
        <v>0</v>
      </c>
      <c r="W13" s="36">
        <f>VLOOKUP($A13,[24]HISTOJUIN24!$A$6:$AU$38,20,0)</f>
        <v>0</v>
      </c>
      <c r="X13" s="36">
        <f>VLOOKUP($A13,[24]HISTOJUIN24!$A$6:$AU$38,27,0)</f>
        <v>0</v>
      </c>
      <c r="Y13" s="36">
        <f>VLOOKUP($A13,[24]HISTOJUIN24!$A$6:$BM$38,33,0)</f>
        <v>0</v>
      </c>
      <c r="Z13" s="36">
        <f>VLOOKUP($A13,[24]HISTOJUIN24!$A$6:$BM$38,65,0)</f>
        <v>0</v>
      </c>
      <c r="AA13" s="36"/>
      <c r="AB13" s="36">
        <f>VLOOKUP($A13,[24]HISTOJUIN24!$A$6:$AU$38,43,0)</f>
        <v>0</v>
      </c>
      <c r="AC13" s="36">
        <f>VLOOKUP($A13,[24]HISTOJUIN24!$A$6:$AU$38,44,0)</f>
        <v>0</v>
      </c>
      <c r="AD13" s="36">
        <f>VLOOKUP($A13,[24]HISTOJUIN24!$A$6:$AU$38,47,0)</f>
        <v>0</v>
      </c>
      <c r="AE13" s="36">
        <f>VLOOKUP(A13,[24]HISTOJUIN24!$A$6:$BB$38,54,0)</f>
        <v>0</v>
      </c>
      <c r="AF13" s="36">
        <f>VLOOKUP($A13,[24]HISTOJUIN24!$A$6:$CB$38,60,0)</f>
        <v>0</v>
      </c>
      <c r="AG13" s="36">
        <f>VLOOKUP($A13,[24]HISTOJUIN24!$A$6:$CB$38,61,0)</f>
        <v>0</v>
      </c>
      <c r="AH13" s="36">
        <f>VLOOKUP($A13,[24]HISTOJUIN24!$A$6:$CB$38,62,0)</f>
        <v>0</v>
      </c>
      <c r="AI13" s="36">
        <f>VLOOKUP($A13,[24]HISTOJUIN24!$A$6:$CB$38,63,0)</f>
        <v>0</v>
      </c>
      <c r="AJ13" s="36">
        <f>VLOOKUP($A13,[24]HISTOJUIN24!$A$6:$CB$38,64,0)</f>
        <v>0</v>
      </c>
      <c r="AK13" s="36">
        <f>VLOOKUP($A13,[24]HISTOJUIN24!$A$6:$CB$38,65,0)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VLOOKUP($A14,[24]HISTOJUIN24!$A$6:$BA$38,48,0)</f>
        <v>0</v>
      </c>
      <c r="F14" s="36">
        <f>MVTMAI24!I14-E14+L14</f>
        <v>1416867.4046994275</v>
      </c>
      <c r="G14" s="5">
        <f>IF(MVTMAI24!I14+L14&gt;700000,(MVTMAI24!I14-E14+L14),0)</f>
        <v>1416867.4046994275</v>
      </c>
      <c r="H14" s="36">
        <f t="shared" si="0"/>
        <v>5341.3667346289049</v>
      </c>
      <c r="I14" s="6">
        <f t="shared" si="2"/>
        <v>1422208.7714340563</v>
      </c>
      <c r="J14" s="36">
        <f>VLOOKUP($A14,[24]HISTOJUIN24!$A$6:$AQ$42,22,0)</f>
        <v>0</v>
      </c>
      <c r="K14" s="36">
        <f>VLOOKUP($A14,[24]HISTOJUIN24!$A$6:$AU$38,45,0)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VLOOKUP($A14,[24]HISTOJUIN24!$A$6:$AU$38,7,0)</f>
        <v>0</v>
      </c>
      <c r="Q14" s="36">
        <f>VLOOKUP($A14,[24]HISTOJUIN24!$A$6:$AU$38,23,0)</f>
        <v>0</v>
      </c>
      <c r="R14" s="36">
        <f>VLOOKUP($A14,[24]HISTOJUIN24!$A$6:$AU$38,46,0)</f>
        <v>0</v>
      </c>
      <c r="S14" s="36">
        <f>VLOOKUP($A14,[24]HISTOJUIN24!$A$6:$AU$38,26,0)</f>
        <v>0</v>
      </c>
      <c r="T14" s="36">
        <f>VLOOKUP($A14,[24]HISTOJUIN24!$A$6:$BG$38,58,0)</f>
        <v>0</v>
      </c>
      <c r="U14" s="36">
        <f>VLOOKUP($A14,[24]HISTOJUIN24!$A$6:$AU$38,28,0)</f>
        <v>0</v>
      </c>
      <c r="V14" s="36">
        <f>VLOOKUP($A14,[24]HISTOJUIN24!$A$6:$AU$38,19,0)</f>
        <v>0</v>
      </c>
      <c r="W14" s="36">
        <f>VLOOKUP($A14,[24]HISTOJUIN24!$A$6:$AU$38,20,0)</f>
        <v>0</v>
      </c>
      <c r="X14" s="36">
        <f>VLOOKUP($A14,[24]HISTOJUIN24!$A$6:$AU$38,27,0)</f>
        <v>0</v>
      </c>
      <c r="Y14" s="36">
        <f>VLOOKUP($A14,[24]HISTOJUIN24!$A$6:$BM$38,33,0)</f>
        <v>0</v>
      </c>
      <c r="Z14" s="36">
        <f>VLOOKUP($A14,[24]HISTOJUIN24!$A$6:$BM$38,65,0)</f>
        <v>0</v>
      </c>
      <c r="AA14" s="36"/>
      <c r="AB14" s="36">
        <f>VLOOKUP($A14,[24]HISTOJUIN24!$A$6:$AU$38,43,0)</f>
        <v>0</v>
      </c>
      <c r="AC14" s="36">
        <f>VLOOKUP($A14,[24]HISTOJUIN24!$A$6:$AU$38,44,0)</f>
        <v>0</v>
      </c>
      <c r="AD14" s="36">
        <f>VLOOKUP($A14,[24]HISTOJUIN24!$A$6:$AU$38,47,0)</f>
        <v>0</v>
      </c>
      <c r="AE14" s="36">
        <f>VLOOKUP(A14,[24]HISTOJUIN24!$A$6:$BB$38,54,0)</f>
        <v>0</v>
      </c>
      <c r="AF14" s="36">
        <f>VLOOKUP($A14,[24]HISTOJUIN24!$A$6:$CB$38,60,0)</f>
        <v>0</v>
      </c>
      <c r="AG14" s="36">
        <f>VLOOKUP($A14,[24]HISTOJUIN24!$A$6:$CB$38,61,0)</f>
        <v>0</v>
      </c>
      <c r="AH14" s="36">
        <f>VLOOKUP($A14,[24]HISTOJUIN24!$A$6:$CB$38,62,0)</f>
        <v>0</v>
      </c>
      <c r="AI14" s="36">
        <f>VLOOKUP($A14,[24]HISTOJUIN24!$A$6:$CB$38,63,0)</f>
        <v>0</v>
      </c>
      <c r="AJ14" s="36">
        <f>VLOOKUP($A14,[24]HISTOJUIN24!$A$6:$CB$38,64,0)</f>
        <v>0</v>
      </c>
      <c r="AK14" s="36">
        <f>VLOOKUP($A14,[24]HISTOJUIN24!$A$6:$CB$38,65,0)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VLOOKUP($A15,[24]HISTOJUIN24!$A$6:$BA$38,48,0)</f>
        <v>0</v>
      </c>
      <c r="F15" s="36">
        <f>MVTMAI24!I15-E15+L15</f>
        <v>924935.25045989943</v>
      </c>
      <c r="G15" s="5">
        <f>IF(MVTMAI24!I15+L15&gt;700000,(MVTMAI24!I15-E15+L15),0)</f>
        <v>924935.25045989943</v>
      </c>
      <c r="H15" s="36">
        <f t="shared" si="0"/>
        <v>3486.8600703960828</v>
      </c>
      <c r="I15" s="6">
        <f t="shared" si="2"/>
        <v>928422.11053029553</v>
      </c>
      <c r="J15" s="36">
        <f>VLOOKUP($A15,[24]HISTOJUIN24!$A$6:$AQ$42,22,0)</f>
        <v>0</v>
      </c>
      <c r="K15" s="36">
        <f>VLOOKUP($A15,[24]HISTOJUIN24!$A$6:$AU$38,45,0)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VLOOKUP($A15,[24]HISTOJUIN24!$A$6:$AU$38,7,0)</f>
        <v>0</v>
      </c>
      <c r="Q15" s="36">
        <f>VLOOKUP($A15,[24]HISTOJUIN24!$A$6:$AU$38,23,0)</f>
        <v>0</v>
      </c>
      <c r="R15" s="36">
        <f>VLOOKUP($A15,[24]HISTOJUIN24!$A$6:$AU$38,46,0)</f>
        <v>0</v>
      </c>
      <c r="S15" s="36">
        <f>VLOOKUP($A15,[24]HISTOJUIN24!$A$6:$AU$38,26,0)</f>
        <v>0</v>
      </c>
      <c r="T15" s="36">
        <f>VLOOKUP($A15,[24]HISTOJUIN24!$A$6:$BG$38,58,0)</f>
        <v>0</v>
      </c>
      <c r="U15" s="36">
        <f>VLOOKUP($A15,[24]HISTOJUIN24!$A$6:$AU$38,28,0)</f>
        <v>0</v>
      </c>
      <c r="V15" s="36">
        <f>VLOOKUP($A15,[24]HISTOJUIN24!$A$6:$AU$38,19,0)</f>
        <v>0</v>
      </c>
      <c r="W15" s="36">
        <f>VLOOKUP($A15,[24]HISTOJUIN24!$A$6:$AU$38,20,0)</f>
        <v>0</v>
      </c>
      <c r="X15" s="36">
        <f>VLOOKUP($A15,[24]HISTOJUIN24!$A$6:$AU$38,27,0)</f>
        <v>0</v>
      </c>
      <c r="Y15" s="36">
        <f>VLOOKUP($A15,[24]HISTOJUIN24!$A$6:$BM$38,33,0)</f>
        <v>0</v>
      </c>
      <c r="Z15" s="36">
        <f>VLOOKUP($A15,[24]HISTOJUIN24!$A$6:$BM$38,65,0)</f>
        <v>0</v>
      </c>
      <c r="AA15" s="36"/>
      <c r="AB15" s="36">
        <f>VLOOKUP($A15,[24]HISTOJUIN24!$A$6:$AU$38,43,0)</f>
        <v>0</v>
      </c>
      <c r="AC15" s="36">
        <f>VLOOKUP($A15,[24]HISTOJUIN24!$A$6:$AU$38,44,0)</f>
        <v>0</v>
      </c>
      <c r="AD15" s="36">
        <f>VLOOKUP($A15,[24]HISTOJUIN24!$A$6:$AU$38,47,0)</f>
        <v>0</v>
      </c>
      <c r="AE15" s="36">
        <f>VLOOKUP(A15,[24]HISTOJUIN24!$A$6:$BB$38,54,0)</f>
        <v>0</v>
      </c>
      <c r="AF15" s="36">
        <f>VLOOKUP($A15,[24]HISTOJUIN24!$A$6:$CB$38,60,0)</f>
        <v>0</v>
      </c>
      <c r="AG15" s="36">
        <f>VLOOKUP($A15,[24]HISTOJUIN24!$A$6:$CB$38,61,0)</f>
        <v>0</v>
      </c>
      <c r="AH15" s="36">
        <f>VLOOKUP($A15,[24]HISTOJUIN24!$A$6:$CB$38,62,0)</f>
        <v>0</v>
      </c>
      <c r="AI15" s="36">
        <f>VLOOKUP($A15,[24]HISTOJUIN24!$A$6:$CB$38,63,0)</f>
        <v>0</v>
      </c>
      <c r="AJ15" s="36">
        <f>VLOOKUP($A15,[24]HISTOJUIN24!$A$6:$CB$38,64,0)</f>
        <v>0</v>
      </c>
      <c r="AK15" s="36">
        <f>VLOOKUP($A15,[24]HISTOJUIN24!$A$6:$CB$38,65,0)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VLOOKUP($A16,[24]HISTOJUIN24!$A$6:$BA$38,48,0)</f>
        <v>0</v>
      </c>
      <c r="F16" s="36">
        <f>MVTMAI24!I16-E16+L16</f>
        <v>1105953.5704262538</v>
      </c>
      <c r="G16" s="5">
        <f>IF(MVTMAI24!I16+L16&gt;700000,(MVTMAI24!I16-E16+L16),0)</f>
        <v>1105953.5704262538</v>
      </c>
      <c r="H16" s="36">
        <f t="shared" si="0"/>
        <v>4169.2705976054449</v>
      </c>
      <c r="I16" s="6">
        <f t="shared" si="2"/>
        <v>1110122.8410238593</v>
      </c>
      <c r="J16" s="36">
        <f>VLOOKUP($A16,[24]HISTOJUIN24!$A$6:$AQ$42,22,0)</f>
        <v>0</v>
      </c>
      <c r="K16" s="36">
        <f>VLOOKUP($A16,[24]HISTOJUIN24!$A$6:$AU$38,45,0)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VLOOKUP($A16,[24]HISTOJUIN24!$A$6:$AU$38,7,0)</f>
        <v>0</v>
      </c>
      <c r="Q16" s="36">
        <f>VLOOKUP($A16,[24]HISTOJUIN24!$A$6:$AU$38,23,0)</f>
        <v>0</v>
      </c>
      <c r="R16" s="36">
        <f>VLOOKUP($A16,[24]HISTOJUIN24!$A$6:$AU$38,46,0)</f>
        <v>0</v>
      </c>
      <c r="S16" s="36">
        <f>VLOOKUP($A16,[24]HISTOJUIN24!$A$6:$AU$38,26,0)</f>
        <v>0</v>
      </c>
      <c r="T16" s="36">
        <f>VLOOKUP($A16,[24]HISTOJUIN24!$A$6:$BG$38,58,0)</f>
        <v>0</v>
      </c>
      <c r="U16" s="36">
        <f>VLOOKUP($A16,[24]HISTOJUIN24!$A$6:$AU$38,28,0)</f>
        <v>0</v>
      </c>
      <c r="V16" s="36">
        <f>VLOOKUP($A16,[24]HISTOJUIN24!$A$6:$AU$38,19,0)</f>
        <v>0</v>
      </c>
      <c r="W16" s="36">
        <f>VLOOKUP($A16,[24]HISTOJUIN24!$A$6:$AU$38,20,0)</f>
        <v>0</v>
      </c>
      <c r="X16" s="36">
        <f>VLOOKUP($A16,[24]HISTOJUIN24!$A$6:$AU$38,27,0)</f>
        <v>0</v>
      </c>
      <c r="Y16" s="36">
        <f>VLOOKUP($A16,[24]HISTOJUIN24!$A$6:$BM$38,33,0)</f>
        <v>0</v>
      </c>
      <c r="Z16" s="36">
        <f>VLOOKUP($A16,[24]HISTOJUIN24!$A$6:$BM$38,65,0)</f>
        <v>0</v>
      </c>
      <c r="AA16" s="36"/>
      <c r="AB16" s="36">
        <f>VLOOKUP($A16,[24]HISTOJUIN24!$A$6:$AU$38,43,0)</f>
        <v>0</v>
      </c>
      <c r="AC16" s="36">
        <f>VLOOKUP($A16,[24]HISTOJUIN24!$A$6:$AU$38,44,0)</f>
        <v>0</v>
      </c>
      <c r="AD16" s="36">
        <f>VLOOKUP($A16,[24]HISTOJUIN24!$A$6:$AU$38,47,0)</f>
        <v>0</v>
      </c>
      <c r="AE16" s="36">
        <f>VLOOKUP(A16,[24]HISTOJUIN24!$A$6:$BB$38,54,0)</f>
        <v>0</v>
      </c>
      <c r="AF16" s="36">
        <f>VLOOKUP($A16,[24]HISTOJUIN24!$A$6:$CB$38,60,0)</f>
        <v>0</v>
      </c>
      <c r="AG16" s="36">
        <f>VLOOKUP($A16,[24]HISTOJUIN24!$A$6:$CB$38,61,0)</f>
        <v>0</v>
      </c>
      <c r="AH16" s="36">
        <f>VLOOKUP($A16,[24]HISTOJUIN24!$A$6:$CB$38,62,0)</f>
        <v>0</v>
      </c>
      <c r="AI16" s="36">
        <f>VLOOKUP($A16,[24]HISTOJUIN24!$A$6:$CB$38,63,0)</f>
        <v>0</v>
      </c>
      <c r="AJ16" s="36">
        <f>VLOOKUP($A16,[24]HISTOJUIN24!$A$6:$CB$38,64,0)</f>
        <v>0</v>
      </c>
      <c r="AK16" s="36">
        <f>VLOOKUP($A16,[24]HISTOJUIN24!$A$6:$CB$38,65,0)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VLOOKUP($A17,[24]HISTOJUIN24!$A$6:$BA$38,48,0)</f>
        <v>0</v>
      </c>
      <c r="F17" s="36">
        <f>MVTMAI24!I17-E17+L17</f>
        <v>873442.10685635731</v>
      </c>
      <c r="G17" s="5">
        <f>IF(MVTMAI24!I17+L17&gt;700000,(MVTMAI24!I17-E17+L17),0)</f>
        <v>873442.10685635731</v>
      </c>
      <c r="H17" s="36">
        <f t="shared" si="0"/>
        <v>3292.7390373388107</v>
      </c>
      <c r="I17" s="6">
        <f t="shared" si="2"/>
        <v>876734.84589369607</v>
      </c>
      <c r="J17" s="36">
        <f>VLOOKUP($A17,[24]HISTOJUIN24!$A$6:$AQ$42,22,0)</f>
        <v>0</v>
      </c>
      <c r="K17" s="36">
        <f>VLOOKUP($A17,[24]HISTOJUIN24!$A$6:$AU$38,45,0)</f>
        <v>25500</v>
      </c>
      <c r="L17" s="36">
        <f t="shared" si="3"/>
        <v>19500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VLOOKUP($A17,[24]HISTOJUIN24!$A$6:$AU$38,7,0)</f>
        <v>0</v>
      </c>
      <c r="Q17" s="36">
        <f>VLOOKUP($A17,[24]HISTOJUIN24!$A$6:$AU$38,23,0)</f>
        <v>0</v>
      </c>
      <c r="R17" s="36">
        <f>VLOOKUP($A17,[24]HISTOJUIN24!$A$6:$AU$38,46,0)</f>
        <v>0</v>
      </c>
      <c r="S17" s="36">
        <f>VLOOKUP($A17,[24]HISTOJUIN24!$A$6:$AU$38,26,0)</f>
        <v>0</v>
      </c>
      <c r="T17" s="36">
        <f>VLOOKUP($A17,[24]HISTOJUIN24!$A$6:$BG$38,58,0)</f>
        <v>0</v>
      </c>
      <c r="U17" s="36">
        <f>VLOOKUP($A17,[24]HISTOJUIN24!$A$6:$AU$38,28,0)</f>
        <v>0</v>
      </c>
      <c r="V17" s="36">
        <f>VLOOKUP($A17,[24]HISTOJUIN24!$A$6:$AU$38,19,0)</f>
        <v>0</v>
      </c>
      <c r="W17" s="36">
        <f>VLOOKUP($A17,[24]HISTOJUIN24!$A$6:$AU$38,20,0)</f>
        <v>0</v>
      </c>
      <c r="X17" s="36">
        <f>VLOOKUP($A17,[24]HISTOJUIN24!$A$6:$AU$38,27,0)</f>
        <v>0</v>
      </c>
      <c r="Y17" s="36">
        <f>VLOOKUP($A17,[24]HISTOJUIN24!$A$6:$BM$38,33,0)</f>
        <v>0</v>
      </c>
      <c r="Z17" s="36">
        <f>VLOOKUP($A17,[24]HISTOJUIN24!$A$6:$BM$38,65,0)</f>
        <v>0</v>
      </c>
      <c r="AA17" s="36"/>
      <c r="AB17" s="36">
        <f>VLOOKUP($A17,[24]HISTOJUIN24!$A$6:$AU$38,43,0)</f>
        <v>0</v>
      </c>
      <c r="AC17" s="36">
        <f>VLOOKUP($A17,[24]HISTOJUIN24!$A$6:$AU$38,44,0)</f>
        <v>0</v>
      </c>
      <c r="AD17" s="36">
        <f>VLOOKUP($A17,[24]HISTOJUIN24!$A$6:$AU$38,47,0)</f>
        <v>0</v>
      </c>
      <c r="AE17" s="36">
        <f>VLOOKUP(A17,[24]HISTOJUIN24!$A$6:$BB$38,54,0)</f>
        <v>0</v>
      </c>
      <c r="AF17" s="36">
        <f>VLOOKUP($A17,[24]HISTOJUIN24!$A$6:$CB$38,60,0)</f>
        <v>0</v>
      </c>
      <c r="AG17" s="36">
        <f>VLOOKUP($A17,[24]HISTOJUIN24!$A$6:$CB$38,61,0)</f>
        <v>0</v>
      </c>
      <c r="AH17" s="36">
        <f>VLOOKUP($A17,[24]HISTOJUIN24!$A$6:$CB$38,62,0)</f>
        <v>0</v>
      </c>
      <c r="AI17" s="36">
        <f>VLOOKUP($A17,[24]HISTOJUIN24!$A$6:$CB$38,63,0)</f>
        <v>0</v>
      </c>
      <c r="AJ17" s="36">
        <f>VLOOKUP($A17,[24]HISTOJUIN24!$A$6:$CB$38,64,0)</f>
        <v>0</v>
      </c>
      <c r="AK17" s="36">
        <f>VLOOKUP($A17,[24]HISTOJUIN24!$A$6:$CB$38,65,0)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VLOOKUP($A18,[24]HISTOJUIN24!$A$6:$BA$38,48,0)</f>
        <v>0</v>
      </c>
      <c r="F18" s="36">
        <f>MVTMAI24!I18-E18+L18</f>
        <v>939347.40957062226</v>
      </c>
      <c r="G18" s="5">
        <f>IF(MVTMAI24!I18+L18&gt;700000,(MVTMAI24!I18-E18+L18),0)</f>
        <v>939347.40957062226</v>
      </c>
      <c r="H18" s="36">
        <f t="shared" si="0"/>
        <v>3541.1916380451562</v>
      </c>
      <c r="I18" s="6">
        <f t="shared" si="2"/>
        <v>942888.60120866739</v>
      </c>
      <c r="J18" s="36">
        <f>VLOOKUP($A18,[24]HISTOJUIN24!$A$6:$AQ$42,22,0)</f>
        <v>0</v>
      </c>
      <c r="K18" s="36">
        <f>VLOOKUP($A18,[24]HISTOJUIN24!$A$6:$AU$38,45,0)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VLOOKUP($A18,[24]HISTOJUIN24!$A$6:$AU$38,7,0)</f>
        <v>0</v>
      </c>
      <c r="Q18" s="36">
        <f>VLOOKUP($A18,[24]HISTOJUIN24!$A$6:$AU$38,23,0)</f>
        <v>0</v>
      </c>
      <c r="R18" s="36">
        <f>VLOOKUP($A18,[24]HISTOJUIN24!$A$6:$AU$38,46,0)</f>
        <v>0</v>
      </c>
      <c r="S18" s="36">
        <f>VLOOKUP($A18,[24]HISTOJUIN24!$A$6:$AU$38,26,0)</f>
        <v>0</v>
      </c>
      <c r="T18" s="36">
        <f>VLOOKUP($A18,[24]HISTOJUIN24!$A$6:$BG$38,58,0)</f>
        <v>0</v>
      </c>
      <c r="U18" s="36">
        <f>VLOOKUP($A18,[24]HISTOJUIN24!$A$6:$AU$38,28,0)</f>
        <v>0</v>
      </c>
      <c r="V18" s="36">
        <f>VLOOKUP($A18,[24]HISTOJUIN24!$A$6:$AU$38,19,0)</f>
        <v>0</v>
      </c>
      <c r="W18" s="36">
        <f>VLOOKUP($A18,[24]HISTOJUIN24!$A$6:$AU$38,20,0)</f>
        <v>0</v>
      </c>
      <c r="X18" s="36">
        <f>VLOOKUP($A18,[24]HISTOJUIN24!$A$6:$AU$38,27,0)</f>
        <v>0</v>
      </c>
      <c r="Y18" s="36">
        <f>VLOOKUP($A18,[24]HISTOJUIN24!$A$6:$BM$38,33,0)</f>
        <v>0</v>
      </c>
      <c r="Z18" s="36">
        <f>VLOOKUP($A18,[24]HISTOJUIN24!$A$6:$BM$38,65,0)</f>
        <v>0</v>
      </c>
      <c r="AA18" s="36"/>
      <c r="AB18" s="36">
        <f>VLOOKUP($A18,[24]HISTOJUIN24!$A$6:$AU$38,43,0)</f>
        <v>0</v>
      </c>
      <c r="AC18" s="36">
        <f>VLOOKUP($A18,[24]HISTOJUIN24!$A$6:$AU$38,44,0)</f>
        <v>0</v>
      </c>
      <c r="AD18" s="36">
        <f>VLOOKUP($A18,[24]HISTOJUIN24!$A$6:$AU$38,47,0)</f>
        <v>0</v>
      </c>
      <c r="AE18" s="36">
        <f>VLOOKUP(A18,[24]HISTOJUIN24!$A$6:$BB$38,54,0)</f>
        <v>0</v>
      </c>
      <c r="AF18" s="36">
        <f>VLOOKUP($A18,[24]HISTOJUIN24!$A$6:$CB$38,60,0)</f>
        <v>0</v>
      </c>
      <c r="AG18" s="36">
        <f>VLOOKUP($A18,[24]HISTOJUIN24!$A$6:$CB$38,61,0)</f>
        <v>0</v>
      </c>
      <c r="AH18" s="36">
        <f>VLOOKUP($A18,[24]HISTOJUIN24!$A$6:$CB$38,62,0)</f>
        <v>0</v>
      </c>
      <c r="AI18" s="36">
        <f>VLOOKUP($A18,[24]HISTOJUIN24!$A$6:$CB$38,63,0)</f>
        <v>0</v>
      </c>
      <c r="AJ18" s="36">
        <f>VLOOKUP($A18,[24]HISTOJUIN24!$A$6:$CB$38,64,0)</f>
        <v>0</v>
      </c>
      <c r="AK18" s="36">
        <f>VLOOKUP($A18,[24]HISTOJUIN24!$A$6:$CB$38,65,0)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VLOOKUP($A20,[24]HISTOJUIN24!$A$6:$AQ$42,22,0)</f>
        <v>0</v>
      </c>
      <c r="K20" s="36">
        <f>VLOOKUP($A20,[24]HISTOJUIN24!$A$6:$AU$38,45,0)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VLOOKUP($A20,[24]HISTOJUIN24!$A$6:$AU$38,7,0)</f>
        <v>0</v>
      </c>
      <c r="Q20" s="36">
        <f>VLOOKUP($A20,[24]HISTOJUIN24!$A$6:$AU$38,23,0)</f>
        <v>0</v>
      </c>
      <c r="R20" s="36">
        <f>VLOOKUP($A20,[24]HISTOJUIN24!$A$6:$AU$38,46,0)</f>
        <v>0</v>
      </c>
      <c r="S20" s="36">
        <f>VLOOKUP($A20,[24]HISTOJUIN24!$A$6:$AU$38,26,0)</f>
        <v>0</v>
      </c>
      <c r="T20" s="36">
        <f>VLOOKUP($A20,[24]HISTOJUIN24!$A$6:$BG$38,58,0)</f>
        <v>0</v>
      </c>
      <c r="U20" s="36">
        <f>VLOOKUP($A20,[24]HISTOJUIN24!$A$6:$AU$38,28,0)</f>
        <v>0</v>
      </c>
      <c r="V20" s="36">
        <f>VLOOKUP($A20,[24]HISTOJUIN24!$A$6:$AU$38,19,0)</f>
        <v>0</v>
      </c>
      <c r="W20" s="36">
        <f>VLOOKUP($A20,[24]HISTOJUIN24!$A$6:$AU$38,20,0)</f>
        <v>0</v>
      </c>
      <c r="X20" s="36">
        <f>VLOOKUP($A20,[24]HISTOJUIN24!$A$6:$AU$38,27,0)</f>
        <v>0</v>
      </c>
      <c r="Y20" s="36">
        <f>VLOOKUP($A20,[24]HISTOJUIN24!$A$6:$BM$38,33,0)</f>
        <v>0</v>
      </c>
      <c r="Z20" s="36">
        <f>VLOOKUP($A20,[24]HISTOJUIN24!$A$6:$BM$38,65,0)</f>
        <v>0</v>
      </c>
      <c r="AA20" s="36"/>
      <c r="AB20" s="36">
        <f>VLOOKUP($A20,[24]HISTOJUIN24!$A$6:$AU$38,43,0)</f>
        <v>0</v>
      </c>
      <c r="AC20" s="36">
        <f>VLOOKUP($A20,[24]HISTOJUIN24!$A$6:$AU$38,44,0)</f>
        <v>0</v>
      </c>
      <c r="AD20" s="36">
        <f>VLOOKUP($A20,[24]HISTOJUIN24!$A$6:$AU$38,47,0)</f>
        <v>0</v>
      </c>
      <c r="AE20" s="36">
        <f>VLOOKUP(A20,[24]HISTOJUIN24!$A$6:$BB$38,54,0)</f>
        <v>0</v>
      </c>
      <c r="AF20" s="36">
        <f>VLOOKUP($A20,[24]HISTOJUIN24!$A$6:$CB$38,60,0)</f>
        <v>0</v>
      </c>
      <c r="AG20" s="36">
        <f>VLOOKUP($A20,[24]HISTOJUIN24!$A$6:$CB$38,61,0)</f>
        <v>0</v>
      </c>
      <c r="AH20" s="36">
        <f>VLOOKUP($A20,[24]HISTOJUIN24!$A$6:$CB$38,62,0)</f>
        <v>0</v>
      </c>
      <c r="AI20" s="36">
        <f>VLOOKUP($A20,[24]HISTOJUIN24!$A$6:$CB$38,63,0)</f>
        <v>0</v>
      </c>
      <c r="AJ20" s="36">
        <f>VLOOKUP($A20,[24]HISTOJUIN24!$A$6:$CB$38,64,0)</f>
        <v>0</v>
      </c>
      <c r="AK20" s="36">
        <f>VLOOKUP($A20,[24]HISTOJUIN24!$A$6:$CB$38,65,0)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MVTMAI24!I21-E21+L21</f>
        <v>895430.56919215003</v>
      </c>
      <c r="G21" s="5">
        <f>IF(MVTMAI24!I21+L21&gt;700000,(MVTMAI24!I21-E21+L21),0)</f>
        <v>895430.56919215003</v>
      </c>
      <c r="H21" s="36">
        <f t="shared" si="0"/>
        <v>3375.6320736783396</v>
      </c>
      <c r="I21" s="6">
        <f t="shared" si="2"/>
        <v>898806.20126582833</v>
      </c>
      <c r="J21" s="36">
        <f>VLOOKUP($A21,[24]HISTOJUIN24!$A$6:$AQ$42,22,0)</f>
        <v>0</v>
      </c>
      <c r="K21" s="36">
        <f>VLOOKUP($A21,[24]HISTOJUIN24!$A$6:$AU$38,45,0)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VLOOKUP($A21,[24]HISTOJUIN24!$A$6:$AU$38,7,0)</f>
        <v>0</v>
      </c>
      <c r="Q21" s="36">
        <f>VLOOKUP($A21,[24]HISTOJUIN24!$A$6:$AU$38,23,0)</f>
        <v>0</v>
      </c>
      <c r="R21" s="36">
        <f>VLOOKUP($A21,[24]HISTOJUIN24!$A$6:$AU$38,46,0)</f>
        <v>0</v>
      </c>
      <c r="S21" s="36">
        <f>VLOOKUP($A21,[24]HISTOJUIN24!$A$6:$AU$38,26,0)</f>
        <v>0</v>
      </c>
      <c r="T21" s="36">
        <f>VLOOKUP($A21,[24]HISTOJUIN24!$A$6:$BG$38,58,0)</f>
        <v>0</v>
      </c>
      <c r="U21" s="36">
        <f>VLOOKUP($A21,[24]HISTOJUIN24!$A$6:$AU$38,28,0)</f>
        <v>0</v>
      </c>
      <c r="V21" s="36">
        <f>VLOOKUP($A21,[24]HISTOJUIN24!$A$6:$AU$38,19,0)</f>
        <v>0</v>
      </c>
      <c r="W21" s="36">
        <f>VLOOKUP($A21,[24]HISTOJUIN24!$A$6:$AU$38,20,0)</f>
        <v>0</v>
      </c>
      <c r="X21" s="36">
        <f>VLOOKUP($A21,[24]HISTOJUIN24!$A$6:$AU$38,27,0)</f>
        <v>0</v>
      </c>
      <c r="Y21" s="36">
        <f>VLOOKUP($A21,[24]HISTOJUIN24!$A$6:$BM$38,33,0)</f>
        <v>0</v>
      </c>
      <c r="Z21" s="36">
        <f>VLOOKUP($A21,[24]HISTOJUIN24!$A$6:$BM$38,65,0)</f>
        <v>0</v>
      </c>
      <c r="AA21" s="36"/>
      <c r="AB21" s="36">
        <f>VLOOKUP($A21,[24]HISTOJUIN24!$A$6:$AU$38,43,0)</f>
        <v>0</v>
      </c>
      <c r="AC21" s="36">
        <f>VLOOKUP($A21,[24]HISTOJUIN24!$A$6:$AU$38,44,0)</f>
        <v>0</v>
      </c>
      <c r="AD21" s="36">
        <f>VLOOKUP($A21,[24]HISTOJUIN24!$A$6:$AU$38,47,0)</f>
        <v>0</v>
      </c>
      <c r="AE21" s="36">
        <f>VLOOKUP(A21,[24]HISTOJUIN24!$A$6:$BB$38,54,0)</f>
        <v>0</v>
      </c>
      <c r="AF21" s="36">
        <f>VLOOKUP($A21,[24]HISTOJUIN24!$A$6:$CB$38,60,0)</f>
        <v>0</v>
      </c>
      <c r="AG21" s="36">
        <f>VLOOKUP($A21,[24]HISTOJUIN24!$A$6:$CB$38,61,0)</f>
        <v>0</v>
      </c>
      <c r="AH21" s="36">
        <f>VLOOKUP($A21,[24]HISTOJUIN24!$A$6:$CB$38,62,0)</f>
        <v>0</v>
      </c>
      <c r="AI21" s="36">
        <f>VLOOKUP($A21,[24]HISTOJUIN24!$A$6:$CB$38,63,0)</f>
        <v>0</v>
      </c>
      <c r="AJ21" s="36">
        <f>VLOOKUP($A21,[24]HISTOJUIN24!$A$6:$CB$38,64,0)</f>
        <v>0</v>
      </c>
      <c r="AK21" s="36">
        <f>VLOOKUP($A21,[24]HISTOJUIN24!$A$6:$CB$38,65,0)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MVTMAI24!I22-E22+L22</f>
        <v>864263.97451724915</v>
      </c>
      <c r="G22" s="5">
        <f>IF(MVTMAI24!I22+L22&gt;700000,(MVTMAI24!I22-E22+L22),0)</f>
        <v>864263.97451724915</v>
      </c>
      <c r="H22" s="36">
        <f t="shared" si="0"/>
        <v>3258.1389254302908</v>
      </c>
      <c r="I22" s="6">
        <f t="shared" si="2"/>
        <v>867522.1134426794</v>
      </c>
      <c r="J22" s="36">
        <f>VLOOKUP($A22,[24]HISTOJUIN24!$A$6:$AQ$42,22,0)</f>
        <v>0</v>
      </c>
      <c r="K22" s="36">
        <f>VLOOKUP($A22,[24]HISTOJUIN24!$A$6:$AU$38,45,0)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VLOOKUP($A22,[24]HISTOJUIN24!$A$6:$AU$38,7,0)</f>
        <v>0</v>
      </c>
      <c r="Q22" s="36">
        <f>VLOOKUP($A22,[24]HISTOJUIN24!$A$6:$AU$38,23,0)</f>
        <v>0</v>
      </c>
      <c r="R22" s="36">
        <f>VLOOKUP($A22,[24]HISTOJUIN24!$A$6:$AU$38,46,0)</f>
        <v>0</v>
      </c>
      <c r="S22" s="36">
        <f>VLOOKUP($A22,[24]HISTOJUIN24!$A$6:$AU$38,26,0)</f>
        <v>0</v>
      </c>
      <c r="T22" s="36">
        <f>VLOOKUP($A22,[24]HISTOJUIN24!$A$6:$BG$38,58,0)</f>
        <v>0</v>
      </c>
      <c r="U22" s="36">
        <f>VLOOKUP($A22,[24]HISTOJUIN24!$A$6:$AU$38,28,0)</f>
        <v>0</v>
      </c>
      <c r="V22" s="36">
        <f>VLOOKUP($A22,[24]HISTOJUIN24!$A$6:$AU$38,19,0)</f>
        <v>0</v>
      </c>
      <c r="W22" s="36">
        <f>VLOOKUP($A22,[24]HISTOJUIN24!$A$6:$AU$38,20,0)</f>
        <v>0</v>
      </c>
      <c r="X22" s="36">
        <f>VLOOKUP($A22,[24]HISTOJUIN24!$A$6:$AU$38,27,0)</f>
        <v>0</v>
      </c>
      <c r="Y22" s="36">
        <f>VLOOKUP($A22,[24]HISTOJUIN24!$A$6:$BM$38,33,0)</f>
        <v>0</v>
      </c>
      <c r="Z22" s="36">
        <f>VLOOKUP($A22,[24]HISTOJUIN24!$A$6:$BM$38,65,0)</f>
        <v>0</v>
      </c>
      <c r="AA22" s="36"/>
      <c r="AB22" s="36">
        <f>VLOOKUP($A22,[24]HISTOJUIN24!$A$6:$AU$38,43,0)</f>
        <v>0</v>
      </c>
      <c r="AC22" s="36">
        <f>VLOOKUP($A22,[24]HISTOJUIN24!$A$6:$AU$38,44,0)</f>
        <v>0</v>
      </c>
      <c r="AD22" s="36">
        <f>VLOOKUP($A22,[24]HISTOJUIN24!$A$6:$AU$38,47,0)</f>
        <v>0</v>
      </c>
      <c r="AE22" s="36">
        <f>VLOOKUP(A22,[24]HISTOJUIN24!$A$6:$BB$38,54,0)</f>
        <v>0</v>
      </c>
      <c r="AF22" s="36">
        <f>VLOOKUP($A22,[24]HISTOJUIN24!$A$6:$CB$38,60,0)</f>
        <v>0</v>
      </c>
      <c r="AG22" s="36">
        <f>VLOOKUP($A22,[24]HISTOJUIN24!$A$6:$CB$38,61,0)</f>
        <v>0</v>
      </c>
      <c r="AH22" s="36">
        <f>VLOOKUP($A22,[24]HISTOJUIN24!$A$6:$CB$38,62,0)</f>
        <v>0</v>
      </c>
      <c r="AI22" s="36">
        <f>VLOOKUP($A22,[24]HISTOJUIN24!$A$6:$CB$38,63,0)</f>
        <v>0</v>
      </c>
      <c r="AJ22" s="36">
        <f>VLOOKUP($A22,[24]HISTOJUIN24!$A$6:$CB$38,64,0)</f>
        <v>0</v>
      </c>
      <c r="AK22" s="36">
        <f>VLOOKUP($A22,[24]HISTOJUIN24!$A$6:$CB$38,65,0)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MVTMAI24!I23-E23+L23</f>
        <v>970375.30890728219</v>
      </c>
      <c r="G23" s="5">
        <f>IF(MVTMAI24!I23+L23&gt;700000,(MVTMAI24!I23-E23+L23),0)</f>
        <v>970375.30890728219</v>
      </c>
      <c r="H23" s="36">
        <f t="shared" si="0"/>
        <v>3658.1619267345254</v>
      </c>
      <c r="I23" s="6">
        <f t="shared" si="2"/>
        <v>974033.47083401668</v>
      </c>
      <c r="J23" s="36">
        <f>VLOOKUP($A23,[24]HISTOJUIN24!$A$6:$AQ$42,22,0)</f>
        <v>0</v>
      </c>
      <c r="K23" s="36">
        <f>VLOOKUP($A23,[24]HISTOJUIN24!$A$6:$AU$38,45,0)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VLOOKUP($A23,[24]HISTOJUIN24!$A$6:$AU$38,7,0)</f>
        <v>3000</v>
      </c>
      <c r="Q23" s="36">
        <f>VLOOKUP($A23,[24]HISTOJUIN24!$A$6:$AU$38,23,0)</f>
        <v>0</v>
      </c>
      <c r="R23" s="36">
        <f>VLOOKUP($A23,[24]HISTOJUIN24!$A$6:$AU$38,46,0)</f>
        <v>0</v>
      </c>
      <c r="S23" s="36">
        <f>VLOOKUP($A23,[24]HISTOJUIN24!$A$6:$AU$38,26,0)</f>
        <v>0</v>
      </c>
      <c r="T23" s="36">
        <f>VLOOKUP($A23,[24]HISTOJUIN24!$A$6:$BG$38,58,0)</f>
        <v>0</v>
      </c>
      <c r="U23" s="36">
        <f>VLOOKUP($A23,[24]HISTOJUIN24!$A$6:$AU$38,28,0)</f>
        <v>0</v>
      </c>
      <c r="V23" s="36">
        <f>VLOOKUP($A23,[24]HISTOJUIN24!$A$6:$AU$38,19,0)</f>
        <v>0</v>
      </c>
      <c r="W23" s="36">
        <f>VLOOKUP($A23,[24]HISTOJUIN24!$A$6:$AU$38,20,0)</f>
        <v>0</v>
      </c>
      <c r="X23" s="36">
        <f>VLOOKUP($A23,[24]HISTOJUIN24!$A$6:$AU$38,27,0)</f>
        <v>0</v>
      </c>
      <c r="Y23" s="36">
        <f>VLOOKUP($A23,[24]HISTOJUIN24!$A$6:$BM$38,33,0)</f>
        <v>0</v>
      </c>
      <c r="Z23" s="36">
        <f>VLOOKUP($A23,[24]HISTOJUIN24!$A$6:$BM$38,65,0)</f>
        <v>0</v>
      </c>
      <c r="AA23" s="36"/>
      <c r="AB23" s="36">
        <f>VLOOKUP($A23,[24]HISTOJUIN24!$A$6:$AU$38,43,0)</f>
        <v>0</v>
      </c>
      <c r="AC23" s="36">
        <f>VLOOKUP($A23,[24]HISTOJUIN24!$A$6:$AU$38,44,0)</f>
        <v>0</v>
      </c>
      <c r="AD23" s="36">
        <f>VLOOKUP($A23,[24]HISTOJUIN24!$A$6:$AU$38,47,0)</f>
        <v>0</v>
      </c>
      <c r="AE23" s="36">
        <f>VLOOKUP(A23,[24]HISTOJUIN24!$A$6:$BB$38,54,0)</f>
        <v>0</v>
      </c>
      <c r="AF23" s="36">
        <f>VLOOKUP($A23,[24]HISTOJUIN24!$A$6:$CB$38,60,0)</f>
        <v>0</v>
      </c>
      <c r="AG23" s="36">
        <f>VLOOKUP($A23,[24]HISTOJUIN24!$A$6:$CB$38,61,0)</f>
        <v>0</v>
      </c>
      <c r="AH23" s="36">
        <f>VLOOKUP($A23,[24]HISTOJUIN24!$A$6:$CB$38,62,0)</f>
        <v>0</v>
      </c>
      <c r="AI23" s="36">
        <f>VLOOKUP($A23,[24]HISTOJUIN24!$A$6:$CB$38,63,0)</f>
        <v>0</v>
      </c>
      <c r="AJ23" s="36">
        <f>VLOOKUP($A23,[24]HISTOJUIN24!$A$6:$CB$38,64,0)</f>
        <v>0</v>
      </c>
      <c r="AK23" s="36">
        <f>VLOOKUP($A23,[24]HISTOJUIN24!$A$6:$CB$38,65,0)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MVTMAI24!I24-E24+L24</f>
        <v>1173927.5627359396</v>
      </c>
      <c r="G24" s="5">
        <f>IF(MVTMAI24!I24+L24&gt;700000,(MVTMAI24!I24-E24+L24),0)</f>
        <v>1173927.5627359396</v>
      </c>
      <c r="H24" s="36">
        <f t="shared" si="0"/>
        <v>4425.5218319401765</v>
      </c>
      <c r="I24" s="6">
        <f t="shared" si="2"/>
        <v>1178353.0845678798</v>
      </c>
      <c r="J24" s="36">
        <f>VLOOKUP($A24,[24]HISTOJUIN24!$A$6:$AQ$42,22,0)</f>
        <v>0</v>
      </c>
      <c r="K24" s="36">
        <f>VLOOKUP($A24,[24]HISTOJUIN24!$A$6:$AU$38,45,0)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VLOOKUP($A24,[24]HISTOJUIN24!$A$6:$AU$38,7,0)</f>
        <v>0</v>
      </c>
      <c r="Q24" s="36">
        <f>VLOOKUP($A24,[24]HISTOJUIN24!$A$6:$AU$38,23,0)</f>
        <v>0</v>
      </c>
      <c r="R24" s="36">
        <f>VLOOKUP($A24,[24]HISTOJUIN24!$A$6:$AU$38,46,0)</f>
        <v>0</v>
      </c>
      <c r="S24" s="36">
        <f>VLOOKUP($A24,[24]HISTOJUIN24!$A$6:$AU$38,26,0)</f>
        <v>0</v>
      </c>
      <c r="T24" s="36">
        <f>VLOOKUP($A24,[24]HISTOJUIN24!$A$6:$BG$38,58,0)</f>
        <v>0</v>
      </c>
      <c r="U24" s="36">
        <f>VLOOKUP($A24,[24]HISTOJUIN24!$A$6:$AU$38,28,0)</f>
        <v>0</v>
      </c>
      <c r="V24" s="36">
        <f>VLOOKUP($A24,[24]HISTOJUIN24!$A$6:$AU$38,19,0)</f>
        <v>0</v>
      </c>
      <c r="W24" s="36">
        <f>VLOOKUP($A24,[24]HISTOJUIN24!$A$6:$AU$38,20,0)</f>
        <v>0</v>
      </c>
      <c r="X24" s="36">
        <f>VLOOKUP($A24,[24]HISTOJUIN24!$A$6:$AU$38,27,0)</f>
        <v>0</v>
      </c>
      <c r="Y24" s="36">
        <f>VLOOKUP($A24,[24]HISTOJUIN24!$A$6:$BM$38,33,0)</f>
        <v>0</v>
      </c>
      <c r="Z24" s="36">
        <f>VLOOKUP($A24,[24]HISTOJUIN24!$A$6:$BM$38,65,0)</f>
        <v>0</v>
      </c>
      <c r="AA24" s="36"/>
      <c r="AB24" s="36">
        <f>VLOOKUP($A24,[24]HISTOJUIN24!$A$6:$AU$38,43,0)</f>
        <v>0</v>
      </c>
      <c r="AC24" s="36">
        <f>VLOOKUP($A24,[24]HISTOJUIN24!$A$6:$AU$38,44,0)</f>
        <v>0</v>
      </c>
      <c r="AD24" s="36">
        <f>VLOOKUP($A24,[24]HISTOJUIN24!$A$6:$AU$38,47,0)</f>
        <v>0</v>
      </c>
      <c r="AE24" s="36">
        <f>VLOOKUP(A24,[24]HISTOJUIN24!$A$6:$BB$38,54,0)</f>
        <v>0</v>
      </c>
      <c r="AF24" s="36">
        <f>VLOOKUP($A24,[24]HISTOJUIN24!$A$6:$CB$38,60,0)</f>
        <v>0</v>
      </c>
      <c r="AG24" s="36">
        <f>VLOOKUP($A24,[24]HISTOJUIN24!$A$6:$CB$38,61,0)</f>
        <v>0</v>
      </c>
      <c r="AH24" s="36">
        <f>VLOOKUP($A24,[24]HISTOJUIN24!$A$6:$CB$38,62,0)</f>
        <v>0</v>
      </c>
      <c r="AI24" s="36">
        <f>VLOOKUP($A24,[24]HISTOJUIN24!$A$6:$CB$38,63,0)</f>
        <v>0</v>
      </c>
      <c r="AJ24" s="36">
        <f>VLOOKUP($A24,[24]HISTOJUIN24!$A$6:$CB$38,64,0)</f>
        <v>0</v>
      </c>
      <c r="AK24" s="36">
        <f>VLOOKUP($A24,[24]HISTOJUIN24!$A$6:$CB$38,65,0)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MVTMAI24!I25-E25+L25</f>
        <v>1016994.6536978025</v>
      </c>
      <c r="G25" s="5">
        <f>IF(MVTMAI24!I25+L25&gt;700000,(MVTMAI24!I25-E25+L25),0)</f>
        <v>1016994.6536978025</v>
      </c>
      <c r="H25" s="36">
        <f t="shared" si="0"/>
        <v>3833.9095066621653</v>
      </c>
      <c r="I25" s="6">
        <f t="shared" si="2"/>
        <v>1020828.5632044646</v>
      </c>
      <c r="J25" s="36">
        <f>VLOOKUP($A25,[24]HISTOJUIN24!$A$6:$AQ$42,22,0)</f>
        <v>0</v>
      </c>
      <c r="K25" s="36">
        <f>VLOOKUP($A25,[24]HISTOJUIN24!$A$6:$AU$38,45,0)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VLOOKUP($A25,[24]HISTOJUIN24!$A$6:$AU$38,7,0)</f>
        <v>0</v>
      </c>
      <c r="Q25" s="36">
        <f>VLOOKUP($A25,[24]HISTOJUIN24!$A$6:$AU$38,23,0)</f>
        <v>0</v>
      </c>
      <c r="R25" s="36">
        <f>VLOOKUP($A25,[24]HISTOJUIN24!$A$6:$AU$38,46,0)</f>
        <v>0</v>
      </c>
      <c r="S25" s="36">
        <f>VLOOKUP($A25,[24]HISTOJUIN24!$A$6:$AU$38,26,0)</f>
        <v>0</v>
      </c>
      <c r="T25" s="36">
        <f>VLOOKUP($A25,[24]HISTOJUIN24!$A$6:$BG$38,58,0)</f>
        <v>0</v>
      </c>
      <c r="U25" s="36">
        <f>VLOOKUP($A25,[24]HISTOJUIN24!$A$6:$AU$38,28,0)</f>
        <v>0</v>
      </c>
      <c r="V25" s="36">
        <f>VLOOKUP($A25,[24]HISTOJUIN24!$A$6:$AU$38,19,0)</f>
        <v>0</v>
      </c>
      <c r="W25" s="36">
        <f>VLOOKUP($A25,[24]HISTOJUIN24!$A$6:$AU$38,20,0)</f>
        <v>0</v>
      </c>
      <c r="X25" s="36">
        <f>VLOOKUP($A25,[24]HISTOJUIN24!$A$6:$AU$38,27,0)</f>
        <v>0</v>
      </c>
      <c r="Y25" s="36">
        <f>VLOOKUP($A25,[24]HISTOJUIN24!$A$6:$BM$38,33,0)</f>
        <v>0</v>
      </c>
      <c r="Z25" s="36">
        <f>VLOOKUP($A25,[24]HISTOJUIN24!$A$6:$BM$38,65,0)</f>
        <v>0</v>
      </c>
      <c r="AA25" s="36"/>
      <c r="AB25" s="36">
        <f>VLOOKUP($A25,[24]HISTOJUIN24!$A$6:$AU$38,43,0)</f>
        <v>0</v>
      </c>
      <c r="AC25" s="36">
        <f>VLOOKUP($A25,[24]HISTOJUIN24!$A$6:$AU$38,44,0)</f>
        <v>0</v>
      </c>
      <c r="AD25" s="36">
        <f>VLOOKUP($A25,[24]HISTOJUIN24!$A$6:$AU$38,47,0)</f>
        <v>0</v>
      </c>
      <c r="AE25" s="36">
        <f>VLOOKUP(A25,[24]HISTOJUIN24!$A$6:$BB$38,54,0)</f>
        <v>0</v>
      </c>
      <c r="AF25" s="36">
        <f>VLOOKUP($A25,[24]HISTOJUIN24!$A$6:$CB$38,60,0)</f>
        <v>0</v>
      </c>
      <c r="AG25" s="36">
        <f>VLOOKUP($A25,[24]HISTOJUIN24!$A$6:$CB$38,61,0)</f>
        <v>0</v>
      </c>
      <c r="AH25" s="36">
        <f>VLOOKUP($A25,[24]HISTOJUIN24!$A$6:$CB$38,62,0)</f>
        <v>0</v>
      </c>
      <c r="AI25" s="36">
        <f>VLOOKUP($A25,[24]HISTOJUIN24!$A$6:$CB$38,63,0)</f>
        <v>0</v>
      </c>
      <c r="AJ25" s="36">
        <f>VLOOKUP($A25,[24]HISTOJUIN24!$A$6:$CB$38,64,0)</f>
        <v>0</v>
      </c>
      <c r="AK25" s="36">
        <f>VLOOKUP($A25,[24]HISTOJUIN24!$A$6:$CB$38,65,0)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MVTMAI24!I26-E26+L26</f>
        <v>887818.20426349016</v>
      </c>
      <c r="G26" s="5">
        <f>IF(MVTMAI24!I26+L26&gt;700000,(MVTMAI24!I26-E26+L26),0)</f>
        <v>887818.20426349016</v>
      </c>
      <c r="H26" s="36">
        <f t="shared" si="0"/>
        <v>3346.9346580507813</v>
      </c>
      <c r="I26" s="6">
        <f t="shared" si="2"/>
        <v>891165.13892154093</v>
      </c>
      <c r="J26" s="36">
        <f>VLOOKUP($A26,[24]HISTOJUIN24!$A$6:$AQ$42,22,0)</f>
        <v>0</v>
      </c>
      <c r="K26" s="36">
        <f>VLOOKUP($A26,[24]HISTOJUIN24!$A$6:$AU$38,45,0)</f>
        <v>30500</v>
      </c>
      <c r="L26" s="36">
        <f t="shared" si="3"/>
        <v>24500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VLOOKUP($A26,[24]HISTOJUIN24!$A$6:$AU$38,7,0)</f>
        <v>0</v>
      </c>
      <c r="Q26" s="36">
        <f>VLOOKUP($A26,[24]HISTOJUIN24!$A$6:$AU$38,23,0)</f>
        <v>0</v>
      </c>
      <c r="R26" s="36">
        <f>VLOOKUP($A26,[24]HISTOJUIN24!$A$6:$AU$38,46,0)</f>
        <v>0</v>
      </c>
      <c r="S26" s="36">
        <f>VLOOKUP($A26,[24]HISTOJUIN24!$A$6:$AU$38,26,0)</f>
        <v>0</v>
      </c>
      <c r="T26" s="36">
        <f>VLOOKUP($A26,[24]HISTOJUIN24!$A$6:$BG$38,58,0)</f>
        <v>0</v>
      </c>
      <c r="U26" s="36">
        <f>VLOOKUP($A26,[24]HISTOJUIN24!$A$6:$AU$38,28,0)</f>
        <v>0</v>
      </c>
      <c r="V26" s="36">
        <f>VLOOKUP($A26,[24]HISTOJUIN24!$A$6:$AU$38,19,0)</f>
        <v>0</v>
      </c>
      <c r="W26" s="36">
        <f>VLOOKUP($A26,[24]HISTOJUIN24!$A$6:$AU$38,20,0)</f>
        <v>0</v>
      </c>
      <c r="X26" s="36">
        <f>VLOOKUP($A26,[24]HISTOJUIN24!$A$6:$AU$38,27,0)</f>
        <v>0</v>
      </c>
      <c r="Y26" s="36">
        <f>VLOOKUP($A26,[24]HISTOJUIN24!$A$6:$BM$38,33,0)</f>
        <v>0</v>
      </c>
      <c r="Z26" s="36">
        <f>VLOOKUP($A26,[24]HISTOJUIN24!$A$6:$BM$38,65,0)</f>
        <v>0</v>
      </c>
      <c r="AA26" s="36"/>
      <c r="AB26" s="36">
        <f>VLOOKUP($A26,[24]HISTOJUIN24!$A$6:$AU$38,43,0)</f>
        <v>0</v>
      </c>
      <c r="AC26" s="36">
        <f>VLOOKUP($A26,[24]HISTOJUIN24!$A$6:$AU$38,44,0)</f>
        <v>0</v>
      </c>
      <c r="AD26" s="36">
        <f>VLOOKUP($A26,[24]HISTOJUIN24!$A$6:$AU$38,47,0)</f>
        <v>0</v>
      </c>
      <c r="AE26" s="36">
        <f>VLOOKUP(A26,[24]HISTOJUIN24!$A$6:$BB$38,54,0)</f>
        <v>0</v>
      </c>
      <c r="AF26" s="36">
        <f>VLOOKUP($A26,[24]HISTOJUIN24!$A$6:$CB$38,60,0)</f>
        <v>0</v>
      </c>
      <c r="AG26" s="36">
        <f>VLOOKUP($A26,[24]HISTOJUIN24!$A$6:$CB$38,61,0)</f>
        <v>0</v>
      </c>
      <c r="AH26" s="36">
        <f>VLOOKUP($A26,[24]HISTOJUIN24!$A$6:$CB$38,62,0)</f>
        <v>0</v>
      </c>
      <c r="AI26" s="36">
        <f>VLOOKUP($A26,[24]HISTOJUIN24!$A$6:$CB$38,63,0)</f>
        <v>0</v>
      </c>
      <c r="AJ26" s="36">
        <f>VLOOKUP($A26,[24]HISTOJUIN24!$A$6:$CB$38,64,0)</f>
        <v>0</v>
      </c>
      <c r="AK26" s="36">
        <f>VLOOKUP($A26,[24]HISTOJUIN24!$A$6:$CB$38,65,0)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MVTMAI24!I27-E27+L27</f>
        <v>883880.89115594886</v>
      </c>
      <c r="G27" s="5">
        <f>IF(MVTMAI24!I27+L27&gt;700000,(MVTMAI24!I27-E27+L27),0)</f>
        <v>883880.89115594886</v>
      </c>
      <c r="H27" s="36">
        <f t="shared" si="0"/>
        <v>3332.0916083859461</v>
      </c>
      <c r="I27" s="6">
        <f t="shared" si="2"/>
        <v>887212.98276433477</v>
      </c>
      <c r="J27" s="36">
        <f>VLOOKUP($A27,[24]HISTOJUIN24!$A$6:$AQ$42,22,0)</f>
        <v>0</v>
      </c>
      <c r="K27" s="36">
        <f>VLOOKUP($A27,[24]HISTOJUIN24!$A$6:$AU$38,45,0)</f>
        <v>25500</v>
      </c>
      <c r="L27" s="36">
        <f t="shared" si="3"/>
        <v>19500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VLOOKUP($A27,[24]HISTOJUIN24!$A$6:$AU$38,7,0)</f>
        <v>0</v>
      </c>
      <c r="Q27" s="36">
        <f>VLOOKUP($A27,[24]HISTOJUIN24!$A$6:$AU$38,23,0)</f>
        <v>0</v>
      </c>
      <c r="R27" s="36">
        <f>VLOOKUP($A27,[24]HISTOJUIN24!$A$6:$AU$38,46,0)</f>
        <v>0</v>
      </c>
      <c r="S27" s="36">
        <f>VLOOKUP($A27,[24]HISTOJUIN24!$A$6:$AU$38,26,0)</f>
        <v>0</v>
      </c>
      <c r="T27" s="36">
        <f>VLOOKUP($A27,[24]HISTOJUIN24!$A$6:$BG$38,58,0)</f>
        <v>0</v>
      </c>
      <c r="U27" s="36">
        <f>VLOOKUP($A27,[24]HISTOJUIN24!$A$6:$AU$38,28,0)</f>
        <v>0</v>
      </c>
      <c r="V27" s="36">
        <f>VLOOKUP($A27,[24]HISTOJUIN24!$A$6:$AU$38,19,0)</f>
        <v>0</v>
      </c>
      <c r="W27" s="36">
        <f>VLOOKUP($A27,[24]HISTOJUIN24!$A$6:$AU$38,20,0)</f>
        <v>0</v>
      </c>
      <c r="X27" s="36">
        <f>VLOOKUP($A27,[24]HISTOJUIN24!$A$6:$AU$38,27,0)</f>
        <v>0</v>
      </c>
      <c r="Y27" s="36">
        <f>VLOOKUP($A27,[24]HISTOJUIN24!$A$6:$BM$38,33,0)</f>
        <v>0</v>
      </c>
      <c r="Z27" s="36">
        <f>VLOOKUP($A27,[24]HISTOJUIN24!$A$6:$BM$38,65,0)</f>
        <v>0</v>
      </c>
      <c r="AA27" s="36"/>
      <c r="AB27" s="36">
        <f>VLOOKUP($A27,[24]HISTOJUIN24!$A$6:$AU$38,43,0)</f>
        <v>0</v>
      </c>
      <c r="AC27" s="36">
        <f>VLOOKUP($A27,[24]HISTOJUIN24!$A$6:$AU$38,44,0)</f>
        <v>0</v>
      </c>
      <c r="AD27" s="36">
        <f>VLOOKUP($A27,[24]HISTOJUIN24!$A$6:$AU$38,47,0)</f>
        <v>0</v>
      </c>
      <c r="AE27" s="36">
        <f>VLOOKUP(A27,[24]HISTOJUIN24!$A$6:$BB$38,54,0)</f>
        <v>0</v>
      </c>
      <c r="AF27" s="36">
        <f>VLOOKUP($A27,[24]HISTOJUIN24!$A$6:$CB$38,60,0)</f>
        <v>0</v>
      </c>
      <c r="AG27" s="36">
        <f>VLOOKUP($A27,[24]HISTOJUIN24!$A$6:$CB$38,61,0)</f>
        <v>0</v>
      </c>
      <c r="AH27" s="36">
        <f>VLOOKUP($A27,[24]HISTOJUIN24!$A$6:$CB$38,62,0)</f>
        <v>0</v>
      </c>
      <c r="AI27" s="36">
        <f>VLOOKUP($A27,[24]HISTOJUIN24!$A$6:$CB$38,63,0)</f>
        <v>0</v>
      </c>
      <c r="AJ27" s="36">
        <f>VLOOKUP($A27,[24]HISTOJUIN24!$A$6:$CB$38,64,0)</f>
        <v>0</v>
      </c>
      <c r="AK27" s="36">
        <f>VLOOKUP($A27,[24]HISTOJUIN24!$A$6:$CB$38,65,0)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MVTMAI24!I28-E28+L28</f>
        <v>785435.37774277106</v>
      </c>
      <c r="G28" s="5">
        <f>IF(MVTMAI24!I28+L28&gt;700000,(MVTMAI24!I28-E28+L28),0)</f>
        <v>785435.37774277106</v>
      </c>
      <c r="H28" s="36">
        <f t="shared" si="0"/>
        <v>2960.96754358317</v>
      </c>
      <c r="I28" s="6">
        <f t="shared" si="2"/>
        <v>788396.34528635419</v>
      </c>
      <c r="J28" s="36">
        <f>VLOOKUP($A28,[24]HISTOJUIN24!$A$6:$AQ$42,22,0)</f>
        <v>0</v>
      </c>
      <c r="K28" s="36">
        <f>VLOOKUP($A28,[24]HISTOJUIN24!$A$6:$AU$38,45,0)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VLOOKUP($A28,[24]HISTOJUIN24!$A$6:$AU$38,7,0)</f>
        <v>0</v>
      </c>
      <c r="Q28" s="36">
        <f>VLOOKUP($A28,[24]HISTOJUIN24!$A$6:$AU$38,23,0)</f>
        <v>0</v>
      </c>
      <c r="R28" s="36">
        <f>VLOOKUP($A28,[24]HISTOJUIN24!$A$6:$AU$38,46,0)</f>
        <v>0</v>
      </c>
      <c r="S28" s="36">
        <f>VLOOKUP($A28,[24]HISTOJUIN24!$A$6:$AU$38,26,0)</f>
        <v>0</v>
      </c>
      <c r="T28" s="36">
        <f>VLOOKUP($A28,[24]HISTOJUIN24!$A$6:$BG$38,58,0)</f>
        <v>0</v>
      </c>
      <c r="U28" s="36">
        <f>VLOOKUP($A28,[24]HISTOJUIN24!$A$6:$AU$38,28,0)</f>
        <v>0</v>
      </c>
      <c r="V28" s="36">
        <f>VLOOKUP($A28,[24]HISTOJUIN24!$A$6:$AU$38,19,0)</f>
        <v>0</v>
      </c>
      <c r="W28" s="36">
        <f>VLOOKUP($A28,[24]HISTOJUIN24!$A$6:$AU$38,20,0)</f>
        <v>0</v>
      </c>
      <c r="X28" s="36">
        <f>VLOOKUP($A28,[24]HISTOJUIN24!$A$6:$AU$38,27,0)</f>
        <v>0</v>
      </c>
      <c r="Y28" s="36">
        <f>VLOOKUP($A28,[24]HISTOJUIN24!$A$6:$BM$38,33,0)</f>
        <v>0</v>
      </c>
      <c r="Z28" s="36">
        <f>VLOOKUP($A28,[24]HISTOJUIN24!$A$6:$BM$38,65,0)</f>
        <v>0</v>
      </c>
      <c r="AA28" s="36"/>
      <c r="AB28" s="36">
        <f>VLOOKUP($A28,[24]HISTOJUIN24!$A$6:$AU$38,43,0)</f>
        <v>0</v>
      </c>
      <c r="AC28" s="36">
        <f>VLOOKUP($A28,[24]HISTOJUIN24!$A$6:$AU$38,44,0)</f>
        <v>0</v>
      </c>
      <c r="AD28" s="36">
        <f>VLOOKUP($A28,[24]HISTOJUIN24!$A$6:$AU$38,47,0)</f>
        <v>0</v>
      </c>
      <c r="AE28" s="36">
        <f>VLOOKUP(A28,[24]HISTOJUIN24!$A$6:$BB$38,54,0)</f>
        <v>0</v>
      </c>
      <c r="AF28" s="36">
        <f>VLOOKUP($A28,[24]HISTOJUIN24!$A$6:$CB$38,60,0)</f>
        <v>0</v>
      </c>
      <c r="AG28" s="36">
        <f>VLOOKUP($A28,[24]HISTOJUIN24!$A$6:$CB$38,61,0)</f>
        <v>0</v>
      </c>
      <c r="AH28" s="36">
        <f>VLOOKUP($A28,[24]HISTOJUIN24!$A$6:$CB$38,62,0)</f>
        <v>0</v>
      </c>
      <c r="AI28" s="36">
        <f>VLOOKUP($A28,[24]HISTOJUIN24!$A$6:$CB$38,63,0)</f>
        <v>0</v>
      </c>
      <c r="AJ28" s="36">
        <f>VLOOKUP($A28,[24]HISTOJUIN24!$A$6:$CB$38,64,0)</f>
        <v>0</v>
      </c>
      <c r="AK28" s="36">
        <f>VLOOKUP($A28,[24]HISTOJUIN24!$A$6:$CB$38,65,0)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MVTMAI24!I29-E29+L29</f>
        <v>909751.79374347127</v>
      </c>
      <c r="G29" s="5">
        <f>IF(MVTMAI24!I29+L29&gt;700000,(MVTMAI24!I29-E29+L29),0)</f>
        <v>909751.79374347127</v>
      </c>
      <c r="H29" s="36">
        <f t="shared" si="0"/>
        <v>3429.6208323750684</v>
      </c>
      <c r="I29" s="6">
        <f t="shared" si="2"/>
        <v>913181.41457584628</v>
      </c>
      <c r="J29" s="36">
        <f>VLOOKUP($A29,[24]HISTOJUIN24!$A$6:$AQ$42,22,0)</f>
        <v>0</v>
      </c>
      <c r="K29" s="36">
        <f>VLOOKUP($A29,[24]HISTOJUIN24!$A$6:$AU$38,45,0)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VLOOKUP($A29,[24]HISTOJUIN24!$A$6:$AU$38,7,0)</f>
        <v>0</v>
      </c>
      <c r="Q29" s="36">
        <f>VLOOKUP($A29,[24]HISTOJUIN24!$A$6:$AU$38,23,0)</f>
        <v>0</v>
      </c>
      <c r="R29" s="36">
        <f>VLOOKUP($A29,[24]HISTOJUIN24!$A$6:$AU$38,46,0)</f>
        <v>0</v>
      </c>
      <c r="S29" s="36">
        <f>VLOOKUP($A29,[24]HISTOJUIN24!$A$6:$AU$38,26,0)</f>
        <v>0</v>
      </c>
      <c r="T29" s="36">
        <f>VLOOKUP($A29,[24]HISTOJUIN24!$A$6:$BG$38,58,0)</f>
        <v>0</v>
      </c>
      <c r="U29" s="36">
        <f>VLOOKUP($A29,[24]HISTOJUIN24!$A$6:$AU$38,28,0)</f>
        <v>0</v>
      </c>
      <c r="V29" s="36">
        <f>VLOOKUP($A29,[24]HISTOJUIN24!$A$6:$AU$38,19,0)</f>
        <v>0</v>
      </c>
      <c r="W29" s="36">
        <f>VLOOKUP($A29,[24]HISTOJUIN24!$A$6:$AU$38,20,0)</f>
        <v>0</v>
      </c>
      <c r="X29" s="36">
        <f>VLOOKUP($A29,[24]HISTOJUIN24!$A$6:$AU$38,27,0)</f>
        <v>0</v>
      </c>
      <c r="Y29" s="36">
        <f>VLOOKUP($A29,[24]HISTOJUIN24!$A$6:$BM$38,33,0)</f>
        <v>0</v>
      </c>
      <c r="Z29" s="36">
        <f>VLOOKUP($A29,[24]HISTOJUIN24!$A$6:$BM$38,65,0)</f>
        <v>0</v>
      </c>
      <c r="AA29" s="36"/>
      <c r="AB29" s="36">
        <f>VLOOKUP($A29,[24]HISTOJUIN24!$A$6:$AU$38,43,0)</f>
        <v>0</v>
      </c>
      <c r="AC29" s="36">
        <f>VLOOKUP($A29,[24]HISTOJUIN24!$A$6:$AU$38,44,0)</f>
        <v>0</v>
      </c>
      <c r="AD29" s="36">
        <f>VLOOKUP($A29,[24]HISTOJUIN24!$A$6:$AU$38,47,0)</f>
        <v>0</v>
      </c>
      <c r="AE29" s="36">
        <f>VLOOKUP(A29,[24]HISTOJUIN24!$A$6:$BB$38,54,0)</f>
        <v>0</v>
      </c>
      <c r="AF29" s="36">
        <f>VLOOKUP($A29,[24]HISTOJUIN24!$A$6:$CB$38,60,0)</f>
        <v>0</v>
      </c>
      <c r="AG29" s="36">
        <f>VLOOKUP($A29,[24]HISTOJUIN24!$A$6:$CB$38,61,0)</f>
        <v>0</v>
      </c>
      <c r="AH29" s="36">
        <f>VLOOKUP($A29,[24]HISTOJUIN24!$A$6:$CB$38,62,0)</f>
        <v>0</v>
      </c>
      <c r="AI29" s="36">
        <f>VLOOKUP($A29,[24]HISTOJUIN24!$A$6:$CB$38,63,0)</f>
        <v>0</v>
      </c>
      <c r="AJ29" s="36">
        <f>VLOOKUP($A29,[24]HISTOJUIN24!$A$6:$CB$38,64,0)</f>
        <v>0</v>
      </c>
      <c r="AK29" s="36">
        <f>VLOOKUP($A29,[24]HISTOJUIN24!$A$6:$CB$38,65,0)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MVTMAI24!I30-E30+L30</f>
        <v>815133.42401196656</v>
      </c>
      <c r="G30" s="5">
        <f>IF(MVTMAI24!I30+L30&gt;700000,(MVTMAI24!I30-E30+L30),0)</f>
        <v>815133.42401196656</v>
      </c>
      <c r="H30" s="36">
        <f t="shared" si="0"/>
        <v>3072.9244958707427</v>
      </c>
      <c r="I30" s="6">
        <f t="shared" si="2"/>
        <v>818206.34850783728</v>
      </c>
      <c r="J30" s="36">
        <f>VLOOKUP($A30,[24]HISTOJUIN24!$A$6:$AQ$42,22,0)</f>
        <v>0</v>
      </c>
      <c r="K30" s="36">
        <f>VLOOKUP($A30,[24]HISTOJUIN24!$A$6:$AU$38,45,0)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VLOOKUP($A30,[24]HISTOJUIN24!$A$6:$AU$38,7,0)</f>
        <v>0</v>
      </c>
      <c r="Q30" s="36">
        <f>VLOOKUP($A30,[24]HISTOJUIN24!$A$6:$AU$38,23,0)</f>
        <v>0</v>
      </c>
      <c r="R30" s="36">
        <f>VLOOKUP($A30,[24]HISTOJUIN24!$A$6:$AU$38,46,0)</f>
        <v>0</v>
      </c>
      <c r="S30" s="36">
        <f>VLOOKUP($A30,[24]HISTOJUIN24!$A$6:$AU$38,26,0)</f>
        <v>0</v>
      </c>
      <c r="T30" s="36">
        <f>VLOOKUP($A30,[24]HISTOJUIN24!$A$6:$BG$38,58,0)</f>
        <v>0</v>
      </c>
      <c r="U30" s="36">
        <f>VLOOKUP($A30,[24]HISTOJUIN24!$A$6:$AU$38,28,0)</f>
        <v>0</v>
      </c>
      <c r="V30" s="36">
        <f>VLOOKUP($A30,[24]HISTOJUIN24!$A$6:$AU$38,19,0)</f>
        <v>0</v>
      </c>
      <c r="W30" s="36">
        <f>VLOOKUP($A30,[24]HISTOJUIN24!$A$6:$AU$38,20,0)</f>
        <v>0</v>
      </c>
      <c r="X30" s="36">
        <f>VLOOKUP($A30,[24]HISTOJUIN24!$A$6:$AU$38,27,0)</f>
        <v>0</v>
      </c>
      <c r="Y30" s="36">
        <f>VLOOKUP($A30,[24]HISTOJUIN24!$A$6:$BM$38,33,0)</f>
        <v>0</v>
      </c>
      <c r="Z30" s="36">
        <f>VLOOKUP($A30,[24]HISTOJUIN24!$A$6:$BM$38,65,0)</f>
        <v>0</v>
      </c>
      <c r="AA30" s="36"/>
      <c r="AB30" s="36">
        <f>VLOOKUP($A30,[24]HISTOJUIN24!$A$6:$AU$38,43,0)</f>
        <v>0</v>
      </c>
      <c r="AC30" s="36">
        <f>VLOOKUP($A30,[24]HISTOJUIN24!$A$6:$AU$38,44,0)</f>
        <v>0</v>
      </c>
      <c r="AD30" s="36">
        <f>VLOOKUP($A30,[24]HISTOJUIN24!$A$6:$AU$38,47,0)</f>
        <v>0</v>
      </c>
      <c r="AE30" s="36">
        <f>VLOOKUP(A30,[24]HISTOJUIN24!$A$6:$BB$38,54,0)</f>
        <v>0</v>
      </c>
      <c r="AF30" s="36">
        <f>VLOOKUP($A30,[24]HISTOJUIN24!$A$6:$CB$38,60,0)</f>
        <v>0</v>
      </c>
      <c r="AG30" s="36">
        <f>VLOOKUP($A30,[24]HISTOJUIN24!$A$6:$CB$38,61,0)</f>
        <v>0</v>
      </c>
      <c r="AH30" s="36">
        <f>VLOOKUP($A30,[24]HISTOJUIN24!$A$6:$CB$38,62,0)</f>
        <v>0</v>
      </c>
      <c r="AI30" s="36">
        <f>VLOOKUP($A30,[24]HISTOJUIN24!$A$6:$CB$38,63,0)</f>
        <v>0</v>
      </c>
      <c r="AJ30" s="36">
        <f>VLOOKUP($A30,[24]HISTOJUIN24!$A$6:$CB$38,64,0)</f>
        <v>0</v>
      </c>
      <c r="AK30" s="36">
        <f>VLOOKUP($A30,[24]HISTOJUIN24!$A$6:$CB$38,65,0)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MVTMAI24!I31-E31+L31</f>
        <v>974611.03968691302</v>
      </c>
      <c r="G31" s="5">
        <f>IF(MVTMAI24!I31+L31&gt;700000,(MVTMAI24!I31-E31+L31),0)</f>
        <v>974611.03968691302</v>
      </c>
      <c r="H31" s="36">
        <f t="shared" si="0"/>
        <v>3674.1299639750769</v>
      </c>
      <c r="I31" s="6">
        <f t="shared" si="2"/>
        <v>978285.16965088807</v>
      </c>
      <c r="J31" s="36">
        <f>VLOOKUP($A31,[24]HISTOJUIN24!$A$6:$AQ$42,22,0)</f>
        <v>0</v>
      </c>
      <c r="K31" s="36">
        <f>VLOOKUP($A31,[24]HISTOJUIN24!$A$6:$AU$38,45,0)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VLOOKUP($A31,[24]HISTOJUIN24!$A$6:$AU$38,7,0)</f>
        <v>0</v>
      </c>
      <c r="Q31" s="36">
        <f>VLOOKUP($A31,[24]HISTOJUIN24!$A$6:$AU$38,23,0)</f>
        <v>0</v>
      </c>
      <c r="R31" s="36">
        <f>VLOOKUP($A31,[24]HISTOJUIN24!$A$6:$AU$38,46,0)</f>
        <v>0</v>
      </c>
      <c r="S31" s="36">
        <f>VLOOKUP($A31,[24]HISTOJUIN24!$A$6:$AU$38,26,0)</f>
        <v>0</v>
      </c>
      <c r="T31" s="36">
        <f>VLOOKUP($A31,[24]HISTOJUIN24!$A$6:$BG$38,58,0)</f>
        <v>30000</v>
      </c>
      <c r="U31" s="36">
        <f>VLOOKUP($A31,[24]HISTOJUIN24!$A$6:$AU$38,28,0)</f>
        <v>0</v>
      </c>
      <c r="V31" s="36">
        <f>VLOOKUP($A31,[24]HISTOJUIN24!$A$6:$AU$38,19,0)</f>
        <v>0</v>
      </c>
      <c r="W31" s="36">
        <f>VLOOKUP($A31,[24]HISTOJUIN24!$A$6:$AU$38,20,0)</f>
        <v>0</v>
      </c>
      <c r="X31" s="36">
        <f>VLOOKUP($A31,[24]HISTOJUIN24!$A$6:$AU$38,27,0)</f>
        <v>0</v>
      </c>
      <c r="Y31" s="36">
        <f>VLOOKUP($A31,[24]HISTOJUIN24!$A$6:$BM$38,33,0)</f>
        <v>0</v>
      </c>
      <c r="Z31" s="36">
        <f>VLOOKUP($A31,[24]HISTOJUIN24!$A$6:$BM$38,65,0)</f>
        <v>0</v>
      </c>
      <c r="AA31" s="36"/>
      <c r="AB31" s="36">
        <f>VLOOKUP($A31,[24]HISTOJUIN24!$A$6:$AU$38,43,0)</f>
        <v>0</v>
      </c>
      <c r="AC31" s="36">
        <f>VLOOKUP($A31,[24]HISTOJUIN24!$A$6:$AU$38,44,0)</f>
        <v>0</v>
      </c>
      <c r="AD31" s="36">
        <f>VLOOKUP($A31,[24]HISTOJUIN24!$A$6:$AU$38,47,0)</f>
        <v>0</v>
      </c>
      <c r="AE31" s="36">
        <f>VLOOKUP(A31,[24]HISTOJUIN24!$A$6:$BB$38,54,0)</f>
        <v>0</v>
      </c>
      <c r="AF31" s="36">
        <f>VLOOKUP($A31,[24]HISTOJUIN24!$A$6:$CB$38,60,0)</f>
        <v>0</v>
      </c>
      <c r="AG31" s="36">
        <f>VLOOKUP($A31,[24]HISTOJUIN24!$A$6:$CB$38,61,0)</f>
        <v>0</v>
      </c>
      <c r="AH31" s="36">
        <f>VLOOKUP($A31,[24]HISTOJUIN24!$A$6:$CB$38,62,0)</f>
        <v>0</v>
      </c>
      <c r="AI31" s="36">
        <f>VLOOKUP($A31,[24]HISTOJUIN24!$A$6:$CB$38,63,0)</f>
        <v>0</v>
      </c>
      <c r="AJ31" s="36">
        <f>VLOOKUP($A31,[24]HISTOJUIN24!$A$6:$CB$38,64,0)</f>
        <v>0</v>
      </c>
      <c r="AK31" s="36">
        <f>VLOOKUP($A31,[24]HISTOJUIN24!$A$6:$CB$38,65,0)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MVTMAI24!I32-E32+L32</f>
        <v>863768.17409210303</v>
      </c>
      <c r="G32" s="5">
        <f>IF(MVTMAI24!I32+L32&gt;700000,(MVTMAI24!I32-E32+L32),0)</f>
        <v>863768.17409210303</v>
      </c>
      <c r="H32" s="36">
        <f t="shared" si="0"/>
        <v>3256.2698359946057</v>
      </c>
      <c r="I32" s="6">
        <f t="shared" si="2"/>
        <v>867024.44392809761</v>
      </c>
      <c r="J32" s="36">
        <f>VLOOKUP($A32,[24]HISTOJUIN24!$A$6:$AQ$42,22,0)</f>
        <v>0</v>
      </c>
      <c r="K32" s="36">
        <f>VLOOKUP($A32,[24]HISTOJUIN24!$A$6:$AU$38,45,0)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VLOOKUP($A32,[24]HISTOJUIN24!$A$6:$AU$38,7,0)</f>
        <v>0</v>
      </c>
      <c r="Q32" s="36">
        <f>VLOOKUP($A32,[24]HISTOJUIN24!$A$6:$AU$38,23,0)</f>
        <v>0</v>
      </c>
      <c r="R32" s="36">
        <f>VLOOKUP($A32,[24]HISTOJUIN24!$A$6:$AU$38,46,0)</f>
        <v>0</v>
      </c>
      <c r="S32" s="36">
        <f>VLOOKUP($A32,[24]HISTOJUIN24!$A$6:$AU$38,26,0)</f>
        <v>0</v>
      </c>
      <c r="T32" s="36">
        <f>VLOOKUP($A32,[24]HISTOJUIN24!$A$6:$BG$38,58,0)</f>
        <v>60000</v>
      </c>
      <c r="U32" s="36">
        <f>VLOOKUP($A32,[24]HISTOJUIN24!$A$6:$AU$38,28,0)</f>
        <v>0</v>
      </c>
      <c r="V32" s="36">
        <f>VLOOKUP($A32,[24]HISTOJUIN24!$A$6:$AU$38,19,0)</f>
        <v>0</v>
      </c>
      <c r="W32" s="36">
        <f>VLOOKUP($A32,[24]HISTOJUIN24!$A$6:$AU$38,20,0)</f>
        <v>0</v>
      </c>
      <c r="X32" s="36">
        <f>VLOOKUP($A32,[24]HISTOJUIN24!$A$6:$AU$38,27,0)</f>
        <v>0</v>
      </c>
      <c r="Y32" s="36">
        <f>VLOOKUP($A32,[24]HISTOJUIN24!$A$6:$BM$38,33,0)</f>
        <v>0</v>
      </c>
      <c r="Z32" s="36">
        <f>VLOOKUP($A32,[24]HISTOJUIN24!$A$6:$BM$38,65,0)</f>
        <v>0</v>
      </c>
      <c r="AA32" s="36"/>
      <c r="AB32" s="36">
        <f>VLOOKUP($A32,[24]HISTOJUIN24!$A$6:$AU$38,43,0)</f>
        <v>0</v>
      </c>
      <c r="AC32" s="36">
        <f>VLOOKUP($A32,[24]HISTOJUIN24!$A$6:$AU$38,44,0)</f>
        <v>0</v>
      </c>
      <c r="AD32" s="36">
        <f>VLOOKUP($A32,[24]HISTOJUIN24!$A$6:$AU$38,47,0)</f>
        <v>0</v>
      </c>
      <c r="AE32" s="36">
        <f>VLOOKUP(A32,[24]HISTOJUIN24!$A$6:$BB$38,54,0)</f>
        <v>0</v>
      </c>
      <c r="AF32" s="36">
        <f>VLOOKUP($A32,[24]HISTOJUIN24!$A$6:$CB$38,60,0)</f>
        <v>0</v>
      </c>
      <c r="AG32" s="36">
        <f>VLOOKUP($A32,[24]HISTOJUIN24!$A$6:$CB$38,61,0)</f>
        <v>0</v>
      </c>
      <c r="AH32" s="36">
        <f>VLOOKUP($A32,[24]HISTOJUIN24!$A$6:$CB$38,62,0)</f>
        <v>0</v>
      </c>
      <c r="AI32" s="36">
        <f>VLOOKUP($A32,[24]HISTOJUIN24!$A$6:$CB$38,63,0)</f>
        <v>100000</v>
      </c>
      <c r="AJ32" s="36">
        <f>VLOOKUP($A32,[24]HISTOJUIN24!$A$6:$CB$38,64,0)</f>
        <v>0</v>
      </c>
      <c r="AK32" s="36">
        <f>VLOOKUP($A32,[24]HISTOJUIN24!$A$6:$CB$38,65,0)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MVTMAI24!I33-E33+L33</f>
        <v>864077.35479589261</v>
      </c>
      <c r="G33" s="5">
        <f>IF(MVTMAI24!I33+L33&gt;700000,(MVTMAI24!I33-E33+L33),0)</f>
        <v>864077.35479589261</v>
      </c>
      <c r="H33" s="36">
        <f t="shared" si="0"/>
        <v>3257.4353985029488</v>
      </c>
      <c r="I33" s="6">
        <f t="shared" si="2"/>
        <v>867334.79019439558</v>
      </c>
      <c r="J33" s="36">
        <f>VLOOKUP($A33,[24]HISTOJUIN24!$A$6:$AQ$42,22,0)</f>
        <v>0</v>
      </c>
      <c r="K33" s="36">
        <f>VLOOKUP($A33,[24]HISTOJUIN24!$A$6:$AU$38,45,0)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VLOOKUP($A33,[24]HISTOJUIN24!$A$6:$AU$38,7,0)</f>
        <v>0</v>
      </c>
      <c r="Q33" s="36">
        <f>VLOOKUP($A33,[24]HISTOJUIN24!$A$6:$AU$38,23,0)</f>
        <v>0</v>
      </c>
      <c r="R33" s="36">
        <f>VLOOKUP($A33,[24]HISTOJUIN24!$A$6:$AU$38,46,0)</f>
        <v>0</v>
      </c>
      <c r="S33" s="36">
        <f>VLOOKUP($A33,[24]HISTOJUIN24!$A$6:$AU$38,26,0)</f>
        <v>0</v>
      </c>
      <c r="T33" s="36">
        <f>VLOOKUP($A33,[24]HISTOJUIN24!$A$6:$BG$38,58,0)</f>
        <v>0</v>
      </c>
      <c r="U33" s="36">
        <f>VLOOKUP($A33,[24]HISTOJUIN24!$A$6:$AU$38,28,0)</f>
        <v>0</v>
      </c>
      <c r="V33" s="36">
        <f>VLOOKUP($A33,[24]HISTOJUIN24!$A$6:$AU$38,19,0)</f>
        <v>0</v>
      </c>
      <c r="W33" s="36">
        <f>VLOOKUP($A33,[24]HISTOJUIN24!$A$6:$AU$38,20,0)</f>
        <v>0</v>
      </c>
      <c r="X33" s="36">
        <f>VLOOKUP($A33,[24]HISTOJUIN24!$A$6:$AU$38,27,0)</f>
        <v>0</v>
      </c>
      <c r="Y33" s="36">
        <f>VLOOKUP($A33,[24]HISTOJUIN24!$A$6:$BM$38,33,0)</f>
        <v>0</v>
      </c>
      <c r="Z33" s="36">
        <f>VLOOKUP($A33,[24]HISTOJUIN24!$A$6:$BM$38,65,0)</f>
        <v>0</v>
      </c>
      <c r="AA33" s="36"/>
      <c r="AB33" s="36">
        <f>VLOOKUP($A33,[24]HISTOJUIN24!$A$6:$AU$38,43,0)</f>
        <v>0</v>
      </c>
      <c r="AC33" s="36">
        <f>VLOOKUP($A33,[24]HISTOJUIN24!$A$6:$AU$38,44,0)</f>
        <v>0</v>
      </c>
      <c r="AD33" s="36">
        <f>VLOOKUP($A33,[24]HISTOJUIN24!$A$6:$AU$38,47,0)</f>
        <v>0</v>
      </c>
      <c r="AE33" s="36">
        <f>VLOOKUP(A33,[24]HISTOJUIN24!$A$6:$BB$38,54,0)</f>
        <v>0</v>
      </c>
      <c r="AF33" s="36">
        <f>VLOOKUP($A33,[24]HISTOJUIN24!$A$6:$CB$38,60,0)</f>
        <v>0</v>
      </c>
      <c r="AG33" s="36">
        <f>VLOOKUP($A33,[24]HISTOJUIN24!$A$6:$CB$38,61,0)</f>
        <v>0</v>
      </c>
      <c r="AH33" s="36">
        <f>VLOOKUP($A33,[24]HISTOJUIN24!$A$6:$CB$38,62,0)</f>
        <v>0</v>
      </c>
      <c r="AI33" s="36">
        <f>VLOOKUP($A33,[24]HISTOJUIN24!$A$6:$CB$38,63,0)</f>
        <v>0</v>
      </c>
      <c r="AJ33" s="36">
        <f>VLOOKUP($A33,[24]HISTOJUIN24!$A$6:$CB$38,64,0)</f>
        <v>0</v>
      </c>
      <c r="AK33" s="36">
        <f>VLOOKUP($A33,[24]HISTOJUIN24!$A$6:$CB$38,65,0)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MVTMAI24!I34-E34+L34</f>
        <v>549000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549000</v>
      </c>
      <c r="J34" s="36">
        <f>VLOOKUP($A34,[24]HISTOJUIN24!$A$6:$AQ$42,22,0)</f>
        <v>0</v>
      </c>
      <c r="K34" s="36">
        <f>VLOOKUP($A34,[24]HISTOJUIN24!$A$6:$AU$38,45,0)</f>
        <v>45000</v>
      </c>
      <c r="L34" s="36">
        <f t="shared" si="3"/>
        <v>39000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VLOOKUP($A34,[24]HISTOJUIN24!$A$6:$AU$38,7,0)</f>
        <v>0</v>
      </c>
      <c r="Q34" s="36">
        <f>VLOOKUP($A34,[24]HISTOJUIN24!$A$6:$AU$38,23,0)</f>
        <v>0</v>
      </c>
      <c r="R34" s="36">
        <f>VLOOKUP($A34,[24]HISTOJUIN24!$A$6:$AU$38,46,0)</f>
        <v>0</v>
      </c>
      <c r="S34" s="36">
        <f>VLOOKUP($A34,[24]HISTOJUIN24!$A$6:$AU$38,26,0)</f>
        <v>0</v>
      </c>
      <c r="T34" s="36">
        <f>VLOOKUP($A34,[24]HISTOJUIN24!$A$6:$BG$38,58,0)</f>
        <v>0</v>
      </c>
      <c r="U34" s="36">
        <f>VLOOKUP($A34,[24]HISTOJUIN24!$A$6:$AU$38,28,0)</f>
        <v>0</v>
      </c>
      <c r="V34" s="36">
        <f>VLOOKUP($A34,[24]HISTOJUIN24!$A$6:$AU$38,19,0)</f>
        <v>0</v>
      </c>
      <c r="W34" s="36">
        <f>VLOOKUP($A34,[24]HISTOJUIN24!$A$6:$AU$38,20,0)</f>
        <v>0</v>
      </c>
      <c r="X34" s="36">
        <f>VLOOKUP($A34,[24]HISTOJUIN24!$A$6:$AU$38,27,0)</f>
        <v>0</v>
      </c>
      <c r="Y34" s="36">
        <f>VLOOKUP($A34,[24]HISTOJUIN24!$A$6:$BM$38,33,0)</f>
        <v>0</v>
      </c>
      <c r="Z34" s="36">
        <f>VLOOKUP($A34,[24]HISTOJUIN24!$A$6:$BM$38,65,0)</f>
        <v>0</v>
      </c>
      <c r="AA34" s="36"/>
      <c r="AB34" s="36">
        <f>VLOOKUP($A34,[24]HISTOJUIN24!$A$6:$AU$38,43,0)</f>
        <v>0</v>
      </c>
      <c r="AC34" s="36">
        <f>VLOOKUP($A34,[24]HISTOJUIN24!$A$6:$AU$38,44,0)</f>
        <v>0</v>
      </c>
      <c r="AD34" s="36">
        <f>VLOOKUP($A34,[24]HISTOJUIN24!$A$6:$AU$38,47,0)</f>
        <v>0</v>
      </c>
      <c r="AE34" s="36">
        <f>VLOOKUP(A34,[24]HISTOJUIN24!$A$6:$BB$38,54,0)</f>
        <v>0</v>
      </c>
      <c r="AF34" s="36">
        <f>VLOOKUP($A34,[24]HISTOJUIN24!$A$6:$CB$38,60,0)</f>
        <v>0</v>
      </c>
      <c r="AG34" s="36">
        <f>VLOOKUP($A34,[24]HISTOJUIN24!$A$6:$CB$38,61,0)</f>
        <v>0</v>
      </c>
      <c r="AH34" s="36">
        <f>VLOOKUP($A34,[24]HISTOJUIN24!$A$6:$CB$38,62,0)</f>
        <v>0</v>
      </c>
      <c r="AI34" s="36">
        <f>VLOOKUP($A34,[24]HISTOJUIN24!$A$6:$CB$38,63,0)</f>
        <v>0</v>
      </c>
      <c r="AJ34" s="36">
        <f>VLOOKUP($A34,[24]HISTOJUIN24!$A$6:$CB$38,64,0)</f>
        <v>0</v>
      </c>
      <c r="AK34" s="36">
        <f>VLOOKUP($A34,[24]HISTOJUIN24!$A$6:$CB$38,65,0)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VLOOKUP($A35,[24]HISTOJUIN24!$A$6:$AQ$42,22,0)</f>
        <v>0</v>
      </c>
      <c r="K35" s="36">
        <f>VLOOKUP($A35,[24]HISTOJUIN24!$A$6:$AU$38,45,0)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VLOOKUP($A35,[24]HISTOJUIN24!$A$6:$AU$38,7,0)</f>
        <v>0</v>
      </c>
      <c r="Q35" s="36">
        <f>VLOOKUP($A35,[24]HISTOJUIN24!$A$6:$AU$38,23,0)</f>
        <v>0</v>
      </c>
      <c r="R35" s="36">
        <f>VLOOKUP($A35,[24]HISTOJUIN24!$A$6:$AU$38,46,0)</f>
        <v>0</v>
      </c>
      <c r="S35" s="36">
        <f>VLOOKUP($A35,[24]HISTOJUIN24!$A$6:$AU$38,26,0)</f>
        <v>0</v>
      </c>
      <c r="T35" s="36">
        <f>VLOOKUP($A35,[24]HISTOJUIN24!$A$6:$BG$38,58,0)</f>
        <v>0</v>
      </c>
      <c r="U35" s="36">
        <f>VLOOKUP($A35,[24]HISTOJUIN24!$A$6:$AU$38,28,0)</f>
        <v>0</v>
      </c>
      <c r="V35" s="36">
        <f>VLOOKUP($A35,[24]HISTOJUIN24!$A$6:$AU$38,19,0)</f>
        <v>0</v>
      </c>
      <c r="W35" s="36">
        <f>VLOOKUP($A35,[24]HISTOJUIN24!$A$6:$AU$38,20,0)</f>
        <v>0</v>
      </c>
      <c r="X35" s="36">
        <f>VLOOKUP($A35,[24]HISTOJUIN24!$A$6:$AU$38,27,0)</f>
        <v>0</v>
      </c>
      <c r="Y35" s="36">
        <f>VLOOKUP($A35,[24]HISTOJUIN24!$A$6:$BM$38,33,0)</f>
        <v>0</v>
      </c>
      <c r="Z35" s="36">
        <f>VLOOKUP($A35,[24]HISTOJUIN24!$A$6:$BM$38,65,0)</f>
        <v>0</v>
      </c>
      <c r="AA35" s="36"/>
      <c r="AB35" s="36">
        <f>VLOOKUP($A35,[24]HISTOJUIN24!$A$6:$AU$38,43,0)</f>
        <v>0</v>
      </c>
      <c r="AC35" s="36">
        <f>VLOOKUP($A35,[24]HISTOJUIN24!$A$6:$AU$38,44,0)</f>
        <v>0</v>
      </c>
      <c r="AD35" s="36">
        <f>VLOOKUP($A35,[24]HISTOJUIN24!$A$6:$AU$38,47,0)</f>
        <v>0</v>
      </c>
      <c r="AE35" s="36">
        <f>VLOOKUP(A35,[24]HISTOJUIN24!$A$6:$BB$38,54,0)</f>
        <v>0</v>
      </c>
      <c r="AF35" s="36">
        <f>VLOOKUP($A35,[24]HISTOJUIN24!$A$6:$CB$38,60,0)</f>
        <v>0</v>
      </c>
      <c r="AG35" s="36">
        <f>VLOOKUP($A35,[24]HISTOJUIN24!$A$6:$CB$38,61,0)</f>
        <v>0</v>
      </c>
      <c r="AH35" s="36">
        <f>VLOOKUP($A35,[24]HISTOJUIN24!$A$6:$CB$38,62,0)</f>
        <v>0</v>
      </c>
      <c r="AI35" s="36">
        <f>VLOOKUP($A35,[24]HISTOJUIN24!$A$6:$CB$38,63,0)</f>
        <v>0</v>
      </c>
      <c r="AJ35" s="36">
        <f>VLOOKUP($A35,[24]HISTOJUIN24!$A$6:$CB$38,64,0)</f>
        <v>0</v>
      </c>
      <c r="AK35" s="36">
        <f>VLOOKUP($A35,[24]HISTOJUIN24!$A$6:$CB$38,65,0)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MVTMAI24!I36-E36+L36</f>
        <v>921266.77802584018</v>
      </c>
      <c r="G36" s="5">
        <f>IF(MVTMAI24!I36+L36&gt;700000,(MVTMAI24!I36-E36+L36),0)</f>
        <v>921266.77802584018</v>
      </c>
      <c r="H36" s="36">
        <f t="shared" si="0"/>
        <v>3473.0305076852774</v>
      </c>
      <c r="I36" s="6">
        <f t="shared" si="2"/>
        <v>924739.80853352544</v>
      </c>
      <c r="J36" s="36">
        <f>VLOOKUP($A36,[24]HISTOJUIN24!$A$6:$AQ$42,22,0)</f>
        <v>0</v>
      </c>
      <c r="K36" s="36">
        <f>VLOOKUP($A36,[24]HISTOJUIN24!$A$6:$AU$38,45,0)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VLOOKUP($A36,[24]HISTOJUIN24!$A$6:$AU$38,7,0)</f>
        <v>0</v>
      </c>
      <c r="Q36" s="36">
        <f>VLOOKUP($A36,[24]HISTOJUIN24!$A$6:$AU$38,23,0)</f>
        <v>0</v>
      </c>
      <c r="R36" s="36">
        <f>VLOOKUP($A36,[24]HISTOJUIN24!$A$6:$AU$38,46,0)</f>
        <v>0</v>
      </c>
      <c r="S36" s="36">
        <f>VLOOKUP($A36,[24]HISTOJUIN24!$A$6:$AU$38,26,0)</f>
        <v>0</v>
      </c>
      <c r="T36" s="36">
        <f>VLOOKUP($A36,[24]HISTOJUIN24!$A$6:$BG$38,58,0)</f>
        <v>0</v>
      </c>
      <c r="U36" s="36">
        <f>VLOOKUP($A36,[24]HISTOJUIN24!$A$6:$AU$38,28,0)</f>
        <v>0</v>
      </c>
      <c r="V36" s="36">
        <f>VLOOKUP($A36,[24]HISTOJUIN24!$A$6:$AU$38,19,0)</f>
        <v>0</v>
      </c>
      <c r="W36" s="36">
        <f>VLOOKUP($A36,[24]HISTOJUIN24!$A$6:$AU$38,20,0)</f>
        <v>0</v>
      </c>
      <c r="X36" s="36">
        <f>VLOOKUP($A36,[24]HISTOJUIN24!$A$6:$AU$38,27,0)</f>
        <v>0</v>
      </c>
      <c r="Y36" s="36">
        <f>VLOOKUP($A36,[24]HISTOJUIN24!$A$6:$BM$38,33,0)</f>
        <v>0</v>
      </c>
      <c r="Z36" s="36">
        <f>VLOOKUP($A36,[24]HISTOJUIN24!$A$6:$BM$38,65,0)</f>
        <v>0</v>
      </c>
      <c r="AA36" s="36"/>
      <c r="AB36" s="36">
        <f>VLOOKUP($A36,[24]HISTOJUIN24!$A$6:$AU$38,43,0)</f>
        <v>0</v>
      </c>
      <c r="AC36" s="36">
        <f>VLOOKUP($A36,[24]HISTOJUIN24!$A$6:$AU$38,44,0)</f>
        <v>0</v>
      </c>
      <c r="AD36" s="36">
        <f>VLOOKUP($A36,[24]HISTOJUIN24!$A$6:$AU$38,47,0)</f>
        <v>0</v>
      </c>
      <c r="AE36" s="36">
        <f>VLOOKUP(A36,[24]HISTOJUIN24!$A$6:$BB$38,54,0)</f>
        <v>0</v>
      </c>
      <c r="AF36" s="36">
        <f>VLOOKUP($A36,[24]HISTOJUIN24!$A$6:$CB$38,60,0)</f>
        <v>0</v>
      </c>
      <c r="AG36" s="36">
        <f>VLOOKUP($A36,[24]HISTOJUIN24!$A$6:$CB$38,61,0)</f>
        <v>0</v>
      </c>
      <c r="AH36" s="36">
        <f>VLOOKUP($A36,[24]HISTOJUIN24!$A$6:$CB$38,62,0)</f>
        <v>0</v>
      </c>
      <c r="AI36" s="36">
        <f>VLOOKUP($A36,[24]HISTOJUIN24!$A$6:$CB$38,63,0)</f>
        <v>0</v>
      </c>
      <c r="AJ36" s="36">
        <f>VLOOKUP($A36,[24]HISTOJUIN24!$A$6:$CB$38,64,0)</f>
        <v>0</v>
      </c>
      <c r="AK36" s="36">
        <f>VLOOKUP($A36,[24]HISTOJUIN24!$A$6:$CB$38,65,0)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MVTMAI24!I37-E37+L37</f>
        <v>1935702.5449915663</v>
      </c>
      <c r="G37" s="5">
        <f>IF(MVTMAI24!I37+L37&gt;700000,(MVTMAI24!I37-E37+L37),0)</f>
        <v>1935702.5449915663</v>
      </c>
      <c r="H37" s="36">
        <f t="shared" si="0"/>
        <v>7297.2934147975748</v>
      </c>
      <c r="I37" s="6">
        <f t="shared" si="2"/>
        <v>1942999.838406364</v>
      </c>
      <c r="J37" s="36">
        <f>VLOOKUP($A37,[24]HISTOJUIN24!$A$6:$AQ$42,22,0)</f>
        <v>0</v>
      </c>
      <c r="K37" s="36">
        <f>VLOOKUP($A37,[24]HISTOJUIN24!$A$6:$AU$38,45,0)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VLOOKUP($A37,[24]HISTOJUIN24!$A$6:$AU$38,7,0)</f>
        <v>0</v>
      </c>
      <c r="Q37" s="36">
        <f>VLOOKUP($A37,[24]HISTOJUIN24!$A$6:$AU$38,23,0)</f>
        <v>0</v>
      </c>
      <c r="R37" s="36">
        <f>VLOOKUP($A37,[24]HISTOJUIN24!$A$6:$AU$38,46,0)</f>
        <v>0</v>
      </c>
      <c r="S37" s="36">
        <f>VLOOKUP($A37,[24]HISTOJUIN24!$A$6:$AU$38,26,0)</f>
        <v>0</v>
      </c>
      <c r="T37" s="36">
        <f>VLOOKUP($A37,[24]HISTOJUIN24!$A$6:$BG$38,58,0)</f>
        <v>0</v>
      </c>
      <c r="U37" s="36">
        <f>VLOOKUP($A37,[24]HISTOJUIN24!$A$6:$AU$38,28,0)</f>
        <v>0</v>
      </c>
      <c r="V37" s="36">
        <f>VLOOKUP($A37,[24]HISTOJUIN24!$A$6:$AU$38,19,0)</f>
        <v>0</v>
      </c>
      <c r="W37" s="36">
        <f>VLOOKUP($A37,[24]HISTOJUIN24!$A$6:$AU$38,20,0)</f>
        <v>0</v>
      </c>
      <c r="X37" s="36">
        <f>VLOOKUP($A37,[24]HISTOJUIN24!$A$6:$AU$38,27,0)</f>
        <v>0</v>
      </c>
      <c r="Y37" s="36">
        <f>VLOOKUP($A37,[24]HISTOJUIN24!$A$6:$BM$38,33,0)</f>
        <v>0</v>
      </c>
      <c r="Z37" s="36">
        <f>VLOOKUP($A37,[24]HISTOJUIN24!$A$6:$BM$38,65,0)</f>
        <v>0</v>
      </c>
      <c r="AA37" s="36"/>
      <c r="AB37" s="36">
        <f>VLOOKUP($A37,[24]HISTOJUIN24!$A$6:$AU$38,43,0)</f>
        <v>0</v>
      </c>
      <c r="AC37" s="36">
        <f>VLOOKUP($A37,[24]HISTOJUIN24!$A$6:$AU$38,44,0)</f>
        <v>0</v>
      </c>
      <c r="AD37" s="36">
        <f>VLOOKUP($A37,[24]HISTOJUIN24!$A$6:$AU$38,47,0)</f>
        <v>0</v>
      </c>
      <c r="AE37" s="36">
        <f>VLOOKUP(A37,[24]HISTOJUIN24!$A$6:$BB$38,54,0)</f>
        <v>0</v>
      </c>
      <c r="AF37" s="36">
        <f>VLOOKUP($A37,[24]HISTOJUIN24!$A$6:$CB$38,60,0)</f>
        <v>0</v>
      </c>
      <c r="AG37" s="36">
        <f>VLOOKUP($A37,[24]HISTOJUIN24!$A$6:$CB$38,61,0)</f>
        <v>0</v>
      </c>
      <c r="AH37" s="36">
        <f>VLOOKUP($A37,[24]HISTOJUIN24!$A$6:$CB$38,62,0)</f>
        <v>0</v>
      </c>
      <c r="AI37" s="36">
        <f>VLOOKUP($A37,[24]HISTOJUIN24!$A$6:$CB$38,63,0)</f>
        <v>0</v>
      </c>
      <c r="AJ37" s="36">
        <f>VLOOKUP($A37,[24]HISTOJUIN24!$A$6:$CB$38,64,0)</f>
        <v>0</v>
      </c>
      <c r="AK37" s="36">
        <f>VLOOKUP($A37,[24]HISTOJUIN24!$A$6:$CB$38,65,0)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VLOOKUP($A38,[24]HISTOJUIN24!$A$6:$AQ$42,22,0)</f>
        <v>0</v>
      </c>
      <c r="K38" s="36">
        <f>VLOOKUP($A38,[24]HISTOJUIN24!$A$6:$AU$38,45,0)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VLOOKUP($A38,[24]HISTOJUIN24!$A$6:$AU$38,7,0)</f>
        <v>0</v>
      </c>
      <c r="Q38" s="36">
        <f>VLOOKUP($A38,[24]HISTOJUIN24!$A$6:$AU$38,23,0)</f>
        <v>0</v>
      </c>
      <c r="R38" s="36">
        <f>VLOOKUP($A38,[24]HISTOJUIN24!$A$6:$AU$38,46,0)</f>
        <v>0</v>
      </c>
      <c r="S38" s="36">
        <f>VLOOKUP($A38,[24]HISTOJUIN24!$A$6:$AU$38,26,0)</f>
        <v>0</v>
      </c>
      <c r="T38" s="36">
        <f>VLOOKUP($A38,[24]HISTOJUIN24!$A$6:$BG$38,58,0)</f>
        <v>0</v>
      </c>
      <c r="U38" s="36">
        <f>VLOOKUP($A38,[24]HISTOJUIN24!$A$6:$AU$38,28,0)</f>
        <v>0</v>
      </c>
      <c r="V38" s="36">
        <f>VLOOKUP($A38,[24]HISTOJUIN24!$A$6:$AU$38,19,0)</f>
        <v>0</v>
      </c>
      <c r="W38" s="36">
        <f>VLOOKUP($A38,[24]HISTOJUIN24!$A$6:$AU$38,20,0)</f>
        <v>0</v>
      </c>
      <c r="X38" s="36">
        <f>VLOOKUP($A38,[24]HISTOJUIN24!$A$6:$AU$38,27,0)</f>
        <v>0</v>
      </c>
      <c r="Y38" s="36">
        <f>VLOOKUP($A38,[24]HISTOJUIN24!$A$6:$BM$38,33,0)</f>
        <v>0</v>
      </c>
      <c r="Z38" s="36">
        <f>VLOOKUP($A38,[24]HISTOJUIN24!$A$6:$BM$38,65,0)</f>
        <v>0</v>
      </c>
      <c r="AA38" s="36"/>
      <c r="AB38" s="36">
        <f>VLOOKUP($A38,[24]HISTOJUIN24!$A$6:$AU$38,43,0)</f>
        <v>0</v>
      </c>
      <c r="AC38" s="36">
        <f>VLOOKUP($A38,[24]HISTOJUIN24!$A$6:$AU$38,44,0)</f>
        <v>0</v>
      </c>
      <c r="AD38" s="36">
        <f>VLOOKUP($A38,[24]HISTOJUIN24!$A$6:$AU$38,47,0)</f>
        <v>0</v>
      </c>
      <c r="AE38" s="36">
        <f>VLOOKUP(A38,[24]HISTOJUIN24!$A$6:$BB$38,54,0)</f>
        <v>0</v>
      </c>
      <c r="AF38" s="36">
        <f>VLOOKUP($A38,[24]HISTOJUIN24!$A$6:$CB$38,60,0)</f>
        <v>0</v>
      </c>
      <c r="AG38" s="36">
        <f>VLOOKUP($A38,[24]HISTOJUIN24!$A$6:$CB$38,61,0)</f>
        <v>0</v>
      </c>
      <c r="AH38" s="36">
        <f>VLOOKUP($A38,[24]HISTOJUIN24!$A$6:$CB$38,62,0)</f>
        <v>0</v>
      </c>
      <c r="AI38" s="36">
        <f>VLOOKUP($A38,[24]HISTOJUIN24!$A$6:$CB$38,63,0)</f>
        <v>0</v>
      </c>
      <c r="AJ38" s="36">
        <f>VLOOKUP($A38,[24]HISTOJUIN24!$A$6:$CB$38,64,0)</f>
        <v>0</v>
      </c>
      <c r="AK38" s="36">
        <f>VLOOKUP($A38,[24]HISTOJUIN24!$A$6:$CB$38,65,0)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MVTMAI24!I39-E39+L39</f>
        <v>2100888.9806010709</v>
      </c>
      <c r="G39" s="5">
        <f>IF(MVTMAI24!I39+L39&gt;700000,(MVTMAI24!I39-E39+L39),0)</f>
        <v>2100888.9806010709</v>
      </c>
      <c r="H39" s="36">
        <f t="shared" si="0"/>
        <v>7920.0202340116157</v>
      </c>
      <c r="I39" s="6">
        <f t="shared" si="2"/>
        <v>2108809.0008350825</v>
      </c>
      <c r="J39" s="36">
        <f>VLOOKUP($A39,[24]HISTOJUIN24!$A$6:$AQ$42,22,0)</f>
        <v>0</v>
      </c>
      <c r="K39" s="36">
        <f>VLOOKUP($A39,[24]HISTOJUIN24!$A$6:$AU$38,45,0)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VLOOKUP($A39,[24]HISTOJUIN24!$A$6:$AU$38,7,0)</f>
        <v>0</v>
      </c>
      <c r="Q39" s="36">
        <f>VLOOKUP($A39,[24]HISTOJUIN24!$A$6:$AU$38,23,0)</f>
        <v>0</v>
      </c>
      <c r="R39" s="36">
        <f>VLOOKUP($A39,[24]HISTOJUIN24!$A$6:$AU$38,46,0)</f>
        <v>0</v>
      </c>
      <c r="S39" s="36">
        <f>VLOOKUP($A39,[24]HISTOJUIN24!$A$6:$AU$38,26,0)</f>
        <v>0</v>
      </c>
      <c r="T39" s="36">
        <f>VLOOKUP($A39,[24]HISTOJUIN24!$A$6:$BG$38,58,0)</f>
        <v>0</v>
      </c>
      <c r="U39" s="36">
        <f>VLOOKUP($A39,[24]HISTOJUIN24!$A$6:$AU$38,28,0)</f>
        <v>0</v>
      </c>
      <c r="V39" s="36">
        <f>VLOOKUP($A39,[24]HISTOJUIN24!$A$6:$AU$38,19,0)</f>
        <v>0</v>
      </c>
      <c r="W39" s="36">
        <f>VLOOKUP($A39,[24]HISTOJUIN24!$A$6:$AU$38,20,0)</f>
        <v>0</v>
      </c>
      <c r="X39" s="36">
        <f>VLOOKUP($A39,[24]HISTOJUIN24!$A$6:$AU$38,27,0)</f>
        <v>0</v>
      </c>
      <c r="Y39" s="36">
        <f>VLOOKUP($A39,[24]HISTOJUIN24!$A$6:$BM$38,33,0)</f>
        <v>0</v>
      </c>
      <c r="Z39" s="36">
        <f>VLOOKUP($A39,[24]HISTOJUIN24!$A$6:$BM$38,65,0)</f>
        <v>0</v>
      </c>
      <c r="AA39" s="36"/>
      <c r="AB39" s="36">
        <f>VLOOKUP($A39,[24]HISTOJUIN24!$A$6:$AU$38,43,0)</f>
        <v>0</v>
      </c>
      <c r="AC39" s="36">
        <f>VLOOKUP($A39,[24]HISTOJUIN24!$A$6:$AU$38,44,0)</f>
        <v>0</v>
      </c>
      <c r="AD39" s="36">
        <f>VLOOKUP($A39,[24]HISTOJUIN24!$A$6:$AU$38,47,0)</f>
        <v>0</v>
      </c>
      <c r="AE39" s="36">
        <f>VLOOKUP(A39,[24]HISTOJUIN24!$A$6:$BB$38,54,0)</f>
        <v>0</v>
      </c>
      <c r="AF39" s="36">
        <f>VLOOKUP($A39,[24]HISTOJUIN24!$A$6:$CB$38,60,0)</f>
        <v>0</v>
      </c>
      <c r="AG39" s="36">
        <f>VLOOKUP($A39,[24]HISTOJUIN24!$A$6:$CB$38,61,0)</f>
        <v>0</v>
      </c>
      <c r="AH39" s="36">
        <f>VLOOKUP($A39,[24]HISTOJUIN24!$A$6:$CB$38,62,0)</f>
        <v>0</v>
      </c>
      <c r="AI39" s="36">
        <f>VLOOKUP($A39,[24]HISTOJUIN24!$A$6:$CB$38,63,0)</f>
        <v>0</v>
      </c>
      <c r="AJ39" s="36">
        <f>VLOOKUP($A39,[24]HISTOJUIN24!$A$6:$CB$38,64,0)</f>
        <v>0</v>
      </c>
      <c r="AK39" s="36">
        <f>VLOOKUP($A39,[24]HISTOJUIN24!$A$6:$CB$38,65,0)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30846156.073121928</v>
      </c>
      <c r="G41" s="9">
        <f t="shared" si="10"/>
        <v>29178939.073121928</v>
      </c>
      <c r="H41" s="36">
        <f t="shared" si="10"/>
        <v>109999.99999999997</v>
      </c>
      <c r="I41" s="9">
        <f t="shared" si="10"/>
        <v>30956156.073121917</v>
      </c>
      <c r="J41" s="9">
        <f t="shared" si="10"/>
        <v>0</v>
      </c>
      <c r="K41" s="9">
        <f t="shared" si="10"/>
        <v>916500</v>
      </c>
      <c r="L41" s="9">
        <f t="shared" si="10"/>
        <v>724500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110000</v>
      </c>
      <c r="U41" s="9">
        <f t="shared" si="10"/>
        <v>0</v>
      </c>
      <c r="V41" s="9">
        <f t="shared" si="10"/>
        <v>360000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12000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2000000</v>
      </c>
    </row>
    <row r="44" spans="1:38" x14ac:dyDescent="0.35">
      <c r="G44" s="2"/>
    </row>
  </sheetData>
  <autoFilter ref="A5:V39" xr:uid="{00000000-0009-0000-0000-00000B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44"/>
  <sheetViews>
    <sheetView zoomScale="84" zoomScaleNormal="84" workbookViewId="0">
      <pane xSplit="2" ySplit="5" topLeftCell="F33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77">
        <v>45490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VLOOKUP($A6,[24]HISTOJUIL24!$A$6:$BA$38,48,0)</f>
        <v>0</v>
      </c>
      <c r="F6" s="36">
        <f>MVTJUIN24!I6-E6+L6</f>
        <v>951365.38454948971</v>
      </c>
      <c r="G6" s="5">
        <f>IF(MVTJUIN24!I6+L6&gt;700000,(MVTJUIN24!I6-E6+L6),0)</f>
        <v>951365.38454948971</v>
      </c>
      <c r="H6" s="36">
        <f t="shared" ref="H6:H39" si="0">$T$41/$G$41*G6</f>
        <v>3953.1135211050751</v>
      </c>
      <c r="I6" s="6">
        <f>F6+H6</f>
        <v>955318.49807059474</v>
      </c>
      <c r="J6" s="36">
        <f>VLOOKUP($A6,[24]HISTOJUIL24!$A$6:$AQ$42,22,0)</f>
        <v>0</v>
      </c>
      <c r="K6" s="36">
        <f>VLOOKUP($A6,[24]HISTOJUIL24!$A$6:$AU$38,45,0)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VLOOKUP($A6,[24]HISTOJUIL24!$A$6:$AU$38,7,0)</f>
        <v>0</v>
      </c>
      <c r="Q6" s="36">
        <f>VLOOKUP($A6,[24]HISTOJUIL24!$A$6:$AU$38,23,0)</f>
        <v>0</v>
      </c>
      <c r="R6" s="36">
        <f>VLOOKUP($A6,[24]HISTOJUIL24!$A$6:$AU$38,46,0)</f>
        <v>0</v>
      </c>
      <c r="S6" s="36">
        <f>VLOOKUP($A6,[24]HISTOJUIL24!$A$6:$AU$38,26,0)</f>
        <v>0</v>
      </c>
      <c r="T6" s="36">
        <f>VLOOKUP($A6,[24]HISTOJUIL24!$A$6:$BG$38,58,0)</f>
        <v>0</v>
      </c>
      <c r="U6" s="36">
        <f>VLOOKUP($A6,[24]HISTOJUIL24!$A$6:$AU$38,28,0)</f>
        <v>0</v>
      </c>
      <c r="V6" s="36">
        <f>VLOOKUP($A6,[24]HISTOJUIL24!$A$6:$AU$38,19,0)</f>
        <v>0</v>
      </c>
      <c r="W6" s="36">
        <f>VLOOKUP($A6,[24]HISTOJUIL24!$A$6:$AU$38,20,0)</f>
        <v>0</v>
      </c>
      <c r="X6" s="36">
        <f>VLOOKUP($A6,[24]HISTOJUIL24!$A$6:$AU$38,27,0)</f>
        <v>0</v>
      </c>
      <c r="Y6" s="36">
        <f>VLOOKUP($A6,[24]HISTOJUIL24!$A$6:$BM$38,33,0)</f>
        <v>0</v>
      </c>
      <c r="Z6" s="36">
        <f>VLOOKUP($A6,[24]HISTOJUIL24!$A$6:$BM$38,65,0)</f>
        <v>0</v>
      </c>
      <c r="AA6" s="36"/>
      <c r="AB6" s="36">
        <f>VLOOKUP($A6,[24]HISTOJUIL24!$A$6:$AU$38,43,0)</f>
        <v>0</v>
      </c>
      <c r="AC6" s="36">
        <f>VLOOKUP($A6,[24]HISTOJUIL24!$A$6:$AU$38,44,0)</f>
        <v>0</v>
      </c>
      <c r="AD6" s="36">
        <f>VLOOKUP($A6,[24]HISTOJUIL24!$A$6:$AU$38,47,0)</f>
        <v>0</v>
      </c>
      <c r="AE6" s="36">
        <f>VLOOKUP(A6,[24]HISTOJUIL24!$A$6:$BB$38,54,0)</f>
        <v>0</v>
      </c>
      <c r="AF6" s="36">
        <f>VLOOKUP($A6,[24]HISTOJUIL24!$A$6:$CB$38,60,0)</f>
        <v>42000</v>
      </c>
      <c r="AG6" s="36">
        <f>VLOOKUP($A6,[24]HISTOJUIL24!$A$6:$CB$38,61,0)</f>
        <v>288500</v>
      </c>
      <c r="AH6" s="36">
        <f>VLOOKUP($A6,[24]HISTOJUIL24!$A$6:$CB$38,62,0)</f>
        <v>0</v>
      </c>
      <c r="AI6" s="36">
        <f>VLOOKUP($A6,[24]HISTOJUIL24!$A$6:$CB$38,63,0)</f>
        <v>0</v>
      </c>
      <c r="AJ6" s="36">
        <f>VLOOKUP($A6,[24]HISTOJUIL24!$A$6:$CB$38,64,0)</f>
        <v>0</v>
      </c>
      <c r="AK6" s="36">
        <f>VLOOKUP($A6,[24]HISTOJUIL24!$A$6:$CB$38,65,0)</f>
        <v>0</v>
      </c>
      <c r="AL6" s="36">
        <f>VLOOKUP($A6,[24]HISTOJUIL24!$A$6:$CB$38,66,0)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VLOOKUP($A7,[24]HISTOJUIL24!$A$6:$BA$38,48,0)</f>
        <v>0</v>
      </c>
      <c r="F7" s="36">
        <f>MVTJUIN24!I7-E7+L7</f>
        <v>832186.82681611623</v>
      </c>
      <c r="G7" s="5">
        <f>IF(MVTJUIN24!I7+L7&gt;700000,(MVTJUIN24!I7-E7+L7),0)</f>
        <v>832186.82681611623</v>
      </c>
      <c r="H7" s="36">
        <f t="shared" si="0"/>
        <v>3457.9027685878409</v>
      </c>
      <c r="I7" s="6">
        <f t="shared" ref="I7:I39" si="2">F7+H7</f>
        <v>835644.72958470404</v>
      </c>
      <c r="J7" s="36">
        <f>VLOOKUP($A7,[24]HISTOJUIL24!$A$6:$AQ$42,22,0)</f>
        <v>0</v>
      </c>
      <c r="K7" s="36">
        <f>VLOOKUP($A7,[24]HISTOJUIL24!$A$6:$AU$38,45,0)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VLOOKUP($A7,[24]HISTOJUIL24!$A$6:$AU$38,7,0)</f>
        <v>6000</v>
      </c>
      <c r="Q7" s="36">
        <f>VLOOKUP($A7,[24]HISTOJUIL24!$A$6:$AU$38,23,0)</f>
        <v>0</v>
      </c>
      <c r="R7" s="36">
        <f>VLOOKUP($A7,[24]HISTOJUIL24!$A$6:$AU$38,46,0)</f>
        <v>0</v>
      </c>
      <c r="S7" s="36">
        <f>VLOOKUP($A7,[24]HISTOJUIL24!$A$6:$AU$38,26,0)</f>
        <v>0</v>
      </c>
      <c r="T7" s="36">
        <f>VLOOKUP($A7,[24]HISTOJUIL24!$A$6:$BG$38,58,0)</f>
        <v>0</v>
      </c>
      <c r="U7" s="36">
        <f>VLOOKUP($A7,[24]HISTOJUIL24!$A$6:$AU$38,28,0)</f>
        <v>0</v>
      </c>
      <c r="V7" s="36">
        <f>VLOOKUP($A7,[24]HISTOJUIL24!$A$6:$AU$38,19,0)</f>
        <v>0</v>
      </c>
      <c r="W7" s="36">
        <f>VLOOKUP($A7,[24]HISTOJUIL24!$A$6:$AU$38,20,0)</f>
        <v>0</v>
      </c>
      <c r="X7" s="36">
        <f>VLOOKUP($A7,[24]HISTOJUIL24!$A$6:$AU$38,27,0)</f>
        <v>0</v>
      </c>
      <c r="Y7" s="36">
        <f>VLOOKUP($A7,[24]HISTOJUIL24!$A$6:$BM$38,33,0)</f>
        <v>0</v>
      </c>
      <c r="Z7" s="36">
        <f>VLOOKUP($A7,[24]HISTOJUIL24!$A$6:$BM$38,65,0)</f>
        <v>0</v>
      </c>
      <c r="AA7" s="36"/>
      <c r="AB7" s="36">
        <f>VLOOKUP($A7,[24]HISTOJUIL24!$A$6:$AU$38,43,0)</f>
        <v>0</v>
      </c>
      <c r="AC7" s="36">
        <f>VLOOKUP($A7,[24]HISTOJUIL24!$A$6:$AU$38,44,0)</f>
        <v>0</v>
      </c>
      <c r="AD7" s="36">
        <f>VLOOKUP($A7,[24]HISTOJUIL24!$A$6:$AU$38,47,0)</f>
        <v>0</v>
      </c>
      <c r="AE7" s="36">
        <f>VLOOKUP(A7,[24]HISTOJUIL24!$A$6:$BB$38,54,0)</f>
        <v>0</v>
      </c>
      <c r="AF7" s="36">
        <f>VLOOKUP($A7,[24]HISTOJUIL24!$A$6:$CB$38,60,0)</f>
        <v>0</v>
      </c>
      <c r="AG7" s="36">
        <f>VLOOKUP($A7,[24]HISTOJUIL24!$A$6:$CB$38,61,0)</f>
        <v>0</v>
      </c>
      <c r="AH7" s="36">
        <f>VLOOKUP($A7,[24]HISTOJUIL24!$A$6:$CB$38,62,0)</f>
        <v>0</v>
      </c>
      <c r="AI7" s="36">
        <f>VLOOKUP($A7,[24]HISTOJUIL24!$A$6:$CB$38,63,0)</f>
        <v>0</v>
      </c>
      <c r="AJ7" s="36">
        <f>VLOOKUP($A7,[24]HISTOJUIL24!$A$6:$CB$38,64,0)</f>
        <v>0</v>
      </c>
      <c r="AK7" s="36">
        <f>VLOOKUP($A7,[24]HISTOJUIL24!$A$6:$CB$38,65,0)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VLOOKUP($A8,[24]HISTOJUIL24!$A$6:$BA$38,48,0)</f>
        <v>0</v>
      </c>
      <c r="F8" s="36">
        <f>MVTJUIN24!I8-E8+L8</f>
        <v>882289.6811928167</v>
      </c>
      <c r="G8" s="5">
        <f>IF(MVTJUIN24!I8+L8&gt;700000,(MVTJUIN24!I8-E8+L8),0)</f>
        <v>882289.6811928167</v>
      </c>
      <c r="H8" s="36">
        <f t="shared" si="0"/>
        <v>3666.0901530555698</v>
      </c>
      <c r="I8" s="6">
        <f t="shared" si="2"/>
        <v>885955.77134587232</v>
      </c>
      <c r="J8" s="36">
        <f>VLOOKUP($A8,[24]HISTOJUIL24!$A$6:$AQ$42,22,0)</f>
        <v>0</v>
      </c>
      <c r="K8" s="36">
        <f>VLOOKUP($A8,[24]HISTOJUIL24!$A$6:$AU$38,45,0)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VLOOKUP($A8,[24]HISTOJUIL24!$A$6:$AU$38,7,0)</f>
        <v>0</v>
      </c>
      <c r="Q8" s="36">
        <f>VLOOKUP($A8,[24]HISTOJUIL24!$A$6:$AU$38,23,0)</f>
        <v>0</v>
      </c>
      <c r="R8" s="36">
        <f>VLOOKUP($A8,[24]HISTOJUIL24!$A$6:$AU$38,46,0)</f>
        <v>0</v>
      </c>
      <c r="S8" s="36">
        <f>VLOOKUP($A8,[24]HISTOJUIL24!$A$6:$AU$38,26,0)</f>
        <v>0</v>
      </c>
      <c r="T8" s="36">
        <f>VLOOKUP($A8,[24]HISTOJUIL24!$A$6:$BG$38,58,0)</f>
        <v>0</v>
      </c>
      <c r="U8" s="36">
        <f>VLOOKUP($A8,[24]HISTOJUIL24!$A$6:$AU$38,28,0)</f>
        <v>0</v>
      </c>
      <c r="V8" s="36">
        <f>VLOOKUP($A8,[24]HISTOJUIL24!$A$6:$AU$38,19,0)</f>
        <v>0</v>
      </c>
      <c r="W8" s="36">
        <f>VLOOKUP($A8,[24]HISTOJUIL24!$A$6:$AU$38,20,0)</f>
        <v>0</v>
      </c>
      <c r="X8" s="36">
        <f>VLOOKUP($A8,[24]HISTOJUIL24!$A$6:$AU$38,27,0)</f>
        <v>0</v>
      </c>
      <c r="Y8" s="36">
        <f>VLOOKUP($A8,[24]HISTOJUIL24!$A$6:$BM$38,33,0)</f>
        <v>0</v>
      </c>
      <c r="Z8" s="36">
        <f>VLOOKUP($A8,[24]HISTOJUIL24!$A$6:$BM$38,65,0)</f>
        <v>0</v>
      </c>
      <c r="AA8" s="36"/>
      <c r="AB8" s="36">
        <f>VLOOKUP($A8,[24]HISTOJUIL24!$A$6:$AU$38,43,0)</f>
        <v>0</v>
      </c>
      <c r="AC8" s="36">
        <f>VLOOKUP($A8,[24]HISTOJUIL24!$A$6:$AU$38,44,0)</f>
        <v>0</v>
      </c>
      <c r="AD8" s="36">
        <f>VLOOKUP($A8,[24]HISTOJUIL24!$A$6:$AU$38,47,0)</f>
        <v>0</v>
      </c>
      <c r="AE8" s="36">
        <f>VLOOKUP(A8,[24]HISTOJUIL24!$A$6:$BB$38,54,0)</f>
        <v>0</v>
      </c>
      <c r="AF8" s="36">
        <f>VLOOKUP($A8,[24]HISTOJUIL24!$A$6:$CB$38,60,0)</f>
        <v>0</v>
      </c>
      <c r="AG8" s="36">
        <f>VLOOKUP($A8,[24]HISTOJUIL24!$A$6:$CB$38,61,0)</f>
        <v>0</v>
      </c>
      <c r="AH8" s="36">
        <f>VLOOKUP($A8,[24]HISTOJUIL24!$A$6:$CB$38,62,0)</f>
        <v>0</v>
      </c>
      <c r="AI8" s="36">
        <f>VLOOKUP($A8,[24]HISTOJUIL24!$A$6:$CB$38,63,0)</f>
        <v>0</v>
      </c>
      <c r="AJ8" s="36">
        <f>VLOOKUP($A8,[24]HISTOJUIL24!$A$6:$CB$38,64,0)</f>
        <v>0</v>
      </c>
      <c r="AK8" s="36">
        <f>VLOOKUP($A8,[24]HISTOJUIL24!$A$6:$CB$38,65,0)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VLOOKUP($A9,[24]HISTOJUIL24!$A$6:$BA$38,48,0)</f>
        <v>0</v>
      </c>
      <c r="F9" s="36">
        <f>MVTJUIN24!I9-E9+L9</f>
        <v>940031.30886345147</v>
      </c>
      <c r="G9" s="5">
        <f>IF(MVTJUIN24!I9+L9&gt;700000,(MVTJUIN24!I9-E9+L9),0)</f>
        <v>940031.30886345147</v>
      </c>
      <c r="H9" s="36">
        <f t="shared" si="0"/>
        <v>3906.0181689182568</v>
      </c>
      <c r="I9" s="6">
        <f t="shared" si="2"/>
        <v>943937.32703236968</v>
      </c>
      <c r="J9" s="36">
        <f>VLOOKUP($A9,[24]HISTOJUIL24!$A$6:$AQ$42,22,0)</f>
        <v>0</v>
      </c>
      <c r="K9" s="36">
        <f>VLOOKUP($A9,[24]HISTOJUIL24!$A$6:$AU$38,45,0)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VLOOKUP($A9,[24]HISTOJUIL24!$A$6:$AU$38,7,0)</f>
        <v>0</v>
      </c>
      <c r="Q9" s="36">
        <f>VLOOKUP($A9,[24]HISTOJUIL24!$A$6:$AU$38,23,0)</f>
        <v>0</v>
      </c>
      <c r="R9" s="36">
        <f>VLOOKUP($A9,[24]HISTOJUIL24!$A$6:$AU$38,46,0)</f>
        <v>0</v>
      </c>
      <c r="S9" s="36">
        <f>VLOOKUP($A9,[24]HISTOJUIL24!$A$6:$AU$38,26,0)</f>
        <v>0</v>
      </c>
      <c r="T9" s="36">
        <f>VLOOKUP($A9,[24]HISTOJUIL24!$A$6:$BG$38,58,0)</f>
        <v>0</v>
      </c>
      <c r="U9" s="36">
        <f>VLOOKUP($A9,[24]HISTOJUIL24!$A$6:$AU$38,28,0)</f>
        <v>0</v>
      </c>
      <c r="V9" s="36">
        <f>VLOOKUP($A9,[24]HISTOJUIL24!$A$6:$AU$38,19,0)</f>
        <v>0</v>
      </c>
      <c r="W9" s="36">
        <f>VLOOKUP($A9,[24]HISTOJUIL24!$A$6:$AU$38,20,0)</f>
        <v>0</v>
      </c>
      <c r="X9" s="36">
        <f>VLOOKUP($A9,[24]HISTOJUIL24!$A$6:$AU$38,27,0)</f>
        <v>0</v>
      </c>
      <c r="Y9" s="36">
        <f>VLOOKUP($A9,[24]HISTOJUIL24!$A$6:$BM$38,33,0)</f>
        <v>0</v>
      </c>
      <c r="Z9" s="36">
        <f>VLOOKUP($A9,[24]HISTOJUIL24!$A$6:$BM$38,65,0)</f>
        <v>0</v>
      </c>
      <c r="AA9" s="36"/>
      <c r="AB9" s="36">
        <f>VLOOKUP($A9,[24]HISTOJUIL24!$A$6:$AU$38,43,0)</f>
        <v>0</v>
      </c>
      <c r="AC9" s="36">
        <f>VLOOKUP($A9,[24]HISTOJUIL24!$A$6:$AU$38,44,0)</f>
        <v>0</v>
      </c>
      <c r="AD9" s="36">
        <f>VLOOKUP($A9,[24]HISTOJUIL24!$A$6:$AU$38,47,0)</f>
        <v>0</v>
      </c>
      <c r="AE9" s="36">
        <f>VLOOKUP(A9,[24]HISTOJUIL24!$A$6:$BB$38,54,0)</f>
        <v>0</v>
      </c>
      <c r="AF9" s="36">
        <f>VLOOKUP($A9,[24]HISTOJUIL24!$A$6:$CB$38,60,0)</f>
        <v>0</v>
      </c>
      <c r="AG9" s="36">
        <f>VLOOKUP($A9,[24]HISTOJUIL24!$A$6:$CB$38,61,0)</f>
        <v>0</v>
      </c>
      <c r="AH9" s="36">
        <f>VLOOKUP($A9,[24]HISTOJUIL24!$A$6:$CB$38,62,0)</f>
        <v>0</v>
      </c>
      <c r="AI9" s="36">
        <f>VLOOKUP($A9,[24]HISTOJUIL24!$A$6:$CB$38,63,0)</f>
        <v>0</v>
      </c>
      <c r="AJ9" s="36">
        <f>VLOOKUP($A9,[24]HISTOJUIL24!$A$6:$CB$38,64,0)</f>
        <v>0</v>
      </c>
      <c r="AK9" s="36">
        <f>VLOOKUP($A9,[24]HISTOJUIL24!$A$6:$CB$38,65,0)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VLOOKUP($A10,[24]HISTOJUIL24!$A$6:$BA$38,48,0)</f>
        <v>0</v>
      </c>
      <c r="F10" s="36">
        <f>MVTJUIN24!I10-E10+L10</f>
        <v>881029.37939733674</v>
      </c>
      <c r="G10" s="5">
        <f>IF(MVTJUIN24!I10+L10&gt;700000,(MVTJUIN24!I10-E10+L10),0)</f>
        <v>881029.37939733674</v>
      </c>
      <c r="H10" s="36">
        <f t="shared" si="0"/>
        <v>3660.8533469353388</v>
      </c>
      <c r="I10" s="6">
        <f t="shared" si="2"/>
        <v>884690.2327442721</v>
      </c>
      <c r="J10" s="36">
        <f>VLOOKUP($A10,[24]HISTOJUIL24!$A$6:$AQ$42,22,0)</f>
        <v>0</v>
      </c>
      <c r="K10" s="36">
        <f>VLOOKUP($A10,[24]HISTOJUIL24!$A$6:$AU$38,45,0)</f>
        <v>28500</v>
      </c>
      <c r="L10" s="36">
        <f t="shared" si="3"/>
        <v>22500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VLOOKUP($A10,[24]HISTOJUIL24!$A$6:$AU$38,7,0)</f>
        <v>0</v>
      </c>
      <c r="Q10" s="36">
        <f>VLOOKUP($A10,[24]HISTOJUIL24!$A$6:$AU$38,23,0)</f>
        <v>0</v>
      </c>
      <c r="R10" s="36">
        <f>VLOOKUP($A10,[24]HISTOJUIL24!$A$6:$AU$38,46,0)</f>
        <v>0</v>
      </c>
      <c r="S10" s="36">
        <f>VLOOKUP($A10,[24]HISTOJUIL24!$A$6:$AU$38,26,0)</f>
        <v>0</v>
      </c>
      <c r="T10" s="36">
        <f>VLOOKUP($A10,[24]HISTOJUIL24!$A$6:$BG$38,58,0)</f>
        <v>0</v>
      </c>
      <c r="U10" s="36">
        <f>VLOOKUP($A10,[24]HISTOJUIL24!$A$6:$AU$38,28,0)</f>
        <v>0</v>
      </c>
      <c r="V10" s="36">
        <f>VLOOKUP($A10,[24]HISTOJUIL24!$A$6:$AU$38,19,0)</f>
        <v>0</v>
      </c>
      <c r="W10" s="36">
        <f>VLOOKUP($A10,[24]HISTOJUIL24!$A$6:$AU$38,20,0)</f>
        <v>0</v>
      </c>
      <c r="X10" s="36">
        <f>VLOOKUP($A10,[24]HISTOJUIL24!$A$6:$AU$38,27,0)</f>
        <v>0</v>
      </c>
      <c r="Y10" s="36">
        <f>VLOOKUP($A10,[24]HISTOJUIL24!$A$6:$BM$38,33,0)</f>
        <v>0</v>
      </c>
      <c r="Z10" s="36">
        <f>VLOOKUP($A10,[24]HISTOJUIL24!$A$6:$BM$38,65,0)</f>
        <v>0</v>
      </c>
      <c r="AA10" s="36"/>
      <c r="AB10" s="36">
        <f>VLOOKUP($A10,[24]HISTOJUIL24!$A$6:$AU$38,43,0)</f>
        <v>0</v>
      </c>
      <c r="AC10" s="36">
        <f>VLOOKUP($A10,[24]HISTOJUIL24!$A$6:$AU$38,44,0)</f>
        <v>0</v>
      </c>
      <c r="AD10" s="36">
        <f>VLOOKUP($A10,[24]HISTOJUIL24!$A$6:$AU$38,47,0)</f>
        <v>0</v>
      </c>
      <c r="AE10" s="36">
        <f>VLOOKUP(A10,[24]HISTOJUIL24!$A$6:$BB$38,54,0)</f>
        <v>0</v>
      </c>
      <c r="AF10" s="36">
        <f>VLOOKUP($A10,[24]HISTOJUIL24!$A$6:$CB$38,60,0)</f>
        <v>0</v>
      </c>
      <c r="AG10" s="36">
        <f>VLOOKUP($A10,[24]HISTOJUIL24!$A$6:$CB$38,61,0)</f>
        <v>0</v>
      </c>
      <c r="AH10" s="36">
        <f>VLOOKUP($A10,[24]HISTOJUIL24!$A$6:$CB$38,62,0)</f>
        <v>0</v>
      </c>
      <c r="AI10" s="36">
        <f>VLOOKUP($A10,[24]HISTOJUIL24!$A$6:$CB$38,63,0)</f>
        <v>0</v>
      </c>
      <c r="AJ10" s="36">
        <f>VLOOKUP($A10,[24]HISTOJUIL24!$A$6:$CB$38,64,0)</f>
        <v>0</v>
      </c>
      <c r="AK10" s="36">
        <f>VLOOKUP($A10,[24]HISTOJUIL24!$A$6:$CB$38,65,0)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VLOOKUP($A11,[24]HISTOJUIL24!$A$6:$BA$38,48,0)</f>
        <v>0</v>
      </c>
      <c r="F11" s="36">
        <f>MVTJUIN24!I11-E11+L11</f>
        <v>907764.88188133587</v>
      </c>
      <c r="G11" s="5">
        <f>IF(MVTJUIN24!I11+L11&gt;700000,(MVTJUIN24!I11-E11+L11),0)</f>
        <v>907764.88188133587</v>
      </c>
      <c r="H11" s="36">
        <f t="shared" si="0"/>
        <v>3771.9447089708442</v>
      </c>
      <c r="I11" s="6">
        <f t="shared" si="2"/>
        <v>911536.82659030671</v>
      </c>
      <c r="J11" s="36">
        <f>VLOOKUP($A11,[24]HISTOJUIL24!$A$6:$AQ$42,22,0)</f>
        <v>0</v>
      </c>
      <c r="K11" s="36">
        <f>VLOOKUP($A11,[24]HISTOJUIL24!$A$6:$AU$38,45,0)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VLOOKUP($A11,[24]HISTOJUIL24!$A$6:$AU$38,7,0)</f>
        <v>3000</v>
      </c>
      <c r="Q11" s="36">
        <f>VLOOKUP($A11,[24]HISTOJUIL24!$A$6:$AU$38,23,0)</f>
        <v>0</v>
      </c>
      <c r="R11" s="36">
        <f>VLOOKUP($A11,[24]HISTOJUIL24!$A$6:$AU$38,46,0)</f>
        <v>0</v>
      </c>
      <c r="S11" s="36">
        <f>VLOOKUP($A11,[24]HISTOJUIL24!$A$6:$AU$38,26,0)</f>
        <v>0</v>
      </c>
      <c r="T11" s="36">
        <f>VLOOKUP($A11,[24]HISTOJUIL24!$A$6:$BG$38,58,0)</f>
        <v>0</v>
      </c>
      <c r="U11" s="36">
        <f>VLOOKUP($A11,[24]HISTOJUIL24!$A$6:$AU$38,28,0)</f>
        <v>0</v>
      </c>
      <c r="V11" s="36">
        <f>VLOOKUP($A11,[24]HISTOJUIL24!$A$6:$AU$38,19,0)</f>
        <v>0</v>
      </c>
      <c r="W11" s="36">
        <f>VLOOKUP($A11,[24]HISTOJUIL24!$A$6:$AU$38,20,0)</f>
        <v>0</v>
      </c>
      <c r="X11" s="36">
        <f>VLOOKUP($A11,[24]HISTOJUIL24!$A$6:$AU$38,27,0)</f>
        <v>0</v>
      </c>
      <c r="Y11" s="36">
        <f>VLOOKUP($A11,[24]HISTOJUIL24!$A$6:$BM$38,33,0)</f>
        <v>0</v>
      </c>
      <c r="Z11" s="36">
        <f>VLOOKUP($A11,[24]HISTOJUIL24!$A$6:$BM$38,65,0)</f>
        <v>0</v>
      </c>
      <c r="AA11" s="36"/>
      <c r="AB11" s="36">
        <f>VLOOKUP($A11,[24]HISTOJUIL24!$A$6:$AU$38,43,0)</f>
        <v>0</v>
      </c>
      <c r="AC11" s="36">
        <f>VLOOKUP($A11,[24]HISTOJUIL24!$A$6:$AU$38,44,0)</f>
        <v>0</v>
      </c>
      <c r="AD11" s="36">
        <f>VLOOKUP($A11,[24]HISTOJUIL24!$A$6:$AU$38,47,0)</f>
        <v>0</v>
      </c>
      <c r="AE11" s="36">
        <f>VLOOKUP(A11,[24]HISTOJUIL24!$A$6:$BB$38,54,0)</f>
        <v>0</v>
      </c>
      <c r="AF11" s="36">
        <f>VLOOKUP($A11,[24]HISTOJUIL24!$A$6:$CB$38,60,0)</f>
        <v>0</v>
      </c>
      <c r="AG11" s="36">
        <f>VLOOKUP($A11,[24]HISTOJUIL24!$A$6:$CB$38,61,0)</f>
        <v>0</v>
      </c>
      <c r="AH11" s="36">
        <f>VLOOKUP($A11,[24]HISTOJUIL24!$A$6:$CB$38,62,0)</f>
        <v>0</v>
      </c>
      <c r="AI11" s="36">
        <f>VLOOKUP($A11,[24]HISTOJUIL24!$A$6:$CB$38,63,0)</f>
        <v>0</v>
      </c>
      <c r="AJ11" s="36">
        <f>VLOOKUP($A11,[24]HISTOJUIL24!$A$6:$CB$38,64,0)</f>
        <v>0</v>
      </c>
      <c r="AK11" s="36">
        <f>VLOOKUP($A11,[24]HISTOJUIL24!$A$6:$CB$38,65,0)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VLOOKUP($A12,[24]HISTOJUIL24!$A$6:$BA$38,48,0)</f>
        <v>0</v>
      </c>
      <c r="F12" s="36">
        <f>MVTJUIN24!I12-E12+L12</f>
        <v>941763.86200978281</v>
      </c>
      <c r="G12" s="5">
        <f>IF(MVTJUIN24!I12+L12&gt;700000,(MVTJUIN24!I12-E12+L12),0)</f>
        <v>941763.86200978281</v>
      </c>
      <c r="H12" s="36">
        <f t="shared" si="0"/>
        <v>3913.2172738888867</v>
      </c>
      <c r="I12" s="6">
        <f t="shared" si="2"/>
        <v>945677.07928367169</v>
      </c>
      <c r="J12" s="36">
        <f>VLOOKUP($A12,[24]HISTOJUIL24!$A$6:$AQ$42,22,0)</f>
        <v>0</v>
      </c>
      <c r="K12" s="36">
        <f>VLOOKUP($A12,[24]HISTOJUIL24!$A$6:$AU$38,45,0)</f>
        <v>31600</v>
      </c>
      <c r="L12" s="36">
        <f t="shared" si="3"/>
        <v>25600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VLOOKUP($A12,[24]HISTOJUIL24!$A$6:$AU$38,7,0)</f>
        <v>0</v>
      </c>
      <c r="Q12" s="36">
        <f>VLOOKUP($A12,[24]HISTOJUIL24!$A$6:$AU$38,23,0)</f>
        <v>0</v>
      </c>
      <c r="R12" s="36">
        <f>VLOOKUP($A12,[24]HISTOJUIL24!$A$6:$AU$38,46,0)</f>
        <v>0</v>
      </c>
      <c r="S12" s="36">
        <f>VLOOKUP($A12,[24]HISTOJUIL24!$A$6:$AU$38,26,0)</f>
        <v>0</v>
      </c>
      <c r="T12" s="36">
        <f>VLOOKUP($A12,[24]HISTOJUIL24!$A$6:$BG$38,58,0)</f>
        <v>8400</v>
      </c>
      <c r="U12" s="36">
        <f>VLOOKUP($A12,[24]HISTOJUIL24!$A$6:$AU$38,28,0)</f>
        <v>0</v>
      </c>
      <c r="V12" s="36">
        <f>VLOOKUP($A12,[24]HISTOJUIL24!$A$6:$AU$38,19,0)</f>
        <v>0</v>
      </c>
      <c r="W12" s="36">
        <f>VLOOKUP($A12,[24]HISTOJUIL24!$A$6:$AU$38,20,0)</f>
        <v>0</v>
      </c>
      <c r="X12" s="36">
        <f>VLOOKUP($A12,[24]HISTOJUIL24!$A$6:$AU$38,27,0)</f>
        <v>0</v>
      </c>
      <c r="Y12" s="36">
        <f>VLOOKUP($A12,[24]HISTOJUIL24!$A$6:$BM$38,33,0)</f>
        <v>0</v>
      </c>
      <c r="Z12" s="36">
        <f>VLOOKUP($A12,[24]HISTOJUIL24!$A$6:$BM$38,65,0)</f>
        <v>0</v>
      </c>
      <c r="AA12" s="36"/>
      <c r="AB12" s="36">
        <f>VLOOKUP($A12,[24]HISTOJUIL24!$A$6:$AU$38,43,0)</f>
        <v>0</v>
      </c>
      <c r="AC12" s="36">
        <f>VLOOKUP($A12,[24]HISTOJUIL24!$A$6:$AU$38,44,0)</f>
        <v>0</v>
      </c>
      <c r="AD12" s="36">
        <f>VLOOKUP($A12,[24]HISTOJUIL24!$A$6:$AU$38,47,0)</f>
        <v>0</v>
      </c>
      <c r="AE12" s="36">
        <f>VLOOKUP(A12,[24]HISTOJUIL24!$A$6:$BB$38,54,0)</f>
        <v>0</v>
      </c>
      <c r="AF12" s="36">
        <f>VLOOKUP($A12,[24]HISTOJUIL24!$A$6:$CB$38,60,0)</f>
        <v>0</v>
      </c>
      <c r="AG12" s="36">
        <f>VLOOKUP($A12,[24]HISTOJUIL24!$A$6:$CB$38,61,0)</f>
        <v>0</v>
      </c>
      <c r="AH12" s="36">
        <f>VLOOKUP($A12,[24]HISTOJUIL24!$A$6:$CB$38,62,0)</f>
        <v>0</v>
      </c>
      <c r="AI12" s="36">
        <f>VLOOKUP($A12,[24]HISTOJUIL24!$A$6:$CB$38,63,0)</f>
        <v>0</v>
      </c>
      <c r="AJ12" s="36">
        <f>VLOOKUP($A12,[24]HISTOJUIL24!$A$6:$CB$38,64,0)</f>
        <v>0</v>
      </c>
      <c r="AK12" s="36">
        <f>VLOOKUP($A12,[24]HISTOJUIL24!$A$6:$CB$38,65,0)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VLOOKUP($A13,[24]HISTOJUIL24!$A$6:$BA$38,48,0)</f>
        <v>0</v>
      </c>
      <c r="F13" s="36">
        <f>MVTJUIN24!I13-E13+L13</f>
        <v>885331.86340187909</v>
      </c>
      <c r="G13" s="5">
        <f>IF(MVTJUIN24!I13+L13&gt;700000,(MVTJUIN24!I13-E13+L13),0)</f>
        <v>885331.86340187909</v>
      </c>
      <c r="H13" s="36">
        <f t="shared" si="0"/>
        <v>3678.731028811213</v>
      </c>
      <c r="I13" s="6">
        <f t="shared" si="2"/>
        <v>889010.59443069028</v>
      </c>
      <c r="J13" s="36">
        <f>VLOOKUP($A13,[24]HISTOJUIL24!$A$6:$AQ$42,22,0)</f>
        <v>0</v>
      </c>
      <c r="K13" s="36">
        <f>VLOOKUP($A13,[24]HISTOJUIL24!$A$6:$AU$38,45,0)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VLOOKUP($A13,[24]HISTOJUIL24!$A$6:$AU$38,7,0)</f>
        <v>0</v>
      </c>
      <c r="Q13" s="36">
        <f>VLOOKUP($A13,[24]HISTOJUIL24!$A$6:$AU$38,23,0)</f>
        <v>0</v>
      </c>
      <c r="R13" s="36">
        <f>VLOOKUP($A13,[24]HISTOJUIL24!$A$6:$AU$38,46,0)</f>
        <v>0</v>
      </c>
      <c r="S13" s="36">
        <f>VLOOKUP($A13,[24]HISTOJUIL24!$A$6:$AU$38,26,0)</f>
        <v>0</v>
      </c>
      <c r="T13" s="36">
        <f>VLOOKUP($A13,[24]HISTOJUIL24!$A$6:$BG$38,58,0)</f>
        <v>0</v>
      </c>
      <c r="U13" s="36">
        <f>VLOOKUP($A13,[24]HISTOJUIL24!$A$6:$AU$38,28,0)</f>
        <v>0</v>
      </c>
      <c r="V13" s="36">
        <f>VLOOKUP($A13,[24]HISTOJUIL24!$A$6:$AU$38,19,0)</f>
        <v>0</v>
      </c>
      <c r="W13" s="36">
        <f>VLOOKUP($A13,[24]HISTOJUIL24!$A$6:$AU$38,20,0)</f>
        <v>0</v>
      </c>
      <c r="X13" s="36">
        <f>VLOOKUP($A13,[24]HISTOJUIL24!$A$6:$AU$38,27,0)</f>
        <v>0</v>
      </c>
      <c r="Y13" s="36">
        <f>VLOOKUP($A13,[24]HISTOJUIL24!$A$6:$BM$38,33,0)</f>
        <v>0</v>
      </c>
      <c r="Z13" s="36">
        <f>VLOOKUP($A13,[24]HISTOJUIL24!$A$6:$BM$38,65,0)</f>
        <v>0</v>
      </c>
      <c r="AA13" s="36"/>
      <c r="AB13" s="36">
        <f>VLOOKUP($A13,[24]HISTOJUIL24!$A$6:$AU$38,43,0)</f>
        <v>0</v>
      </c>
      <c r="AC13" s="36">
        <f>VLOOKUP($A13,[24]HISTOJUIL24!$A$6:$AU$38,44,0)</f>
        <v>0</v>
      </c>
      <c r="AD13" s="36">
        <f>VLOOKUP($A13,[24]HISTOJUIL24!$A$6:$AU$38,47,0)</f>
        <v>0</v>
      </c>
      <c r="AE13" s="36">
        <f>VLOOKUP(A13,[24]HISTOJUIL24!$A$6:$BB$38,54,0)</f>
        <v>0</v>
      </c>
      <c r="AF13" s="36">
        <f>VLOOKUP($A13,[24]HISTOJUIL24!$A$6:$CB$38,60,0)</f>
        <v>0</v>
      </c>
      <c r="AG13" s="36">
        <f>VLOOKUP($A13,[24]HISTOJUIL24!$A$6:$CB$38,61,0)</f>
        <v>0</v>
      </c>
      <c r="AH13" s="36">
        <f>VLOOKUP($A13,[24]HISTOJUIL24!$A$6:$CB$38,62,0)</f>
        <v>0</v>
      </c>
      <c r="AI13" s="36">
        <f>VLOOKUP($A13,[24]HISTOJUIL24!$A$6:$CB$38,63,0)</f>
        <v>0</v>
      </c>
      <c r="AJ13" s="36">
        <f>VLOOKUP($A13,[24]HISTOJUIL24!$A$6:$CB$38,64,0)</f>
        <v>0</v>
      </c>
      <c r="AK13" s="36">
        <f>VLOOKUP($A13,[24]HISTOJUIL24!$A$6:$CB$38,65,0)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VLOOKUP($A14,[24]HISTOJUIL24!$A$6:$BA$38,48,0)</f>
        <v>0</v>
      </c>
      <c r="F14" s="36">
        <f>MVTJUIN24!I14-E14+L14</f>
        <v>1441208.7714340563</v>
      </c>
      <c r="G14" s="5">
        <f>IF(MVTJUIN24!I14+L14&gt;700000,(MVTJUIN24!I14-E14+L14),0)</f>
        <v>1441208.7714340563</v>
      </c>
      <c r="H14" s="36">
        <f t="shared" si="0"/>
        <v>5988.5108010200383</v>
      </c>
      <c r="I14" s="6">
        <f t="shared" si="2"/>
        <v>1447197.2822350764</v>
      </c>
      <c r="J14" s="36">
        <f>VLOOKUP($A14,[24]HISTOJUIL24!$A$6:$AQ$42,22,0)</f>
        <v>0</v>
      </c>
      <c r="K14" s="36">
        <f>VLOOKUP($A14,[24]HISTOJUIL24!$A$6:$AU$38,45,0)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VLOOKUP($A14,[24]HISTOJUIL24!$A$6:$AU$38,7,0)</f>
        <v>0</v>
      </c>
      <c r="Q14" s="36">
        <f>VLOOKUP($A14,[24]HISTOJUIL24!$A$6:$AU$38,23,0)</f>
        <v>0</v>
      </c>
      <c r="R14" s="36">
        <f>VLOOKUP($A14,[24]HISTOJUIL24!$A$6:$AU$38,46,0)</f>
        <v>0</v>
      </c>
      <c r="S14" s="36">
        <f>VLOOKUP($A14,[24]HISTOJUIL24!$A$6:$AU$38,26,0)</f>
        <v>0</v>
      </c>
      <c r="T14" s="36">
        <f>VLOOKUP($A14,[24]HISTOJUIL24!$A$6:$BG$38,58,0)</f>
        <v>0</v>
      </c>
      <c r="U14" s="36">
        <f>VLOOKUP($A14,[24]HISTOJUIL24!$A$6:$AU$38,28,0)</f>
        <v>0</v>
      </c>
      <c r="V14" s="36">
        <f>VLOOKUP($A14,[24]HISTOJUIL24!$A$6:$AU$38,19,0)</f>
        <v>0</v>
      </c>
      <c r="W14" s="36">
        <f>VLOOKUP($A14,[24]HISTOJUIL24!$A$6:$AU$38,20,0)</f>
        <v>0</v>
      </c>
      <c r="X14" s="36">
        <f>VLOOKUP($A14,[24]HISTOJUIL24!$A$6:$AU$38,27,0)</f>
        <v>0</v>
      </c>
      <c r="Y14" s="36">
        <f>VLOOKUP($A14,[24]HISTOJUIL24!$A$6:$BM$38,33,0)</f>
        <v>0</v>
      </c>
      <c r="Z14" s="36">
        <f>VLOOKUP($A14,[24]HISTOJUIL24!$A$6:$BM$38,65,0)</f>
        <v>0</v>
      </c>
      <c r="AA14" s="36"/>
      <c r="AB14" s="36">
        <f>VLOOKUP($A14,[24]HISTOJUIL24!$A$6:$AU$38,43,0)</f>
        <v>0</v>
      </c>
      <c r="AC14" s="36">
        <f>VLOOKUP($A14,[24]HISTOJUIL24!$A$6:$AU$38,44,0)</f>
        <v>0</v>
      </c>
      <c r="AD14" s="36">
        <f>VLOOKUP($A14,[24]HISTOJUIL24!$A$6:$AU$38,47,0)</f>
        <v>0</v>
      </c>
      <c r="AE14" s="36">
        <f>VLOOKUP(A14,[24]HISTOJUIL24!$A$6:$BB$38,54,0)</f>
        <v>0</v>
      </c>
      <c r="AF14" s="36">
        <f>VLOOKUP($A14,[24]HISTOJUIL24!$A$6:$CB$38,60,0)</f>
        <v>0</v>
      </c>
      <c r="AG14" s="36">
        <f>VLOOKUP($A14,[24]HISTOJUIL24!$A$6:$CB$38,61,0)</f>
        <v>0</v>
      </c>
      <c r="AH14" s="36">
        <f>VLOOKUP($A14,[24]HISTOJUIL24!$A$6:$CB$38,62,0)</f>
        <v>0</v>
      </c>
      <c r="AI14" s="36">
        <f>VLOOKUP($A14,[24]HISTOJUIL24!$A$6:$CB$38,63,0)</f>
        <v>0</v>
      </c>
      <c r="AJ14" s="36">
        <f>VLOOKUP($A14,[24]HISTOJUIL24!$A$6:$CB$38,64,0)</f>
        <v>0</v>
      </c>
      <c r="AK14" s="36">
        <f>VLOOKUP($A14,[24]HISTOJUIL24!$A$6:$CB$38,65,0)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VLOOKUP($A15,[24]HISTOJUIL24!$A$6:$BA$38,48,0)</f>
        <v>0</v>
      </c>
      <c r="F15" s="36">
        <f>MVTJUIN24!I15-E15+L15</f>
        <v>947422.11053029553</v>
      </c>
      <c r="G15" s="5">
        <f>IF(MVTJUIN24!I15+L15&gt;700000,(MVTJUIN24!I15-E15+L15),0)</f>
        <v>947422.11053029553</v>
      </c>
      <c r="H15" s="36">
        <f t="shared" si="0"/>
        <v>3936.7284285887222</v>
      </c>
      <c r="I15" s="6">
        <f t="shared" si="2"/>
        <v>951358.83895888424</v>
      </c>
      <c r="J15" s="36">
        <f>VLOOKUP($A15,[24]HISTOJUIL24!$A$6:$AQ$42,22,0)</f>
        <v>0</v>
      </c>
      <c r="K15" s="36">
        <f>VLOOKUP($A15,[24]HISTOJUIL24!$A$6:$AU$38,45,0)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VLOOKUP($A15,[24]HISTOJUIL24!$A$6:$AU$38,7,0)</f>
        <v>0</v>
      </c>
      <c r="Q15" s="36">
        <f>VLOOKUP($A15,[24]HISTOJUIL24!$A$6:$AU$38,23,0)</f>
        <v>0</v>
      </c>
      <c r="R15" s="36">
        <f>VLOOKUP($A15,[24]HISTOJUIL24!$A$6:$AU$38,46,0)</f>
        <v>0</v>
      </c>
      <c r="S15" s="36">
        <f>VLOOKUP($A15,[24]HISTOJUIL24!$A$6:$AU$38,26,0)</f>
        <v>0</v>
      </c>
      <c r="T15" s="36">
        <f>VLOOKUP($A15,[24]HISTOJUIL24!$A$6:$BG$38,58,0)</f>
        <v>0</v>
      </c>
      <c r="U15" s="36">
        <f>VLOOKUP($A15,[24]HISTOJUIL24!$A$6:$AU$38,28,0)</f>
        <v>0</v>
      </c>
      <c r="V15" s="36">
        <f>VLOOKUP($A15,[24]HISTOJUIL24!$A$6:$AU$38,19,0)</f>
        <v>0</v>
      </c>
      <c r="W15" s="36">
        <f>VLOOKUP($A15,[24]HISTOJUIL24!$A$6:$AU$38,20,0)</f>
        <v>0</v>
      </c>
      <c r="X15" s="36">
        <f>VLOOKUP($A15,[24]HISTOJUIL24!$A$6:$AU$38,27,0)</f>
        <v>0</v>
      </c>
      <c r="Y15" s="36">
        <f>VLOOKUP($A15,[24]HISTOJUIL24!$A$6:$BM$38,33,0)</f>
        <v>0</v>
      </c>
      <c r="Z15" s="36">
        <f>VLOOKUP($A15,[24]HISTOJUIL24!$A$6:$BM$38,65,0)</f>
        <v>0</v>
      </c>
      <c r="AA15" s="36"/>
      <c r="AB15" s="36">
        <f>VLOOKUP($A15,[24]HISTOJUIL24!$A$6:$AU$38,43,0)</f>
        <v>0</v>
      </c>
      <c r="AC15" s="36">
        <f>VLOOKUP($A15,[24]HISTOJUIL24!$A$6:$AU$38,44,0)</f>
        <v>0</v>
      </c>
      <c r="AD15" s="36">
        <f>VLOOKUP($A15,[24]HISTOJUIL24!$A$6:$AU$38,47,0)</f>
        <v>0</v>
      </c>
      <c r="AE15" s="36">
        <f>VLOOKUP(A15,[24]HISTOJUIL24!$A$6:$BB$38,54,0)</f>
        <v>0</v>
      </c>
      <c r="AF15" s="36">
        <f>VLOOKUP($A15,[24]HISTOJUIL24!$A$6:$CB$38,60,0)</f>
        <v>0</v>
      </c>
      <c r="AG15" s="36">
        <f>VLOOKUP($A15,[24]HISTOJUIL24!$A$6:$CB$38,61,0)</f>
        <v>0</v>
      </c>
      <c r="AH15" s="36">
        <f>VLOOKUP($A15,[24]HISTOJUIL24!$A$6:$CB$38,62,0)</f>
        <v>0</v>
      </c>
      <c r="AI15" s="36">
        <f>VLOOKUP($A15,[24]HISTOJUIL24!$A$6:$CB$38,63,0)</f>
        <v>0</v>
      </c>
      <c r="AJ15" s="36">
        <f>VLOOKUP($A15,[24]HISTOJUIL24!$A$6:$CB$38,64,0)</f>
        <v>0</v>
      </c>
      <c r="AK15" s="36">
        <f>VLOOKUP($A15,[24]HISTOJUIL24!$A$6:$CB$38,65,0)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VLOOKUP($A16,[24]HISTOJUIL24!$A$6:$BA$38,48,0)</f>
        <v>0</v>
      </c>
      <c r="F16" s="36">
        <f>MVTJUIN24!I16-E16+L16</f>
        <v>1144122.8410238593</v>
      </c>
      <c r="G16" s="5">
        <f>IF(MVTJUIN24!I16+L16&gt;700000,(MVTJUIN24!I16-E16+L16),0)</f>
        <v>1144122.8410238593</v>
      </c>
      <c r="H16" s="36">
        <f t="shared" si="0"/>
        <v>4754.0593194888243</v>
      </c>
      <c r="I16" s="6">
        <f t="shared" si="2"/>
        <v>1148876.9003433483</v>
      </c>
      <c r="J16" s="36">
        <f>VLOOKUP($A16,[24]HISTOJUIL24!$A$6:$AQ$42,22,0)</f>
        <v>0</v>
      </c>
      <c r="K16" s="36">
        <f>VLOOKUP($A16,[24]HISTOJUIL24!$A$6:$AU$38,45,0)</f>
        <v>40000</v>
      </c>
      <c r="L16" s="36">
        <f t="shared" si="3"/>
        <v>34000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VLOOKUP($A16,[24]HISTOJUIL24!$A$6:$AU$38,7,0)</f>
        <v>0</v>
      </c>
      <c r="Q16" s="36">
        <f>VLOOKUP($A16,[24]HISTOJUIL24!$A$6:$AU$38,23,0)</f>
        <v>0</v>
      </c>
      <c r="R16" s="36">
        <f>VLOOKUP($A16,[24]HISTOJUIL24!$A$6:$AU$38,46,0)</f>
        <v>0</v>
      </c>
      <c r="S16" s="36">
        <f>VLOOKUP($A16,[24]HISTOJUIL24!$A$6:$AU$38,26,0)</f>
        <v>0</v>
      </c>
      <c r="T16" s="36">
        <f>VLOOKUP($A16,[24]HISTOJUIL24!$A$6:$BG$38,58,0)</f>
        <v>0</v>
      </c>
      <c r="U16" s="36">
        <f>VLOOKUP($A16,[24]HISTOJUIL24!$A$6:$AU$38,28,0)</f>
        <v>0</v>
      </c>
      <c r="V16" s="36">
        <f>VLOOKUP($A16,[24]HISTOJUIL24!$A$6:$AU$38,19,0)</f>
        <v>238500</v>
      </c>
      <c r="W16" s="36">
        <f>VLOOKUP($A16,[24]HISTOJUIL24!$A$6:$AU$38,20,0)</f>
        <v>0</v>
      </c>
      <c r="X16" s="36">
        <f>VLOOKUP($A16,[24]HISTOJUIL24!$A$6:$AU$38,27,0)</f>
        <v>0</v>
      </c>
      <c r="Y16" s="36">
        <f>VLOOKUP($A16,[24]HISTOJUIL24!$A$6:$BM$38,33,0)</f>
        <v>0</v>
      </c>
      <c r="Z16" s="36">
        <f>VLOOKUP($A16,[24]HISTOJUIL24!$A$6:$BM$38,65,0)</f>
        <v>0</v>
      </c>
      <c r="AA16" s="36"/>
      <c r="AB16" s="36">
        <f>VLOOKUP($A16,[24]HISTOJUIL24!$A$6:$AU$38,43,0)</f>
        <v>0</v>
      </c>
      <c r="AC16" s="36">
        <f>VLOOKUP($A16,[24]HISTOJUIL24!$A$6:$AU$38,44,0)</f>
        <v>0</v>
      </c>
      <c r="AD16" s="36">
        <f>VLOOKUP($A16,[24]HISTOJUIL24!$A$6:$AU$38,47,0)</f>
        <v>0</v>
      </c>
      <c r="AE16" s="36">
        <f>VLOOKUP(A16,[24]HISTOJUIL24!$A$6:$BB$38,54,0)</f>
        <v>0</v>
      </c>
      <c r="AF16" s="36">
        <f>VLOOKUP($A16,[24]HISTOJUIL24!$A$6:$CB$38,60,0)</f>
        <v>0</v>
      </c>
      <c r="AG16" s="36">
        <f>VLOOKUP($A16,[24]HISTOJUIL24!$A$6:$CB$38,61,0)</f>
        <v>0</v>
      </c>
      <c r="AH16" s="36">
        <f>VLOOKUP($A16,[24]HISTOJUIL24!$A$6:$CB$38,62,0)</f>
        <v>0</v>
      </c>
      <c r="AI16" s="36">
        <f>VLOOKUP($A16,[24]HISTOJUIL24!$A$6:$CB$38,63,0)</f>
        <v>0</v>
      </c>
      <c r="AJ16" s="36">
        <f>VLOOKUP($A16,[24]HISTOJUIL24!$A$6:$CB$38,64,0)</f>
        <v>0</v>
      </c>
      <c r="AK16" s="36">
        <f>VLOOKUP($A16,[24]HISTOJUIL24!$A$6:$CB$38,65,0)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VLOOKUP($A17,[24]HISTOJUIL24!$A$6:$BA$38,48,0)</f>
        <v>0</v>
      </c>
      <c r="F17" s="36">
        <f>MVTJUIN24!I17-E17+L17</f>
        <v>895734.84589369607</v>
      </c>
      <c r="G17" s="5">
        <f>IF(MVTJUIN24!I17+L17&gt;700000,(MVTJUIN24!I17-E17+L17),0)</f>
        <v>895734.84589369607</v>
      </c>
      <c r="H17" s="36">
        <f t="shared" si="0"/>
        <v>3721.9575024837809</v>
      </c>
      <c r="I17" s="6">
        <f t="shared" si="2"/>
        <v>899456.80339617981</v>
      </c>
      <c r="J17" s="36">
        <f>VLOOKUP($A17,[24]HISTOJUIL24!$A$6:$AQ$42,22,0)</f>
        <v>0</v>
      </c>
      <c r="K17" s="36">
        <f>VLOOKUP($A17,[24]HISTOJUIL24!$A$6:$AU$38,45,0)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VLOOKUP($A17,[24]HISTOJUIL24!$A$6:$AU$38,7,0)</f>
        <v>3000</v>
      </c>
      <c r="Q17" s="36">
        <f>VLOOKUP($A17,[24]HISTOJUIL24!$A$6:$AU$38,23,0)</f>
        <v>0</v>
      </c>
      <c r="R17" s="36">
        <f>VLOOKUP($A17,[24]HISTOJUIL24!$A$6:$AU$38,46,0)</f>
        <v>0</v>
      </c>
      <c r="S17" s="36">
        <f>VLOOKUP($A17,[24]HISTOJUIL24!$A$6:$AU$38,26,0)</f>
        <v>0</v>
      </c>
      <c r="T17" s="36">
        <f>VLOOKUP($A17,[24]HISTOJUIL24!$A$6:$BG$38,58,0)</f>
        <v>0</v>
      </c>
      <c r="U17" s="36">
        <f>VLOOKUP($A17,[24]HISTOJUIL24!$A$6:$AU$38,28,0)</f>
        <v>0</v>
      </c>
      <c r="V17" s="36">
        <f>VLOOKUP($A17,[24]HISTOJUIL24!$A$6:$AU$38,19,0)</f>
        <v>0</v>
      </c>
      <c r="W17" s="36">
        <f>VLOOKUP($A17,[24]HISTOJUIL24!$A$6:$AU$38,20,0)</f>
        <v>0</v>
      </c>
      <c r="X17" s="36">
        <f>VLOOKUP($A17,[24]HISTOJUIL24!$A$6:$AU$38,27,0)</f>
        <v>0</v>
      </c>
      <c r="Y17" s="36">
        <f>VLOOKUP($A17,[24]HISTOJUIL24!$A$6:$BM$38,33,0)</f>
        <v>0</v>
      </c>
      <c r="Z17" s="36">
        <f>VLOOKUP($A17,[24]HISTOJUIL24!$A$6:$BM$38,65,0)</f>
        <v>0</v>
      </c>
      <c r="AA17" s="36"/>
      <c r="AB17" s="36">
        <f>VLOOKUP($A17,[24]HISTOJUIL24!$A$6:$AU$38,43,0)</f>
        <v>0</v>
      </c>
      <c r="AC17" s="36">
        <f>VLOOKUP($A17,[24]HISTOJUIL24!$A$6:$AU$38,44,0)</f>
        <v>0</v>
      </c>
      <c r="AD17" s="36">
        <f>VLOOKUP($A17,[24]HISTOJUIL24!$A$6:$AU$38,47,0)</f>
        <v>0</v>
      </c>
      <c r="AE17" s="36">
        <f>VLOOKUP(A17,[24]HISTOJUIL24!$A$6:$BB$38,54,0)</f>
        <v>0</v>
      </c>
      <c r="AF17" s="36">
        <f>VLOOKUP($A17,[24]HISTOJUIL24!$A$6:$CB$38,60,0)</f>
        <v>0</v>
      </c>
      <c r="AG17" s="36">
        <f>VLOOKUP($A17,[24]HISTOJUIL24!$A$6:$CB$38,61,0)</f>
        <v>0</v>
      </c>
      <c r="AH17" s="36">
        <f>VLOOKUP($A17,[24]HISTOJUIL24!$A$6:$CB$38,62,0)</f>
        <v>0</v>
      </c>
      <c r="AI17" s="36">
        <f>VLOOKUP($A17,[24]HISTOJUIL24!$A$6:$CB$38,63,0)</f>
        <v>0</v>
      </c>
      <c r="AJ17" s="36">
        <f>VLOOKUP($A17,[24]HISTOJUIL24!$A$6:$CB$38,64,0)</f>
        <v>0</v>
      </c>
      <c r="AK17" s="36">
        <f>VLOOKUP($A17,[24]HISTOJUIL24!$A$6:$CB$38,65,0)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VLOOKUP($A18,[24]HISTOJUIL24!$A$6:$BA$38,48,0)</f>
        <v>0</v>
      </c>
      <c r="F18" s="36">
        <f>MVTJUIN24!I18-E18+L18</f>
        <v>971888.60120866739</v>
      </c>
      <c r="G18" s="5">
        <f>IF(MVTJUIN24!I18+L18&gt;700000,(MVTJUIN24!I18-E18+L18),0)</f>
        <v>971888.60120866739</v>
      </c>
      <c r="H18" s="36">
        <f t="shared" si="0"/>
        <v>4038.3915925900733</v>
      </c>
      <c r="I18" s="6">
        <f t="shared" si="2"/>
        <v>975926.99280125741</v>
      </c>
      <c r="J18" s="36">
        <f>VLOOKUP($A18,[24]HISTOJUIL24!$A$6:$AQ$42,22,0)</f>
        <v>0</v>
      </c>
      <c r="K18" s="36">
        <f>VLOOKUP($A18,[24]HISTOJUIL24!$A$6:$AU$38,45,0)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VLOOKUP($A18,[24]HISTOJUIL24!$A$6:$AU$38,7,0)</f>
        <v>0</v>
      </c>
      <c r="Q18" s="36">
        <f>VLOOKUP($A18,[24]HISTOJUIL24!$A$6:$AU$38,23,0)</f>
        <v>0</v>
      </c>
      <c r="R18" s="36">
        <f>VLOOKUP($A18,[24]HISTOJUIL24!$A$6:$AU$38,46,0)</f>
        <v>0</v>
      </c>
      <c r="S18" s="36">
        <f>VLOOKUP($A18,[24]HISTOJUIL24!$A$6:$AU$38,26,0)</f>
        <v>0</v>
      </c>
      <c r="T18" s="36">
        <f>VLOOKUP($A18,[24]HISTOJUIL24!$A$6:$BG$38,58,0)</f>
        <v>0</v>
      </c>
      <c r="U18" s="36">
        <f>VLOOKUP($A18,[24]HISTOJUIL24!$A$6:$AU$38,28,0)</f>
        <v>0</v>
      </c>
      <c r="V18" s="36">
        <f>VLOOKUP($A18,[24]HISTOJUIL24!$A$6:$AU$38,19,0)</f>
        <v>0</v>
      </c>
      <c r="W18" s="36">
        <f>VLOOKUP($A18,[24]HISTOJUIL24!$A$6:$AU$38,20,0)</f>
        <v>0</v>
      </c>
      <c r="X18" s="36">
        <f>VLOOKUP($A18,[24]HISTOJUIL24!$A$6:$AU$38,27,0)</f>
        <v>0</v>
      </c>
      <c r="Y18" s="36">
        <f>VLOOKUP($A18,[24]HISTOJUIL24!$A$6:$BM$38,33,0)</f>
        <v>0</v>
      </c>
      <c r="Z18" s="36">
        <f>VLOOKUP($A18,[24]HISTOJUIL24!$A$6:$BM$38,65,0)</f>
        <v>0</v>
      </c>
      <c r="AA18" s="36"/>
      <c r="AB18" s="36">
        <f>VLOOKUP($A18,[24]HISTOJUIL24!$A$6:$AU$38,43,0)</f>
        <v>0</v>
      </c>
      <c r="AC18" s="36">
        <f>VLOOKUP($A18,[24]HISTOJUIL24!$A$6:$AU$38,44,0)</f>
        <v>0</v>
      </c>
      <c r="AD18" s="36">
        <f>VLOOKUP($A18,[24]HISTOJUIL24!$A$6:$AU$38,47,0)</f>
        <v>0</v>
      </c>
      <c r="AE18" s="36">
        <f>VLOOKUP(A18,[24]HISTOJUIL24!$A$6:$BB$38,54,0)</f>
        <v>0</v>
      </c>
      <c r="AF18" s="36">
        <f>VLOOKUP($A18,[24]HISTOJUIL24!$A$6:$CB$38,60,0)</f>
        <v>0</v>
      </c>
      <c r="AG18" s="36">
        <f>VLOOKUP($A18,[24]HISTOJUIL24!$A$6:$CB$38,61,0)</f>
        <v>0</v>
      </c>
      <c r="AH18" s="36">
        <f>VLOOKUP($A18,[24]HISTOJUIL24!$A$6:$CB$38,62,0)</f>
        <v>0</v>
      </c>
      <c r="AI18" s="36">
        <f>VLOOKUP($A18,[24]HISTOJUIL24!$A$6:$CB$38,63,0)</f>
        <v>0</v>
      </c>
      <c r="AJ18" s="36">
        <f>VLOOKUP($A18,[24]HISTOJUIL24!$A$6:$CB$38,64,0)</f>
        <v>0</v>
      </c>
      <c r="AK18" s="36">
        <f>VLOOKUP($A18,[24]HISTOJUIL24!$A$6:$CB$38,65,0)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MVTJUIN24!I19-E19+L19</f>
        <v>676217</v>
      </c>
      <c r="G19" s="5">
        <f>IF(MVTJUIN24!I19+L19&gt;700000,(MVTJUIN24!I19-E19+L19),0)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MVTJUIN24!I20-E20+L20</f>
        <v>133000</v>
      </c>
      <c r="G20" s="5">
        <f>IF(MVTJUIN24!I20+L20&gt;700000,(MVTJUIN24!I20-E20+L20),0)</f>
        <v>0</v>
      </c>
      <c r="H20" s="36">
        <f t="shared" si="0"/>
        <v>0</v>
      </c>
      <c r="I20" s="6">
        <f t="shared" si="2"/>
        <v>133000</v>
      </c>
      <c r="J20" s="36">
        <f>VLOOKUP($A20,[24]HISTOJUIL24!$A$6:$AQ$42,22,0)</f>
        <v>0</v>
      </c>
      <c r="K20" s="36">
        <f>VLOOKUP($A20,[24]HISTOJUIL24!$A$6:$AU$38,45,0)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VLOOKUP($A20,[24]HISTOJUIL24!$A$6:$AU$38,7,0)</f>
        <v>0</v>
      </c>
      <c r="Q20" s="36">
        <f>VLOOKUP($A20,[24]HISTOJUIL24!$A$6:$AU$38,23,0)</f>
        <v>0</v>
      </c>
      <c r="R20" s="36">
        <f>VLOOKUP($A20,[24]HISTOJUIL24!$A$6:$AU$38,46,0)</f>
        <v>0</v>
      </c>
      <c r="S20" s="36">
        <f>VLOOKUP($A20,[24]HISTOJUIL24!$A$6:$AU$38,26,0)</f>
        <v>0</v>
      </c>
      <c r="T20" s="36">
        <f>VLOOKUP($A20,[24]HISTOJUIL24!$A$6:$BG$38,58,0)</f>
        <v>0</v>
      </c>
      <c r="U20" s="36">
        <f>VLOOKUP($A20,[24]HISTOJUIL24!$A$6:$AU$38,28,0)</f>
        <v>0</v>
      </c>
      <c r="V20" s="36">
        <f>VLOOKUP($A20,[24]HISTOJUIL24!$A$6:$AU$38,19,0)</f>
        <v>0</v>
      </c>
      <c r="W20" s="36">
        <f>VLOOKUP($A20,[24]HISTOJUIL24!$A$6:$AU$38,20,0)</f>
        <v>0</v>
      </c>
      <c r="X20" s="36">
        <f>VLOOKUP($A20,[24]HISTOJUIL24!$A$6:$AU$38,27,0)</f>
        <v>0</v>
      </c>
      <c r="Y20" s="36">
        <f>VLOOKUP($A20,[24]HISTOJUIL24!$A$6:$BM$38,33,0)</f>
        <v>0</v>
      </c>
      <c r="Z20" s="36">
        <f>VLOOKUP($A20,[24]HISTOJUIL24!$A$6:$BM$38,65,0)</f>
        <v>0</v>
      </c>
      <c r="AA20" s="36"/>
      <c r="AB20" s="36">
        <f>VLOOKUP($A20,[24]HISTOJUIL24!$A$6:$AU$38,43,0)</f>
        <v>0</v>
      </c>
      <c r="AC20" s="36">
        <f>VLOOKUP($A20,[24]HISTOJUIL24!$A$6:$AU$38,44,0)</f>
        <v>0</v>
      </c>
      <c r="AD20" s="36">
        <f>VLOOKUP($A20,[24]HISTOJUIL24!$A$6:$AU$38,47,0)</f>
        <v>0</v>
      </c>
      <c r="AE20" s="36">
        <f>VLOOKUP(A20,[24]HISTOJUIL24!$A$6:$BB$38,54,0)</f>
        <v>0</v>
      </c>
      <c r="AF20" s="36">
        <f>VLOOKUP($A20,[24]HISTOJUIL24!$A$6:$CB$38,60,0)</f>
        <v>0</v>
      </c>
      <c r="AG20" s="36">
        <f>VLOOKUP($A20,[24]HISTOJUIL24!$A$6:$CB$38,61,0)</f>
        <v>0</v>
      </c>
      <c r="AH20" s="36">
        <f>VLOOKUP($A20,[24]HISTOJUIL24!$A$6:$CB$38,62,0)</f>
        <v>0</v>
      </c>
      <c r="AI20" s="36">
        <f>VLOOKUP($A20,[24]HISTOJUIL24!$A$6:$CB$38,63,0)</f>
        <v>0</v>
      </c>
      <c r="AJ20" s="36">
        <f>VLOOKUP($A20,[24]HISTOJUIL24!$A$6:$CB$38,64,0)</f>
        <v>0</v>
      </c>
      <c r="AK20" s="36">
        <f>VLOOKUP($A20,[24]HISTOJUIL24!$A$6:$CB$38,65,0)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MVTJUIN24!I21-E21+L21</f>
        <v>917806.20126582833</v>
      </c>
      <c r="G21" s="5">
        <f>IF(MVTJUIN24!I21+L21&gt;700000,(MVTJUIN24!I21-E21+L21),0)</f>
        <v>917806.20126582833</v>
      </c>
      <c r="H21" s="36">
        <f t="shared" si="0"/>
        <v>3813.6684000712603</v>
      </c>
      <c r="I21" s="6">
        <f t="shared" si="2"/>
        <v>921619.86966589955</v>
      </c>
      <c r="J21" s="36">
        <f>VLOOKUP($A21,[24]HISTOJUIL24!$A$6:$AQ$42,22,0)</f>
        <v>0</v>
      </c>
      <c r="K21" s="36">
        <f>VLOOKUP($A21,[24]HISTOJUIL24!$A$6:$AU$38,45,0)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VLOOKUP($A21,[24]HISTOJUIL24!$A$6:$AU$38,7,0)</f>
        <v>0</v>
      </c>
      <c r="Q21" s="36">
        <f>VLOOKUP($A21,[24]HISTOJUIL24!$A$6:$AU$38,23,0)</f>
        <v>0</v>
      </c>
      <c r="R21" s="36">
        <f>VLOOKUP($A21,[24]HISTOJUIL24!$A$6:$AU$38,46,0)</f>
        <v>0</v>
      </c>
      <c r="S21" s="36">
        <f>VLOOKUP($A21,[24]HISTOJUIL24!$A$6:$AU$38,26,0)</f>
        <v>0</v>
      </c>
      <c r="T21" s="36">
        <f>VLOOKUP($A21,[24]HISTOJUIL24!$A$6:$BG$38,58,0)</f>
        <v>60000</v>
      </c>
      <c r="U21" s="36">
        <f>VLOOKUP($A21,[24]HISTOJUIL24!$A$6:$AU$38,28,0)</f>
        <v>0</v>
      </c>
      <c r="V21" s="36">
        <f>VLOOKUP($A21,[24]HISTOJUIL24!$A$6:$AU$38,19,0)</f>
        <v>0</v>
      </c>
      <c r="W21" s="36">
        <f>VLOOKUP($A21,[24]HISTOJUIL24!$A$6:$AU$38,20,0)</f>
        <v>0</v>
      </c>
      <c r="X21" s="36">
        <f>VLOOKUP($A21,[24]HISTOJUIL24!$A$6:$AU$38,27,0)</f>
        <v>0</v>
      </c>
      <c r="Y21" s="36">
        <f>VLOOKUP($A21,[24]HISTOJUIL24!$A$6:$BM$38,33,0)</f>
        <v>0</v>
      </c>
      <c r="Z21" s="36">
        <f>VLOOKUP($A21,[24]HISTOJUIL24!$A$6:$BM$38,65,0)</f>
        <v>0</v>
      </c>
      <c r="AA21" s="36"/>
      <c r="AB21" s="36">
        <f>VLOOKUP($A21,[24]HISTOJUIL24!$A$6:$AU$38,43,0)</f>
        <v>0</v>
      </c>
      <c r="AC21" s="36">
        <f>VLOOKUP($A21,[24]HISTOJUIL24!$A$6:$AU$38,44,0)</f>
        <v>0</v>
      </c>
      <c r="AD21" s="36">
        <f>VLOOKUP($A21,[24]HISTOJUIL24!$A$6:$AU$38,47,0)</f>
        <v>0</v>
      </c>
      <c r="AE21" s="36">
        <f>VLOOKUP(A21,[24]HISTOJUIL24!$A$6:$BB$38,54,0)</f>
        <v>0</v>
      </c>
      <c r="AF21" s="36">
        <f>VLOOKUP($A21,[24]HISTOJUIL24!$A$6:$CB$38,60,0)</f>
        <v>0</v>
      </c>
      <c r="AG21" s="36">
        <f>VLOOKUP($A21,[24]HISTOJUIL24!$A$6:$CB$38,61,0)</f>
        <v>0</v>
      </c>
      <c r="AH21" s="36">
        <f>VLOOKUP($A21,[24]HISTOJUIL24!$A$6:$CB$38,62,0)</f>
        <v>0</v>
      </c>
      <c r="AI21" s="36">
        <f>VLOOKUP($A21,[24]HISTOJUIL24!$A$6:$CB$38,63,0)</f>
        <v>0</v>
      </c>
      <c r="AJ21" s="36">
        <f>VLOOKUP($A21,[24]HISTOJUIL24!$A$6:$CB$38,64,0)</f>
        <v>0</v>
      </c>
      <c r="AK21" s="36">
        <f>VLOOKUP($A21,[24]HISTOJUIL24!$A$6:$CB$38,65,0)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MVTJUIN24!I22-E22+L22</f>
        <v>886522.1134426794</v>
      </c>
      <c r="G22" s="5">
        <f>IF(MVTJUIN24!I22+L22&gt;700000,(MVTJUIN24!I22-E22+L22),0)</f>
        <v>886522.1134426794</v>
      </c>
      <c r="H22" s="36">
        <f t="shared" si="0"/>
        <v>3683.6767558748602</v>
      </c>
      <c r="I22" s="6">
        <f t="shared" si="2"/>
        <v>890205.79019855428</v>
      </c>
      <c r="J22" s="36">
        <f>VLOOKUP($A22,[24]HISTOJUIL24!$A$6:$AQ$42,22,0)</f>
        <v>0</v>
      </c>
      <c r="K22" s="36">
        <f>VLOOKUP($A22,[24]HISTOJUIL24!$A$6:$AU$38,45,0)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VLOOKUP($A22,[24]HISTOJUIL24!$A$6:$AU$38,7,0)</f>
        <v>0</v>
      </c>
      <c r="Q22" s="36">
        <f>VLOOKUP($A22,[24]HISTOJUIL24!$A$6:$AU$38,23,0)</f>
        <v>0</v>
      </c>
      <c r="R22" s="36">
        <f>VLOOKUP($A22,[24]HISTOJUIL24!$A$6:$AU$38,46,0)</f>
        <v>0</v>
      </c>
      <c r="S22" s="36">
        <f>VLOOKUP($A22,[24]HISTOJUIL24!$A$6:$AU$38,26,0)</f>
        <v>0</v>
      </c>
      <c r="T22" s="36">
        <f>VLOOKUP($A22,[24]HISTOJUIL24!$A$6:$BG$38,58,0)</f>
        <v>0</v>
      </c>
      <c r="U22" s="36">
        <f>VLOOKUP($A22,[24]HISTOJUIL24!$A$6:$AU$38,28,0)</f>
        <v>0</v>
      </c>
      <c r="V22" s="36">
        <f>VLOOKUP($A22,[24]HISTOJUIL24!$A$6:$AU$38,19,0)</f>
        <v>0</v>
      </c>
      <c r="W22" s="36">
        <f>VLOOKUP($A22,[24]HISTOJUIL24!$A$6:$AU$38,20,0)</f>
        <v>0</v>
      </c>
      <c r="X22" s="36">
        <f>VLOOKUP($A22,[24]HISTOJUIL24!$A$6:$AU$38,27,0)</f>
        <v>0</v>
      </c>
      <c r="Y22" s="36">
        <f>VLOOKUP($A22,[24]HISTOJUIL24!$A$6:$BM$38,33,0)</f>
        <v>0</v>
      </c>
      <c r="Z22" s="36">
        <f>VLOOKUP($A22,[24]HISTOJUIL24!$A$6:$BM$38,65,0)</f>
        <v>0</v>
      </c>
      <c r="AA22" s="36"/>
      <c r="AB22" s="36">
        <f>VLOOKUP($A22,[24]HISTOJUIL24!$A$6:$AU$38,43,0)</f>
        <v>0</v>
      </c>
      <c r="AC22" s="36">
        <f>VLOOKUP($A22,[24]HISTOJUIL24!$A$6:$AU$38,44,0)</f>
        <v>0</v>
      </c>
      <c r="AD22" s="36">
        <f>VLOOKUP($A22,[24]HISTOJUIL24!$A$6:$AU$38,47,0)</f>
        <v>0</v>
      </c>
      <c r="AE22" s="36">
        <f>VLOOKUP(A22,[24]HISTOJUIL24!$A$6:$BB$38,54,0)</f>
        <v>0</v>
      </c>
      <c r="AF22" s="36">
        <f>VLOOKUP($A22,[24]HISTOJUIL24!$A$6:$CB$38,60,0)</f>
        <v>0</v>
      </c>
      <c r="AG22" s="36">
        <f>VLOOKUP($A22,[24]HISTOJUIL24!$A$6:$CB$38,61,0)</f>
        <v>0</v>
      </c>
      <c r="AH22" s="36">
        <f>VLOOKUP($A22,[24]HISTOJUIL24!$A$6:$CB$38,62,0)</f>
        <v>0</v>
      </c>
      <c r="AI22" s="36">
        <f>VLOOKUP($A22,[24]HISTOJUIL24!$A$6:$CB$38,63,0)</f>
        <v>0</v>
      </c>
      <c r="AJ22" s="36">
        <f>VLOOKUP($A22,[24]HISTOJUIL24!$A$6:$CB$38,64,0)</f>
        <v>0</v>
      </c>
      <c r="AK22" s="36">
        <f>VLOOKUP($A22,[24]HISTOJUIL24!$A$6:$CB$38,65,0)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MVTJUIN24!I23-E23+L23</f>
        <v>993033.47083401668</v>
      </c>
      <c r="G23" s="5">
        <f>IF(MVTJUIN24!I23+L23&gt;700000,(MVTJUIN24!I23-E23+L23),0)</f>
        <v>993033.47083401668</v>
      </c>
      <c r="H23" s="36">
        <f t="shared" si="0"/>
        <v>4126.2527565292621</v>
      </c>
      <c r="I23" s="6">
        <f t="shared" si="2"/>
        <v>997159.72359054594</v>
      </c>
      <c r="J23" s="36">
        <f>VLOOKUP($A23,[24]HISTOJUIL24!$A$6:$AQ$42,22,0)</f>
        <v>0</v>
      </c>
      <c r="K23" s="36">
        <f>VLOOKUP($A23,[24]HISTOJUIL24!$A$6:$AU$38,45,0)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VLOOKUP($A23,[24]HISTOJUIL24!$A$6:$AU$38,7,0)</f>
        <v>0</v>
      </c>
      <c r="Q23" s="36">
        <f>VLOOKUP($A23,[24]HISTOJUIL24!$A$6:$AU$38,23,0)</f>
        <v>0</v>
      </c>
      <c r="R23" s="36">
        <f>VLOOKUP($A23,[24]HISTOJUIL24!$A$6:$AU$38,46,0)</f>
        <v>0</v>
      </c>
      <c r="S23" s="36">
        <f>VLOOKUP($A23,[24]HISTOJUIL24!$A$6:$AU$38,26,0)</f>
        <v>0</v>
      </c>
      <c r="T23" s="36">
        <f>VLOOKUP($A23,[24]HISTOJUIL24!$A$6:$BG$38,58,0)</f>
        <v>0</v>
      </c>
      <c r="U23" s="36">
        <f>VLOOKUP($A23,[24]HISTOJUIL24!$A$6:$AU$38,28,0)</f>
        <v>0</v>
      </c>
      <c r="V23" s="36">
        <f>VLOOKUP($A23,[24]HISTOJUIL24!$A$6:$AU$38,19,0)</f>
        <v>0</v>
      </c>
      <c r="W23" s="36">
        <f>VLOOKUP($A23,[24]HISTOJUIL24!$A$6:$AU$38,20,0)</f>
        <v>0</v>
      </c>
      <c r="X23" s="36">
        <f>VLOOKUP($A23,[24]HISTOJUIL24!$A$6:$AU$38,27,0)</f>
        <v>0</v>
      </c>
      <c r="Y23" s="36">
        <f>VLOOKUP($A23,[24]HISTOJUIL24!$A$6:$BM$38,33,0)</f>
        <v>0</v>
      </c>
      <c r="Z23" s="36">
        <f>VLOOKUP($A23,[24]HISTOJUIL24!$A$6:$BM$38,65,0)</f>
        <v>0</v>
      </c>
      <c r="AA23" s="36"/>
      <c r="AB23" s="36">
        <f>VLOOKUP($A23,[24]HISTOJUIL24!$A$6:$AU$38,43,0)</f>
        <v>0</v>
      </c>
      <c r="AC23" s="36">
        <f>VLOOKUP($A23,[24]HISTOJUIL24!$A$6:$AU$38,44,0)</f>
        <v>0</v>
      </c>
      <c r="AD23" s="36">
        <f>VLOOKUP($A23,[24]HISTOJUIL24!$A$6:$AU$38,47,0)</f>
        <v>0</v>
      </c>
      <c r="AE23" s="36">
        <f>VLOOKUP(A23,[24]HISTOJUIL24!$A$6:$BB$38,54,0)</f>
        <v>0</v>
      </c>
      <c r="AF23" s="36">
        <f>VLOOKUP($A23,[24]HISTOJUIL24!$A$6:$CB$38,60,0)</f>
        <v>0</v>
      </c>
      <c r="AG23" s="36">
        <f>VLOOKUP($A23,[24]HISTOJUIL24!$A$6:$CB$38,61,0)</f>
        <v>0</v>
      </c>
      <c r="AH23" s="36">
        <f>VLOOKUP($A23,[24]HISTOJUIL24!$A$6:$CB$38,62,0)</f>
        <v>0</v>
      </c>
      <c r="AI23" s="36">
        <f>VLOOKUP($A23,[24]HISTOJUIL24!$A$6:$CB$38,63,0)</f>
        <v>0</v>
      </c>
      <c r="AJ23" s="36">
        <f>VLOOKUP($A23,[24]HISTOJUIL24!$A$6:$CB$38,64,0)</f>
        <v>0</v>
      </c>
      <c r="AK23" s="36">
        <f>VLOOKUP($A23,[24]HISTOJUIL24!$A$6:$CB$38,65,0)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MVTJUIN24!I24-E24+L24</f>
        <v>1217353.0845678798</v>
      </c>
      <c r="G24" s="5">
        <f>IF(MVTJUIN24!I24+L24&gt;700000,(MVTJUIN24!I24-E24+L24),0)</f>
        <v>1217353.0845678798</v>
      </c>
      <c r="H24" s="36">
        <f t="shared" si="0"/>
        <v>5058.3456332532978</v>
      </c>
      <c r="I24" s="6">
        <f t="shared" si="2"/>
        <v>1222411.430201133</v>
      </c>
      <c r="J24" s="36">
        <f>VLOOKUP($A24,[24]HISTOJUIL24!$A$6:$AQ$42,22,0)</f>
        <v>0</v>
      </c>
      <c r="K24" s="36">
        <f>VLOOKUP($A24,[24]HISTOJUIL24!$A$6:$AU$38,45,0)</f>
        <v>45000</v>
      </c>
      <c r="L24" s="36">
        <f t="shared" si="3"/>
        <v>39000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VLOOKUP($A24,[24]HISTOJUIL24!$A$6:$AU$38,7,0)</f>
        <v>0</v>
      </c>
      <c r="Q24" s="36">
        <f>VLOOKUP($A24,[24]HISTOJUIL24!$A$6:$AU$38,23,0)</f>
        <v>0</v>
      </c>
      <c r="R24" s="36">
        <f>VLOOKUP($A24,[24]HISTOJUIL24!$A$6:$AU$38,46,0)</f>
        <v>0</v>
      </c>
      <c r="S24" s="36">
        <f>VLOOKUP($A24,[24]HISTOJUIL24!$A$6:$AU$38,26,0)</f>
        <v>0</v>
      </c>
      <c r="T24" s="36">
        <f>VLOOKUP($A24,[24]HISTOJUIL24!$A$6:$BG$38,58,0)</f>
        <v>30000</v>
      </c>
      <c r="U24" s="36">
        <f>VLOOKUP($A24,[24]HISTOJUIL24!$A$6:$AU$38,28,0)</f>
        <v>0</v>
      </c>
      <c r="V24" s="36">
        <f>VLOOKUP($A24,[24]HISTOJUIL24!$A$6:$AU$38,19,0)</f>
        <v>0</v>
      </c>
      <c r="W24" s="36">
        <f>VLOOKUP($A24,[24]HISTOJUIL24!$A$6:$AU$38,20,0)</f>
        <v>0</v>
      </c>
      <c r="X24" s="36">
        <f>VLOOKUP($A24,[24]HISTOJUIL24!$A$6:$AU$38,27,0)</f>
        <v>0</v>
      </c>
      <c r="Y24" s="36">
        <f>VLOOKUP($A24,[24]HISTOJUIL24!$A$6:$BM$38,33,0)</f>
        <v>0</v>
      </c>
      <c r="Z24" s="36">
        <f>VLOOKUP($A24,[24]HISTOJUIL24!$A$6:$BM$38,65,0)</f>
        <v>0</v>
      </c>
      <c r="AA24" s="36"/>
      <c r="AB24" s="36">
        <f>VLOOKUP($A24,[24]HISTOJUIL24!$A$6:$AU$38,43,0)</f>
        <v>0</v>
      </c>
      <c r="AC24" s="36">
        <f>VLOOKUP($A24,[24]HISTOJUIL24!$A$6:$AU$38,44,0)</f>
        <v>0</v>
      </c>
      <c r="AD24" s="36">
        <f>VLOOKUP($A24,[24]HISTOJUIL24!$A$6:$AU$38,47,0)</f>
        <v>0</v>
      </c>
      <c r="AE24" s="36">
        <f>VLOOKUP(A24,[24]HISTOJUIL24!$A$6:$BB$38,54,0)</f>
        <v>0</v>
      </c>
      <c r="AF24" s="36">
        <f>VLOOKUP($A24,[24]HISTOJUIL24!$A$6:$CB$38,60,0)</f>
        <v>0</v>
      </c>
      <c r="AG24" s="36">
        <f>VLOOKUP($A24,[24]HISTOJUIL24!$A$6:$CB$38,61,0)</f>
        <v>0</v>
      </c>
      <c r="AH24" s="36">
        <f>VLOOKUP($A24,[24]HISTOJUIL24!$A$6:$CB$38,62,0)</f>
        <v>0</v>
      </c>
      <c r="AI24" s="36">
        <f>VLOOKUP($A24,[24]HISTOJUIL24!$A$6:$CB$38,63,0)</f>
        <v>0</v>
      </c>
      <c r="AJ24" s="36">
        <f>VLOOKUP($A24,[24]HISTOJUIL24!$A$6:$CB$38,64,0)</f>
        <v>0</v>
      </c>
      <c r="AK24" s="36">
        <f>VLOOKUP($A24,[24]HISTOJUIL24!$A$6:$CB$38,65,0)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MVTJUIN24!I25-E25+L25</f>
        <v>1054828.5632044645</v>
      </c>
      <c r="G25" s="5">
        <f>IF(MVTJUIN24!I25+L25&gt;700000,(MVTJUIN24!I25-E25+L25),0)</f>
        <v>1054828.5632044645</v>
      </c>
      <c r="H25" s="36">
        <f t="shared" si="0"/>
        <v>4383.0237292331221</v>
      </c>
      <c r="I25" s="6">
        <f t="shared" si="2"/>
        <v>1059211.5869336976</v>
      </c>
      <c r="J25" s="36">
        <f>VLOOKUP($A25,[24]HISTOJUIL24!$A$6:$AQ$42,22,0)</f>
        <v>0</v>
      </c>
      <c r="K25" s="36">
        <f>VLOOKUP($A25,[24]HISTOJUIL24!$A$6:$AU$38,45,0)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VLOOKUP($A25,[24]HISTOJUIL24!$A$6:$AU$38,7,0)</f>
        <v>0</v>
      </c>
      <c r="Q25" s="36">
        <f>VLOOKUP($A25,[24]HISTOJUIL24!$A$6:$AU$38,23,0)</f>
        <v>0</v>
      </c>
      <c r="R25" s="36">
        <f>VLOOKUP($A25,[24]HISTOJUIL24!$A$6:$AU$38,46,0)</f>
        <v>0</v>
      </c>
      <c r="S25" s="36">
        <f>VLOOKUP($A25,[24]HISTOJUIL24!$A$6:$AU$38,26,0)</f>
        <v>0</v>
      </c>
      <c r="T25" s="36">
        <f>VLOOKUP($A25,[24]HISTOJUIL24!$A$6:$BG$38,58,0)</f>
        <v>0</v>
      </c>
      <c r="U25" s="36">
        <f>VLOOKUP($A25,[24]HISTOJUIL24!$A$6:$AU$38,28,0)</f>
        <v>0</v>
      </c>
      <c r="V25" s="36">
        <f>VLOOKUP($A25,[24]HISTOJUIL24!$A$6:$AU$38,19,0)</f>
        <v>500000</v>
      </c>
      <c r="W25" s="36" t="str">
        <f>VLOOKUP($A25,[24]HISTOJUIL24!$A$6:$AU$38,20,0)</f>
        <v>BANQUE</v>
      </c>
      <c r="X25" s="36">
        <f>VLOOKUP($A25,[24]HISTOJUIL24!$A$6:$AU$38,27,0)</f>
        <v>0</v>
      </c>
      <c r="Y25" s="36">
        <f>VLOOKUP($A25,[24]HISTOJUIL24!$A$6:$BM$38,33,0)</f>
        <v>0</v>
      </c>
      <c r="Z25" s="36">
        <f>VLOOKUP($A25,[24]HISTOJUIL24!$A$6:$BM$38,65,0)</f>
        <v>0</v>
      </c>
      <c r="AA25" s="36"/>
      <c r="AB25" s="36">
        <f>VLOOKUP($A25,[24]HISTOJUIL24!$A$6:$AU$38,43,0)</f>
        <v>0</v>
      </c>
      <c r="AC25" s="36">
        <f>VLOOKUP($A25,[24]HISTOJUIL24!$A$6:$AU$38,44,0)</f>
        <v>0</v>
      </c>
      <c r="AD25" s="36">
        <f>VLOOKUP($A25,[24]HISTOJUIL24!$A$6:$AU$38,47,0)</f>
        <v>0</v>
      </c>
      <c r="AE25" s="36">
        <f>VLOOKUP(A25,[24]HISTOJUIL24!$A$6:$BB$38,54,0)</f>
        <v>0</v>
      </c>
      <c r="AF25" s="36">
        <f>VLOOKUP($A25,[24]HISTOJUIL24!$A$6:$CB$38,60,0)</f>
        <v>0</v>
      </c>
      <c r="AG25" s="36">
        <f>VLOOKUP($A25,[24]HISTOJUIL24!$A$6:$CB$38,61,0)</f>
        <v>0</v>
      </c>
      <c r="AH25" s="36">
        <f>VLOOKUP($A25,[24]HISTOJUIL24!$A$6:$CB$38,62,0)</f>
        <v>0</v>
      </c>
      <c r="AI25" s="36">
        <f>VLOOKUP($A25,[24]HISTOJUIL24!$A$6:$CB$38,63,0)</f>
        <v>0</v>
      </c>
      <c r="AJ25" s="36">
        <f>VLOOKUP($A25,[24]HISTOJUIL24!$A$6:$CB$38,64,0)</f>
        <v>0</v>
      </c>
      <c r="AK25" s="36">
        <f>VLOOKUP($A25,[24]HISTOJUIL24!$A$6:$CB$38,65,0)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MVTJUIN24!I26-E26+L26</f>
        <v>910165.13892154093</v>
      </c>
      <c r="G26" s="5">
        <f>IF(MVTJUIN24!I26+L26&gt;700000,(MVTJUIN24!I26-E26+L26),0)</f>
        <v>910165.13892154093</v>
      </c>
      <c r="H26" s="36">
        <f t="shared" si="0"/>
        <v>3781.918257214094</v>
      </c>
      <c r="I26" s="6">
        <f t="shared" si="2"/>
        <v>913947.05717875506</v>
      </c>
      <c r="J26" s="36">
        <f>VLOOKUP($A26,[24]HISTOJUIL24!$A$6:$AQ$42,22,0)</f>
        <v>0</v>
      </c>
      <c r="K26" s="36">
        <f>VLOOKUP($A26,[24]HISTOJUIL24!$A$6:$AU$38,45,0)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VLOOKUP($A26,[24]HISTOJUIL24!$A$6:$AU$38,7,0)</f>
        <v>0</v>
      </c>
      <c r="Q26" s="36">
        <f>VLOOKUP($A26,[24]HISTOJUIL24!$A$6:$AU$38,23,0)</f>
        <v>0</v>
      </c>
      <c r="R26" s="36">
        <f>VLOOKUP($A26,[24]HISTOJUIL24!$A$6:$AU$38,46,0)</f>
        <v>0</v>
      </c>
      <c r="S26" s="36">
        <f>VLOOKUP($A26,[24]HISTOJUIL24!$A$6:$AU$38,26,0)</f>
        <v>0</v>
      </c>
      <c r="T26" s="36">
        <f>VLOOKUP($A26,[24]HISTOJUIL24!$A$6:$BG$38,58,0)</f>
        <v>0</v>
      </c>
      <c r="U26" s="36">
        <f>VLOOKUP($A26,[24]HISTOJUIL24!$A$6:$AU$38,28,0)</f>
        <v>0</v>
      </c>
      <c r="V26" s="36">
        <f>VLOOKUP($A26,[24]HISTOJUIL24!$A$6:$AU$38,19,0)</f>
        <v>0</v>
      </c>
      <c r="W26" s="36">
        <f>VLOOKUP($A26,[24]HISTOJUIL24!$A$6:$AU$38,20,0)</f>
        <v>0</v>
      </c>
      <c r="X26" s="36">
        <f>VLOOKUP($A26,[24]HISTOJUIL24!$A$6:$AU$38,27,0)</f>
        <v>0</v>
      </c>
      <c r="Y26" s="36">
        <f>VLOOKUP($A26,[24]HISTOJUIL24!$A$6:$BM$38,33,0)</f>
        <v>0</v>
      </c>
      <c r="Z26" s="36">
        <f>VLOOKUP($A26,[24]HISTOJUIL24!$A$6:$BM$38,65,0)</f>
        <v>0</v>
      </c>
      <c r="AA26" s="36"/>
      <c r="AB26" s="36">
        <f>VLOOKUP($A26,[24]HISTOJUIL24!$A$6:$AU$38,43,0)</f>
        <v>0</v>
      </c>
      <c r="AC26" s="36">
        <f>VLOOKUP($A26,[24]HISTOJUIL24!$A$6:$AU$38,44,0)</f>
        <v>0</v>
      </c>
      <c r="AD26" s="36">
        <f>VLOOKUP($A26,[24]HISTOJUIL24!$A$6:$AU$38,47,0)</f>
        <v>0</v>
      </c>
      <c r="AE26" s="36">
        <f>VLOOKUP(A26,[24]HISTOJUIL24!$A$6:$BB$38,54,0)</f>
        <v>0</v>
      </c>
      <c r="AF26" s="36">
        <f>VLOOKUP($A26,[24]HISTOJUIL24!$A$6:$CB$38,60,0)</f>
        <v>0</v>
      </c>
      <c r="AG26" s="36">
        <f>VLOOKUP($A26,[24]HISTOJUIL24!$A$6:$CB$38,61,0)</f>
        <v>0</v>
      </c>
      <c r="AH26" s="36">
        <f>VLOOKUP($A26,[24]HISTOJUIL24!$A$6:$CB$38,62,0)</f>
        <v>0</v>
      </c>
      <c r="AI26" s="36">
        <f>VLOOKUP($A26,[24]HISTOJUIL24!$A$6:$CB$38,63,0)</f>
        <v>0</v>
      </c>
      <c r="AJ26" s="36">
        <f>VLOOKUP($A26,[24]HISTOJUIL24!$A$6:$CB$38,64,0)</f>
        <v>0</v>
      </c>
      <c r="AK26" s="36">
        <f>VLOOKUP($A26,[24]HISTOJUIL24!$A$6:$CB$38,65,0)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MVTJUIN24!I27-E27+L27</f>
        <v>906212.98276433477</v>
      </c>
      <c r="G27" s="5">
        <f>IF(MVTJUIN24!I27+L27&gt;700000,(MVTJUIN24!I27-E27+L27),0)</f>
        <v>906212.98276433477</v>
      </c>
      <c r="H27" s="36">
        <f t="shared" si="0"/>
        <v>3765.4962576371713</v>
      </c>
      <c r="I27" s="6">
        <f t="shared" si="2"/>
        <v>909978.47902197193</v>
      </c>
      <c r="J27" s="36">
        <f>VLOOKUP($A27,[24]HISTOJUIL24!$A$6:$AQ$42,22,0)</f>
        <v>0</v>
      </c>
      <c r="K27" s="36">
        <f>VLOOKUP($A27,[24]HISTOJUIL24!$A$6:$AU$38,45,0)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VLOOKUP($A27,[24]HISTOJUIL24!$A$6:$AU$38,7,0)</f>
        <v>0</v>
      </c>
      <c r="Q27" s="36">
        <f>VLOOKUP($A27,[24]HISTOJUIL24!$A$6:$AU$38,23,0)</f>
        <v>0</v>
      </c>
      <c r="R27" s="36">
        <f>VLOOKUP($A27,[24]HISTOJUIL24!$A$6:$AU$38,46,0)</f>
        <v>0</v>
      </c>
      <c r="S27" s="36">
        <f>VLOOKUP($A27,[24]HISTOJUIL24!$A$6:$AU$38,26,0)</f>
        <v>0</v>
      </c>
      <c r="T27" s="36">
        <f>VLOOKUP($A27,[24]HISTOJUIL24!$A$6:$BG$38,58,0)</f>
        <v>30000</v>
      </c>
      <c r="U27" s="36">
        <f>VLOOKUP($A27,[24]HISTOJUIL24!$A$6:$AU$38,28,0)</f>
        <v>0</v>
      </c>
      <c r="V27" s="36">
        <f>VLOOKUP($A27,[24]HISTOJUIL24!$A$6:$AU$38,19,0)</f>
        <v>0</v>
      </c>
      <c r="W27" s="36">
        <f>VLOOKUP($A27,[24]HISTOJUIL24!$A$6:$AU$38,20,0)</f>
        <v>0</v>
      </c>
      <c r="X27" s="36">
        <f>VLOOKUP($A27,[24]HISTOJUIL24!$A$6:$AU$38,27,0)</f>
        <v>0</v>
      </c>
      <c r="Y27" s="36">
        <f>VLOOKUP($A27,[24]HISTOJUIL24!$A$6:$BM$38,33,0)</f>
        <v>0</v>
      </c>
      <c r="Z27" s="36">
        <f>VLOOKUP($A27,[24]HISTOJUIL24!$A$6:$BM$38,65,0)</f>
        <v>0</v>
      </c>
      <c r="AA27" s="36"/>
      <c r="AB27" s="36">
        <f>VLOOKUP($A27,[24]HISTOJUIL24!$A$6:$AU$38,43,0)</f>
        <v>0</v>
      </c>
      <c r="AC27" s="36">
        <f>VLOOKUP($A27,[24]HISTOJUIL24!$A$6:$AU$38,44,0)</f>
        <v>0</v>
      </c>
      <c r="AD27" s="36">
        <f>VLOOKUP($A27,[24]HISTOJUIL24!$A$6:$AU$38,47,0)</f>
        <v>0</v>
      </c>
      <c r="AE27" s="36">
        <f>VLOOKUP(A27,[24]HISTOJUIL24!$A$6:$BB$38,54,0)</f>
        <v>0</v>
      </c>
      <c r="AF27" s="36">
        <f>VLOOKUP($A27,[24]HISTOJUIL24!$A$6:$CB$38,60,0)</f>
        <v>0</v>
      </c>
      <c r="AG27" s="36">
        <f>VLOOKUP($A27,[24]HISTOJUIL24!$A$6:$CB$38,61,0)</f>
        <v>0</v>
      </c>
      <c r="AH27" s="36">
        <f>VLOOKUP($A27,[24]HISTOJUIL24!$A$6:$CB$38,62,0)</f>
        <v>0</v>
      </c>
      <c r="AI27" s="36">
        <f>VLOOKUP($A27,[24]HISTOJUIL24!$A$6:$CB$38,63,0)</f>
        <v>0</v>
      </c>
      <c r="AJ27" s="36">
        <f>VLOOKUP($A27,[24]HISTOJUIL24!$A$6:$CB$38,64,0)</f>
        <v>0</v>
      </c>
      <c r="AK27" s="36">
        <f>VLOOKUP($A27,[24]HISTOJUIL24!$A$6:$CB$38,65,0)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MVTJUIN24!I28-E28+L28</f>
        <v>807396.34528635419</v>
      </c>
      <c r="G28" s="5">
        <f>IF(MVTJUIN24!I28+L28&gt;700000,(MVTJUIN24!I28-E28+L28),0)</f>
        <v>807396.34528635419</v>
      </c>
      <c r="H28" s="36">
        <f t="shared" si="0"/>
        <v>3354.8933577751754</v>
      </c>
      <c r="I28" s="6">
        <f t="shared" si="2"/>
        <v>810751.23864412936</v>
      </c>
      <c r="J28" s="36">
        <f>VLOOKUP($A28,[24]HISTOJUIL24!$A$6:$AQ$42,22,0)</f>
        <v>0</v>
      </c>
      <c r="K28" s="36">
        <f>VLOOKUP($A28,[24]HISTOJUIL24!$A$6:$AU$38,45,0)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VLOOKUP($A28,[24]HISTOJUIL24!$A$6:$AU$38,7,0)</f>
        <v>0</v>
      </c>
      <c r="Q28" s="36">
        <f>VLOOKUP($A28,[24]HISTOJUIL24!$A$6:$AU$38,23,0)</f>
        <v>0</v>
      </c>
      <c r="R28" s="36">
        <f>VLOOKUP($A28,[24]HISTOJUIL24!$A$6:$AU$38,46,0)</f>
        <v>0</v>
      </c>
      <c r="S28" s="36">
        <f>VLOOKUP($A28,[24]HISTOJUIL24!$A$6:$AU$38,26,0)</f>
        <v>0</v>
      </c>
      <c r="T28" s="36">
        <f>VLOOKUP($A28,[24]HISTOJUIL24!$A$6:$BG$38,58,0)</f>
        <v>0</v>
      </c>
      <c r="U28" s="36">
        <f>VLOOKUP($A28,[24]HISTOJUIL24!$A$6:$AU$38,28,0)</f>
        <v>0</v>
      </c>
      <c r="V28" s="36">
        <f>VLOOKUP($A28,[24]HISTOJUIL24!$A$6:$AU$38,19,0)</f>
        <v>0</v>
      </c>
      <c r="W28" s="36">
        <f>VLOOKUP($A28,[24]HISTOJUIL24!$A$6:$AU$38,20,0)</f>
        <v>0</v>
      </c>
      <c r="X28" s="36">
        <f>VLOOKUP($A28,[24]HISTOJUIL24!$A$6:$AU$38,27,0)</f>
        <v>0</v>
      </c>
      <c r="Y28" s="36">
        <f>VLOOKUP($A28,[24]HISTOJUIL24!$A$6:$BM$38,33,0)</f>
        <v>0</v>
      </c>
      <c r="Z28" s="36">
        <f>VLOOKUP($A28,[24]HISTOJUIL24!$A$6:$BM$38,65,0)</f>
        <v>0</v>
      </c>
      <c r="AA28" s="36"/>
      <c r="AB28" s="36">
        <f>VLOOKUP($A28,[24]HISTOJUIL24!$A$6:$AU$38,43,0)</f>
        <v>0</v>
      </c>
      <c r="AC28" s="36">
        <f>VLOOKUP($A28,[24]HISTOJUIL24!$A$6:$AU$38,44,0)</f>
        <v>0</v>
      </c>
      <c r="AD28" s="36">
        <f>VLOOKUP($A28,[24]HISTOJUIL24!$A$6:$AU$38,47,0)</f>
        <v>0</v>
      </c>
      <c r="AE28" s="36">
        <f>VLOOKUP(A28,[24]HISTOJUIL24!$A$6:$BB$38,54,0)</f>
        <v>0</v>
      </c>
      <c r="AF28" s="36">
        <f>VLOOKUP($A28,[24]HISTOJUIL24!$A$6:$CB$38,60,0)</f>
        <v>0</v>
      </c>
      <c r="AG28" s="36">
        <f>VLOOKUP($A28,[24]HISTOJUIL24!$A$6:$CB$38,61,0)</f>
        <v>0</v>
      </c>
      <c r="AH28" s="36">
        <f>VLOOKUP($A28,[24]HISTOJUIL24!$A$6:$CB$38,62,0)</f>
        <v>0</v>
      </c>
      <c r="AI28" s="36">
        <f>VLOOKUP($A28,[24]HISTOJUIL24!$A$6:$CB$38,63,0)</f>
        <v>0</v>
      </c>
      <c r="AJ28" s="36">
        <f>VLOOKUP($A28,[24]HISTOJUIL24!$A$6:$CB$38,64,0)</f>
        <v>0</v>
      </c>
      <c r="AK28" s="36">
        <f>VLOOKUP($A28,[24]HISTOJUIL24!$A$6:$CB$38,65,0)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MVTJUIN24!I29-E29+L29</f>
        <v>932181.41457584628</v>
      </c>
      <c r="G29" s="5">
        <f>IF(MVTJUIN24!I29+L29&gt;700000,(MVTJUIN24!I29-E29+L29),0)</f>
        <v>932181.41457584628</v>
      </c>
      <c r="H29" s="36">
        <f t="shared" si="0"/>
        <v>3873.4002875537039</v>
      </c>
      <c r="I29" s="6">
        <f t="shared" si="2"/>
        <v>936054.81486339995</v>
      </c>
      <c r="J29" s="36">
        <f>VLOOKUP($A29,[24]HISTOJUIL24!$A$6:$AQ$42,22,0)</f>
        <v>0</v>
      </c>
      <c r="K29" s="36">
        <f>VLOOKUP($A29,[24]HISTOJUIL24!$A$6:$AU$38,45,0)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VLOOKUP($A29,[24]HISTOJUIL24!$A$6:$AU$38,7,0)</f>
        <v>0</v>
      </c>
      <c r="Q29" s="36">
        <f>VLOOKUP($A29,[24]HISTOJUIL24!$A$6:$AU$38,23,0)</f>
        <v>0</v>
      </c>
      <c r="R29" s="36">
        <f>VLOOKUP($A29,[24]HISTOJUIL24!$A$6:$AU$38,46,0)</f>
        <v>0</v>
      </c>
      <c r="S29" s="36">
        <f>VLOOKUP($A29,[24]HISTOJUIL24!$A$6:$AU$38,26,0)</f>
        <v>0</v>
      </c>
      <c r="T29" s="36">
        <f>VLOOKUP($A29,[24]HISTOJUIL24!$A$6:$BG$38,58,0)</f>
        <v>0</v>
      </c>
      <c r="U29" s="36">
        <f>VLOOKUP($A29,[24]HISTOJUIL24!$A$6:$AU$38,28,0)</f>
        <v>0</v>
      </c>
      <c r="V29" s="36">
        <f>VLOOKUP($A29,[24]HISTOJUIL24!$A$6:$AU$38,19,0)</f>
        <v>0</v>
      </c>
      <c r="W29" s="36">
        <f>VLOOKUP($A29,[24]HISTOJUIL24!$A$6:$AU$38,20,0)</f>
        <v>0</v>
      </c>
      <c r="X29" s="36">
        <f>VLOOKUP($A29,[24]HISTOJUIL24!$A$6:$AU$38,27,0)</f>
        <v>0</v>
      </c>
      <c r="Y29" s="36">
        <f>VLOOKUP($A29,[24]HISTOJUIL24!$A$6:$BM$38,33,0)</f>
        <v>0</v>
      </c>
      <c r="Z29" s="36">
        <f>VLOOKUP($A29,[24]HISTOJUIL24!$A$6:$BM$38,65,0)</f>
        <v>0</v>
      </c>
      <c r="AA29" s="36"/>
      <c r="AB29" s="36">
        <f>VLOOKUP($A29,[24]HISTOJUIL24!$A$6:$AU$38,43,0)</f>
        <v>0</v>
      </c>
      <c r="AC29" s="36">
        <f>VLOOKUP($A29,[24]HISTOJUIL24!$A$6:$AU$38,44,0)</f>
        <v>0</v>
      </c>
      <c r="AD29" s="36">
        <f>VLOOKUP($A29,[24]HISTOJUIL24!$A$6:$AU$38,47,0)</f>
        <v>0</v>
      </c>
      <c r="AE29" s="36">
        <f>VLOOKUP(A29,[24]HISTOJUIL24!$A$6:$BB$38,54,0)</f>
        <v>0</v>
      </c>
      <c r="AF29" s="36">
        <f>VLOOKUP($A29,[24]HISTOJUIL24!$A$6:$CB$38,60,0)</f>
        <v>0</v>
      </c>
      <c r="AG29" s="36">
        <f>VLOOKUP($A29,[24]HISTOJUIL24!$A$6:$CB$38,61,0)</f>
        <v>0</v>
      </c>
      <c r="AH29" s="36">
        <f>VLOOKUP($A29,[24]HISTOJUIL24!$A$6:$CB$38,62,0)</f>
        <v>0</v>
      </c>
      <c r="AI29" s="36">
        <f>VLOOKUP($A29,[24]HISTOJUIL24!$A$6:$CB$38,63,0)</f>
        <v>0</v>
      </c>
      <c r="AJ29" s="36">
        <f>VLOOKUP($A29,[24]HISTOJUIL24!$A$6:$CB$38,64,0)</f>
        <v>0</v>
      </c>
      <c r="AK29" s="36">
        <f>VLOOKUP($A29,[24]HISTOJUIL24!$A$6:$CB$38,65,0)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MVTJUIN24!I30-E30+L30</f>
        <v>837206.34850783728</v>
      </c>
      <c r="G30" s="5">
        <f>IF(MVTJUIN24!I30+L30&gt;700000,(MVTJUIN24!I30-E30+L30),0)</f>
        <v>837206.34850783728</v>
      </c>
      <c r="H30" s="36">
        <f t="shared" si="0"/>
        <v>3478.7598855181768</v>
      </c>
      <c r="I30" s="6">
        <f t="shared" si="2"/>
        <v>840685.10839335551</v>
      </c>
      <c r="J30" s="36">
        <f>VLOOKUP($A30,[24]HISTOJUIL24!$A$6:$AQ$42,22,0)</f>
        <v>0</v>
      </c>
      <c r="K30" s="36">
        <f>VLOOKUP($A30,[24]HISTOJUIL24!$A$6:$AU$38,45,0)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VLOOKUP($A30,[24]HISTOJUIL24!$A$6:$AU$38,7,0)</f>
        <v>0</v>
      </c>
      <c r="Q30" s="36">
        <f>VLOOKUP($A30,[24]HISTOJUIL24!$A$6:$AU$38,23,0)</f>
        <v>0</v>
      </c>
      <c r="R30" s="36">
        <f>VLOOKUP($A30,[24]HISTOJUIL24!$A$6:$AU$38,46,0)</f>
        <v>0</v>
      </c>
      <c r="S30" s="36">
        <f>VLOOKUP($A30,[24]HISTOJUIL24!$A$6:$AU$38,26,0)</f>
        <v>0</v>
      </c>
      <c r="T30" s="36">
        <f>VLOOKUP($A30,[24]HISTOJUIL24!$A$6:$BG$38,58,0)</f>
        <v>0</v>
      </c>
      <c r="U30" s="36">
        <f>VLOOKUP($A30,[24]HISTOJUIL24!$A$6:$AU$38,28,0)</f>
        <v>0</v>
      </c>
      <c r="V30" s="36">
        <f>VLOOKUP($A30,[24]HISTOJUIL24!$A$6:$AU$38,19,0)</f>
        <v>0</v>
      </c>
      <c r="W30" s="36">
        <f>VLOOKUP($A30,[24]HISTOJUIL24!$A$6:$AU$38,20,0)</f>
        <v>0</v>
      </c>
      <c r="X30" s="36">
        <f>VLOOKUP($A30,[24]HISTOJUIL24!$A$6:$AU$38,27,0)</f>
        <v>0</v>
      </c>
      <c r="Y30" s="36">
        <f>VLOOKUP($A30,[24]HISTOJUIL24!$A$6:$BM$38,33,0)</f>
        <v>0</v>
      </c>
      <c r="Z30" s="36">
        <f>VLOOKUP($A30,[24]HISTOJUIL24!$A$6:$BM$38,65,0)</f>
        <v>0</v>
      </c>
      <c r="AA30" s="36"/>
      <c r="AB30" s="36">
        <f>VLOOKUP($A30,[24]HISTOJUIL24!$A$6:$AU$38,43,0)</f>
        <v>0</v>
      </c>
      <c r="AC30" s="36">
        <f>VLOOKUP($A30,[24]HISTOJUIL24!$A$6:$AU$38,44,0)</f>
        <v>0</v>
      </c>
      <c r="AD30" s="36">
        <f>VLOOKUP($A30,[24]HISTOJUIL24!$A$6:$AU$38,47,0)</f>
        <v>0</v>
      </c>
      <c r="AE30" s="36">
        <f>VLOOKUP(A30,[24]HISTOJUIL24!$A$6:$BB$38,54,0)</f>
        <v>0</v>
      </c>
      <c r="AF30" s="36">
        <f>VLOOKUP($A30,[24]HISTOJUIL24!$A$6:$CB$38,60,0)</f>
        <v>0</v>
      </c>
      <c r="AG30" s="36">
        <f>VLOOKUP($A30,[24]HISTOJUIL24!$A$6:$CB$38,61,0)</f>
        <v>0</v>
      </c>
      <c r="AH30" s="36">
        <f>VLOOKUP($A30,[24]HISTOJUIL24!$A$6:$CB$38,62,0)</f>
        <v>0</v>
      </c>
      <c r="AI30" s="36">
        <f>VLOOKUP($A30,[24]HISTOJUIL24!$A$6:$CB$38,63,0)</f>
        <v>0</v>
      </c>
      <c r="AJ30" s="36">
        <f>VLOOKUP($A30,[24]HISTOJUIL24!$A$6:$CB$38,64,0)</f>
        <v>0</v>
      </c>
      <c r="AK30" s="36">
        <f>VLOOKUP($A30,[24]HISTOJUIL24!$A$6:$CB$38,65,0)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MVTJUIN24!I31-E31+L31</f>
        <v>1000285.1696508881</v>
      </c>
      <c r="G31" s="5">
        <f>IF(MVTJUIN24!I31+L31&gt;700000,(MVTJUIN24!I31-E31+L31),0)</f>
        <v>1000285.1696508881</v>
      </c>
      <c r="H31" s="36">
        <f t="shared" si="0"/>
        <v>4156.385016026522</v>
      </c>
      <c r="I31" s="6">
        <f t="shared" si="2"/>
        <v>1004441.5546669146</v>
      </c>
      <c r="J31" s="36">
        <f>VLOOKUP($A31,[24]HISTOJUIL24!$A$6:$AQ$42,22,0)</f>
        <v>0</v>
      </c>
      <c r="K31" s="36">
        <f>VLOOKUP($A31,[24]HISTOJUIL24!$A$6:$AU$38,45,0)</f>
        <v>28000</v>
      </c>
      <c r="L31" s="36">
        <f t="shared" si="3"/>
        <v>22000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VLOOKUP($A31,[24]HISTOJUIL24!$A$6:$AU$38,7,0)</f>
        <v>0</v>
      </c>
      <c r="Q31" s="36">
        <f>VLOOKUP($A31,[24]HISTOJUIL24!$A$6:$AU$38,23,0)</f>
        <v>0</v>
      </c>
      <c r="R31" s="36">
        <f>VLOOKUP($A31,[24]HISTOJUIL24!$A$6:$AU$38,46,0)</f>
        <v>0</v>
      </c>
      <c r="S31" s="36">
        <f>VLOOKUP($A31,[24]HISTOJUIL24!$A$6:$AU$38,26,0)</f>
        <v>0</v>
      </c>
      <c r="T31" s="36">
        <f>VLOOKUP($A31,[24]HISTOJUIL24!$A$6:$BG$38,58,0)</f>
        <v>0</v>
      </c>
      <c r="U31" s="36">
        <f>VLOOKUP($A31,[24]HISTOJUIL24!$A$6:$AU$38,28,0)</f>
        <v>0</v>
      </c>
      <c r="V31" s="36">
        <f>VLOOKUP($A31,[24]HISTOJUIL24!$A$6:$AU$38,19,0)</f>
        <v>0</v>
      </c>
      <c r="W31" s="36">
        <f>VLOOKUP($A31,[24]HISTOJUIL24!$A$6:$AU$38,20,0)</f>
        <v>0</v>
      </c>
      <c r="X31" s="36">
        <f>VLOOKUP($A31,[24]HISTOJUIL24!$A$6:$AU$38,27,0)</f>
        <v>0</v>
      </c>
      <c r="Y31" s="36">
        <f>VLOOKUP($A31,[24]HISTOJUIL24!$A$6:$BM$38,33,0)</f>
        <v>0</v>
      </c>
      <c r="Z31" s="36">
        <f>VLOOKUP($A31,[24]HISTOJUIL24!$A$6:$BM$38,65,0)</f>
        <v>0</v>
      </c>
      <c r="AA31" s="36"/>
      <c r="AB31" s="36">
        <f>VLOOKUP($A31,[24]HISTOJUIL24!$A$6:$AU$38,43,0)</f>
        <v>0</v>
      </c>
      <c r="AC31" s="36">
        <f>VLOOKUP($A31,[24]HISTOJUIL24!$A$6:$AU$38,44,0)</f>
        <v>0</v>
      </c>
      <c r="AD31" s="36">
        <f>VLOOKUP($A31,[24]HISTOJUIL24!$A$6:$AU$38,47,0)</f>
        <v>0</v>
      </c>
      <c r="AE31" s="36">
        <f>VLOOKUP(A31,[24]HISTOJUIL24!$A$6:$BB$38,54,0)</f>
        <v>0</v>
      </c>
      <c r="AF31" s="36">
        <f>VLOOKUP($A31,[24]HISTOJUIL24!$A$6:$CB$38,60,0)</f>
        <v>0</v>
      </c>
      <c r="AG31" s="36">
        <f>VLOOKUP($A31,[24]HISTOJUIL24!$A$6:$CB$38,61,0)</f>
        <v>0</v>
      </c>
      <c r="AH31" s="36">
        <f>VLOOKUP($A31,[24]HISTOJUIL24!$A$6:$CB$38,62,0)</f>
        <v>0</v>
      </c>
      <c r="AI31" s="36">
        <f>VLOOKUP($A31,[24]HISTOJUIL24!$A$6:$CB$38,63,0)</f>
        <v>0</v>
      </c>
      <c r="AJ31" s="36">
        <f>VLOOKUP($A31,[24]HISTOJUIL24!$A$6:$CB$38,64,0)</f>
        <v>0</v>
      </c>
      <c r="AK31" s="36">
        <f>VLOOKUP($A31,[24]HISTOJUIL24!$A$6:$CB$38,65,0)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MVTJUIN24!I32-E32+L32</f>
        <v>886024.44392809761</v>
      </c>
      <c r="G32" s="5">
        <f>IF(MVTJUIN24!I32+L32&gt;700000,(MVTJUIN24!I32-E32+L32),0)</f>
        <v>886024.44392809761</v>
      </c>
      <c r="H32" s="36">
        <f t="shared" si="0"/>
        <v>3681.6088394685189</v>
      </c>
      <c r="I32" s="6">
        <f t="shared" si="2"/>
        <v>889706.05276756617</v>
      </c>
      <c r="J32" s="36">
        <f>VLOOKUP($A32,[24]HISTOJUIL24!$A$6:$AQ$42,22,0)</f>
        <v>0</v>
      </c>
      <c r="K32" s="36">
        <f>VLOOKUP($A32,[24]HISTOJUIL24!$A$6:$AU$38,45,0)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VLOOKUP($A32,[24]HISTOJUIL24!$A$6:$AU$38,7,0)</f>
        <v>0</v>
      </c>
      <c r="Q32" s="36">
        <f>VLOOKUP($A32,[24]HISTOJUIL24!$A$6:$AU$38,23,0)</f>
        <v>0</v>
      </c>
      <c r="R32" s="36">
        <f>VLOOKUP($A32,[24]HISTOJUIL24!$A$6:$AU$38,46,0)</f>
        <v>0</v>
      </c>
      <c r="S32" s="36">
        <f>VLOOKUP($A32,[24]HISTOJUIL24!$A$6:$AU$38,26,0)</f>
        <v>0</v>
      </c>
      <c r="T32" s="36">
        <f>VLOOKUP($A32,[24]HISTOJUIL24!$A$6:$BG$38,58,0)</f>
        <v>0</v>
      </c>
      <c r="U32" s="36">
        <f>VLOOKUP($A32,[24]HISTOJUIL24!$A$6:$AU$38,28,0)</f>
        <v>0</v>
      </c>
      <c r="V32" s="36">
        <f>VLOOKUP($A32,[24]HISTOJUIL24!$A$6:$AU$38,19,0)</f>
        <v>0</v>
      </c>
      <c r="W32" s="36">
        <f>VLOOKUP($A32,[24]HISTOJUIL24!$A$6:$AU$38,20,0)</f>
        <v>0</v>
      </c>
      <c r="X32" s="36">
        <f>VLOOKUP($A32,[24]HISTOJUIL24!$A$6:$AU$38,27,0)</f>
        <v>0</v>
      </c>
      <c r="Y32" s="36">
        <f>VLOOKUP($A32,[24]HISTOJUIL24!$A$6:$BM$38,33,0)</f>
        <v>0</v>
      </c>
      <c r="Z32" s="36">
        <f>VLOOKUP($A32,[24]HISTOJUIL24!$A$6:$BM$38,65,0)</f>
        <v>0</v>
      </c>
      <c r="AA32" s="36"/>
      <c r="AB32" s="36">
        <f>VLOOKUP($A32,[24]HISTOJUIL24!$A$6:$AU$38,43,0)</f>
        <v>0</v>
      </c>
      <c r="AC32" s="36">
        <f>VLOOKUP($A32,[24]HISTOJUIL24!$A$6:$AU$38,44,0)</f>
        <v>0</v>
      </c>
      <c r="AD32" s="36">
        <f>VLOOKUP($A32,[24]HISTOJUIL24!$A$6:$AU$38,47,0)</f>
        <v>0</v>
      </c>
      <c r="AE32" s="36">
        <f>VLOOKUP(A32,[24]HISTOJUIL24!$A$6:$BB$38,54,0)</f>
        <v>0</v>
      </c>
      <c r="AF32" s="36">
        <f>VLOOKUP($A32,[24]HISTOJUIL24!$A$6:$CB$38,60,0)</f>
        <v>0</v>
      </c>
      <c r="AG32" s="36">
        <f>VLOOKUP($A32,[24]HISTOJUIL24!$A$6:$CB$38,61,0)</f>
        <v>0</v>
      </c>
      <c r="AH32" s="36">
        <f>VLOOKUP($A32,[24]HISTOJUIL24!$A$6:$CB$38,62,0)</f>
        <v>0</v>
      </c>
      <c r="AI32" s="36">
        <f>VLOOKUP($A32,[24]HISTOJUIL24!$A$6:$CB$38,63,0)</f>
        <v>0</v>
      </c>
      <c r="AJ32" s="36">
        <f>VLOOKUP($A32,[24]HISTOJUIL24!$A$6:$CB$38,64,0)</f>
        <v>0</v>
      </c>
      <c r="AK32" s="36">
        <f>VLOOKUP($A32,[24]HISTOJUIL24!$A$6:$CB$38,65,0)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MVTJUIN24!I33-E33+L33</f>
        <v>1886334.7901943955</v>
      </c>
      <c r="G33" s="5">
        <f>IF(MVTJUIN24!I33+L33&gt;700000,(MVTJUIN24!I33-E33+L33),0)</f>
        <v>1886334.7901943955</v>
      </c>
      <c r="H33" s="36">
        <f t="shared" si="0"/>
        <v>7838.0984693693827</v>
      </c>
      <c r="I33" s="6">
        <f t="shared" si="2"/>
        <v>1894172.8886637648</v>
      </c>
      <c r="J33" s="36">
        <f>VLOOKUP($A33,[24]HISTOJUIL24!$A$6:$AQ$42,22,0)</f>
        <v>0</v>
      </c>
      <c r="K33" s="36">
        <f>VLOOKUP($A33,[24]HISTOJUIL24!$A$6:$AU$38,45,0)</f>
        <v>1025000</v>
      </c>
      <c r="L33" s="36">
        <f t="shared" si="3"/>
        <v>1019000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VLOOKUP($A33,[24]HISTOJUIL24!$A$6:$AU$38,7,0)</f>
        <v>0</v>
      </c>
      <c r="Q33" s="36">
        <f>VLOOKUP($A33,[24]HISTOJUIL24!$A$6:$AU$38,23,0)</f>
        <v>0</v>
      </c>
      <c r="R33" s="36">
        <f>VLOOKUP($A33,[24]HISTOJUIL24!$A$6:$AU$38,46,0)</f>
        <v>0</v>
      </c>
      <c r="S33" s="36">
        <f>VLOOKUP($A33,[24]HISTOJUIL24!$A$6:$AU$38,26,0)</f>
        <v>0</v>
      </c>
      <c r="T33" s="36">
        <f>VLOOKUP($A33,[24]HISTOJUIL24!$A$6:$BG$38,58,0)</f>
        <v>0</v>
      </c>
      <c r="U33" s="36">
        <f>VLOOKUP($A33,[24]HISTOJUIL24!$A$6:$AU$38,28,0)</f>
        <v>0</v>
      </c>
      <c r="V33" s="36">
        <f>VLOOKUP($A33,[24]HISTOJUIL24!$A$6:$AU$38,19,0)</f>
        <v>1000000</v>
      </c>
      <c r="W33" s="36" t="str">
        <f>VLOOKUP($A33,[24]HISTOJUIL24!$A$6:$AU$38,20,0)</f>
        <v>BANQUE</v>
      </c>
      <c r="X33" s="36">
        <f>VLOOKUP($A33,[24]HISTOJUIL24!$A$6:$AU$38,27,0)</f>
        <v>0</v>
      </c>
      <c r="Y33" s="36">
        <f>VLOOKUP($A33,[24]HISTOJUIL24!$A$6:$BM$38,33,0)</f>
        <v>0</v>
      </c>
      <c r="Z33" s="36">
        <f>VLOOKUP($A33,[24]HISTOJUIL24!$A$6:$BM$38,65,0)</f>
        <v>0</v>
      </c>
      <c r="AA33" s="36"/>
      <c r="AB33" s="36">
        <f>VLOOKUP($A33,[24]HISTOJUIL24!$A$6:$AU$38,43,0)</f>
        <v>0</v>
      </c>
      <c r="AC33" s="36">
        <f>VLOOKUP($A33,[24]HISTOJUIL24!$A$6:$AU$38,44,0)</f>
        <v>0</v>
      </c>
      <c r="AD33" s="36">
        <f>VLOOKUP($A33,[24]HISTOJUIL24!$A$6:$AU$38,47,0)</f>
        <v>0</v>
      </c>
      <c r="AE33" s="36">
        <f>VLOOKUP(A33,[24]HISTOJUIL24!$A$6:$BB$38,54,0)</f>
        <v>0</v>
      </c>
      <c r="AF33" s="36">
        <f>VLOOKUP($A33,[24]HISTOJUIL24!$A$6:$CB$38,60,0)</f>
        <v>0</v>
      </c>
      <c r="AG33" s="36">
        <f>VLOOKUP($A33,[24]HISTOJUIL24!$A$6:$CB$38,61,0)</f>
        <v>0</v>
      </c>
      <c r="AH33" s="36">
        <f>VLOOKUP($A33,[24]HISTOJUIL24!$A$6:$CB$38,62,0)</f>
        <v>0</v>
      </c>
      <c r="AI33" s="36">
        <f>VLOOKUP($A33,[24]HISTOJUIL24!$A$6:$CB$38,63,0)</f>
        <v>0</v>
      </c>
      <c r="AJ33" s="36">
        <f>VLOOKUP($A33,[24]HISTOJUIL24!$A$6:$CB$38,64,0)</f>
        <v>0</v>
      </c>
      <c r="AK33" s="36">
        <f>VLOOKUP($A33,[24]HISTOJUIL24!$A$6:$CB$38,65,0)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MVTJUIN24!I34-E34+L34</f>
        <v>578000</v>
      </c>
      <c r="G34" s="5">
        <f>IF(MVTJUIN24!I34+L34&gt;700000,(MVTJUIN24!I34-E34+L34),0)</f>
        <v>0</v>
      </c>
      <c r="H34" s="36">
        <f t="shared" si="0"/>
        <v>0</v>
      </c>
      <c r="I34" s="6">
        <f t="shared" si="2"/>
        <v>578000</v>
      </c>
      <c r="J34" s="36">
        <f>VLOOKUP($A34,[24]HISTOJUIL24!$A$6:$AQ$42,22,0)</f>
        <v>0</v>
      </c>
      <c r="K34" s="36">
        <f>VLOOKUP($A34,[24]HISTOJUIL24!$A$6:$AU$38,45,0)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VLOOKUP($A34,[24]HISTOJUIL24!$A$6:$AU$38,7,0)</f>
        <v>0</v>
      </c>
      <c r="Q34" s="36">
        <f>VLOOKUP($A34,[24]HISTOJUIL24!$A$6:$AU$38,23,0)</f>
        <v>0</v>
      </c>
      <c r="R34" s="36">
        <f>VLOOKUP($A34,[24]HISTOJUIL24!$A$6:$AU$38,46,0)</f>
        <v>0</v>
      </c>
      <c r="S34" s="36">
        <f>VLOOKUP($A34,[24]HISTOJUIL24!$A$6:$AU$38,26,0)</f>
        <v>0</v>
      </c>
      <c r="T34" s="36">
        <f>VLOOKUP($A34,[24]HISTOJUIL24!$A$6:$BG$38,58,0)</f>
        <v>0</v>
      </c>
      <c r="U34" s="36">
        <f>VLOOKUP($A34,[24]HISTOJUIL24!$A$6:$AU$38,28,0)</f>
        <v>0</v>
      </c>
      <c r="V34" s="36">
        <f>VLOOKUP($A34,[24]HISTOJUIL24!$A$6:$AU$38,19,0)</f>
        <v>0</v>
      </c>
      <c r="W34" s="36">
        <f>VLOOKUP($A34,[24]HISTOJUIL24!$A$6:$AU$38,20,0)</f>
        <v>0</v>
      </c>
      <c r="X34" s="36">
        <f>VLOOKUP($A34,[24]HISTOJUIL24!$A$6:$AU$38,27,0)</f>
        <v>0</v>
      </c>
      <c r="Y34" s="36">
        <f>VLOOKUP($A34,[24]HISTOJUIL24!$A$6:$BM$38,33,0)</f>
        <v>0</v>
      </c>
      <c r="Z34" s="36">
        <f>VLOOKUP($A34,[24]HISTOJUIL24!$A$6:$BM$38,65,0)</f>
        <v>0</v>
      </c>
      <c r="AA34" s="36"/>
      <c r="AB34" s="36">
        <f>VLOOKUP($A34,[24]HISTOJUIL24!$A$6:$AU$38,43,0)</f>
        <v>0</v>
      </c>
      <c r="AC34" s="36">
        <f>VLOOKUP($A34,[24]HISTOJUIL24!$A$6:$AU$38,44,0)</f>
        <v>0</v>
      </c>
      <c r="AD34" s="36">
        <f>VLOOKUP($A34,[24]HISTOJUIL24!$A$6:$AU$38,47,0)</f>
        <v>0</v>
      </c>
      <c r="AE34" s="36">
        <f>VLOOKUP(A34,[24]HISTOJUIL24!$A$6:$BB$38,54,0)</f>
        <v>0</v>
      </c>
      <c r="AF34" s="36">
        <f>VLOOKUP($A34,[24]HISTOJUIL24!$A$6:$CB$38,60,0)</f>
        <v>0</v>
      </c>
      <c r="AG34" s="36">
        <f>VLOOKUP($A34,[24]HISTOJUIL24!$A$6:$CB$38,61,0)</f>
        <v>0</v>
      </c>
      <c r="AH34" s="36">
        <f>VLOOKUP($A34,[24]HISTOJUIL24!$A$6:$CB$38,62,0)</f>
        <v>0</v>
      </c>
      <c r="AI34" s="36">
        <f>VLOOKUP($A34,[24]HISTOJUIL24!$A$6:$CB$38,63,0)</f>
        <v>0</v>
      </c>
      <c r="AJ34" s="36">
        <f>VLOOKUP($A34,[24]HISTOJUIL24!$A$6:$CB$38,64,0)</f>
        <v>0</v>
      </c>
      <c r="AK34" s="36">
        <f>VLOOKUP($A34,[24]HISTOJUIL24!$A$6:$CB$38,65,0)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MVTJUIN24!I35-E35+L35</f>
        <v>233000</v>
      </c>
      <c r="G35" s="5">
        <f>IF(MVTJUIN24!I35+L35&gt;700000,(MVTJUIN24!I35-E35+L35),0)</f>
        <v>0</v>
      </c>
      <c r="H35" s="36">
        <f t="shared" si="0"/>
        <v>0</v>
      </c>
      <c r="I35" s="6">
        <f t="shared" si="2"/>
        <v>233000</v>
      </c>
      <c r="J35" s="36">
        <f>VLOOKUP($A35,[24]HISTOJUIL24!$A$6:$AQ$42,22,0)</f>
        <v>0</v>
      </c>
      <c r="K35" s="36">
        <f>VLOOKUP($A35,[24]HISTOJUIL24!$A$6:$AU$38,45,0)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VLOOKUP($A35,[24]HISTOJUIL24!$A$6:$AU$38,7,0)</f>
        <v>0</v>
      </c>
      <c r="Q35" s="36">
        <f>VLOOKUP($A35,[24]HISTOJUIL24!$A$6:$AU$38,23,0)</f>
        <v>0</v>
      </c>
      <c r="R35" s="36">
        <f>VLOOKUP($A35,[24]HISTOJUIL24!$A$6:$AU$38,46,0)</f>
        <v>0</v>
      </c>
      <c r="S35" s="36">
        <f>VLOOKUP($A35,[24]HISTOJUIL24!$A$6:$AU$38,26,0)</f>
        <v>0</v>
      </c>
      <c r="T35" s="36">
        <f>VLOOKUP($A35,[24]HISTOJUIL24!$A$6:$BG$38,58,0)</f>
        <v>0</v>
      </c>
      <c r="U35" s="36">
        <f>VLOOKUP($A35,[24]HISTOJUIL24!$A$6:$AU$38,28,0)</f>
        <v>0</v>
      </c>
      <c r="V35" s="36">
        <f>VLOOKUP($A35,[24]HISTOJUIL24!$A$6:$AU$38,19,0)</f>
        <v>0</v>
      </c>
      <c r="W35" s="36">
        <f>VLOOKUP($A35,[24]HISTOJUIL24!$A$6:$AU$38,20,0)</f>
        <v>0</v>
      </c>
      <c r="X35" s="36">
        <f>VLOOKUP($A35,[24]HISTOJUIL24!$A$6:$AU$38,27,0)</f>
        <v>0</v>
      </c>
      <c r="Y35" s="36">
        <f>VLOOKUP($A35,[24]HISTOJUIL24!$A$6:$BM$38,33,0)</f>
        <v>0</v>
      </c>
      <c r="Z35" s="36">
        <f>VLOOKUP($A35,[24]HISTOJUIL24!$A$6:$BM$38,65,0)</f>
        <v>0</v>
      </c>
      <c r="AA35" s="36"/>
      <c r="AB35" s="36">
        <f>VLOOKUP($A35,[24]HISTOJUIL24!$A$6:$AU$38,43,0)</f>
        <v>0</v>
      </c>
      <c r="AC35" s="36">
        <f>VLOOKUP($A35,[24]HISTOJUIL24!$A$6:$AU$38,44,0)</f>
        <v>0</v>
      </c>
      <c r="AD35" s="36">
        <f>VLOOKUP($A35,[24]HISTOJUIL24!$A$6:$AU$38,47,0)</f>
        <v>0</v>
      </c>
      <c r="AE35" s="36">
        <f>VLOOKUP(A35,[24]HISTOJUIL24!$A$6:$BB$38,54,0)</f>
        <v>0</v>
      </c>
      <c r="AF35" s="36">
        <f>VLOOKUP($A35,[24]HISTOJUIL24!$A$6:$CB$38,60,0)</f>
        <v>0</v>
      </c>
      <c r="AG35" s="36">
        <f>VLOOKUP($A35,[24]HISTOJUIL24!$A$6:$CB$38,61,0)</f>
        <v>0</v>
      </c>
      <c r="AH35" s="36">
        <f>VLOOKUP($A35,[24]HISTOJUIL24!$A$6:$CB$38,62,0)</f>
        <v>0</v>
      </c>
      <c r="AI35" s="36">
        <f>VLOOKUP($A35,[24]HISTOJUIL24!$A$6:$CB$38,63,0)</f>
        <v>0</v>
      </c>
      <c r="AJ35" s="36">
        <f>VLOOKUP($A35,[24]HISTOJUIL24!$A$6:$CB$38,64,0)</f>
        <v>0</v>
      </c>
      <c r="AK35" s="36">
        <f>VLOOKUP($A35,[24]HISTOJUIL24!$A$6:$CB$38,65,0)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MVTJUIN24!I36-E36+L36</f>
        <v>953739.80853352544</v>
      </c>
      <c r="G36" s="5">
        <f>IF(MVTJUIN24!I36+L36&gt;700000,(MVTJUIN24!I36-E36+L36),0)</f>
        <v>953739.80853352544</v>
      </c>
      <c r="H36" s="36">
        <f t="shared" si="0"/>
        <v>3962.9797278312876</v>
      </c>
      <c r="I36" s="6">
        <f t="shared" si="2"/>
        <v>957702.78826135676</v>
      </c>
      <c r="J36" s="36">
        <f>VLOOKUP($A36,[24]HISTOJUIL24!$A$6:$AQ$42,22,0)</f>
        <v>0</v>
      </c>
      <c r="K36" s="36">
        <f>VLOOKUP($A36,[24]HISTOJUIL24!$A$6:$AU$38,45,0)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VLOOKUP($A36,[24]HISTOJUIL24!$A$6:$AU$38,7,0)</f>
        <v>0</v>
      </c>
      <c r="Q36" s="36">
        <f>VLOOKUP($A36,[24]HISTOJUIL24!$A$6:$AU$38,23,0)</f>
        <v>0</v>
      </c>
      <c r="R36" s="36">
        <f>VLOOKUP($A36,[24]HISTOJUIL24!$A$6:$AU$38,46,0)</f>
        <v>0</v>
      </c>
      <c r="S36" s="36">
        <f>VLOOKUP($A36,[24]HISTOJUIL24!$A$6:$AU$38,26,0)</f>
        <v>0</v>
      </c>
      <c r="T36" s="36">
        <f>VLOOKUP($A36,[24]HISTOJUIL24!$A$6:$BG$38,58,0)</f>
        <v>0</v>
      </c>
      <c r="U36" s="36">
        <f>VLOOKUP($A36,[24]HISTOJUIL24!$A$6:$AU$38,28,0)</f>
        <v>0</v>
      </c>
      <c r="V36" s="36">
        <f>VLOOKUP($A36,[24]HISTOJUIL24!$A$6:$AU$38,19,0)</f>
        <v>0</v>
      </c>
      <c r="W36" s="36">
        <f>VLOOKUP($A36,[24]HISTOJUIL24!$A$6:$AU$38,20,0)</f>
        <v>0</v>
      </c>
      <c r="X36" s="36">
        <f>VLOOKUP($A36,[24]HISTOJUIL24!$A$6:$AU$38,27,0)</f>
        <v>0</v>
      </c>
      <c r="Y36" s="36">
        <f>VLOOKUP($A36,[24]HISTOJUIL24!$A$6:$BM$38,33,0)</f>
        <v>0</v>
      </c>
      <c r="Z36" s="36">
        <f>VLOOKUP($A36,[24]HISTOJUIL24!$A$6:$BM$38,65,0)</f>
        <v>0</v>
      </c>
      <c r="AA36" s="36"/>
      <c r="AB36" s="36">
        <f>VLOOKUP($A36,[24]HISTOJUIL24!$A$6:$AU$38,43,0)</f>
        <v>0</v>
      </c>
      <c r="AC36" s="36">
        <f>VLOOKUP($A36,[24]HISTOJUIL24!$A$6:$AU$38,44,0)</f>
        <v>0</v>
      </c>
      <c r="AD36" s="36">
        <f>VLOOKUP($A36,[24]HISTOJUIL24!$A$6:$AU$38,47,0)</f>
        <v>0</v>
      </c>
      <c r="AE36" s="36">
        <f>VLOOKUP(A36,[24]HISTOJUIL24!$A$6:$BB$38,54,0)</f>
        <v>0</v>
      </c>
      <c r="AF36" s="36">
        <f>VLOOKUP($A36,[24]HISTOJUIL24!$A$6:$CB$38,60,0)</f>
        <v>0</v>
      </c>
      <c r="AG36" s="36">
        <f>VLOOKUP($A36,[24]HISTOJUIL24!$A$6:$CB$38,61,0)</f>
        <v>0</v>
      </c>
      <c r="AH36" s="36">
        <f>VLOOKUP($A36,[24]HISTOJUIL24!$A$6:$CB$38,62,0)</f>
        <v>0</v>
      </c>
      <c r="AI36" s="36">
        <f>VLOOKUP($A36,[24]HISTOJUIL24!$A$6:$CB$38,63,0)</f>
        <v>0</v>
      </c>
      <c r="AJ36" s="36">
        <f>VLOOKUP($A36,[24]HISTOJUIL24!$A$6:$CB$38,64,0)</f>
        <v>0</v>
      </c>
      <c r="AK36" s="36">
        <f>VLOOKUP($A36,[24]HISTOJUIL24!$A$6:$CB$38,65,0)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MVTJUIN24!I37-E37+L37</f>
        <v>1961999.838406364</v>
      </c>
      <c r="G37" s="5">
        <f>IF(MVTJUIN24!I37+L37&gt;700000,(MVTJUIN24!I37-E37+L37),0)</f>
        <v>1961999.838406364</v>
      </c>
      <c r="H37" s="36">
        <f t="shared" si="0"/>
        <v>8152.5018836826357</v>
      </c>
      <c r="I37" s="6">
        <f t="shared" si="2"/>
        <v>1970152.3402900465</v>
      </c>
      <c r="J37" s="36">
        <f>VLOOKUP($A37,[24]HISTOJUIL24!$A$6:$AQ$42,22,0)</f>
        <v>0</v>
      </c>
      <c r="K37" s="36">
        <f>VLOOKUP($A37,[24]HISTOJUIL24!$A$6:$AU$38,45,0)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VLOOKUP($A37,[24]HISTOJUIL24!$A$6:$AU$38,7,0)</f>
        <v>0</v>
      </c>
      <c r="Q37" s="36">
        <f>VLOOKUP($A37,[24]HISTOJUIL24!$A$6:$AU$38,23,0)</f>
        <v>0</v>
      </c>
      <c r="R37" s="36">
        <f>VLOOKUP($A37,[24]HISTOJUIL24!$A$6:$AU$38,46,0)</f>
        <v>0</v>
      </c>
      <c r="S37" s="36">
        <f>VLOOKUP($A37,[24]HISTOJUIL24!$A$6:$AU$38,26,0)</f>
        <v>0</v>
      </c>
      <c r="T37" s="36">
        <f>VLOOKUP($A37,[24]HISTOJUIL24!$A$6:$BG$38,58,0)</f>
        <v>0</v>
      </c>
      <c r="U37" s="36">
        <f>VLOOKUP($A37,[24]HISTOJUIL24!$A$6:$AU$38,28,0)</f>
        <v>0</v>
      </c>
      <c r="V37" s="36">
        <f>VLOOKUP($A37,[24]HISTOJUIL24!$A$6:$AU$38,19,0)</f>
        <v>0</v>
      </c>
      <c r="W37" s="36">
        <f>VLOOKUP($A37,[24]HISTOJUIL24!$A$6:$AU$38,20,0)</f>
        <v>0</v>
      </c>
      <c r="X37" s="36">
        <f>VLOOKUP($A37,[24]HISTOJUIL24!$A$6:$AU$38,27,0)</f>
        <v>0</v>
      </c>
      <c r="Y37" s="36">
        <f>VLOOKUP($A37,[24]HISTOJUIL24!$A$6:$BM$38,33,0)</f>
        <v>0</v>
      </c>
      <c r="Z37" s="36">
        <f>VLOOKUP($A37,[24]HISTOJUIL24!$A$6:$BM$38,65,0)</f>
        <v>0</v>
      </c>
      <c r="AA37" s="36"/>
      <c r="AB37" s="36">
        <f>VLOOKUP($A37,[24]HISTOJUIL24!$A$6:$AU$38,43,0)</f>
        <v>0</v>
      </c>
      <c r="AC37" s="36">
        <f>VLOOKUP($A37,[24]HISTOJUIL24!$A$6:$AU$38,44,0)</f>
        <v>0</v>
      </c>
      <c r="AD37" s="36">
        <f>VLOOKUP($A37,[24]HISTOJUIL24!$A$6:$AU$38,47,0)</f>
        <v>0</v>
      </c>
      <c r="AE37" s="36">
        <f>VLOOKUP(A37,[24]HISTOJUIL24!$A$6:$BB$38,54,0)</f>
        <v>0</v>
      </c>
      <c r="AF37" s="36">
        <f>VLOOKUP($A37,[24]HISTOJUIL24!$A$6:$CB$38,60,0)</f>
        <v>0</v>
      </c>
      <c r="AG37" s="36">
        <f>VLOOKUP($A37,[24]HISTOJUIL24!$A$6:$CB$38,61,0)</f>
        <v>0</v>
      </c>
      <c r="AH37" s="36">
        <f>VLOOKUP($A37,[24]HISTOJUIL24!$A$6:$CB$38,62,0)</f>
        <v>0</v>
      </c>
      <c r="AI37" s="36">
        <f>VLOOKUP($A37,[24]HISTOJUIL24!$A$6:$CB$38,63,0)</f>
        <v>100000</v>
      </c>
      <c r="AJ37" s="36">
        <f>VLOOKUP($A37,[24]HISTOJUIL24!$A$6:$CB$38,64,0)</f>
        <v>0</v>
      </c>
      <c r="AK37" s="36">
        <f>VLOOKUP($A37,[24]HISTOJUIL24!$A$6:$CB$38,65,0)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MVTJUIN24!I38-E38+L38</f>
        <v>133000</v>
      </c>
      <c r="G38" s="5">
        <f>IF(MVTJUIN24!I38+L38&gt;700000,(MVTJUIN24!I38-E38+L38),0)</f>
        <v>0</v>
      </c>
      <c r="H38" s="36">
        <f t="shared" si="0"/>
        <v>0</v>
      </c>
      <c r="I38" s="6">
        <f t="shared" si="2"/>
        <v>133000</v>
      </c>
      <c r="J38" s="36">
        <f>VLOOKUP($A38,[24]HISTOJUIL24!$A$6:$AQ$42,22,0)</f>
        <v>0</v>
      </c>
      <c r="K38" s="36">
        <f>VLOOKUP($A38,[24]HISTOJUIL24!$A$6:$AU$38,45,0)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VLOOKUP($A38,[24]HISTOJUIL24!$A$6:$AU$38,7,0)</f>
        <v>0</v>
      </c>
      <c r="Q38" s="36">
        <f>VLOOKUP($A38,[24]HISTOJUIL24!$A$6:$AU$38,23,0)</f>
        <v>0</v>
      </c>
      <c r="R38" s="36">
        <f>VLOOKUP($A38,[24]HISTOJUIL24!$A$6:$AU$38,46,0)</f>
        <v>0</v>
      </c>
      <c r="S38" s="36">
        <f>VLOOKUP($A38,[24]HISTOJUIL24!$A$6:$AU$38,26,0)</f>
        <v>0</v>
      </c>
      <c r="T38" s="36">
        <f>VLOOKUP($A38,[24]HISTOJUIL24!$A$6:$BG$38,58,0)</f>
        <v>0</v>
      </c>
      <c r="U38" s="36">
        <f>VLOOKUP($A38,[24]HISTOJUIL24!$A$6:$AU$38,28,0)</f>
        <v>0</v>
      </c>
      <c r="V38" s="36">
        <f>VLOOKUP($A38,[24]HISTOJUIL24!$A$6:$AU$38,19,0)</f>
        <v>0</v>
      </c>
      <c r="W38" s="36">
        <f>VLOOKUP($A38,[24]HISTOJUIL24!$A$6:$AU$38,20,0)</f>
        <v>0</v>
      </c>
      <c r="X38" s="36">
        <f>VLOOKUP($A38,[24]HISTOJUIL24!$A$6:$AU$38,27,0)</f>
        <v>0</v>
      </c>
      <c r="Y38" s="36">
        <f>VLOOKUP($A38,[24]HISTOJUIL24!$A$6:$BM$38,33,0)</f>
        <v>0</v>
      </c>
      <c r="Z38" s="36">
        <f>VLOOKUP($A38,[24]HISTOJUIL24!$A$6:$BM$38,65,0)</f>
        <v>0</v>
      </c>
      <c r="AA38" s="36"/>
      <c r="AB38" s="36">
        <f>VLOOKUP($A38,[24]HISTOJUIL24!$A$6:$AU$38,43,0)</f>
        <v>0</v>
      </c>
      <c r="AC38" s="36">
        <f>VLOOKUP($A38,[24]HISTOJUIL24!$A$6:$AU$38,44,0)</f>
        <v>0</v>
      </c>
      <c r="AD38" s="36">
        <f>VLOOKUP($A38,[24]HISTOJUIL24!$A$6:$AU$38,47,0)</f>
        <v>0</v>
      </c>
      <c r="AE38" s="36">
        <f>VLOOKUP(A38,[24]HISTOJUIL24!$A$6:$BB$38,54,0)</f>
        <v>0</v>
      </c>
      <c r="AF38" s="36">
        <f>VLOOKUP($A38,[24]HISTOJUIL24!$A$6:$CB$38,60,0)</f>
        <v>0</v>
      </c>
      <c r="AG38" s="36">
        <f>VLOOKUP($A38,[24]HISTOJUIL24!$A$6:$CB$38,61,0)</f>
        <v>0</v>
      </c>
      <c r="AH38" s="36">
        <f>VLOOKUP($A38,[24]HISTOJUIL24!$A$6:$CB$38,62,0)</f>
        <v>0</v>
      </c>
      <c r="AI38" s="36">
        <f>VLOOKUP($A38,[24]HISTOJUIL24!$A$6:$CB$38,63,0)</f>
        <v>0</v>
      </c>
      <c r="AJ38" s="36">
        <f>VLOOKUP($A38,[24]HISTOJUIL24!$A$6:$CB$38,64,0)</f>
        <v>0</v>
      </c>
      <c r="AK38" s="36">
        <f>VLOOKUP($A38,[24]HISTOJUIL24!$A$6:$CB$38,65,0)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MVTJUIN24!I39-E39+L39</f>
        <v>2127809.0008350825</v>
      </c>
      <c r="G39" s="5">
        <f>IF(MVTJUIN24!I39+L39&gt;700000,(MVTJUIN24!I39-E39+L39),0)</f>
        <v>2127809.0008350825</v>
      </c>
      <c r="H39" s="36">
        <f t="shared" si="0"/>
        <v>8841.4721285170763</v>
      </c>
      <c r="I39" s="6">
        <f t="shared" si="2"/>
        <v>2136650.4729635995</v>
      </c>
      <c r="J39" s="36">
        <f>VLOOKUP($A39,[24]HISTOJUIL24!$A$6:$AQ$42,22,0)</f>
        <v>0</v>
      </c>
      <c r="K39" s="36">
        <f>VLOOKUP($A39,[24]HISTOJUIL24!$A$6:$AU$38,45,0)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VLOOKUP($A39,[24]HISTOJUIL24!$A$6:$AU$38,7,0)</f>
        <v>0</v>
      </c>
      <c r="Q39" s="36">
        <f>VLOOKUP($A39,[24]HISTOJUIL24!$A$6:$AU$38,23,0)</f>
        <v>0</v>
      </c>
      <c r="R39" s="36">
        <f>VLOOKUP($A39,[24]HISTOJUIL24!$A$6:$AU$38,46,0)</f>
        <v>0</v>
      </c>
      <c r="S39" s="36">
        <f>VLOOKUP($A39,[24]HISTOJUIL24!$A$6:$AU$38,26,0)</f>
        <v>0</v>
      </c>
      <c r="T39" s="36">
        <f>VLOOKUP($A39,[24]HISTOJUIL24!$A$6:$BG$38,58,0)</f>
        <v>0</v>
      </c>
      <c r="U39" s="36">
        <f>VLOOKUP($A39,[24]HISTOJUIL24!$A$6:$AU$38,28,0)</f>
        <v>0</v>
      </c>
      <c r="V39" s="36">
        <f>VLOOKUP($A39,[24]HISTOJUIL24!$A$6:$AU$38,19,0)</f>
        <v>0</v>
      </c>
      <c r="W39" s="36">
        <f>VLOOKUP($A39,[24]HISTOJUIL24!$A$6:$AU$38,20,0)</f>
        <v>0</v>
      </c>
      <c r="X39" s="36">
        <f>VLOOKUP($A39,[24]HISTOJUIL24!$A$6:$AU$38,27,0)</f>
        <v>0</v>
      </c>
      <c r="Y39" s="36">
        <f>VLOOKUP($A39,[24]HISTOJUIL24!$A$6:$BM$38,33,0)</f>
        <v>0</v>
      </c>
      <c r="Z39" s="36">
        <f>VLOOKUP($A39,[24]HISTOJUIL24!$A$6:$BM$38,65,0)</f>
        <v>0</v>
      </c>
      <c r="AA39" s="36"/>
      <c r="AB39" s="36">
        <f>VLOOKUP($A39,[24]HISTOJUIL24!$A$6:$AU$38,43,0)</f>
        <v>0</v>
      </c>
      <c r="AC39" s="36">
        <f>VLOOKUP($A39,[24]HISTOJUIL24!$A$6:$AU$38,44,0)</f>
        <v>0</v>
      </c>
      <c r="AD39" s="36">
        <f>VLOOKUP($A39,[24]HISTOJUIL24!$A$6:$AU$38,47,0)</f>
        <v>0</v>
      </c>
      <c r="AE39" s="36">
        <f>VLOOKUP(A39,[24]HISTOJUIL24!$A$6:$BB$38,54,0)</f>
        <v>0</v>
      </c>
      <c r="AF39" s="36">
        <f>VLOOKUP($A39,[24]HISTOJUIL24!$A$6:$CB$38,60,0)</f>
        <v>0</v>
      </c>
      <c r="AG39" s="36">
        <f>VLOOKUP($A39,[24]HISTOJUIL24!$A$6:$CB$38,61,0)</f>
        <v>0</v>
      </c>
      <c r="AH39" s="36">
        <f>VLOOKUP($A39,[24]HISTOJUIL24!$A$6:$CB$38,62,0)</f>
        <v>0</v>
      </c>
      <c r="AI39" s="36">
        <f>VLOOKUP($A39,[24]HISTOJUIL24!$A$6:$CB$38,63,0)</f>
        <v>0</v>
      </c>
      <c r="AJ39" s="36">
        <f>VLOOKUP($A39,[24]HISTOJUIL24!$A$6:$CB$38,64,0)</f>
        <v>0</v>
      </c>
      <c r="AK39" s="36">
        <f>VLOOKUP($A39,[24]HISTOJUIL24!$A$6:$CB$38,65,0)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32654256.073121917</v>
      </c>
      <c r="G41" s="9">
        <f t="shared" si="10"/>
        <v>30901039.073121917</v>
      </c>
      <c r="H41" s="36">
        <f t="shared" si="10"/>
        <v>128400.00000000001</v>
      </c>
      <c r="I41" s="9">
        <f t="shared" si="10"/>
        <v>32782656.07312192</v>
      </c>
      <c r="J41" s="9">
        <f t="shared" si="10"/>
        <v>0</v>
      </c>
      <c r="K41" s="9">
        <f t="shared" si="10"/>
        <v>1890100</v>
      </c>
      <c r="L41" s="9">
        <f t="shared" si="10"/>
        <v>1698100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128400</v>
      </c>
      <c r="U41" s="9">
        <f t="shared" si="10"/>
        <v>0</v>
      </c>
      <c r="V41" s="9">
        <f t="shared" si="10"/>
        <v>1738500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42000</v>
      </c>
      <c r="AG41" s="9">
        <f t="shared" si="10"/>
        <v>288500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C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44"/>
  <sheetViews>
    <sheetView workbookViewId="0">
      <pane xSplit="2" ySplit="5" topLeftCell="F36" activePane="bottomRight" state="frozen"/>
      <selection activeCell="B43" sqref="B43"/>
      <selection pane="topRight" activeCell="B43" sqref="B43"/>
      <selection pane="bottomLeft" activeCell="B43" sqref="B43"/>
      <selection pane="bottomRight" activeCell="AJ8" sqref="AJ8:AJ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77">
        <v>45521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955318.49807059474</v>
      </c>
      <c r="G6" s="5">
        <f>IF(MVTJUIL24!I6+L6&gt;700000,(MVTJUIL24!I6-E6+L6),0)</f>
        <v>955318.49807059474</v>
      </c>
      <c r="H6" s="36">
        <f t="shared" ref="H6:H39" si="0">$T$41/$G$41*G6</f>
        <v>604.23157949956271</v>
      </c>
      <c r="I6" s="6">
        <f>F6+H6</f>
        <v>955922.72965009429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VLOOKUP($A6,[24]HISTOAOUT24!$A$6:$CB$38,60,0)</f>
        <v>6000</v>
      </c>
      <c r="AG6" s="36">
        <f>VLOOKUP($A6,[24]HISTOAOUT24!$A$6:$CB$38,61,0)</f>
        <v>0</v>
      </c>
      <c r="AH6" s="36">
        <f>VLOOKUP($A6,[24]HISTOAOUT24!$A$6:$CB$38,62,0)</f>
        <v>0</v>
      </c>
      <c r="AI6" s="36">
        <f>VLOOKUP($A6,[24]HISTOAOUT24!$A$6:$CB$38,63,0)</f>
        <v>0</v>
      </c>
      <c r="AJ6" s="36">
        <f>VLOOKUP($A6,[24]HISTOAOUT24!$A$6:$CB$38,64,0)</f>
        <v>0</v>
      </c>
      <c r="AK6" s="36">
        <f>VLOOKUP($A6,[24]HISTOAOUT24!$A$6:$CB$38,65,0)</f>
        <v>0</v>
      </c>
      <c r="AL6" s="36">
        <f>VLOOKUP($A6,[24]HISTOAOUT24!$A$6:$CB$38,66,0)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851644.72958470404</v>
      </c>
      <c r="G7" s="5">
        <f>IF(MVTJUIL24!I7+L7&gt;700000,(MVTJUIL24!I7-E7+L7),0)</f>
        <v>851644.72958470404</v>
      </c>
      <c r="H7" s="36">
        <f t="shared" si="0"/>
        <v>538.65872080226086</v>
      </c>
      <c r="I7" s="6">
        <f t="shared" ref="I7:I39" si="2">F7+H7</f>
        <v>852183.38830550632</v>
      </c>
      <c r="J7" s="36">
        <f>VLOOKUP($A7,[24]HISTOAOUT24!$A$6:$AQ$42,22,0)</f>
        <v>0</v>
      </c>
      <c r="K7" s="36">
        <f>VLOOKUP($A7,[24]HISTOAOUT24!$A$6:$AU$38,45,0)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VLOOKUP($A7,[24]HISTOAOUT24!$A$6:$CB$38,60,0)</f>
        <v>0</v>
      </c>
      <c r="AG7" s="36">
        <f>VLOOKUP($A7,[24]HISTOAOUT24!$A$6:$CB$38,61,0)</f>
        <v>0</v>
      </c>
      <c r="AH7" s="36">
        <f>VLOOKUP($A7,[24]HISTOAOUT24!$A$6:$CB$38,62,0)</f>
        <v>0</v>
      </c>
      <c r="AI7" s="36">
        <f>VLOOKUP($A7,[24]HISTOAOUT24!$A$6:$CB$38,63,0)</f>
        <v>0</v>
      </c>
      <c r="AJ7" s="36">
        <f>VLOOKUP($A7,[24]HISTOAOUT24!$A$6:$CB$38,64,0)</f>
        <v>0</v>
      </c>
      <c r="AK7" s="36">
        <f>VLOOKUP($A7,[24]HISTOAOUT24!$A$6:$CB$38,65,0)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904955.77134587232</v>
      </c>
      <c r="G8" s="5">
        <f>IF(MVTJUIL24!I8+L8&gt;700000,(MVTJUIL24!I8-E8+L8),0)</f>
        <v>904955.77134587232</v>
      </c>
      <c r="H8" s="36">
        <f t="shared" si="0"/>
        <v>572.37754340768004</v>
      </c>
      <c r="I8" s="6">
        <f t="shared" si="2"/>
        <v>905528.14888928004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20000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VLOOKUP($A8,[24]HISTOAOUT24!$A$6:$CB$38,60,0)</f>
        <v>0</v>
      </c>
      <c r="AG8" s="36">
        <f>VLOOKUP($A8,[24]HISTOAOUT24!$A$6:$CB$38,61,0)</f>
        <v>0</v>
      </c>
      <c r="AH8" s="36">
        <f>VLOOKUP($A8,[24]HISTOAOUT24!$A$6:$CB$38,62,0)</f>
        <v>0</v>
      </c>
      <c r="AI8" s="36">
        <f>VLOOKUP($A8,[24]HISTOAOUT24!$A$6:$CB$38,63,0)</f>
        <v>0</v>
      </c>
      <c r="AJ8" s="36">
        <f>VLOOKUP($A8,[24]HISTOAOUT24!$A$6:$CB$38,64,0)</f>
        <v>7750</v>
      </c>
      <c r="AK8" s="36">
        <f>VLOOKUP($A8,[24]HISTOAOUT24!$A$6:$CB$38,65,0)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952937.32703236968</v>
      </c>
      <c r="G9" s="5">
        <f>IF(MVTJUIL24!I9+L9&gt;700000,(MVTJUIL24!I9-E9+L9),0)</f>
        <v>952937.32703236968</v>
      </c>
      <c r="H9" s="36">
        <f t="shared" si="0"/>
        <v>602.72550718923776</v>
      </c>
      <c r="I9" s="6">
        <f t="shared" si="2"/>
        <v>953540.05253955896</v>
      </c>
      <c r="J9" s="36">
        <f>VLOOKUP($A9,[24]HISTOAOUT24!$A$6:$AQ$42,22,0)</f>
        <v>0</v>
      </c>
      <c r="K9" s="36">
        <f>VLOOKUP($A9,[24]HISTOAOUT24!$A$6:$AU$38,45,0)</f>
        <v>15000</v>
      </c>
      <c r="L9" s="36">
        <f t="shared" si="3"/>
        <v>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VLOOKUP($A9,[24]HISTOAOUT24!$A$6:$CB$38,60,0)</f>
        <v>0</v>
      </c>
      <c r="AG9" s="36">
        <f>VLOOKUP($A9,[24]HISTOAOUT24!$A$6:$CB$38,61,0)</f>
        <v>0</v>
      </c>
      <c r="AH9" s="36">
        <f>VLOOKUP($A9,[24]HISTOAOUT24!$A$6:$CB$38,62,0)</f>
        <v>0</v>
      </c>
      <c r="AI9" s="36">
        <f>VLOOKUP($A9,[24]HISTOAOUT24!$A$6:$CB$38,63,0)</f>
        <v>0</v>
      </c>
      <c r="AJ9" s="36">
        <f>VLOOKUP($A9,[24]HISTOAOUT24!$A$6:$CB$38,64,0)</f>
        <v>0</v>
      </c>
      <c r="AK9" s="36">
        <f>VLOOKUP($A9,[24]HISTOAOUT24!$A$6:$CB$38,65,0)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903690.2327442721</v>
      </c>
      <c r="G10" s="5">
        <f>IF(MVTJUIL24!I10+L10&gt;700000,(MVTJUIL24!I10-E10+L10),0)</f>
        <v>903690.2327442721</v>
      </c>
      <c r="H10" s="36">
        <f t="shared" si="0"/>
        <v>571.57710000612656</v>
      </c>
      <c r="I10" s="6">
        <f t="shared" si="2"/>
        <v>904261.80984427826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VLOOKUP($A10,[24]HISTOAOUT24!$A$6:$CB$38,60,0)</f>
        <v>0</v>
      </c>
      <c r="AG10" s="36">
        <f>VLOOKUP($A10,[24]HISTOAOUT24!$A$6:$CB$38,61,0)</f>
        <v>0</v>
      </c>
      <c r="AH10" s="36">
        <f>VLOOKUP($A10,[24]HISTOAOUT24!$A$6:$CB$38,62,0)</f>
        <v>0</v>
      </c>
      <c r="AI10" s="36">
        <f>VLOOKUP($A10,[24]HISTOAOUT24!$A$6:$CB$38,63,0)</f>
        <v>0</v>
      </c>
      <c r="AJ10" s="36">
        <f>VLOOKUP($A10,[24]HISTOAOUT24!$A$6:$CB$38,64,0)</f>
        <v>0</v>
      </c>
      <c r="AK10" s="36">
        <f>VLOOKUP($A10,[24]HISTOAOUT24!$A$6:$CB$38,65,0)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930536.82659030671</v>
      </c>
      <c r="G11" s="5">
        <f>IF(MVTJUIL24!I11+L11&gt;700000,(MVTJUIL24!I11-E11+L11),0)</f>
        <v>930536.82659030671</v>
      </c>
      <c r="H11" s="36">
        <f t="shared" si="0"/>
        <v>588.55736348530604</v>
      </c>
      <c r="I11" s="6">
        <f t="shared" si="2"/>
        <v>931125.38395379204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VLOOKUP($A11,[24]HISTOAOUT24!$A$6:$CB$38,60,0)</f>
        <v>0</v>
      </c>
      <c r="AG11" s="36">
        <f>VLOOKUP($A11,[24]HISTOAOUT24!$A$6:$CB$38,61,0)</f>
        <v>0</v>
      </c>
      <c r="AH11" s="36">
        <f>VLOOKUP($A11,[24]HISTOAOUT24!$A$6:$CB$38,62,0)</f>
        <v>0</v>
      </c>
      <c r="AI11" s="36">
        <f>VLOOKUP($A11,[24]HISTOAOUT24!$A$6:$CB$38,63,0)</f>
        <v>0</v>
      </c>
      <c r="AJ11" s="36">
        <f>VLOOKUP($A11,[24]HISTOAOUT24!$A$6:$CB$38,64,0)</f>
        <v>0</v>
      </c>
      <c r="AK11" s="36">
        <f>VLOOKUP($A11,[24]HISTOAOUT24!$A$6:$CB$38,65,0)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969677.07928367169</v>
      </c>
      <c r="G12" s="5">
        <f>IF(MVTJUIL24!I12+L12&gt;700000,(MVTJUIL24!I12-E12+L12),0)</f>
        <v>969677.07928367169</v>
      </c>
      <c r="H12" s="36">
        <f t="shared" si="0"/>
        <v>613.31327133665422</v>
      </c>
      <c r="I12" s="6">
        <f t="shared" si="2"/>
        <v>970290.39255500829</v>
      </c>
      <c r="J12" s="36">
        <f>VLOOKUP($A12,[24]HISTOAOUT24!$A$6:$AQ$42,22,0)</f>
        <v>0</v>
      </c>
      <c r="K12" s="36">
        <f>VLOOKUP($A12,[24]HISTOAOUT24!$A$6:$AU$38,45,0)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VLOOKUP($A12,[24]HISTOAOUT24!$A$6:$CB$38,60,0)</f>
        <v>0</v>
      </c>
      <c r="AG12" s="36">
        <f>VLOOKUP($A12,[24]HISTOAOUT24!$A$6:$CB$38,61,0)</f>
        <v>0</v>
      </c>
      <c r="AH12" s="36">
        <f>VLOOKUP($A12,[24]HISTOAOUT24!$A$6:$CB$38,62,0)</f>
        <v>0</v>
      </c>
      <c r="AI12" s="36">
        <f>VLOOKUP($A12,[24]HISTOAOUT24!$A$6:$CB$38,63,0)</f>
        <v>0</v>
      </c>
      <c r="AJ12" s="36">
        <f>VLOOKUP($A12,[24]HISTOAOUT24!$A$6:$CB$38,64,0)</f>
        <v>0</v>
      </c>
      <c r="AK12" s="36">
        <f>VLOOKUP($A12,[24]HISTOAOUT24!$A$6:$CB$38,65,0)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908010.59443069028</v>
      </c>
      <c r="G13" s="5">
        <f>IF(MVTJUIL24!I13+L13&gt;700000,(MVTJUIL24!I13-E13+L13),0)</f>
        <v>908010.59443069028</v>
      </c>
      <c r="H13" s="36">
        <f t="shared" si="0"/>
        <v>574.30969544007462</v>
      </c>
      <c r="I13" s="6">
        <f t="shared" si="2"/>
        <v>908584.90412613039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VLOOKUP($A13,[24]HISTOAOUT24!$A$6:$CB$38,60,0)</f>
        <v>0</v>
      </c>
      <c r="AG13" s="36">
        <f>VLOOKUP($A13,[24]HISTOAOUT24!$A$6:$CB$38,61,0)</f>
        <v>0</v>
      </c>
      <c r="AH13" s="36">
        <f>VLOOKUP($A13,[24]HISTOAOUT24!$A$6:$CB$38,62,0)</f>
        <v>0</v>
      </c>
      <c r="AI13" s="36">
        <f>VLOOKUP($A13,[24]HISTOAOUT24!$A$6:$CB$38,63,0)</f>
        <v>0</v>
      </c>
      <c r="AJ13" s="36">
        <f>VLOOKUP($A13,[24]HISTOAOUT24!$A$6:$CB$38,64,0)</f>
        <v>0</v>
      </c>
      <c r="AK13" s="36">
        <f>VLOOKUP($A13,[24]HISTOAOUT24!$A$6:$CB$38,65,0)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1466197.2822350764</v>
      </c>
      <c r="G14" s="5">
        <f>IF(MVTJUIL24!I14+L14&gt;700000,(MVTJUIL24!I14-E14+L14),0)</f>
        <v>1466197.2822350764</v>
      </c>
      <c r="H14" s="36">
        <f t="shared" si="0"/>
        <v>927.35846892122015</v>
      </c>
      <c r="I14" s="6">
        <f t="shared" si="2"/>
        <v>1467124.6407039976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VLOOKUP($A14,[24]HISTOAOUT24!$A$6:$CB$38,60,0)</f>
        <v>0</v>
      </c>
      <c r="AG14" s="36">
        <f>VLOOKUP($A14,[24]HISTOAOUT24!$A$6:$CB$38,61,0)</f>
        <v>0</v>
      </c>
      <c r="AH14" s="36">
        <f>VLOOKUP($A14,[24]HISTOAOUT24!$A$6:$CB$38,62,0)</f>
        <v>0</v>
      </c>
      <c r="AI14" s="36">
        <f>VLOOKUP($A14,[24]HISTOAOUT24!$A$6:$CB$38,63,0)</f>
        <v>0</v>
      </c>
      <c r="AJ14" s="36">
        <f>VLOOKUP($A14,[24]HISTOAOUT24!$A$6:$CB$38,64,0)</f>
        <v>0</v>
      </c>
      <c r="AK14" s="36">
        <f>VLOOKUP($A14,[24]HISTOAOUT24!$A$6:$CB$38,65,0)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970358.83895888424</v>
      </c>
      <c r="G15" s="5">
        <f>IF(MVTJUIL24!I15+L15&gt;700000,(MVTJUIL24!I15-E15+L15),0)</f>
        <v>970358.83895888424</v>
      </c>
      <c r="H15" s="36">
        <f t="shared" si="0"/>
        <v>613.7444790712733</v>
      </c>
      <c r="I15" s="6">
        <f t="shared" si="2"/>
        <v>970972.58343795547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VLOOKUP($A15,[24]HISTOAOUT24!$A$6:$CB$38,60,0)</f>
        <v>0</v>
      </c>
      <c r="AG15" s="36">
        <f>VLOOKUP($A15,[24]HISTOAOUT24!$A$6:$CB$38,61,0)</f>
        <v>0</v>
      </c>
      <c r="AH15" s="36">
        <f>VLOOKUP($A15,[24]HISTOAOUT24!$A$6:$CB$38,62,0)</f>
        <v>0</v>
      </c>
      <c r="AI15" s="36">
        <f>VLOOKUP($A15,[24]HISTOAOUT24!$A$6:$CB$38,63,0)</f>
        <v>0</v>
      </c>
      <c r="AJ15" s="36">
        <f>VLOOKUP($A15,[24]HISTOAOUT24!$A$6:$CB$38,64,0)</f>
        <v>0</v>
      </c>
      <c r="AK15" s="36">
        <f>VLOOKUP($A15,[24]HISTOAOUT24!$A$6:$CB$38,65,0)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1201876.9003433483</v>
      </c>
      <c r="G16" s="5">
        <f>IF(MVTJUIL24!I16+L16&gt;700000,(MVTJUIL24!I16-E16+L16),0)</f>
        <v>1201876.9003433483</v>
      </c>
      <c r="H16" s="36">
        <f t="shared" si="0"/>
        <v>760.1778666750314</v>
      </c>
      <c r="I16" s="6">
        <f t="shared" si="2"/>
        <v>1202637.0782100232</v>
      </c>
      <c r="J16" s="36">
        <f>VLOOKUP($A16,[24]HISTOAOUT24!$A$6:$AQ$42,22,0)</f>
        <v>0</v>
      </c>
      <c r="K16" s="36">
        <f>VLOOKUP($A16,[24]HISTOAOUT24!$A$6:$AU$38,45,0)</f>
        <v>59000</v>
      </c>
      <c r="L16" s="36">
        <f t="shared" si="3"/>
        <v>53000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VLOOKUP($A16,[24]HISTOAOUT24!$A$6:$CB$38,60,0)</f>
        <v>0</v>
      </c>
      <c r="AG16" s="36">
        <f>VLOOKUP($A16,[24]HISTOAOUT24!$A$6:$CB$38,61,0)</f>
        <v>0</v>
      </c>
      <c r="AH16" s="36">
        <f>VLOOKUP($A16,[24]HISTOAOUT24!$A$6:$CB$38,62,0)</f>
        <v>0</v>
      </c>
      <c r="AI16" s="36">
        <f>VLOOKUP($A16,[24]HISTOAOUT24!$A$6:$CB$38,63,0)</f>
        <v>0</v>
      </c>
      <c r="AJ16" s="36">
        <f>VLOOKUP($A16,[24]HISTOAOUT24!$A$6:$CB$38,64,0)</f>
        <v>0</v>
      </c>
      <c r="AK16" s="36">
        <f>VLOOKUP($A16,[24]HISTOAOUT24!$A$6:$CB$38,65,0)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913456.80339617981</v>
      </c>
      <c r="G17" s="5">
        <f>IF(MVTJUIL24!I17+L17&gt;700000,(MVTJUIL24!I17-E17+L17),0)</f>
        <v>913456.80339617981</v>
      </c>
      <c r="H17" s="36">
        <f t="shared" si="0"/>
        <v>577.75438059183148</v>
      </c>
      <c r="I17" s="6">
        <f t="shared" si="2"/>
        <v>914034.5577767716</v>
      </c>
      <c r="J17" s="36">
        <f>VLOOKUP($A17,[24]HISTOAOUT24!$A$6:$AQ$42,22,0)</f>
        <v>0</v>
      </c>
      <c r="K17" s="36">
        <f>VLOOKUP($A17,[24]HISTOAOUT24!$A$6:$AU$38,45,0)</f>
        <v>20000</v>
      </c>
      <c r="L17" s="36">
        <f t="shared" si="3"/>
        <v>14000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VLOOKUP($A17,[24]HISTOAOUT24!$A$6:$CB$38,60,0)</f>
        <v>0</v>
      </c>
      <c r="AG17" s="36">
        <f>VLOOKUP($A17,[24]HISTOAOUT24!$A$6:$CB$38,61,0)</f>
        <v>0</v>
      </c>
      <c r="AH17" s="36">
        <f>VLOOKUP($A17,[24]HISTOAOUT24!$A$6:$CB$38,62,0)</f>
        <v>0</v>
      </c>
      <c r="AI17" s="36">
        <f>VLOOKUP($A17,[24]HISTOAOUT24!$A$6:$CB$38,63,0)</f>
        <v>0</v>
      </c>
      <c r="AJ17" s="36">
        <f>VLOOKUP($A17,[24]HISTOAOUT24!$A$6:$CB$38,64,0)</f>
        <v>0</v>
      </c>
      <c r="AK17" s="36">
        <f>VLOOKUP($A17,[24]HISTOAOUT24!$A$6:$CB$38,65,0)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1002926.9928012574</v>
      </c>
      <c r="G18" s="5">
        <f>IF(MVTJUIL24!I18+L18&gt;700000,(MVTJUIL24!I18-E18+L18),0)</f>
        <v>1002926.9928012574</v>
      </c>
      <c r="H18" s="36">
        <f t="shared" si="0"/>
        <v>634.34358510481707</v>
      </c>
      <c r="I18" s="6">
        <f t="shared" si="2"/>
        <v>1003561.3363863622</v>
      </c>
      <c r="J18" s="36">
        <f>VLOOKUP($A18,[24]HISTOAOUT24!$A$6:$AQ$42,22,0)</f>
        <v>0</v>
      </c>
      <c r="K18" s="36">
        <f>VLOOKUP($A18,[24]HISTOAOUT24!$A$6:$AU$38,45,0)</f>
        <v>33000</v>
      </c>
      <c r="L18" s="36">
        <f t="shared" si="3"/>
        <v>27000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VLOOKUP($A18,[24]HISTOAOUT24!$A$6:$CB$38,60,0)</f>
        <v>0</v>
      </c>
      <c r="AG18" s="36">
        <f>VLOOKUP($A18,[24]HISTOAOUT24!$A$6:$CB$38,61,0)</f>
        <v>0</v>
      </c>
      <c r="AH18" s="36">
        <f>VLOOKUP($A18,[24]HISTOAOUT24!$A$6:$CB$38,62,0)</f>
        <v>0</v>
      </c>
      <c r="AI18" s="36">
        <f>VLOOKUP($A18,[24]HISTOAOUT24!$A$6:$CB$38,63,0)</f>
        <v>0</v>
      </c>
      <c r="AJ18" s="36">
        <f>VLOOKUP($A18,[24]HISTOAOUT24!$A$6:$CB$38,64,0)</f>
        <v>0</v>
      </c>
      <c r="AK18" s="36">
        <f>VLOOKUP($A18,[24]HISTOAOUT24!$A$6:$CB$38,65,0)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VLOOKUP($A20,[24]HISTOAOUT24!$A$6:$CB$38,60,0)</f>
        <v>0</v>
      </c>
      <c r="AG20" s="36">
        <f>VLOOKUP($A20,[24]HISTOAOUT24!$A$6:$CB$38,61,0)</f>
        <v>0</v>
      </c>
      <c r="AH20" s="36">
        <f>VLOOKUP($A20,[24]HISTOAOUT24!$A$6:$CB$38,62,0)</f>
        <v>0</v>
      </c>
      <c r="AI20" s="36">
        <f>VLOOKUP($A20,[24]HISTOAOUT24!$A$6:$CB$38,63,0)</f>
        <v>0</v>
      </c>
      <c r="AJ20" s="36">
        <f>VLOOKUP($A20,[24]HISTOAOUT24!$A$6:$CB$38,64,0)</f>
        <v>0</v>
      </c>
      <c r="AK20" s="36">
        <f>VLOOKUP($A20,[24]HISTOAOUT24!$A$6:$CB$38,65,0)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940619.86966589955</v>
      </c>
      <c r="G21" s="5">
        <f>IF(MVTJUIL24!I21+L21&gt;700000,(MVTJUIL24!I21-E21+L21),0)</f>
        <v>940619.86966589955</v>
      </c>
      <c r="H21" s="36">
        <f t="shared" si="0"/>
        <v>594.93481043732493</v>
      </c>
      <c r="I21" s="6">
        <f t="shared" si="2"/>
        <v>941214.80447633693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VLOOKUP($A21,[24]HISTOAOUT24!$A$6:$CB$38,60,0)</f>
        <v>0</v>
      </c>
      <c r="AG21" s="36">
        <f>VLOOKUP($A21,[24]HISTOAOUT24!$A$6:$CB$38,61,0)</f>
        <v>0</v>
      </c>
      <c r="AH21" s="36">
        <f>VLOOKUP($A21,[24]HISTOAOUT24!$A$6:$CB$38,62,0)</f>
        <v>0</v>
      </c>
      <c r="AI21" s="36">
        <f>VLOOKUP($A21,[24]HISTOAOUT24!$A$6:$CB$38,63,0)</f>
        <v>0</v>
      </c>
      <c r="AJ21" s="36">
        <f>VLOOKUP($A21,[24]HISTOAOUT24!$A$6:$CB$38,64,0)</f>
        <v>0</v>
      </c>
      <c r="AK21" s="36">
        <f>VLOOKUP($A21,[24]HISTOAOUT24!$A$6:$CB$38,65,0)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909205.79019855428</v>
      </c>
      <c r="G22" s="5">
        <f>IF(MVTJUIL24!I22+L22&gt;700000,(MVTJUIL24!I22-E22+L22),0)</f>
        <v>909205.79019855428</v>
      </c>
      <c r="H22" s="36">
        <f t="shared" si="0"/>
        <v>575.06564754200315</v>
      </c>
      <c r="I22" s="6">
        <f t="shared" si="2"/>
        <v>909780.8558460963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VLOOKUP($A22,[24]HISTOAOUT24!$A$6:$CB$38,60,0)</f>
        <v>0</v>
      </c>
      <c r="AG22" s="36">
        <f>VLOOKUP($A22,[24]HISTOAOUT24!$A$6:$CB$38,61,0)</f>
        <v>0</v>
      </c>
      <c r="AH22" s="36">
        <f>VLOOKUP($A22,[24]HISTOAOUT24!$A$6:$CB$38,62,0)</f>
        <v>0</v>
      </c>
      <c r="AI22" s="36">
        <f>VLOOKUP($A22,[24]HISTOAOUT24!$A$6:$CB$38,63,0)</f>
        <v>0</v>
      </c>
      <c r="AJ22" s="36">
        <f>VLOOKUP($A22,[24]HISTOAOUT24!$A$6:$CB$38,64,0)</f>
        <v>0</v>
      </c>
      <c r="AK22" s="36">
        <f>VLOOKUP($A22,[24]HISTOAOUT24!$A$6:$CB$38,65,0)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1016159.7235905459</v>
      </c>
      <c r="G23" s="5">
        <f>IF(MVTJUIL24!I23+L23&gt;700000,(MVTJUIL24!I23-E23+L23),0)</f>
        <v>1016159.7235905459</v>
      </c>
      <c r="H23" s="36">
        <f t="shared" si="0"/>
        <v>642.71318523509046</v>
      </c>
      <c r="I23" s="6">
        <f t="shared" si="2"/>
        <v>1016802.436775781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VLOOKUP($A23,[24]HISTOAOUT24!$A$6:$CB$38,60,0)</f>
        <v>0</v>
      </c>
      <c r="AG23" s="36">
        <f>VLOOKUP($A23,[24]HISTOAOUT24!$A$6:$CB$38,61,0)</f>
        <v>0</v>
      </c>
      <c r="AH23" s="36">
        <f>VLOOKUP($A23,[24]HISTOAOUT24!$A$6:$CB$38,62,0)</f>
        <v>0</v>
      </c>
      <c r="AI23" s="36">
        <f>VLOOKUP($A23,[24]HISTOAOUT24!$A$6:$CB$38,63,0)</f>
        <v>0</v>
      </c>
      <c r="AJ23" s="36">
        <f>VLOOKUP($A23,[24]HISTOAOUT24!$A$6:$CB$38,64,0)</f>
        <v>0</v>
      </c>
      <c r="AK23" s="36">
        <f>VLOOKUP($A23,[24]HISTOAOUT24!$A$6:$CB$38,65,0)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1251411.430201133</v>
      </c>
      <c r="G24" s="5">
        <f>IF(MVTJUIL24!I24+L24&gt;700000,(MVTJUIL24!I24-E24+L24),0)</f>
        <v>1251411.430201133</v>
      </c>
      <c r="H24" s="36">
        <f t="shared" si="0"/>
        <v>791.50807463832973</v>
      </c>
      <c r="I24" s="6">
        <f t="shared" si="2"/>
        <v>1252202.9382757714</v>
      </c>
      <c r="J24" s="36">
        <f>VLOOKUP($A24,[24]HISTOAOUT24!$A$6:$AQ$42,22,0)</f>
        <v>0</v>
      </c>
      <c r="K24" s="36">
        <f>VLOOKUP($A24,[24]HISTOAOUT24!$A$6:$AU$38,45,0)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VLOOKUP($A24,[24]HISTOAOUT24!$A$6:$CB$38,60,0)</f>
        <v>0</v>
      </c>
      <c r="AG24" s="36">
        <f>VLOOKUP($A24,[24]HISTOAOUT24!$A$6:$CB$38,61,0)</f>
        <v>0</v>
      </c>
      <c r="AH24" s="36">
        <f>VLOOKUP($A24,[24]HISTOAOUT24!$A$6:$CB$38,62,0)</f>
        <v>0</v>
      </c>
      <c r="AI24" s="36">
        <f>VLOOKUP($A24,[24]HISTOAOUT24!$A$6:$CB$38,63,0)</f>
        <v>0</v>
      </c>
      <c r="AJ24" s="36">
        <f>VLOOKUP($A24,[24]HISTOAOUT24!$A$6:$CB$38,64,0)</f>
        <v>0</v>
      </c>
      <c r="AK24" s="36">
        <f>VLOOKUP($A24,[24]HISTOAOUT24!$A$6:$CB$38,65,0)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1093211.5869336976</v>
      </c>
      <c r="G25" s="5">
        <f>IF(MVTJUIL24!I25+L25&gt;700000,(MVTJUIL24!I25-E25+L25),0)</f>
        <v>1093211.5869336976</v>
      </c>
      <c r="H25" s="36">
        <f t="shared" si="0"/>
        <v>691.44789432451557</v>
      </c>
      <c r="I25" s="6">
        <f t="shared" si="2"/>
        <v>1093903.0348280221</v>
      </c>
      <c r="J25" s="36">
        <f>VLOOKUP($A25,[24]HISTOAOUT24!$A$6:$AQ$42,22,0)</f>
        <v>0</v>
      </c>
      <c r="K25" s="36">
        <f>VLOOKUP($A25,[24]HISTOAOUT24!$A$6:$AU$38,45,0)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VLOOKUP($A25,[24]HISTOAOUT24!$A$6:$CB$38,60,0)</f>
        <v>0</v>
      </c>
      <c r="AG25" s="36">
        <f>VLOOKUP($A25,[24]HISTOAOUT24!$A$6:$CB$38,61,0)</f>
        <v>0</v>
      </c>
      <c r="AH25" s="36">
        <f>VLOOKUP($A25,[24]HISTOAOUT24!$A$6:$CB$38,62,0)</f>
        <v>0</v>
      </c>
      <c r="AI25" s="36">
        <f>VLOOKUP($A25,[24]HISTOAOUT24!$A$6:$CB$38,63,0)</f>
        <v>0</v>
      </c>
      <c r="AJ25" s="36">
        <f>VLOOKUP($A25,[24]HISTOAOUT24!$A$6:$CB$38,64,0)</f>
        <v>0</v>
      </c>
      <c r="AK25" s="36">
        <f>VLOOKUP($A25,[24]HISTOAOUT24!$A$6:$CB$38,65,0)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929447.05717875506</v>
      </c>
      <c r="G26" s="5">
        <f>IF(MVTJUIL24!I26+L26&gt;700000,(MVTJUIL24!I26-E26+L26),0)</f>
        <v>929447.05717875506</v>
      </c>
      <c r="H26" s="36">
        <f t="shared" si="0"/>
        <v>587.8680927403534</v>
      </c>
      <c r="I26" s="6">
        <f t="shared" si="2"/>
        <v>930034.92527149536</v>
      </c>
      <c r="J26" s="36">
        <f>VLOOKUP($A26,[24]HISTOAOUT24!$A$6:$AQ$42,22,0)</f>
        <v>0</v>
      </c>
      <c r="K26" s="36">
        <f>VLOOKUP($A26,[24]HISTOAOUT24!$A$6:$AU$38,45,0)</f>
        <v>21500</v>
      </c>
      <c r="L26" s="36">
        <f t="shared" si="3"/>
        <v>15500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VLOOKUP($A26,[24]HISTOAOUT24!$A$6:$CB$38,60,0)</f>
        <v>0</v>
      </c>
      <c r="AG26" s="36">
        <f>VLOOKUP($A26,[24]HISTOAOUT24!$A$6:$CB$38,61,0)</f>
        <v>0</v>
      </c>
      <c r="AH26" s="36">
        <f>VLOOKUP($A26,[24]HISTOAOUT24!$A$6:$CB$38,62,0)</f>
        <v>0</v>
      </c>
      <c r="AI26" s="36">
        <f>VLOOKUP($A26,[24]HISTOAOUT24!$A$6:$CB$38,63,0)</f>
        <v>0</v>
      </c>
      <c r="AJ26" s="36">
        <f>VLOOKUP($A26,[24]HISTOAOUT24!$A$6:$CB$38,64,0)</f>
        <v>0</v>
      </c>
      <c r="AK26" s="36">
        <f>VLOOKUP($A26,[24]HISTOAOUT24!$A$6:$CB$38,65,0)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928978.47902197193</v>
      </c>
      <c r="G27" s="5">
        <f>IF(MVTJUIL24!I27+L27&gt;700000,(MVTJUIL24!I27-E27+L27),0)</f>
        <v>928978.47902197193</v>
      </c>
      <c r="H27" s="36">
        <f t="shared" si="0"/>
        <v>587.57172067139015</v>
      </c>
      <c r="I27" s="6">
        <f t="shared" si="2"/>
        <v>929566.0507426433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VLOOKUP($A27,[24]HISTOAOUT24!$A$6:$CB$38,60,0)</f>
        <v>0</v>
      </c>
      <c r="AG27" s="36">
        <f>VLOOKUP($A27,[24]HISTOAOUT24!$A$6:$CB$38,61,0)</f>
        <v>0</v>
      </c>
      <c r="AH27" s="36">
        <f>VLOOKUP($A27,[24]HISTOAOUT24!$A$6:$CB$38,62,0)</f>
        <v>0</v>
      </c>
      <c r="AI27" s="36">
        <f>VLOOKUP($A27,[24]HISTOAOUT24!$A$6:$CB$38,63,0)</f>
        <v>0</v>
      </c>
      <c r="AJ27" s="36">
        <f>VLOOKUP($A27,[24]HISTOAOUT24!$A$6:$CB$38,64,0)</f>
        <v>0</v>
      </c>
      <c r="AK27" s="36">
        <f>VLOOKUP($A27,[24]HISTOAOUT24!$A$6:$CB$38,65,0)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829751.23864412936</v>
      </c>
      <c r="G28" s="5">
        <f>IF(MVTJUIL24!I28+L28&gt;700000,(MVTJUIL24!I28-E28+L28),0)</f>
        <v>829751.23864412936</v>
      </c>
      <c r="H28" s="36">
        <f t="shared" si="0"/>
        <v>524.81125669631069</v>
      </c>
      <c r="I28" s="6">
        <f t="shared" si="2"/>
        <v>830276.04990082572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VLOOKUP($A28,[24]HISTOAOUT24!$A$6:$CB$38,60,0)</f>
        <v>0</v>
      </c>
      <c r="AG28" s="36">
        <f>VLOOKUP($A28,[24]HISTOAOUT24!$A$6:$CB$38,61,0)</f>
        <v>0</v>
      </c>
      <c r="AH28" s="36">
        <f>VLOOKUP($A28,[24]HISTOAOUT24!$A$6:$CB$38,62,0)</f>
        <v>0</v>
      </c>
      <c r="AI28" s="36">
        <f>VLOOKUP($A28,[24]HISTOAOUT24!$A$6:$CB$38,63,0)</f>
        <v>100000</v>
      </c>
      <c r="AJ28" s="36">
        <f>VLOOKUP($A28,[24]HISTOAOUT24!$A$6:$CB$38,64,0)</f>
        <v>0</v>
      </c>
      <c r="AK28" s="36">
        <f>VLOOKUP($A28,[24]HISTOAOUT24!$A$6:$CB$38,65,0)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955054.81486339995</v>
      </c>
      <c r="G29" s="5">
        <f>IF(MVTJUIL24!I29+L29&gt;700000,(MVTJUIL24!I29-E29+L29),0)</f>
        <v>955054.81486339995</v>
      </c>
      <c r="H29" s="36">
        <f t="shared" si="0"/>
        <v>604.06480190539639</v>
      </c>
      <c r="I29" s="6">
        <f t="shared" si="2"/>
        <v>955658.87966530537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VLOOKUP($A29,[24]HISTOAOUT24!$A$6:$CB$38,60,0)</f>
        <v>0</v>
      </c>
      <c r="AG29" s="36">
        <f>VLOOKUP($A29,[24]HISTOAOUT24!$A$6:$CB$38,61,0)</f>
        <v>0</v>
      </c>
      <c r="AH29" s="36">
        <f>VLOOKUP($A29,[24]HISTOAOUT24!$A$6:$CB$38,62,0)</f>
        <v>0</v>
      </c>
      <c r="AI29" s="36">
        <f>VLOOKUP($A29,[24]HISTOAOUT24!$A$6:$CB$38,63,0)</f>
        <v>0</v>
      </c>
      <c r="AJ29" s="36">
        <f>VLOOKUP($A29,[24]HISTOAOUT24!$A$6:$CB$38,64,0)</f>
        <v>0</v>
      </c>
      <c r="AK29" s="36">
        <f>VLOOKUP($A29,[24]HISTOAOUT24!$A$6:$CB$38,65,0)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858685.10839335551</v>
      </c>
      <c r="G30" s="5">
        <f>IF(MVTJUIL24!I30+L30&gt;700000,(MVTJUIL24!I30-E30+L30),0)</f>
        <v>858685.10839335551</v>
      </c>
      <c r="H30" s="36">
        <f t="shared" si="0"/>
        <v>543.11170608038367</v>
      </c>
      <c r="I30" s="6">
        <f t="shared" si="2"/>
        <v>859228.22009943589</v>
      </c>
      <c r="J30" s="36">
        <f>VLOOKUP($A30,[24]HISTOAOUT24!$A$6:$AQ$42,22,0)</f>
        <v>0</v>
      </c>
      <c r="K30" s="36">
        <f>VLOOKUP($A30,[24]HISTOAOUT24!$A$6:$AU$38,45,0)</f>
        <v>24000</v>
      </c>
      <c r="L30" s="36">
        <f t="shared" si="3"/>
        <v>18000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VLOOKUP($A30,[24]HISTOAOUT24!$A$6:$CB$38,60,0)</f>
        <v>0</v>
      </c>
      <c r="AG30" s="36">
        <f>VLOOKUP($A30,[24]HISTOAOUT24!$A$6:$CB$38,61,0)</f>
        <v>0</v>
      </c>
      <c r="AH30" s="36">
        <f>VLOOKUP($A30,[24]HISTOAOUT24!$A$6:$CB$38,62,0)</f>
        <v>0</v>
      </c>
      <c r="AI30" s="36">
        <f>VLOOKUP($A30,[24]HISTOAOUT24!$A$6:$CB$38,63,0)</f>
        <v>0</v>
      </c>
      <c r="AJ30" s="36">
        <f>VLOOKUP($A30,[24]HISTOAOUT24!$A$6:$CB$38,64,0)</f>
        <v>0</v>
      </c>
      <c r="AK30" s="36">
        <f>VLOOKUP($A30,[24]HISTOAOUT24!$A$6:$CB$38,65,0)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1023441.5546669146</v>
      </c>
      <c r="G31" s="5">
        <f>IF(MVTJUIL24!I31+L31&gt;700000,(MVTJUIL24!I31-E31+L31),0)</f>
        <v>1023441.5546669146</v>
      </c>
      <c r="H31" s="36">
        <f t="shared" si="0"/>
        <v>647.31888720967754</v>
      </c>
      <c r="I31" s="6">
        <f t="shared" si="2"/>
        <v>1024088.8735541243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VLOOKUP($A31,[24]HISTOAOUT24!$A$6:$CB$38,60,0)</f>
        <v>0</v>
      </c>
      <c r="AG31" s="36">
        <f>VLOOKUP($A31,[24]HISTOAOUT24!$A$6:$CB$38,61,0)</f>
        <v>0</v>
      </c>
      <c r="AH31" s="36">
        <f>VLOOKUP($A31,[24]HISTOAOUT24!$A$6:$CB$38,62,0)</f>
        <v>0</v>
      </c>
      <c r="AI31" s="36">
        <f>VLOOKUP($A31,[24]HISTOAOUT24!$A$6:$CB$38,63,0)</f>
        <v>0</v>
      </c>
      <c r="AJ31" s="36">
        <f>VLOOKUP($A31,[24]HISTOAOUT24!$A$6:$CB$38,64,0)</f>
        <v>0</v>
      </c>
      <c r="AK31" s="36">
        <f>VLOOKUP($A31,[24]HISTOAOUT24!$A$6:$CB$38,65,0)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908706.05276756617</v>
      </c>
      <c r="G32" s="5">
        <f>IF(MVTJUIL24!I32+L32&gt;700000,(MVTJUIL24!I32-E32+L32),0)</f>
        <v>908706.05276756617</v>
      </c>
      <c r="H32" s="36">
        <f t="shared" si="0"/>
        <v>574.74956747250712</v>
      </c>
      <c r="I32" s="6">
        <f t="shared" si="2"/>
        <v>909280.80233503866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VLOOKUP($A32,[24]HISTOAOUT24!$A$6:$CB$38,60,0)</f>
        <v>0</v>
      </c>
      <c r="AG32" s="36">
        <f>VLOOKUP($A32,[24]HISTOAOUT24!$A$6:$CB$38,61,0)</f>
        <v>0</v>
      </c>
      <c r="AH32" s="36">
        <f>VLOOKUP($A32,[24]HISTOAOUT24!$A$6:$CB$38,62,0)</f>
        <v>0</v>
      </c>
      <c r="AI32" s="36">
        <f>VLOOKUP($A32,[24]HISTOAOUT24!$A$6:$CB$38,63,0)</f>
        <v>0</v>
      </c>
      <c r="AJ32" s="36">
        <f>VLOOKUP($A32,[24]HISTOAOUT24!$A$6:$CB$38,64,0)</f>
        <v>0</v>
      </c>
      <c r="AK32" s="36">
        <f>VLOOKUP($A32,[24]HISTOAOUT24!$A$6:$CB$38,65,0)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1913172.8886637648</v>
      </c>
      <c r="G33" s="5">
        <f>IF(MVTJUIL24!I33+L33&gt;700000,(MVTJUIL24!I33-E33+L33),0)</f>
        <v>1913172.8886637648</v>
      </c>
      <c r="H33" s="36">
        <f t="shared" si="0"/>
        <v>1210.0670914545856</v>
      </c>
      <c r="I33" s="6">
        <f t="shared" si="2"/>
        <v>1914382.9557552193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VLOOKUP($A33,[24]HISTOAOUT24!$A$6:$CB$38,60,0)</f>
        <v>0</v>
      </c>
      <c r="AG33" s="36">
        <f>VLOOKUP($A33,[24]HISTOAOUT24!$A$6:$CB$38,61,0)</f>
        <v>0</v>
      </c>
      <c r="AH33" s="36">
        <f>VLOOKUP($A33,[24]HISTOAOUT24!$A$6:$CB$38,62,0)</f>
        <v>0</v>
      </c>
      <c r="AI33" s="36">
        <f>VLOOKUP($A33,[24]HISTOAOUT24!$A$6:$CB$38,63,0)</f>
        <v>0</v>
      </c>
      <c r="AJ33" s="36">
        <f>VLOOKUP($A33,[24]HISTOAOUT24!$A$6:$CB$38,64,0)</f>
        <v>0</v>
      </c>
      <c r="AK33" s="36">
        <f>VLOOKUP($A33,[24]HISTOAOUT24!$A$6:$CB$38,65,0)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607000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607000</v>
      </c>
      <c r="J34" s="36">
        <f>VLOOKUP($A34,[24]HISTOAOUT24!$A$6:$AQ$42,22,0)</f>
        <v>0</v>
      </c>
      <c r="K34" s="36">
        <f>VLOOKUP($A34,[24]HISTOAOUT24!$A$6:$AU$38,45,0)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VLOOKUP($A34,[24]HISTOAOUT24!$A$6:$CB$38,60,0)</f>
        <v>0</v>
      </c>
      <c r="AG34" s="36">
        <f>VLOOKUP($A34,[24]HISTOAOUT24!$A$6:$CB$38,61,0)</f>
        <v>0</v>
      </c>
      <c r="AH34" s="36">
        <f>VLOOKUP($A34,[24]HISTOAOUT24!$A$6:$CB$38,62,0)</f>
        <v>0</v>
      </c>
      <c r="AI34" s="36">
        <f>VLOOKUP($A34,[24]HISTOAOUT24!$A$6:$CB$38,63,0)</f>
        <v>0</v>
      </c>
      <c r="AJ34" s="36">
        <f>VLOOKUP($A34,[24]HISTOAOUT24!$A$6:$CB$38,64,0)</f>
        <v>0</v>
      </c>
      <c r="AK34" s="36">
        <f>VLOOKUP($A34,[24]HISTOAOUT24!$A$6:$CB$38,65,0)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233000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233000</v>
      </c>
      <c r="J35" s="36">
        <f>VLOOKUP($A35,[24]HISTOAOUT24!$A$6:$AQ$42,22,0)</f>
        <v>0</v>
      </c>
      <c r="K35" s="36">
        <f>VLOOKUP($A35,[24]HISTOAOUT24!$A$6:$AU$38,45,0)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VLOOKUP($A35,[24]HISTOAOUT24!$A$6:$AU$38,7,0)</f>
        <v>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VLOOKUP($A35,[24]HISTOAOUT24!$A$6:$CB$38,60,0)</f>
        <v>0</v>
      </c>
      <c r="AG35" s="36">
        <f>VLOOKUP($A35,[24]HISTOAOUT24!$A$6:$CB$38,61,0)</f>
        <v>0</v>
      </c>
      <c r="AH35" s="36">
        <f>VLOOKUP($A35,[24]HISTOAOUT24!$A$6:$CB$38,62,0)</f>
        <v>0</v>
      </c>
      <c r="AI35" s="36">
        <f>VLOOKUP($A35,[24]HISTOAOUT24!$A$6:$CB$38,63,0)</f>
        <v>0</v>
      </c>
      <c r="AJ35" s="36">
        <f>VLOOKUP($A35,[24]HISTOAOUT24!$A$6:$CB$38,64,0)</f>
        <v>0</v>
      </c>
      <c r="AK35" s="36">
        <f>VLOOKUP($A35,[24]HISTOAOUT24!$A$6:$CB$38,65,0)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986702.78826135676</v>
      </c>
      <c r="G36" s="5">
        <f>IF(MVTJUIL24!I36+L36&gt;700000,(MVTJUIL24!I36-E36+L36),0)</f>
        <v>986702.78826135676</v>
      </c>
      <c r="H36" s="36">
        <f t="shared" si="0"/>
        <v>624.0819009072776</v>
      </c>
      <c r="I36" s="6">
        <f t="shared" si="2"/>
        <v>987326.87016226409</v>
      </c>
      <c r="J36" s="36">
        <f>VLOOKUP($A36,[24]HISTOAOUT24!$A$6:$AQ$42,22,0)</f>
        <v>0</v>
      </c>
      <c r="K36" s="36">
        <f>VLOOKUP($A36,[24]HISTOAOUT24!$A$6:$AU$38,45,0)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VLOOKUP($A36,[24]HISTOAOUT24!$A$6:$CB$38,60,0)</f>
        <v>0</v>
      </c>
      <c r="AG36" s="36">
        <f>VLOOKUP($A36,[24]HISTOAOUT24!$A$6:$CB$38,61,0)</f>
        <v>0</v>
      </c>
      <c r="AH36" s="36">
        <f>VLOOKUP($A36,[24]HISTOAOUT24!$A$6:$CB$38,62,0)</f>
        <v>0</v>
      </c>
      <c r="AI36" s="36">
        <f>VLOOKUP($A36,[24]HISTOAOUT24!$A$6:$CB$38,63,0)</f>
        <v>0</v>
      </c>
      <c r="AJ36" s="36">
        <f>VLOOKUP($A36,[24]HISTOAOUT24!$A$6:$CB$38,64,0)</f>
        <v>0</v>
      </c>
      <c r="AK36" s="36">
        <f>VLOOKUP($A36,[24]HISTOAOUT24!$A$6:$CB$38,65,0)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1989152.3402900465</v>
      </c>
      <c r="G37" s="5">
        <f>IF(MVTJUIL24!I37+L37&gt;700000,(MVTJUIL24!I37-E37+L37),0)</f>
        <v>1989152.3402900465</v>
      </c>
      <c r="H37" s="36">
        <f t="shared" si="0"/>
        <v>1258.1235084070249</v>
      </c>
      <c r="I37" s="6">
        <f t="shared" si="2"/>
        <v>1990410.4637984536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VLOOKUP($A37,[24]HISTOAOUT24!$A$6:$CB$38,60,0)</f>
        <v>0</v>
      </c>
      <c r="AG37" s="36">
        <f>VLOOKUP($A37,[24]HISTOAOUT24!$A$6:$CB$38,61,0)</f>
        <v>0</v>
      </c>
      <c r="AH37" s="36">
        <f>VLOOKUP($A37,[24]HISTOAOUT24!$A$6:$CB$38,62,0)</f>
        <v>0</v>
      </c>
      <c r="AI37" s="36">
        <f>VLOOKUP($A37,[24]HISTOAOUT24!$A$6:$CB$38,63,0)</f>
        <v>0</v>
      </c>
      <c r="AJ37" s="36">
        <f>VLOOKUP($A37,[24]HISTOAOUT24!$A$6:$CB$38,64,0)</f>
        <v>0</v>
      </c>
      <c r="AK37" s="36">
        <f>VLOOKUP($A37,[24]HISTOAOUT24!$A$6:$CB$38,65,0)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VLOOKUP($A38,[24]HISTOAOUT24!$A$6:$CB$38,60,0)</f>
        <v>0</v>
      </c>
      <c r="AG38" s="36">
        <f>VLOOKUP($A38,[24]HISTOAOUT24!$A$6:$CB$38,61,0)</f>
        <v>0</v>
      </c>
      <c r="AH38" s="36">
        <f>VLOOKUP($A38,[24]HISTOAOUT24!$A$6:$CB$38,62,0)</f>
        <v>0</v>
      </c>
      <c r="AI38" s="36">
        <f>VLOOKUP($A38,[24]HISTOAOUT24!$A$6:$CB$38,63,0)</f>
        <v>0</v>
      </c>
      <c r="AJ38" s="36">
        <f>VLOOKUP($A38,[24]HISTOAOUT24!$A$6:$CB$38,64,0)</f>
        <v>0</v>
      </c>
      <c r="AK38" s="36">
        <f>VLOOKUP($A38,[24]HISTOAOUT24!$A$6:$CB$38,65,0)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2155650.4729635995</v>
      </c>
      <c r="G39" s="5">
        <f>IF(MVTJUIL24!I39+L39&gt;700000,(MVTJUIL24!I39-E39+L39),0)</f>
        <v>2155650.4729635995</v>
      </c>
      <c r="H39" s="36">
        <f t="shared" si="0"/>
        <v>1363.4322927467526</v>
      </c>
      <c r="I39" s="6">
        <f t="shared" si="2"/>
        <v>2157013.9052563463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VLOOKUP($A39,[24]HISTOAOUT24!$A$6:$CB$38,60,0)</f>
        <v>0</v>
      </c>
      <c r="AG39" s="36">
        <f>VLOOKUP($A39,[24]HISTOAOUT24!$A$6:$CB$38,61,0)</f>
        <v>0</v>
      </c>
      <c r="AH39" s="36">
        <f>VLOOKUP($A39,[24]HISTOAOUT24!$A$6:$CB$38,62,0)</f>
        <v>0</v>
      </c>
      <c r="AI39" s="36">
        <f>VLOOKUP($A39,[24]HISTOAOUT24!$A$6:$CB$38,63,0)</f>
        <v>0</v>
      </c>
      <c r="AJ39" s="36">
        <f>VLOOKUP($A39,[24]HISTOAOUT24!$A$6:$CB$38,64,0)</f>
        <v>0</v>
      </c>
      <c r="AK39" s="36">
        <f>VLOOKUP($A39,[24]HISTOAOUT24!$A$6:$CB$38,65,0)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33441156.07312192</v>
      </c>
      <c r="G41" s="9">
        <f t="shared" si="10"/>
        <v>31620939.07312192</v>
      </c>
      <c r="H41" s="36">
        <f t="shared" si="10"/>
        <v>20000</v>
      </c>
      <c r="I41" s="9">
        <f t="shared" si="10"/>
        <v>33461156.07312192</v>
      </c>
      <c r="J41" s="9">
        <f t="shared" si="10"/>
        <v>0</v>
      </c>
      <c r="K41" s="9">
        <f t="shared" si="10"/>
        <v>844500</v>
      </c>
      <c r="L41" s="9">
        <f t="shared" si="10"/>
        <v>658500</v>
      </c>
      <c r="M41" s="9">
        <f t="shared" si="10"/>
        <v>31000</v>
      </c>
      <c r="N41" s="9">
        <f t="shared" si="10"/>
        <v>31000</v>
      </c>
      <c r="O41" s="9">
        <f t="shared" si="10"/>
        <v>124000</v>
      </c>
      <c r="P41" s="9">
        <f t="shared" si="10"/>
        <v>3000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20000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7750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D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44"/>
  <sheetViews>
    <sheetView workbookViewId="0">
      <pane xSplit="2" ySplit="5" topLeftCell="N12" activePane="bottomRight" state="frozen"/>
      <selection activeCell="B43" sqref="B43"/>
      <selection pane="topRight" activeCell="B43" sqref="B43"/>
      <selection pane="bottomLeft" activeCell="B43" sqref="B43"/>
      <selection pane="bottomRight" activeCell="A34" sqref="A34:XFD34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77">
        <v>45552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VLOOKUP($A6,[24]HISTOSEPT24!$A$6:$BA$38,48,0)</f>
        <v>0</v>
      </c>
      <c r="F6" s="36">
        <f>MVTAOUT24!I6-E6+L6</f>
        <v>955922.72965009429</v>
      </c>
      <c r="G6" s="5">
        <f>IF(MVTAOUT24!I6+L6&gt;700000,(MVTAOUT24!I6-E6+L6),0)</f>
        <v>955922.72965009429</v>
      </c>
      <c r="H6" s="36">
        <f t="shared" ref="H6:H39" si="0">$T$41/$G$41*G6</f>
        <v>563.60146605387934</v>
      </c>
      <c r="I6" s="6">
        <f>F6+H6</f>
        <v>956486.33111614815</v>
      </c>
      <c r="J6" s="36">
        <f>VLOOKUP($A6,[24]HISTOSEPT24!$A$6:$AQ$42,22,0)</f>
        <v>0</v>
      </c>
      <c r="K6" s="36">
        <f>VLOOKUP($A6,[24]HISTOSEPT24!$A$6:$AU$38,45,0)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VLOOKUP($A6,[24]HISTOSEPT24!$A$6:$AU$38,7,0)</f>
        <v>0</v>
      </c>
      <c r="Q6" s="36">
        <f>VLOOKUP($A6,[24]HISTOSEPT24!$A$6:$AU$38,23,0)</f>
        <v>0</v>
      </c>
      <c r="R6" s="36">
        <f>VLOOKUP($A6,[24]HISTOSEPT24!$A$6:$AU$38,46,0)</f>
        <v>0</v>
      </c>
      <c r="S6" s="36">
        <f>VLOOKUP($A6,[24]HISTOSEPT24!$A$6:$AU$38,26,0)</f>
        <v>0</v>
      </c>
      <c r="T6" s="36">
        <f>VLOOKUP($A6,[24]HISTOSEPT24!$A$6:$BG$38,58,0)</f>
        <v>0</v>
      </c>
      <c r="U6" s="36">
        <f>VLOOKUP($A6,[24]HISTOSEPT24!$A$6:$AU$38,28,0)</f>
        <v>0</v>
      </c>
      <c r="V6" s="36">
        <f>VLOOKUP($A6,[24]HISTOSEPT24!$A$6:$AU$38,19,0)</f>
        <v>0</v>
      </c>
      <c r="W6" s="36">
        <f>VLOOKUP($A6,[24]HISTOSEPT24!$A$6:$AU$38,20,0)</f>
        <v>0</v>
      </c>
      <c r="X6" s="36">
        <f>VLOOKUP($A6,[24]HISTOSEPT24!$A$6:$AU$38,27,0)</f>
        <v>0</v>
      </c>
      <c r="Y6" s="36">
        <f>VLOOKUP($A6,[24]HISTOSEPT24!$A$6:$BM$38,33,0)</f>
        <v>0</v>
      </c>
      <c r="Z6" s="36">
        <f>VLOOKUP($A6,[24]HISTOSEPT24!$A$6:$BM$38,65,0)</f>
        <v>0</v>
      </c>
      <c r="AA6" s="36"/>
      <c r="AB6" s="36">
        <f>VLOOKUP($A6,[24]HISTOSEPT24!$A$6:$AU$38,43,0)</f>
        <v>0</v>
      </c>
      <c r="AC6" s="36">
        <f>VLOOKUP($A6,[24]HISTOSEPT24!$A$6:$AU$38,44,0)</f>
        <v>0</v>
      </c>
      <c r="AD6" s="36">
        <f>VLOOKUP($A6,[24]HISTOSEPT24!$A$6:$AU$38,47,0)</f>
        <v>0</v>
      </c>
      <c r="AE6" s="36">
        <f>VLOOKUP(A6,[24]HISTOSEPT24!$A$6:$BB$38,54,0)</f>
        <v>0</v>
      </c>
      <c r="AF6" s="36">
        <f>VLOOKUP($A6,[24]HISTOSEPT24!$A$6:$CB$38,60,0)</f>
        <v>6000</v>
      </c>
      <c r="AG6" s="36">
        <f>VLOOKUP($A6,[24]HISTOSEPT24!$A$6:$CB$38,61,0)</f>
        <v>0</v>
      </c>
      <c r="AH6" s="36">
        <f>VLOOKUP($A6,[24]HISTOSEPT24!$A$6:$CB$38,62,0)</f>
        <v>0</v>
      </c>
      <c r="AI6" s="36">
        <f>VLOOKUP($A6,[24]HISTOSEPT24!$A$6:$CB$38,63,0)</f>
        <v>0</v>
      </c>
      <c r="AJ6" s="36">
        <f>VLOOKUP($A6,[24]HISTOSEPT24!$A$6:$CB$38,64,0)</f>
        <v>0</v>
      </c>
      <c r="AK6" s="36">
        <f>VLOOKUP($A6,[24]HISTOSEPT24!$A$6:$CB$38,65,0)</f>
        <v>0</v>
      </c>
      <c r="AL6" s="36">
        <f>VLOOKUP($A6,[24]HISTOSEPT24!$A$6:$CB$38,66,0)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VLOOKUP($A7,[24]HISTOSEPT24!$A$6:$BA$38,48,0)</f>
        <v>0</v>
      </c>
      <c r="F7" s="36">
        <f>MVTAOUT24!I7-E7+L7</f>
        <v>870183.38830550632</v>
      </c>
      <c r="G7" s="5">
        <f>IF(MVTAOUT24!I7+L7&gt;700000,(MVTAOUT24!I7-E7+L7),0)</f>
        <v>870183.38830550632</v>
      </c>
      <c r="H7" s="36">
        <f t="shared" si="0"/>
        <v>513.05049892917054</v>
      </c>
      <c r="I7" s="6">
        <f t="shared" ref="I7:I39" si="2">F7+H7</f>
        <v>870696.43880443554</v>
      </c>
      <c r="J7" s="36">
        <f>VLOOKUP($A7,[24]HISTOSEPT24!$A$6:$AQ$42,22,0)</f>
        <v>0</v>
      </c>
      <c r="K7" s="36">
        <f>VLOOKUP($A7,[24]HISTOSEPT24!$A$6:$AU$38,45,0)</f>
        <v>24000</v>
      </c>
      <c r="L7" s="36">
        <f>IF(K7=0,0,K7-(M7+N7+O7))</f>
        <v>18000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VLOOKUP($A7,[24]HISTOSEPT24!$A$6:$AU$38,7,0)</f>
        <v>3000</v>
      </c>
      <c r="Q7" s="36">
        <f>VLOOKUP($A7,[24]HISTOSEPT24!$A$6:$AU$38,23,0)</f>
        <v>0</v>
      </c>
      <c r="R7" s="36">
        <f>VLOOKUP($A7,[24]HISTOSEPT24!$A$6:$AU$38,46,0)</f>
        <v>0</v>
      </c>
      <c r="S7" s="36">
        <f>VLOOKUP($A7,[24]HISTOSEPT24!$A$6:$AU$38,26,0)</f>
        <v>0</v>
      </c>
      <c r="T7" s="36">
        <f>VLOOKUP($A7,[24]HISTOSEPT24!$A$6:$BG$38,58,0)</f>
        <v>0</v>
      </c>
      <c r="U7" s="36">
        <f>VLOOKUP($A7,[24]HISTOSEPT24!$A$6:$AU$38,28,0)</f>
        <v>0</v>
      </c>
      <c r="V7" s="36">
        <f>VLOOKUP($A7,[24]HISTOSEPT24!$A$6:$AU$38,19,0)</f>
        <v>0</v>
      </c>
      <c r="W7" s="36">
        <f>VLOOKUP($A7,[24]HISTOSEPT24!$A$6:$AU$38,20,0)</f>
        <v>0</v>
      </c>
      <c r="X7" s="36">
        <f>VLOOKUP($A7,[24]HISTOSEPT24!$A$6:$AU$38,27,0)</f>
        <v>0</v>
      </c>
      <c r="Y7" s="36">
        <f>VLOOKUP($A7,[24]HISTOSEPT24!$A$6:$BM$38,33,0)</f>
        <v>0</v>
      </c>
      <c r="Z7" s="36">
        <f>VLOOKUP($A7,[24]HISTOSEPT24!$A$6:$BM$38,65,0)</f>
        <v>0</v>
      </c>
      <c r="AA7" s="36"/>
      <c r="AB7" s="36">
        <f>VLOOKUP($A7,[24]HISTOSEPT24!$A$6:$AU$38,43,0)</f>
        <v>0</v>
      </c>
      <c r="AC7" s="36">
        <f>VLOOKUP($A7,[24]HISTOSEPT24!$A$6:$AU$38,44,0)</f>
        <v>0</v>
      </c>
      <c r="AD7" s="36">
        <f>VLOOKUP($A7,[24]HISTOSEPT24!$A$6:$AU$38,47,0)</f>
        <v>0</v>
      </c>
      <c r="AE7" s="36">
        <f>VLOOKUP(A7,[24]HISTOSEPT24!$A$6:$BB$38,54,0)</f>
        <v>0</v>
      </c>
      <c r="AF7" s="36">
        <f>VLOOKUP($A7,[24]HISTOSEPT24!$A$6:$CB$38,60,0)</f>
        <v>0</v>
      </c>
      <c r="AG7" s="36">
        <f>VLOOKUP($A7,[24]HISTOSEPT24!$A$6:$CB$38,61,0)</f>
        <v>0</v>
      </c>
      <c r="AH7" s="36">
        <f>VLOOKUP($A7,[24]HISTOSEPT24!$A$6:$CB$38,62,0)</f>
        <v>0</v>
      </c>
      <c r="AI7" s="36">
        <f>VLOOKUP($A7,[24]HISTOSEPT24!$A$6:$CB$38,63,0)</f>
        <v>0</v>
      </c>
      <c r="AJ7" s="36">
        <f>VLOOKUP($A7,[24]HISTOSEPT24!$A$6:$CB$38,64,0)</f>
        <v>0</v>
      </c>
      <c r="AK7" s="36">
        <f>VLOOKUP($A7,[24]HISTOSEPT24!$A$6:$CB$38,65,0)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VLOOKUP($A8,[24]HISTOSEPT24!$A$6:$BA$38,48,0)</f>
        <v>0</v>
      </c>
      <c r="F8" s="36">
        <f>MVTAOUT24!I8-E8+L8</f>
        <v>924528.14888928004</v>
      </c>
      <c r="G8" s="5">
        <f>IF(MVTAOUT24!I8+L8&gt;700000,(MVTAOUT24!I8-E8+L8),0)</f>
        <v>924528.14888928004</v>
      </c>
      <c r="H8" s="36">
        <f t="shared" si="0"/>
        <v>545.09156855471792</v>
      </c>
      <c r="I8" s="6">
        <f t="shared" si="2"/>
        <v>925073.24045783479</v>
      </c>
      <c r="J8" s="36">
        <f>VLOOKUP($A8,[24]HISTOSEPT24!$A$6:$AQ$42,22,0)</f>
        <v>0</v>
      </c>
      <c r="K8" s="36">
        <f>VLOOKUP($A8,[24]HISTOSEPT24!$A$6:$AU$38,45,0)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VLOOKUP($A8,[24]HISTOSEPT24!$A$6:$AU$38,7,0)</f>
        <v>3000</v>
      </c>
      <c r="Q8" s="36">
        <f>VLOOKUP($A8,[24]HISTOSEPT24!$A$6:$AU$38,23,0)</f>
        <v>0</v>
      </c>
      <c r="R8" s="36">
        <f>VLOOKUP($A8,[24]HISTOSEPT24!$A$6:$AU$38,46,0)</f>
        <v>0</v>
      </c>
      <c r="S8" s="36">
        <f>VLOOKUP($A8,[24]HISTOSEPT24!$A$6:$AU$38,26,0)</f>
        <v>0</v>
      </c>
      <c r="T8" s="36">
        <f>VLOOKUP($A8,[24]HISTOSEPT24!$A$6:$BG$38,58,0)</f>
        <v>0</v>
      </c>
      <c r="U8" s="36">
        <f>VLOOKUP($A8,[24]HISTOSEPT24!$A$6:$AU$38,28,0)</f>
        <v>0</v>
      </c>
      <c r="V8" s="36">
        <f>VLOOKUP($A8,[24]HISTOSEPT24!$A$6:$AU$38,19,0)</f>
        <v>0</v>
      </c>
      <c r="W8" s="36">
        <f>VLOOKUP($A8,[24]HISTOSEPT24!$A$6:$AU$38,20,0)</f>
        <v>0</v>
      </c>
      <c r="X8" s="36">
        <f>VLOOKUP($A8,[24]HISTOSEPT24!$A$6:$AU$38,27,0)</f>
        <v>0</v>
      </c>
      <c r="Y8" s="36">
        <f>VLOOKUP($A8,[24]HISTOSEPT24!$A$6:$BM$38,33,0)</f>
        <v>0</v>
      </c>
      <c r="Z8" s="36">
        <f>VLOOKUP($A8,[24]HISTOSEPT24!$A$6:$BM$38,65,0)</f>
        <v>0</v>
      </c>
      <c r="AA8" s="36"/>
      <c r="AB8" s="36">
        <f>VLOOKUP($A8,[24]HISTOSEPT24!$A$6:$AU$38,43,0)</f>
        <v>0</v>
      </c>
      <c r="AC8" s="36">
        <f>VLOOKUP($A8,[24]HISTOSEPT24!$A$6:$AU$38,44,0)</f>
        <v>0</v>
      </c>
      <c r="AD8" s="36">
        <f>VLOOKUP($A8,[24]HISTOSEPT24!$A$6:$AU$38,47,0)</f>
        <v>0</v>
      </c>
      <c r="AE8" s="36">
        <f>VLOOKUP(A8,[24]HISTOSEPT24!$A$6:$BB$38,54,0)</f>
        <v>0</v>
      </c>
      <c r="AF8" s="36">
        <f>VLOOKUP($A8,[24]HISTOSEPT24!$A$6:$CB$38,60,0)</f>
        <v>0</v>
      </c>
      <c r="AG8" s="36">
        <f>VLOOKUP($A8,[24]HISTOSEPT24!$A$6:$CB$38,61,0)</f>
        <v>0</v>
      </c>
      <c r="AH8" s="36">
        <f>VLOOKUP($A8,[24]HISTOSEPT24!$A$6:$CB$38,62,0)</f>
        <v>0</v>
      </c>
      <c r="AI8" s="36">
        <f>VLOOKUP($A8,[24]HISTOSEPT24!$A$6:$CB$38,63,0)</f>
        <v>0</v>
      </c>
      <c r="AJ8" s="36">
        <f>VLOOKUP($A8,[24]HISTOSEPT24!$A$6:$CB$38,64,0)</f>
        <v>0</v>
      </c>
      <c r="AK8" s="36">
        <f>VLOOKUP($A8,[24]HISTOSEPT24!$A$6:$CB$38,65,0)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VLOOKUP($A9,[24]HISTOSEPT24!$A$6:$BA$38,48,0)</f>
        <v>0</v>
      </c>
      <c r="F9" s="36">
        <f>MVTAOUT24!I9-E9+L9</f>
        <v>977540.05253955896</v>
      </c>
      <c r="G9" s="5">
        <f>IF(MVTAOUT24!I9+L9&gt;700000,(MVTAOUT24!I9-E9+L9),0)</f>
        <v>977540.05253955896</v>
      </c>
      <c r="H9" s="36">
        <f t="shared" si="0"/>
        <v>576.34680047763766</v>
      </c>
      <c r="I9" s="6">
        <f t="shared" si="2"/>
        <v>978116.39934003656</v>
      </c>
      <c r="J9" s="36">
        <f>VLOOKUP($A9,[24]HISTOSEPT24!$A$6:$AQ$42,22,0)</f>
        <v>0</v>
      </c>
      <c r="K9" s="36">
        <f>VLOOKUP($A9,[24]HISTOSEPT24!$A$6:$AU$38,45,0)</f>
        <v>30000</v>
      </c>
      <c r="L9" s="36">
        <f t="shared" si="3"/>
        <v>24000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VLOOKUP($A9,[24]HISTOSEPT24!$A$6:$AU$38,7,0)</f>
        <v>0</v>
      </c>
      <c r="Q9" s="36">
        <f>VLOOKUP($A9,[24]HISTOSEPT24!$A$6:$AU$38,23,0)</f>
        <v>0</v>
      </c>
      <c r="R9" s="36">
        <f>VLOOKUP($A9,[24]HISTOSEPT24!$A$6:$AU$38,46,0)</f>
        <v>0</v>
      </c>
      <c r="S9" s="36">
        <f>VLOOKUP($A9,[24]HISTOSEPT24!$A$6:$AU$38,26,0)</f>
        <v>0</v>
      </c>
      <c r="T9" s="36">
        <f>VLOOKUP($A9,[24]HISTOSEPT24!$A$6:$BG$38,58,0)</f>
        <v>0</v>
      </c>
      <c r="U9" s="36">
        <f>VLOOKUP($A9,[24]HISTOSEPT24!$A$6:$AU$38,28,0)</f>
        <v>0</v>
      </c>
      <c r="V9" s="36">
        <f>VLOOKUP($A9,[24]HISTOSEPT24!$A$6:$AU$38,19,0)</f>
        <v>0</v>
      </c>
      <c r="W9" s="36">
        <f>VLOOKUP($A9,[24]HISTOSEPT24!$A$6:$AU$38,20,0)</f>
        <v>0</v>
      </c>
      <c r="X9" s="36">
        <f>VLOOKUP($A9,[24]HISTOSEPT24!$A$6:$AU$38,27,0)</f>
        <v>0</v>
      </c>
      <c r="Y9" s="36">
        <f>VLOOKUP($A9,[24]HISTOSEPT24!$A$6:$BM$38,33,0)</f>
        <v>0</v>
      </c>
      <c r="Z9" s="36">
        <f>VLOOKUP($A9,[24]HISTOSEPT24!$A$6:$BM$38,65,0)</f>
        <v>0</v>
      </c>
      <c r="AA9" s="36"/>
      <c r="AB9" s="36">
        <f>VLOOKUP($A9,[24]HISTOSEPT24!$A$6:$AU$38,43,0)</f>
        <v>0</v>
      </c>
      <c r="AC9" s="36">
        <f>VLOOKUP($A9,[24]HISTOSEPT24!$A$6:$AU$38,44,0)</f>
        <v>0</v>
      </c>
      <c r="AD9" s="36">
        <f>VLOOKUP($A9,[24]HISTOSEPT24!$A$6:$AU$38,47,0)</f>
        <v>0</v>
      </c>
      <c r="AE9" s="36">
        <f>VLOOKUP(A9,[24]HISTOSEPT24!$A$6:$BB$38,54,0)</f>
        <v>0</v>
      </c>
      <c r="AF9" s="36">
        <f>VLOOKUP($A9,[24]HISTOSEPT24!$A$6:$CB$38,60,0)</f>
        <v>0</v>
      </c>
      <c r="AG9" s="36">
        <f>VLOOKUP($A9,[24]HISTOSEPT24!$A$6:$CB$38,61,0)</f>
        <v>0</v>
      </c>
      <c r="AH9" s="36">
        <f>VLOOKUP($A9,[24]HISTOSEPT24!$A$6:$CB$38,62,0)</f>
        <v>0</v>
      </c>
      <c r="AI9" s="36">
        <f>VLOOKUP($A9,[24]HISTOSEPT24!$A$6:$CB$38,63,0)</f>
        <v>0</v>
      </c>
      <c r="AJ9" s="36">
        <f>VLOOKUP($A9,[24]HISTOSEPT24!$A$6:$CB$38,64,0)</f>
        <v>0</v>
      </c>
      <c r="AK9" s="36">
        <f>VLOOKUP($A9,[24]HISTOSEPT24!$A$6:$CB$38,65,0)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VLOOKUP($A10,[24]HISTOSEPT24!$A$6:$BA$38,48,0)</f>
        <v>0</v>
      </c>
      <c r="F10" s="36">
        <f>MVTAOUT24!I10-E10+L10</f>
        <v>923261.80984427826</v>
      </c>
      <c r="G10" s="5">
        <f>IF(MVTAOUT24!I10+L10&gt;700000,(MVTAOUT24!I10-E10+L10),0)</f>
        <v>923261.80984427826</v>
      </c>
      <c r="H10" s="36">
        <f t="shared" si="0"/>
        <v>544.34494906326017</v>
      </c>
      <c r="I10" s="6">
        <f t="shared" si="2"/>
        <v>923806.15479334153</v>
      </c>
      <c r="J10" s="36">
        <f>VLOOKUP($A10,[24]HISTOSEPT24!$A$6:$AQ$42,22,0)</f>
        <v>0</v>
      </c>
      <c r="K10" s="36">
        <f>VLOOKUP($A10,[24]HISTOSEPT24!$A$6:$AU$38,45,0)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VLOOKUP($A10,[24]HISTOSEPT24!$A$6:$AU$38,7,0)</f>
        <v>3000</v>
      </c>
      <c r="Q10" s="36">
        <f>VLOOKUP($A10,[24]HISTOSEPT24!$A$6:$AU$38,23,0)</f>
        <v>0</v>
      </c>
      <c r="R10" s="36">
        <f>VLOOKUP($A10,[24]HISTOSEPT24!$A$6:$AU$38,46,0)</f>
        <v>0</v>
      </c>
      <c r="S10" s="36">
        <f>VLOOKUP($A10,[24]HISTOSEPT24!$A$6:$AU$38,26,0)</f>
        <v>0</v>
      </c>
      <c r="T10" s="36">
        <f>VLOOKUP($A10,[24]HISTOSEPT24!$A$6:$BG$38,58,0)</f>
        <v>0</v>
      </c>
      <c r="U10" s="36">
        <f>VLOOKUP($A10,[24]HISTOSEPT24!$A$6:$AU$38,28,0)</f>
        <v>0</v>
      </c>
      <c r="V10" s="36">
        <f>VLOOKUP($A10,[24]HISTOSEPT24!$A$6:$AU$38,19,0)</f>
        <v>0</v>
      </c>
      <c r="W10" s="36">
        <f>VLOOKUP($A10,[24]HISTOSEPT24!$A$6:$AU$38,20,0)</f>
        <v>0</v>
      </c>
      <c r="X10" s="36">
        <f>VLOOKUP($A10,[24]HISTOSEPT24!$A$6:$AU$38,27,0)</f>
        <v>0</v>
      </c>
      <c r="Y10" s="36">
        <f>VLOOKUP($A10,[24]HISTOSEPT24!$A$6:$BM$38,33,0)</f>
        <v>0</v>
      </c>
      <c r="Z10" s="36">
        <f>VLOOKUP($A10,[24]HISTOSEPT24!$A$6:$BM$38,65,0)</f>
        <v>0</v>
      </c>
      <c r="AA10" s="36"/>
      <c r="AB10" s="36">
        <f>VLOOKUP($A10,[24]HISTOSEPT24!$A$6:$AU$38,43,0)</f>
        <v>0</v>
      </c>
      <c r="AC10" s="36">
        <f>VLOOKUP($A10,[24]HISTOSEPT24!$A$6:$AU$38,44,0)</f>
        <v>0</v>
      </c>
      <c r="AD10" s="36">
        <f>VLOOKUP($A10,[24]HISTOSEPT24!$A$6:$AU$38,47,0)</f>
        <v>0</v>
      </c>
      <c r="AE10" s="36">
        <f>VLOOKUP(A10,[24]HISTOSEPT24!$A$6:$BB$38,54,0)</f>
        <v>0</v>
      </c>
      <c r="AF10" s="36">
        <f>VLOOKUP($A10,[24]HISTOSEPT24!$A$6:$CB$38,60,0)</f>
        <v>0</v>
      </c>
      <c r="AG10" s="36">
        <f>VLOOKUP($A10,[24]HISTOSEPT24!$A$6:$CB$38,61,0)</f>
        <v>0</v>
      </c>
      <c r="AH10" s="36">
        <f>VLOOKUP($A10,[24]HISTOSEPT24!$A$6:$CB$38,62,0)</f>
        <v>0</v>
      </c>
      <c r="AI10" s="36">
        <f>VLOOKUP($A10,[24]HISTOSEPT24!$A$6:$CB$38,63,0)</f>
        <v>0</v>
      </c>
      <c r="AJ10" s="36">
        <f>VLOOKUP($A10,[24]HISTOSEPT24!$A$6:$CB$38,64,0)</f>
        <v>0</v>
      </c>
      <c r="AK10" s="36">
        <f>VLOOKUP($A10,[24]HISTOSEPT24!$A$6:$CB$38,65,0)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VLOOKUP($A11,[24]HISTOSEPT24!$A$6:$BA$38,48,0)</f>
        <v>0</v>
      </c>
      <c r="F11" s="36">
        <f>MVTAOUT24!I11-E11+L11</f>
        <v>952625.38395379204</v>
      </c>
      <c r="G11" s="5">
        <f>IF(MVTAOUT24!I11+L11&gt;700000,(MVTAOUT24!I11-E11+L11),0)</f>
        <v>952625.38395379204</v>
      </c>
      <c r="H11" s="36">
        <f t="shared" si="0"/>
        <v>561.65738750978755</v>
      </c>
      <c r="I11" s="6">
        <f t="shared" si="2"/>
        <v>953187.04134130187</v>
      </c>
      <c r="J11" s="36">
        <f>VLOOKUP($A11,[24]HISTOSEPT24!$A$6:$AQ$42,22,0)</f>
        <v>0</v>
      </c>
      <c r="K11" s="36">
        <f>VLOOKUP($A11,[24]HISTOSEPT24!$A$6:$AU$38,45,0)</f>
        <v>27500</v>
      </c>
      <c r="L11" s="36">
        <f t="shared" si="3"/>
        <v>21500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VLOOKUP($A11,[24]HISTOSEPT24!$A$6:$AU$38,7,0)</f>
        <v>0</v>
      </c>
      <c r="Q11" s="36">
        <f>VLOOKUP($A11,[24]HISTOSEPT24!$A$6:$AU$38,23,0)</f>
        <v>0</v>
      </c>
      <c r="R11" s="36">
        <f>VLOOKUP($A11,[24]HISTOSEPT24!$A$6:$AU$38,46,0)</f>
        <v>0</v>
      </c>
      <c r="S11" s="36">
        <f>VLOOKUP($A11,[24]HISTOSEPT24!$A$6:$AU$38,26,0)</f>
        <v>0</v>
      </c>
      <c r="T11" s="36">
        <f>VLOOKUP($A11,[24]HISTOSEPT24!$A$6:$BG$38,58,0)</f>
        <v>0</v>
      </c>
      <c r="U11" s="36">
        <f>VLOOKUP($A11,[24]HISTOSEPT24!$A$6:$AU$38,28,0)</f>
        <v>0</v>
      </c>
      <c r="V11" s="36">
        <f>VLOOKUP($A11,[24]HISTOSEPT24!$A$6:$AU$38,19,0)</f>
        <v>0</v>
      </c>
      <c r="W11" s="36">
        <f>VLOOKUP($A11,[24]HISTOSEPT24!$A$6:$AU$38,20,0)</f>
        <v>0</v>
      </c>
      <c r="X11" s="36">
        <f>VLOOKUP($A11,[24]HISTOSEPT24!$A$6:$AU$38,27,0)</f>
        <v>0</v>
      </c>
      <c r="Y11" s="36">
        <f>VLOOKUP($A11,[24]HISTOSEPT24!$A$6:$BM$38,33,0)</f>
        <v>0</v>
      </c>
      <c r="Z11" s="36">
        <f>VLOOKUP($A11,[24]HISTOSEPT24!$A$6:$BM$38,65,0)</f>
        <v>0</v>
      </c>
      <c r="AA11" s="36"/>
      <c r="AB11" s="36">
        <f>VLOOKUP($A11,[24]HISTOSEPT24!$A$6:$AU$38,43,0)</f>
        <v>0</v>
      </c>
      <c r="AC11" s="36">
        <f>VLOOKUP($A11,[24]HISTOSEPT24!$A$6:$AU$38,44,0)</f>
        <v>0</v>
      </c>
      <c r="AD11" s="36">
        <f>VLOOKUP($A11,[24]HISTOSEPT24!$A$6:$AU$38,47,0)</f>
        <v>0</v>
      </c>
      <c r="AE11" s="36">
        <f>VLOOKUP(A11,[24]HISTOSEPT24!$A$6:$BB$38,54,0)</f>
        <v>0</v>
      </c>
      <c r="AF11" s="36">
        <f>VLOOKUP($A11,[24]HISTOSEPT24!$A$6:$CB$38,60,0)</f>
        <v>0</v>
      </c>
      <c r="AG11" s="36">
        <f>VLOOKUP($A11,[24]HISTOSEPT24!$A$6:$CB$38,61,0)</f>
        <v>0</v>
      </c>
      <c r="AH11" s="36">
        <f>VLOOKUP($A11,[24]HISTOSEPT24!$A$6:$CB$38,62,0)</f>
        <v>0</v>
      </c>
      <c r="AI11" s="36">
        <f>VLOOKUP($A11,[24]HISTOSEPT24!$A$6:$CB$38,63,0)</f>
        <v>0</v>
      </c>
      <c r="AJ11" s="36">
        <f>VLOOKUP($A11,[24]HISTOSEPT24!$A$6:$CB$38,64,0)</f>
        <v>0</v>
      </c>
      <c r="AK11" s="36">
        <f>VLOOKUP($A11,[24]HISTOSEPT24!$A$6:$CB$38,65,0)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VLOOKUP($A12,[24]HISTOSEPT24!$A$6:$BA$38,48,0)</f>
        <v>0</v>
      </c>
      <c r="F12" s="36">
        <f>MVTAOUT24!I12-E12+L12</f>
        <v>994290.39255500829</v>
      </c>
      <c r="G12" s="5">
        <f>IF(MVTAOUT24!I12+L12&gt;700000,(MVTAOUT24!I12-E12+L12),0)</f>
        <v>994290.39255500829</v>
      </c>
      <c r="H12" s="36">
        <f t="shared" si="0"/>
        <v>586.22261564217899</v>
      </c>
      <c r="I12" s="6">
        <f t="shared" si="2"/>
        <v>994876.61517065042</v>
      </c>
      <c r="J12" s="36">
        <f>VLOOKUP($A12,[24]HISTOSEPT24!$A$6:$AQ$42,22,0)</f>
        <v>0</v>
      </c>
      <c r="K12" s="36">
        <f>VLOOKUP($A12,[24]HISTOSEPT24!$A$6:$AU$38,45,0)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VLOOKUP($A12,[24]HISTOSEPT24!$A$6:$AU$38,7,0)</f>
        <v>0</v>
      </c>
      <c r="Q12" s="36">
        <f>VLOOKUP($A12,[24]HISTOSEPT24!$A$6:$AU$38,23,0)</f>
        <v>0</v>
      </c>
      <c r="R12" s="36">
        <f>VLOOKUP($A12,[24]HISTOSEPT24!$A$6:$AU$38,46,0)</f>
        <v>0</v>
      </c>
      <c r="S12" s="36">
        <f>VLOOKUP($A12,[24]HISTOSEPT24!$A$6:$AU$38,26,0)</f>
        <v>0</v>
      </c>
      <c r="T12" s="36">
        <f>VLOOKUP($A12,[24]HISTOSEPT24!$A$6:$BG$38,58,0)</f>
        <v>0</v>
      </c>
      <c r="U12" s="36">
        <f>VLOOKUP($A12,[24]HISTOSEPT24!$A$6:$AU$38,28,0)</f>
        <v>0</v>
      </c>
      <c r="V12" s="36">
        <f>VLOOKUP($A12,[24]HISTOSEPT24!$A$6:$AU$38,19,0)</f>
        <v>0</v>
      </c>
      <c r="W12" s="36">
        <f>VLOOKUP($A12,[24]HISTOSEPT24!$A$6:$AU$38,20,0)</f>
        <v>0</v>
      </c>
      <c r="X12" s="36">
        <f>VLOOKUP($A12,[24]HISTOSEPT24!$A$6:$AU$38,27,0)</f>
        <v>0</v>
      </c>
      <c r="Y12" s="36">
        <f>VLOOKUP($A12,[24]HISTOSEPT24!$A$6:$BM$38,33,0)</f>
        <v>0</v>
      </c>
      <c r="Z12" s="36">
        <f>VLOOKUP($A12,[24]HISTOSEPT24!$A$6:$BM$38,65,0)</f>
        <v>0</v>
      </c>
      <c r="AA12" s="36"/>
      <c r="AB12" s="36">
        <f>VLOOKUP($A12,[24]HISTOSEPT24!$A$6:$AU$38,43,0)</f>
        <v>0</v>
      </c>
      <c r="AC12" s="36">
        <f>VLOOKUP($A12,[24]HISTOSEPT24!$A$6:$AU$38,44,0)</f>
        <v>0</v>
      </c>
      <c r="AD12" s="36">
        <f>VLOOKUP($A12,[24]HISTOSEPT24!$A$6:$AU$38,47,0)</f>
        <v>0</v>
      </c>
      <c r="AE12" s="36">
        <f>VLOOKUP(A12,[24]HISTOSEPT24!$A$6:$BB$38,54,0)</f>
        <v>0</v>
      </c>
      <c r="AF12" s="36">
        <f>VLOOKUP($A12,[24]HISTOSEPT24!$A$6:$CB$38,60,0)</f>
        <v>0</v>
      </c>
      <c r="AG12" s="36">
        <f>VLOOKUP($A12,[24]HISTOSEPT24!$A$6:$CB$38,61,0)</f>
        <v>0</v>
      </c>
      <c r="AH12" s="36">
        <f>VLOOKUP($A12,[24]HISTOSEPT24!$A$6:$CB$38,62,0)</f>
        <v>0</v>
      </c>
      <c r="AI12" s="36">
        <f>VLOOKUP($A12,[24]HISTOSEPT24!$A$6:$CB$38,63,0)</f>
        <v>0</v>
      </c>
      <c r="AJ12" s="36">
        <f>VLOOKUP($A12,[24]HISTOSEPT24!$A$6:$CB$38,64,0)</f>
        <v>0</v>
      </c>
      <c r="AK12" s="36">
        <f>VLOOKUP($A12,[24]HISTOSEPT24!$A$6:$CB$38,65,0)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VLOOKUP($A13,[24]HISTOSEPT24!$A$6:$BA$38,48,0)</f>
        <v>0</v>
      </c>
      <c r="F13" s="36">
        <f>MVTAOUT24!I13-E13+L13</f>
        <v>927584.90412613039</v>
      </c>
      <c r="G13" s="5">
        <f>IF(MVTAOUT24!I13+L13&gt;700000,(MVTAOUT24!I13-E13+L13),0)</f>
        <v>927584.90412613039</v>
      </c>
      <c r="H13" s="36">
        <f t="shared" si="0"/>
        <v>546.8937976255628</v>
      </c>
      <c r="I13" s="6">
        <f t="shared" si="2"/>
        <v>928131.79792375595</v>
      </c>
      <c r="J13" s="36">
        <f>VLOOKUP($A13,[24]HISTOSEPT24!$A$6:$AQ$42,22,0)</f>
        <v>0</v>
      </c>
      <c r="K13" s="36">
        <f>VLOOKUP($A13,[24]HISTOSEPT24!$A$6:$AU$38,45,0)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VLOOKUP($A13,[24]HISTOSEPT24!$A$6:$AU$38,7,0)</f>
        <v>0</v>
      </c>
      <c r="Q13" s="36">
        <f>VLOOKUP($A13,[24]HISTOSEPT24!$A$6:$AU$38,23,0)</f>
        <v>0</v>
      </c>
      <c r="R13" s="36">
        <f>VLOOKUP($A13,[24]HISTOSEPT24!$A$6:$AU$38,46,0)</f>
        <v>0</v>
      </c>
      <c r="S13" s="36">
        <f>VLOOKUP($A13,[24]HISTOSEPT24!$A$6:$AU$38,26,0)</f>
        <v>0</v>
      </c>
      <c r="T13" s="36">
        <f>VLOOKUP($A13,[24]HISTOSEPT24!$A$6:$BG$38,58,0)</f>
        <v>0</v>
      </c>
      <c r="U13" s="36">
        <f>VLOOKUP($A13,[24]HISTOSEPT24!$A$6:$AU$38,28,0)</f>
        <v>0</v>
      </c>
      <c r="V13" s="36">
        <f>VLOOKUP($A13,[24]HISTOSEPT24!$A$6:$AU$38,19,0)</f>
        <v>0</v>
      </c>
      <c r="W13" s="36">
        <f>VLOOKUP($A13,[24]HISTOSEPT24!$A$6:$AU$38,20,0)</f>
        <v>0</v>
      </c>
      <c r="X13" s="36">
        <f>VLOOKUP($A13,[24]HISTOSEPT24!$A$6:$AU$38,27,0)</f>
        <v>0</v>
      </c>
      <c r="Y13" s="36">
        <f>VLOOKUP($A13,[24]HISTOSEPT24!$A$6:$BM$38,33,0)</f>
        <v>0</v>
      </c>
      <c r="Z13" s="36">
        <f>VLOOKUP($A13,[24]HISTOSEPT24!$A$6:$BM$38,65,0)</f>
        <v>0</v>
      </c>
      <c r="AA13" s="36"/>
      <c r="AB13" s="36">
        <f>VLOOKUP($A13,[24]HISTOSEPT24!$A$6:$AU$38,43,0)</f>
        <v>0</v>
      </c>
      <c r="AC13" s="36">
        <f>VLOOKUP($A13,[24]HISTOSEPT24!$A$6:$AU$38,44,0)</f>
        <v>0</v>
      </c>
      <c r="AD13" s="36">
        <f>VLOOKUP($A13,[24]HISTOSEPT24!$A$6:$AU$38,47,0)</f>
        <v>0</v>
      </c>
      <c r="AE13" s="36">
        <f>VLOOKUP(A13,[24]HISTOSEPT24!$A$6:$BB$38,54,0)</f>
        <v>0</v>
      </c>
      <c r="AF13" s="36">
        <f>VLOOKUP($A13,[24]HISTOSEPT24!$A$6:$CB$38,60,0)</f>
        <v>0</v>
      </c>
      <c r="AG13" s="36">
        <f>VLOOKUP($A13,[24]HISTOSEPT24!$A$6:$CB$38,61,0)</f>
        <v>0</v>
      </c>
      <c r="AH13" s="36">
        <f>VLOOKUP($A13,[24]HISTOSEPT24!$A$6:$CB$38,62,0)</f>
        <v>0</v>
      </c>
      <c r="AI13" s="36">
        <f>VLOOKUP($A13,[24]HISTOSEPT24!$A$6:$CB$38,63,0)</f>
        <v>0</v>
      </c>
      <c r="AJ13" s="36">
        <f>VLOOKUP($A13,[24]HISTOSEPT24!$A$6:$CB$38,64,0)</f>
        <v>0</v>
      </c>
      <c r="AK13" s="36">
        <f>VLOOKUP($A13,[24]HISTOSEPT24!$A$6:$CB$38,65,0)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VLOOKUP($A14,[24]HISTOSEPT24!$A$6:$BA$38,48,0)</f>
        <v>0</v>
      </c>
      <c r="F14" s="36">
        <f>MVTAOUT24!I14-E14+L14</f>
        <v>1486124.6407039976</v>
      </c>
      <c r="G14" s="5">
        <f>IF(MVTAOUT24!I14+L14&gt;700000,(MVTAOUT24!I14-E14+L14),0)</f>
        <v>1486124.6407039976</v>
      </c>
      <c r="H14" s="36">
        <f t="shared" si="0"/>
        <v>876.20264720157456</v>
      </c>
      <c r="I14" s="6">
        <f t="shared" si="2"/>
        <v>1487000.8433511991</v>
      </c>
      <c r="J14" s="36">
        <f>VLOOKUP($A14,[24]HISTOSEPT24!$A$6:$AQ$42,22,0)</f>
        <v>0</v>
      </c>
      <c r="K14" s="36">
        <f>VLOOKUP($A14,[24]HISTOSEPT24!$A$6:$AU$38,45,0)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VLOOKUP($A14,[24]HISTOSEPT24!$A$6:$AU$38,7,0)</f>
        <v>0</v>
      </c>
      <c r="Q14" s="36">
        <f>VLOOKUP($A14,[24]HISTOSEPT24!$A$6:$AU$38,23,0)</f>
        <v>0</v>
      </c>
      <c r="R14" s="36">
        <f>VLOOKUP($A14,[24]HISTOSEPT24!$A$6:$AU$38,46,0)</f>
        <v>0</v>
      </c>
      <c r="S14" s="36">
        <f>VLOOKUP($A14,[24]HISTOSEPT24!$A$6:$AU$38,26,0)</f>
        <v>0</v>
      </c>
      <c r="T14" s="36">
        <f>VLOOKUP($A14,[24]HISTOSEPT24!$A$6:$BG$38,58,0)</f>
        <v>0</v>
      </c>
      <c r="U14" s="36">
        <f>VLOOKUP($A14,[24]HISTOSEPT24!$A$6:$AU$38,28,0)</f>
        <v>0</v>
      </c>
      <c r="V14" s="36">
        <f>VLOOKUP($A14,[24]HISTOSEPT24!$A$6:$AU$38,19,0)</f>
        <v>0</v>
      </c>
      <c r="W14" s="36">
        <f>VLOOKUP($A14,[24]HISTOSEPT24!$A$6:$AU$38,20,0)</f>
        <v>0</v>
      </c>
      <c r="X14" s="36">
        <f>VLOOKUP($A14,[24]HISTOSEPT24!$A$6:$AU$38,27,0)</f>
        <v>0</v>
      </c>
      <c r="Y14" s="36">
        <f>VLOOKUP($A14,[24]HISTOSEPT24!$A$6:$BM$38,33,0)</f>
        <v>0</v>
      </c>
      <c r="Z14" s="36">
        <f>VLOOKUP($A14,[24]HISTOSEPT24!$A$6:$BM$38,65,0)</f>
        <v>0</v>
      </c>
      <c r="AA14" s="36"/>
      <c r="AB14" s="36">
        <f>VLOOKUP($A14,[24]HISTOSEPT24!$A$6:$AU$38,43,0)</f>
        <v>0</v>
      </c>
      <c r="AC14" s="36">
        <f>VLOOKUP($A14,[24]HISTOSEPT24!$A$6:$AU$38,44,0)</f>
        <v>0</v>
      </c>
      <c r="AD14" s="36">
        <f>VLOOKUP($A14,[24]HISTOSEPT24!$A$6:$AU$38,47,0)</f>
        <v>0</v>
      </c>
      <c r="AE14" s="36">
        <f>VLOOKUP(A14,[24]HISTOSEPT24!$A$6:$BB$38,54,0)</f>
        <v>0</v>
      </c>
      <c r="AF14" s="36">
        <f>VLOOKUP($A14,[24]HISTOSEPT24!$A$6:$CB$38,60,0)</f>
        <v>0</v>
      </c>
      <c r="AG14" s="36">
        <f>VLOOKUP($A14,[24]HISTOSEPT24!$A$6:$CB$38,61,0)</f>
        <v>0</v>
      </c>
      <c r="AH14" s="36">
        <f>VLOOKUP($A14,[24]HISTOSEPT24!$A$6:$CB$38,62,0)</f>
        <v>0</v>
      </c>
      <c r="AI14" s="36">
        <f>VLOOKUP($A14,[24]HISTOSEPT24!$A$6:$CB$38,63,0)</f>
        <v>0</v>
      </c>
      <c r="AJ14" s="36">
        <f>VLOOKUP($A14,[24]HISTOSEPT24!$A$6:$CB$38,64,0)</f>
        <v>0</v>
      </c>
      <c r="AK14" s="36">
        <f>VLOOKUP($A14,[24]HISTOSEPT24!$A$6:$CB$38,65,0)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VLOOKUP($A15,[24]HISTOSEPT24!$A$6:$BA$38,48,0)</f>
        <v>0</v>
      </c>
      <c r="F15" s="36">
        <f>MVTAOUT24!I15-E15+L15</f>
        <v>989972.58343795547</v>
      </c>
      <c r="G15" s="5">
        <f>IF(MVTAOUT24!I15+L15&gt;700000,(MVTAOUT24!I15-E15+L15),0)</f>
        <v>989972.58343795547</v>
      </c>
      <c r="H15" s="36">
        <f t="shared" si="0"/>
        <v>583.67688315457247</v>
      </c>
      <c r="I15" s="6">
        <f t="shared" si="2"/>
        <v>990556.26032111002</v>
      </c>
      <c r="J15" s="36">
        <f>VLOOKUP($A15,[24]HISTOSEPT24!$A$6:$AQ$42,22,0)</f>
        <v>0</v>
      </c>
      <c r="K15" s="36">
        <f>VLOOKUP($A15,[24]HISTOSEPT24!$A$6:$AU$38,45,0)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VLOOKUP($A15,[24]HISTOSEPT24!$A$6:$AU$38,7,0)</f>
        <v>0</v>
      </c>
      <c r="Q15" s="36">
        <f>VLOOKUP($A15,[24]HISTOSEPT24!$A$6:$AU$38,23,0)</f>
        <v>0</v>
      </c>
      <c r="R15" s="36">
        <f>VLOOKUP($A15,[24]HISTOSEPT24!$A$6:$AU$38,46,0)</f>
        <v>0</v>
      </c>
      <c r="S15" s="36">
        <f>VLOOKUP($A15,[24]HISTOSEPT24!$A$6:$AU$38,26,0)</f>
        <v>0</v>
      </c>
      <c r="T15" s="36">
        <f>VLOOKUP($A15,[24]HISTOSEPT24!$A$6:$BG$38,58,0)</f>
        <v>0</v>
      </c>
      <c r="U15" s="36">
        <f>VLOOKUP($A15,[24]HISTOSEPT24!$A$6:$AU$38,28,0)</f>
        <v>0</v>
      </c>
      <c r="V15" s="36">
        <f>VLOOKUP($A15,[24]HISTOSEPT24!$A$6:$AU$38,19,0)</f>
        <v>0</v>
      </c>
      <c r="W15" s="36">
        <f>VLOOKUP($A15,[24]HISTOSEPT24!$A$6:$AU$38,20,0)</f>
        <v>0</v>
      </c>
      <c r="X15" s="36">
        <f>VLOOKUP($A15,[24]HISTOSEPT24!$A$6:$AU$38,27,0)</f>
        <v>0</v>
      </c>
      <c r="Y15" s="36">
        <f>VLOOKUP($A15,[24]HISTOSEPT24!$A$6:$BM$38,33,0)</f>
        <v>0</v>
      </c>
      <c r="Z15" s="36">
        <f>VLOOKUP($A15,[24]HISTOSEPT24!$A$6:$BM$38,65,0)</f>
        <v>0</v>
      </c>
      <c r="AA15" s="36"/>
      <c r="AB15" s="36">
        <f>VLOOKUP($A15,[24]HISTOSEPT24!$A$6:$AU$38,43,0)</f>
        <v>0</v>
      </c>
      <c r="AC15" s="36">
        <f>VLOOKUP($A15,[24]HISTOSEPT24!$A$6:$AU$38,44,0)</f>
        <v>0</v>
      </c>
      <c r="AD15" s="36">
        <f>VLOOKUP($A15,[24]HISTOSEPT24!$A$6:$AU$38,47,0)</f>
        <v>0</v>
      </c>
      <c r="AE15" s="36">
        <f>VLOOKUP(A15,[24]HISTOSEPT24!$A$6:$BB$38,54,0)</f>
        <v>0</v>
      </c>
      <c r="AF15" s="36">
        <f>VLOOKUP($A15,[24]HISTOSEPT24!$A$6:$CB$38,60,0)</f>
        <v>0</v>
      </c>
      <c r="AG15" s="36">
        <f>VLOOKUP($A15,[24]HISTOSEPT24!$A$6:$CB$38,61,0)</f>
        <v>0</v>
      </c>
      <c r="AH15" s="36">
        <f>VLOOKUP($A15,[24]HISTOSEPT24!$A$6:$CB$38,62,0)</f>
        <v>0</v>
      </c>
      <c r="AI15" s="36">
        <f>VLOOKUP($A15,[24]HISTOSEPT24!$A$6:$CB$38,63,0)</f>
        <v>0</v>
      </c>
      <c r="AJ15" s="36">
        <f>VLOOKUP($A15,[24]HISTOSEPT24!$A$6:$CB$38,64,0)</f>
        <v>0</v>
      </c>
      <c r="AK15" s="36">
        <f>VLOOKUP($A15,[24]HISTOSEPT24!$A$6:$CB$38,65,0)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VLOOKUP($A16,[24]HISTOSEPT24!$A$6:$BA$38,48,0)</f>
        <v>0</v>
      </c>
      <c r="F16" s="36">
        <f>MVTAOUT24!I16-E16+L16</f>
        <v>1246637.0782100232</v>
      </c>
      <c r="G16" s="5">
        <f>IF(MVTAOUT24!I16+L16&gt;700000,(MVTAOUT24!I16-E16+L16),0)</f>
        <v>1246637.0782100232</v>
      </c>
      <c r="H16" s="36">
        <f t="shared" si="0"/>
        <v>735.00342979968229</v>
      </c>
      <c r="I16" s="6">
        <f t="shared" si="2"/>
        <v>1247372.0816398228</v>
      </c>
      <c r="J16" s="36">
        <f>VLOOKUP($A16,[24]HISTOSEPT24!$A$6:$AQ$42,22,0)</f>
        <v>0</v>
      </c>
      <c r="K16" s="36">
        <f>VLOOKUP($A16,[24]HISTOSEPT24!$A$6:$AU$38,45,0)</f>
        <v>50000</v>
      </c>
      <c r="L16" s="36">
        <f t="shared" si="3"/>
        <v>44000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VLOOKUP($A16,[24]HISTOSEPT24!$A$6:$AU$38,7,0)</f>
        <v>0</v>
      </c>
      <c r="Q16" s="36">
        <f>VLOOKUP($A16,[24]HISTOSEPT24!$A$6:$AU$38,23,0)</f>
        <v>0</v>
      </c>
      <c r="R16" s="36">
        <f>VLOOKUP($A16,[24]HISTOSEPT24!$A$6:$AU$38,46,0)</f>
        <v>0</v>
      </c>
      <c r="S16" s="36">
        <f>VLOOKUP($A16,[24]HISTOSEPT24!$A$6:$AU$38,26,0)</f>
        <v>1000000</v>
      </c>
      <c r="T16" s="36">
        <f>VLOOKUP($A16,[24]HISTOSEPT24!$A$6:$BG$38,58,0)</f>
        <v>20000</v>
      </c>
      <c r="U16" s="36">
        <f>VLOOKUP($A16,[24]HISTOSEPT24!$A$6:$AU$38,28,0)</f>
        <v>0</v>
      </c>
      <c r="V16" s="36">
        <f>VLOOKUP($A16,[24]HISTOSEPT24!$A$6:$AU$38,19,0)</f>
        <v>0</v>
      </c>
      <c r="W16" s="36">
        <f>VLOOKUP($A16,[24]HISTOSEPT24!$A$6:$AU$38,20,0)</f>
        <v>0</v>
      </c>
      <c r="X16" s="36" t="str">
        <f>VLOOKUP($A16,[24]HISTOSEPT24!$A$6:$AU$38,27,0)</f>
        <v>BANQUE</v>
      </c>
      <c r="Y16" s="36">
        <f>VLOOKUP($A16,[24]HISTOSEPT24!$A$6:$BM$38,33,0)</f>
        <v>0</v>
      </c>
      <c r="Z16" s="36">
        <f>VLOOKUP($A16,[24]HISTOSEPT24!$A$6:$BM$38,65,0)</f>
        <v>0</v>
      </c>
      <c r="AA16" s="36"/>
      <c r="AB16" s="36">
        <f>VLOOKUP($A16,[24]HISTOSEPT24!$A$6:$AU$38,43,0)</f>
        <v>0</v>
      </c>
      <c r="AC16" s="36">
        <f>VLOOKUP($A16,[24]HISTOSEPT24!$A$6:$AU$38,44,0)</f>
        <v>0</v>
      </c>
      <c r="AD16" s="36">
        <f>VLOOKUP($A16,[24]HISTOSEPT24!$A$6:$AU$38,47,0)</f>
        <v>0</v>
      </c>
      <c r="AE16" s="36">
        <f>VLOOKUP(A16,[24]HISTOSEPT24!$A$6:$BB$38,54,0)</f>
        <v>0</v>
      </c>
      <c r="AF16" s="36">
        <f>VLOOKUP($A16,[24]HISTOSEPT24!$A$6:$CB$38,60,0)</f>
        <v>0</v>
      </c>
      <c r="AG16" s="36">
        <f>VLOOKUP($A16,[24]HISTOSEPT24!$A$6:$CB$38,61,0)</f>
        <v>0</v>
      </c>
      <c r="AH16" s="36">
        <f>VLOOKUP($A16,[24]HISTOSEPT24!$A$6:$CB$38,62,0)</f>
        <v>0</v>
      </c>
      <c r="AI16" s="36">
        <f>VLOOKUP($A16,[24]HISTOSEPT24!$A$6:$CB$38,63,0)</f>
        <v>0</v>
      </c>
      <c r="AJ16" s="36">
        <f>VLOOKUP($A16,[24]HISTOSEPT24!$A$6:$CB$38,64,0)</f>
        <v>0</v>
      </c>
      <c r="AK16" s="36">
        <f>VLOOKUP($A16,[24]HISTOSEPT24!$A$6:$CB$38,65,0)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VLOOKUP($A17,[24]HISTOSEPT24!$A$6:$BA$38,48,0)</f>
        <v>0</v>
      </c>
      <c r="F17" s="36">
        <f>MVTAOUT24!I17-E17+L17</f>
        <v>927534.5577767716</v>
      </c>
      <c r="G17" s="5">
        <f>IF(MVTAOUT24!I17+L17&gt;700000,(MVTAOUT24!I17-E17+L17),0)</f>
        <v>927534.5577767716</v>
      </c>
      <c r="H17" s="36">
        <f t="shared" si="0"/>
        <v>546.86411397496113</v>
      </c>
      <c r="I17" s="6">
        <f t="shared" si="2"/>
        <v>928081.42189074657</v>
      </c>
      <c r="J17" s="36">
        <f>VLOOKUP($A17,[24]HISTOSEPT24!$A$6:$AQ$42,22,0)</f>
        <v>0</v>
      </c>
      <c r="K17" s="36">
        <f>VLOOKUP($A17,[24]HISTOSEPT24!$A$6:$AU$38,45,0)</f>
        <v>19500</v>
      </c>
      <c r="L17" s="36">
        <f t="shared" si="3"/>
        <v>13500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VLOOKUP($A17,[24]HISTOSEPT24!$A$6:$AU$38,7,0)</f>
        <v>3000</v>
      </c>
      <c r="Q17" s="36">
        <f>VLOOKUP($A17,[24]HISTOSEPT24!$A$6:$AU$38,23,0)</f>
        <v>0</v>
      </c>
      <c r="R17" s="36">
        <f>VLOOKUP($A17,[24]HISTOSEPT24!$A$6:$AU$38,46,0)</f>
        <v>0</v>
      </c>
      <c r="S17" s="36">
        <f>VLOOKUP($A17,[24]HISTOSEPT24!$A$6:$AU$38,26,0)</f>
        <v>0</v>
      </c>
      <c r="T17" s="36">
        <f>VLOOKUP($A17,[24]HISTOSEPT24!$A$6:$BG$38,58,0)</f>
        <v>0</v>
      </c>
      <c r="U17" s="36">
        <f>VLOOKUP($A17,[24]HISTOSEPT24!$A$6:$AU$38,28,0)</f>
        <v>0</v>
      </c>
      <c r="V17" s="36">
        <f>VLOOKUP($A17,[24]HISTOSEPT24!$A$6:$AU$38,19,0)</f>
        <v>0</v>
      </c>
      <c r="W17" s="36">
        <f>VLOOKUP($A17,[24]HISTOSEPT24!$A$6:$AU$38,20,0)</f>
        <v>0</v>
      </c>
      <c r="X17" s="36">
        <f>VLOOKUP($A17,[24]HISTOSEPT24!$A$6:$AU$38,27,0)</f>
        <v>0</v>
      </c>
      <c r="Y17" s="36">
        <f>VLOOKUP($A17,[24]HISTOSEPT24!$A$6:$BM$38,33,0)</f>
        <v>0</v>
      </c>
      <c r="Z17" s="36">
        <f>VLOOKUP($A17,[24]HISTOSEPT24!$A$6:$BM$38,65,0)</f>
        <v>0</v>
      </c>
      <c r="AA17" s="36"/>
      <c r="AB17" s="36">
        <f>VLOOKUP($A17,[24]HISTOSEPT24!$A$6:$AU$38,43,0)</f>
        <v>0</v>
      </c>
      <c r="AC17" s="36">
        <f>VLOOKUP($A17,[24]HISTOSEPT24!$A$6:$AU$38,44,0)</f>
        <v>0</v>
      </c>
      <c r="AD17" s="36">
        <f>VLOOKUP($A17,[24]HISTOSEPT24!$A$6:$AU$38,47,0)</f>
        <v>0</v>
      </c>
      <c r="AE17" s="36">
        <f>VLOOKUP(A17,[24]HISTOSEPT24!$A$6:$BB$38,54,0)</f>
        <v>0</v>
      </c>
      <c r="AF17" s="36">
        <f>VLOOKUP($A17,[24]HISTOSEPT24!$A$6:$CB$38,60,0)</f>
        <v>0</v>
      </c>
      <c r="AG17" s="36">
        <f>VLOOKUP($A17,[24]HISTOSEPT24!$A$6:$CB$38,61,0)</f>
        <v>0</v>
      </c>
      <c r="AH17" s="36">
        <f>VLOOKUP($A17,[24]HISTOSEPT24!$A$6:$CB$38,62,0)</f>
        <v>0</v>
      </c>
      <c r="AI17" s="36">
        <f>VLOOKUP($A17,[24]HISTOSEPT24!$A$6:$CB$38,63,0)</f>
        <v>0</v>
      </c>
      <c r="AJ17" s="36">
        <f>VLOOKUP($A17,[24]HISTOSEPT24!$A$6:$CB$38,64,0)</f>
        <v>0</v>
      </c>
      <c r="AK17" s="36">
        <f>VLOOKUP($A17,[24]HISTOSEPT24!$A$6:$CB$38,65,0)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VLOOKUP($A18,[24]HISTOSEPT24!$A$6:$BA$38,48,0)</f>
        <v>0</v>
      </c>
      <c r="F18" s="36">
        <f>MVTAOUT24!I18-E18+L18</f>
        <v>1032561.3363863622</v>
      </c>
      <c r="G18" s="5">
        <f>IF(MVTAOUT24!I18+L18&gt;700000,(MVTAOUT24!I18-E18+L18),0)</f>
        <v>1032561.3363863622</v>
      </c>
      <c r="H18" s="36">
        <f t="shared" si="0"/>
        <v>608.78674073470825</v>
      </c>
      <c r="I18" s="6">
        <f t="shared" si="2"/>
        <v>1033170.1231270969</v>
      </c>
      <c r="J18" s="36">
        <f>VLOOKUP($A18,[24]HISTOSEPT24!$A$6:$AQ$42,22,0)</f>
        <v>0</v>
      </c>
      <c r="K18" s="36">
        <f>VLOOKUP($A18,[24]HISTOSEPT24!$A$6:$AU$38,45,0)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VLOOKUP($A18,[24]HISTOSEPT24!$A$6:$AU$38,7,0)</f>
        <v>0</v>
      </c>
      <c r="Q18" s="36">
        <f>VLOOKUP($A18,[24]HISTOSEPT24!$A$6:$AU$38,23,0)</f>
        <v>0</v>
      </c>
      <c r="R18" s="36">
        <f>VLOOKUP($A18,[24]HISTOSEPT24!$A$6:$AU$38,46,0)</f>
        <v>0</v>
      </c>
      <c r="S18" s="36">
        <f>VLOOKUP($A18,[24]HISTOSEPT24!$A$6:$AU$38,26,0)</f>
        <v>0</v>
      </c>
      <c r="T18" s="36">
        <f>VLOOKUP($A18,[24]HISTOSEPT24!$A$6:$BG$38,58,0)</f>
        <v>0</v>
      </c>
      <c r="U18" s="36">
        <f>VLOOKUP($A18,[24]HISTOSEPT24!$A$6:$AU$38,28,0)</f>
        <v>0</v>
      </c>
      <c r="V18" s="36">
        <f>VLOOKUP($A18,[24]HISTOSEPT24!$A$6:$AU$38,19,0)</f>
        <v>0</v>
      </c>
      <c r="W18" s="36">
        <f>VLOOKUP($A18,[24]HISTOSEPT24!$A$6:$AU$38,20,0)</f>
        <v>0</v>
      </c>
      <c r="X18" s="36">
        <f>VLOOKUP($A18,[24]HISTOSEPT24!$A$6:$AU$38,27,0)</f>
        <v>0</v>
      </c>
      <c r="Y18" s="36">
        <f>VLOOKUP($A18,[24]HISTOSEPT24!$A$6:$BM$38,33,0)</f>
        <v>0</v>
      </c>
      <c r="Z18" s="36">
        <f>VLOOKUP($A18,[24]HISTOSEPT24!$A$6:$BM$38,65,0)</f>
        <v>0</v>
      </c>
      <c r="AA18" s="36"/>
      <c r="AB18" s="36">
        <f>VLOOKUP($A18,[24]HISTOSEPT24!$A$6:$AU$38,43,0)</f>
        <v>0</v>
      </c>
      <c r="AC18" s="36">
        <f>VLOOKUP($A18,[24]HISTOSEPT24!$A$6:$AU$38,44,0)</f>
        <v>0</v>
      </c>
      <c r="AD18" s="36">
        <f>VLOOKUP($A18,[24]HISTOSEPT24!$A$6:$AU$38,47,0)</f>
        <v>0</v>
      </c>
      <c r="AE18" s="36">
        <f>VLOOKUP(A18,[24]HISTOSEPT24!$A$6:$BB$38,54,0)</f>
        <v>0</v>
      </c>
      <c r="AF18" s="36">
        <f>VLOOKUP($A18,[24]HISTOSEPT24!$A$6:$CB$38,60,0)</f>
        <v>0</v>
      </c>
      <c r="AG18" s="36">
        <f>VLOOKUP($A18,[24]HISTOSEPT24!$A$6:$CB$38,61,0)</f>
        <v>0</v>
      </c>
      <c r="AH18" s="36">
        <f>VLOOKUP($A18,[24]HISTOSEPT24!$A$6:$CB$38,62,0)</f>
        <v>0</v>
      </c>
      <c r="AI18" s="36">
        <f>VLOOKUP($A18,[24]HISTOSEPT24!$A$6:$CB$38,63,0)</f>
        <v>0</v>
      </c>
      <c r="AJ18" s="36">
        <f>VLOOKUP($A18,[24]HISTOSEPT24!$A$6:$CB$38,64,0)</f>
        <v>0</v>
      </c>
      <c r="AK18" s="36">
        <f>VLOOKUP($A18,[24]HISTOSEPT24!$A$6:$CB$38,65,0)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MVTAOUT24!I19-E19+L19</f>
        <v>676217</v>
      </c>
      <c r="G19" s="5">
        <f>IF(MVTAOUT24!I19+L19&gt;700000,(MVTAOUT24!I19-E19+L19),0)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MVTAOUT24!I20-E20+L20</f>
        <v>171000</v>
      </c>
      <c r="G20" s="5">
        <f>IF(MVTAOUT24!I20+L20&gt;700000,(MVTAOUT24!I20-E20+L20),0)</f>
        <v>0</v>
      </c>
      <c r="H20" s="36">
        <f t="shared" si="0"/>
        <v>0</v>
      </c>
      <c r="I20" s="6">
        <f t="shared" si="2"/>
        <v>171000</v>
      </c>
      <c r="J20" s="36">
        <f>VLOOKUP($A20,[24]HISTOSEPT24!$A$6:$AQ$42,22,0)</f>
        <v>0</v>
      </c>
      <c r="K20" s="36">
        <f>VLOOKUP($A20,[24]HISTOSEPT24!$A$6:$AU$38,45,0)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VLOOKUP($A20,[24]HISTOSEPT24!$A$6:$AU$38,7,0)</f>
        <v>0</v>
      </c>
      <c r="Q20" s="36">
        <f>VLOOKUP($A20,[24]HISTOSEPT24!$A$6:$AU$38,23,0)</f>
        <v>0</v>
      </c>
      <c r="R20" s="36">
        <f>VLOOKUP($A20,[24]HISTOSEPT24!$A$6:$AU$38,46,0)</f>
        <v>0</v>
      </c>
      <c r="S20" s="36">
        <f>VLOOKUP($A20,[24]HISTOSEPT24!$A$6:$AU$38,26,0)</f>
        <v>0</v>
      </c>
      <c r="T20" s="36">
        <f>VLOOKUP($A20,[24]HISTOSEPT24!$A$6:$BG$38,58,0)</f>
        <v>0</v>
      </c>
      <c r="U20" s="36">
        <f>VLOOKUP($A20,[24]HISTOSEPT24!$A$6:$AU$38,28,0)</f>
        <v>0</v>
      </c>
      <c r="V20" s="36">
        <f>VLOOKUP($A20,[24]HISTOSEPT24!$A$6:$AU$38,19,0)</f>
        <v>0</v>
      </c>
      <c r="W20" s="36">
        <f>VLOOKUP($A20,[24]HISTOSEPT24!$A$6:$AU$38,20,0)</f>
        <v>0</v>
      </c>
      <c r="X20" s="36">
        <f>VLOOKUP($A20,[24]HISTOSEPT24!$A$6:$AU$38,27,0)</f>
        <v>0</v>
      </c>
      <c r="Y20" s="36">
        <f>VLOOKUP($A20,[24]HISTOSEPT24!$A$6:$BM$38,33,0)</f>
        <v>0</v>
      </c>
      <c r="Z20" s="36">
        <f>VLOOKUP($A20,[24]HISTOSEPT24!$A$6:$BM$38,65,0)</f>
        <v>0</v>
      </c>
      <c r="AA20" s="36"/>
      <c r="AB20" s="36">
        <f>VLOOKUP($A20,[24]HISTOSEPT24!$A$6:$AU$38,43,0)</f>
        <v>0</v>
      </c>
      <c r="AC20" s="36">
        <f>VLOOKUP($A20,[24]HISTOSEPT24!$A$6:$AU$38,44,0)</f>
        <v>0</v>
      </c>
      <c r="AD20" s="36">
        <f>VLOOKUP($A20,[24]HISTOSEPT24!$A$6:$AU$38,47,0)</f>
        <v>0</v>
      </c>
      <c r="AE20" s="36">
        <f>VLOOKUP(A20,[24]HISTOSEPT24!$A$6:$BB$38,54,0)</f>
        <v>0</v>
      </c>
      <c r="AF20" s="36">
        <f>VLOOKUP($A20,[24]HISTOSEPT24!$A$6:$CB$38,60,0)</f>
        <v>0</v>
      </c>
      <c r="AG20" s="36">
        <f>VLOOKUP($A20,[24]HISTOSEPT24!$A$6:$CB$38,61,0)</f>
        <v>0</v>
      </c>
      <c r="AH20" s="36">
        <f>VLOOKUP($A20,[24]HISTOSEPT24!$A$6:$CB$38,62,0)</f>
        <v>0</v>
      </c>
      <c r="AI20" s="36">
        <f>VLOOKUP($A20,[24]HISTOSEPT24!$A$6:$CB$38,63,0)</f>
        <v>0</v>
      </c>
      <c r="AJ20" s="36">
        <f>VLOOKUP($A20,[24]HISTOSEPT24!$A$6:$CB$38,64,0)</f>
        <v>0</v>
      </c>
      <c r="AK20" s="36">
        <f>VLOOKUP($A20,[24]HISTOSEPT24!$A$6:$CB$38,65,0)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MVTAOUT24!I21-E21+L21</f>
        <v>960214.80447633693</v>
      </c>
      <c r="G21" s="5">
        <f>IF(MVTAOUT24!I21+L21&gt;700000,(MVTAOUT24!I21-E21+L21),0)</f>
        <v>960214.80447633693</v>
      </c>
      <c r="H21" s="36">
        <f t="shared" si="0"/>
        <v>566.132025888322</v>
      </c>
      <c r="I21" s="6">
        <f t="shared" si="2"/>
        <v>960780.93650222523</v>
      </c>
      <c r="J21" s="36">
        <f>VLOOKUP($A21,[24]HISTOSEPT24!$A$6:$AQ$42,22,0)</f>
        <v>0</v>
      </c>
      <c r="K21" s="36">
        <f>VLOOKUP($A21,[24]HISTOSEPT24!$A$6:$AU$38,45,0)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VLOOKUP($A21,[24]HISTOSEPT24!$A$6:$AU$38,7,0)</f>
        <v>0</v>
      </c>
      <c r="Q21" s="36">
        <f>VLOOKUP($A21,[24]HISTOSEPT24!$A$6:$AU$38,23,0)</f>
        <v>0</v>
      </c>
      <c r="R21" s="36">
        <f>VLOOKUP($A21,[24]HISTOSEPT24!$A$6:$AU$38,46,0)</f>
        <v>0</v>
      </c>
      <c r="S21" s="36">
        <f>VLOOKUP($A21,[24]HISTOSEPT24!$A$6:$AU$38,26,0)</f>
        <v>0</v>
      </c>
      <c r="T21" s="36">
        <f>VLOOKUP($A21,[24]HISTOSEPT24!$A$6:$BG$38,58,0)</f>
        <v>0</v>
      </c>
      <c r="U21" s="36">
        <f>VLOOKUP($A21,[24]HISTOSEPT24!$A$6:$AU$38,28,0)</f>
        <v>0</v>
      </c>
      <c r="V21" s="36">
        <f>VLOOKUP($A21,[24]HISTOSEPT24!$A$6:$AU$38,19,0)</f>
        <v>0</v>
      </c>
      <c r="W21" s="36">
        <f>VLOOKUP($A21,[24]HISTOSEPT24!$A$6:$AU$38,20,0)</f>
        <v>0</v>
      </c>
      <c r="X21" s="36">
        <f>VLOOKUP($A21,[24]HISTOSEPT24!$A$6:$AU$38,27,0)</f>
        <v>0</v>
      </c>
      <c r="Y21" s="36">
        <f>VLOOKUP($A21,[24]HISTOSEPT24!$A$6:$BM$38,33,0)</f>
        <v>0</v>
      </c>
      <c r="Z21" s="36">
        <f>VLOOKUP($A21,[24]HISTOSEPT24!$A$6:$BM$38,65,0)</f>
        <v>0</v>
      </c>
      <c r="AA21" s="36"/>
      <c r="AB21" s="36">
        <f>VLOOKUP($A21,[24]HISTOSEPT24!$A$6:$AU$38,43,0)</f>
        <v>0</v>
      </c>
      <c r="AC21" s="36">
        <f>VLOOKUP($A21,[24]HISTOSEPT24!$A$6:$AU$38,44,0)</f>
        <v>0</v>
      </c>
      <c r="AD21" s="36">
        <f>VLOOKUP($A21,[24]HISTOSEPT24!$A$6:$AU$38,47,0)</f>
        <v>0</v>
      </c>
      <c r="AE21" s="36">
        <f>VLOOKUP(A21,[24]HISTOSEPT24!$A$6:$BB$38,54,0)</f>
        <v>0</v>
      </c>
      <c r="AF21" s="36">
        <f>VLOOKUP($A21,[24]HISTOSEPT24!$A$6:$CB$38,60,0)</f>
        <v>0</v>
      </c>
      <c r="AG21" s="36">
        <f>VLOOKUP($A21,[24]HISTOSEPT24!$A$6:$CB$38,61,0)</f>
        <v>0</v>
      </c>
      <c r="AH21" s="36">
        <f>VLOOKUP($A21,[24]HISTOSEPT24!$A$6:$CB$38,62,0)</f>
        <v>0</v>
      </c>
      <c r="AI21" s="36">
        <f>VLOOKUP($A21,[24]HISTOSEPT24!$A$6:$CB$38,63,0)</f>
        <v>0</v>
      </c>
      <c r="AJ21" s="36">
        <f>VLOOKUP($A21,[24]HISTOSEPT24!$A$6:$CB$38,64,0)</f>
        <v>0</v>
      </c>
      <c r="AK21" s="36">
        <f>VLOOKUP($A21,[24]HISTOSEPT24!$A$6:$CB$38,65,0)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MVTAOUT24!I22-E22+L22</f>
        <v>928780.8558460963</v>
      </c>
      <c r="G22" s="5">
        <f>IF(MVTAOUT24!I22+L22&gt;700000,(MVTAOUT24!I22-E22+L22),0)</f>
        <v>928780.8558460963</v>
      </c>
      <c r="H22" s="36">
        <f t="shared" si="0"/>
        <v>547.59891752887245</v>
      </c>
      <c r="I22" s="6">
        <f t="shared" si="2"/>
        <v>929328.45476362517</v>
      </c>
      <c r="J22" s="36">
        <f>VLOOKUP($A22,[24]HISTOSEPT24!$A$6:$AQ$42,22,0)</f>
        <v>0</v>
      </c>
      <c r="K22" s="36">
        <f>VLOOKUP($A22,[24]HISTOSEPT24!$A$6:$AU$38,45,0)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VLOOKUP($A22,[24]HISTOSEPT24!$A$6:$AU$38,7,0)</f>
        <v>0</v>
      </c>
      <c r="Q22" s="36">
        <f>VLOOKUP($A22,[24]HISTOSEPT24!$A$6:$AU$38,23,0)</f>
        <v>0</v>
      </c>
      <c r="R22" s="36">
        <f>VLOOKUP($A22,[24]HISTOSEPT24!$A$6:$AU$38,46,0)</f>
        <v>0</v>
      </c>
      <c r="S22" s="36">
        <f>VLOOKUP($A22,[24]HISTOSEPT24!$A$6:$AU$38,26,0)</f>
        <v>0</v>
      </c>
      <c r="T22" s="36">
        <f>VLOOKUP($A22,[24]HISTOSEPT24!$A$6:$BG$38,58,0)</f>
        <v>0</v>
      </c>
      <c r="U22" s="36">
        <f>VLOOKUP($A22,[24]HISTOSEPT24!$A$6:$AU$38,28,0)</f>
        <v>0</v>
      </c>
      <c r="V22" s="36">
        <f>VLOOKUP($A22,[24]HISTOSEPT24!$A$6:$AU$38,19,0)</f>
        <v>0</v>
      </c>
      <c r="W22" s="36">
        <f>VLOOKUP($A22,[24]HISTOSEPT24!$A$6:$AU$38,20,0)</f>
        <v>0</v>
      </c>
      <c r="X22" s="36">
        <f>VLOOKUP($A22,[24]HISTOSEPT24!$A$6:$AU$38,27,0)</f>
        <v>0</v>
      </c>
      <c r="Y22" s="36">
        <f>VLOOKUP($A22,[24]HISTOSEPT24!$A$6:$BM$38,33,0)</f>
        <v>0</v>
      </c>
      <c r="Z22" s="36">
        <f>VLOOKUP($A22,[24]HISTOSEPT24!$A$6:$BM$38,65,0)</f>
        <v>0</v>
      </c>
      <c r="AA22" s="36"/>
      <c r="AB22" s="36">
        <f>VLOOKUP($A22,[24]HISTOSEPT24!$A$6:$AU$38,43,0)</f>
        <v>0</v>
      </c>
      <c r="AC22" s="36">
        <f>VLOOKUP($A22,[24]HISTOSEPT24!$A$6:$AU$38,44,0)</f>
        <v>0</v>
      </c>
      <c r="AD22" s="36">
        <f>VLOOKUP($A22,[24]HISTOSEPT24!$A$6:$AU$38,47,0)</f>
        <v>0</v>
      </c>
      <c r="AE22" s="36">
        <f>VLOOKUP(A22,[24]HISTOSEPT24!$A$6:$BB$38,54,0)</f>
        <v>0</v>
      </c>
      <c r="AF22" s="36">
        <f>VLOOKUP($A22,[24]HISTOSEPT24!$A$6:$CB$38,60,0)</f>
        <v>0</v>
      </c>
      <c r="AG22" s="36">
        <f>VLOOKUP($A22,[24]HISTOSEPT24!$A$6:$CB$38,61,0)</f>
        <v>0</v>
      </c>
      <c r="AH22" s="36">
        <f>VLOOKUP($A22,[24]HISTOSEPT24!$A$6:$CB$38,62,0)</f>
        <v>0</v>
      </c>
      <c r="AI22" s="36">
        <f>VLOOKUP($A22,[24]HISTOSEPT24!$A$6:$CB$38,63,0)</f>
        <v>0</v>
      </c>
      <c r="AJ22" s="36">
        <f>VLOOKUP($A22,[24]HISTOSEPT24!$A$6:$CB$38,64,0)</f>
        <v>0</v>
      </c>
      <c r="AK22" s="36">
        <f>VLOOKUP($A22,[24]HISTOSEPT24!$A$6:$CB$38,65,0)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MVTAOUT24!I23-E23+L23</f>
        <v>1035802.436775781</v>
      </c>
      <c r="G23" s="5">
        <f>IF(MVTAOUT24!I23+L23&gt;700000,(MVTAOUT24!I23-E23+L23),0)</f>
        <v>1035802.436775781</v>
      </c>
      <c r="H23" s="36">
        <f t="shared" si="0"/>
        <v>610.6976576681019</v>
      </c>
      <c r="I23" s="6">
        <f t="shared" si="2"/>
        <v>1036413.1344334491</v>
      </c>
      <c r="J23" s="36">
        <f>VLOOKUP($A23,[24]HISTOSEPT24!$A$6:$AQ$42,22,0)</f>
        <v>0</v>
      </c>
      <c r="K23" s="36">
        <f>VLOOKUP($A23,[24]HISTOSEPT24!$A$6:$AU$38,45,0)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VLOOKUP($A23,[24]HISTOSEPT24!$A$6:$AU$38,7,0)</f>
        <v>0</v>
      </c>
      <c r="Q23" s="36">
        <f>VLOOKUP($A23,[24]HISTOSEPT24!$A$6:$AU$38,23,0)</f>
        <v>0</v>
      </c>
      <c r="R23" s="36">
        <f>VLOOKUP($A23,[24]HISTOSEPT24!$A$6:$AU$38,46,0)</f>
        <v>0</v>
      </c>
      <c r="S23" s="36">
        <f>VLOOKUP($A23,[24]HISTOSEPT24!$A$6:$AU$38,26,0)</f>
        <v>0</v>
      </c>
      <c r="T23" s="36">
        <f>VLOOKUP($A23,[24]HISTOSEPT24!$A$6:$BG$38,58,0)</f>
        <v>0</v>
      </c>
      <c r="U23" s="36">
        <f>VLOOKUP($A23,[24]HISTOSEPT24!$A$6:$AU$38,28,0)</f>
        <v>0</v>
      </c>
      <c r="V23" s="36">
        <f>VLOOKUP($A23,[24]HISTOSEPT24!$A$6:$AU$38,19,0)</f>
        <v>0</v>
      </c>
      <c r="W23" s="36">
        <f>VLOOKUP($A23,[24]HISTOSEPT24!$A$6:$AU$38,20,0)</f>
        <v>0</v>
      </c>
      <c r="X23" s="36">
        <f>VLOOKUP($A23,[24]HISTOSEPT24!$A$6:$AU$38,27,0)</f>
        <v>0</v>
      </c>
      <c r="Y23" s="36">
        <f>VLOOKUP($A23,[24]HISTOSEPT24!$A$6:$BM$38,33,0)</f>
        <v>0</v>
      </c>
      <c r="Z23" s="36">
        <f>VLOOKUP($A23,[24]HISTOSEPT24!$A$6:$BM$38,65,0)</f>
        <v>0</v>
      </c>
      <c r="AA23" s="36"/>
      <c r="AB23" s="36">
        <f>VLOOKUP($A23,[24]HISTOSEPT24!$A$6:$AU$38,43,0)</f>
        <v>0</v>
      </c>
      <c r="AC23" s="36">
        <f>VLOOKUP($A23,[24]HISTOSEPT24!$A$6:$AU$38,44,0)</f>
        <v>0</v>
      </c>
      <c r="AD23" s="36">
        <f>VLOOKUP($A23,[24]HISTOSEPT24!$A$6:$AU$38,47,0)</f>
        <v>0</v>
      </c>
      <c r="AE23" s="36">
        <f>VLOOKUP(A23,[24]HISTOSEPT24!$A$6:$BB$38,54,0)</f>
        <v>0</v>
      </c>
      <c r="AF23" s="36">
        <f>VLOOKUP($A23,[24]HISTOSEPT24!$A$6:$CB$38,60,0)</f>
        <v>0</v>
      </c>
      <c r="AG23" s="36">
        <f>VLOOKUP($A23,[24]HISTOSEPT24!$A$6:$CB$38,61,0)</f>
        <v>0</v>
      </c>
      <c r="AH23" s="36">
        <f>VLOOKUP($A23,[24]HISTOSEPT24!$A$6:$CB$38,62,0)</f>
        <v>0</v>
      </c>
      <c r="AI23" s="36">
        <f>VLOOKUP($A23,[24]HISTOSEPT24!$A$6:$CB$38,63,0)</f>
        <v>0</v>
      </c>
      <c r="AJ23" s="36">
        <f>VLOOKUP($A23,[24]HISTOSEPT24!$A$6:$CB$38,64,0)</f>
        <v>0</v>
      </c>
      <c r="AK23" s="36">
        <f>VLOOKUP($A23,[24]HISTOSEPT24!$A$6:$CB$38,65,0)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MVTAOUT24!I24-E24+L24</f>
        <v>1281202.9382757714</v>
      </c>
      <c r="G24" s="5">
        <f>IF(MVTAOUT24!I24+L24&gt;700000,(MVTAOUT24!I24-E24+L24),0)</f>
        <v>1281202.9382757714</v>
      </c>
      <c r="H24" s="36">
        <f t="shared" si="0"/>
        <v>755.38307849325383</v>
      </c>
      <c r="I24" s="6">
        <f t="shared" si="2"/>
        <v>1281958.3213542646</v>
      </c>
      <c r="J24" s="36">
        <f>VLOOKUP($A24,[24]HISTOSEPT24!$A$6:$AQ$42,22,0)</f>
        <v>0</v>
      </c>
      <c r="K24" s="36">
        <f>VLOOKUP($A24,[24]HISTOSEPT24!$A$6:$AU$38,45,0)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VLOOKUP($A24,[24]HISTOSEPT24!$A$6:$AU$38,7,0)</f>
        <v>0</v>
      </c>
      <c r="Q24" s="36">
        <f>VLOOKUP($A24,[24]HISTOSEPT24!$A$6:$AU$38,23,0)</f>
        <v>0</v>
      </c>
      <c r="R24" s="36">
        <f>VLOOKUP($A24,[24]HISTOSEPT24!$A$6:$AU$38,46,0)</f>
        <v>0</v>
      </c>
      <c r="S24" s="36">
        <f>VLOOKUP($A24,[24]HISTOSEPT24!$A$6:$AU$38,26,0)</f>
        <v>0</v>
      </c>
      <c r="T24" s="36">
        <f>VLOOKUP($A24,[24]HISTOSEPT24!$A$6:$BG$38,58,0)</f>
        <v>0</v>
      </c>
      <c r="U24" s="36">
        <f>VLOOKUP($A24,[24]HISTOSEPT24!$A$6:$AU$38,28,0)</f>
        <v>0</v>
      </c>
      <c r="V24" s="36">
        <f>VLOOKUP($A24,[24]HISTOSEPT24!$A$6:$AU$38,19,0)</f>
        <v>0</v>
      </c>
      <c r="W24" s="36">
        <f>VLOOKUP($A24,[24]HISTOSEPT24!$A$6:$AU$38,20,0)</f>
        <v>0</v>
      </c>
      <c r="X24" s="36">
        <f>VLOOKUP($A24,[24]HISTOSEPT24!$A$6:$AU$38,27,0)</f>
        <v>0</v>
      </c>
      <c r="Y24" s="36">
        <f>VLOOKUP($A24,[24]HISTOSEPT24!$A$6:$BM$38,33,0)</f>
        <v>0</v>
      </c>
      <c r="Z24" s="36">
        <f>VLOOKUP($A24,[24]HISTOSEPT24!$A$6:$BM$38,65,0)</f>
        <v>0</v>
      </c>
      <c r="AA24" s="36"/>
      <c r="AB24" s="36">
        <f>VLOOKUP($A24,[24]HISTOSEPT24!$A$6:$AU$38,43,0)</f>
        <v>0</v>
      </c>
      <c r="AC24" s="36">
        <f>VLOOKUP($A24,[24]HISTOSEPT24!$A$6:$AU$38,44,0)</f>
        <v>0</v>
      </c>
      <c r="AD24" s="36">
        <f>VLOOKUP($A24,[24]HISTOSEPT24!$A$6:$AU$38,47,0)</f>
        <v>0</v>
      </c>
      <c r="AE24" s="36">
        <f>VLOOKUP(A24,[24]HISTOSEPT24!$A$6:$BB$38,54,0)</f>
        <v>0</v>
      </c>
      <c r="AF24" s="36">
        <f>VLOOKUP($A24,[24]HISTOSEPT24!$A$6:$CB$38,60,0)</f>
        <v>0</v>
      </c>
      <c r="AG24" s="36">
        <f>VLOOKUP($A24,[24]HISTOSEPT24!$A$6:$CB$38,61,0)</f>
        <v>0</v>
      </c>
      <c r="AH24" s="36">
        <f>VLOOKUP($A24,[24]HISTOSEPT24!$A$6:$CB$38,62,0)</f>
        <v>0</v>
      </c>
      <c r="AI24" s="36">
        <f>VLOOKUP($A24,[24]HISTOSEPT24!$A$6:$CB$38,63,0)</f>
        <v>0</v>
      </c>
      <c r="AJ24" s="36">
        <f>VLOOKUP($A24,[24]HISTOSEPT24!$A$6:$CB$38,64,0)</f>
        <v>0</v>
      </c>
      <c r="AK24" s="36">
        <f>VLOOKUP($A24,[24]HISTOSEPT24!$A$6:$CB$38,65,0)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MVTAOUT24!I25-E25+L25</f>
        <v>1127903.0348280221</v>
      </c>
      <c r="G25" s="5">
        <f>IF(MVTAOUT24!I25+L25&gt;700000,(MVTAOUT24!I25-E25+L25),0)</f>
        <v>1127903.0348280221</v>
      </c>
      <c r="H25" s="36">
        <f t="shared" si="0"/>
        <v>664.99915137322864</v>
      </c>
      <c r="I25" s="6">
        <f t="shared" si="2"/>
        <v>1128568.0339793954</v>
      </c>
      <c r="J25" s="36">
        <f>VLOOKUP($A25,[24]HISTOSEPT24!$A$6:$AQ$42,22,0)</f>
        <v>0</v>
      </c>
      <c r="K25" s="36">
        <f>VLOOKUP($A25,[24]HISTOSEPT24!$A$6:$AU$38,45,0)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VLOOKUP($A25,[24]HISTOSEPT24!$A$6:$AU$38,7,0)</f>
        <v>3000</v>
      </c>
      <c r="Q25" s="36">
        <f>VLOOKUP($A25,[24]HISTOSEPT24!$A$6:$AU$38,23,0)</f>
        <v>0</v>
      </c>
      <c r="R25" s="36">
        <f>VLOOKUP($A25,[24]HISTOSEPT24!$A$6:$AU$38,46,0)</f>
        <v>0</v>
      </c>
      <c r="S25" s="36">
        <f>VLOOKUP($A25,[24]HISTOSEPT24!$A$6:$AU$38,26,0)</f>
        <v>0</v>
      </c>
      <c r="T25" s="36">
        <f>VLOOKUP($A25,[24]HISTOSEPT24!$A$6:$BG$38,58,0)</f>
        <v>0</v>
      </c>
      <c r="U25" s="36">
        <f>VLOOKUP($A25,[24]HISTOSEPT24!$A$6:$AU$38,28,0)</f>
        <v>0</v>
      </c>
      <c r="V25" s="36">
        <f>VLOOKUP($A25,[24]HISTOSEPT24!$A$6:$AU$38,19,0)</f>
        <v>0</v>
      </c>
      <c r="W25" s="36">
        <f>VLOOKUP($A25,[24]HISTOSEPT24!$A$6:$AU$38,20,0)</f>
        <v>0</v>
      </c>
      <c r="X25" s="36">
        <f>VLOOKUP($A25,[24]HISTOSEPT24!$A$6:$AU$38,27,0)</f>
        <v>0</v>
      </c>
      <c r="Y25" s="36">
        <f>VLOOKUP($A25,[24]HISTOSEPT24!$A$6:$BM$38,33,0)</f>
        <v>0</v>
      </c>
      <c r="Z25" s="36">
        <f>VLOOKUP($A25,[24]HISTOSEPT24!$A$6:$BM$38,65,0)</f>
        <v>0</v>
      </c>
      <c r="AA25" s="36"/>
      <c r="AB25" s="36">
        <f>VLOOKUP($A25,[24]HISTOSEPT24!$A$6:$AU$38,43,0)</f>
        <v>0</v>
      </c>
      <c r="AC25" s="36">
        <f>VLOOKUP($A25,[24]HISTOSEPT24!$A$6:$AU$38,44,0)</f>
        <v>0</v>
      </c>
      <c r="AD25" s="36">
        <f>VLOOKUP($A25,[24]HISTOSEPT24!$A$6:$AU$38,47,0)</f>
        <v>0</v>
      </c>
      <c r="AE25" s="36">
        <f>VLOOKUP(A25,[24]HISTOSEPT24!$A$6:$BB$38,54,0)</f>
        <v>0</v>
      </c>
      <c r="AF25" s="36">
        <f>VLOOKUP($A25,[24]HISTOSEPT24!$A$6:$CB$38,60,0)</f>
        <v>0</v>
      </c>
      <c r="AG25" s="36">
        <f>VLOOKUP($A25,[24]HISTOSEPT24!$A$6:$CB$38,61,0)</f>
        <v>0</v>
      </c>
      <c r="AH25" s="36">
        <f>VLOOKUP($A25,[24]HISTOSEPT24!$A$6:$CB$38,62,0)</f>
        <v>0</v>
      </c>
      <c r="AI25" s="36">
        <f>VLOOKUP($A25,[24]HISTOSEPT24!$A$6:$CB$38,63,0)</f>
        <v>0</v>
      </c>
      <c r="AJ25" s="36">
        <f>VLOOKUP($A25,[24]HISTOSEPT24!$A$6:$CB$38,64,0)</f>
        <v>0</v>
      </c>
      <c r="AK25" s="36">
        <f>VLOOKUP($A25,[24]HISTOSEPT24!$A$6:$CB$38,65,0)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MVTAOUT24!I26-E26+L26</f>
        <v>949034.92527149536</v>
      </c>
      <c r="G26" s="5">
        <f>IF(MVTAOUT24!I26+L26&gt;700000,(MVTAOUT24!I26-E26+L26),0)</f>
        <v>949034.92527149536</v>
      </c>
      <c r="H26" s="36">
        <f t="shared" si="0"/>
        <v>559.5404927918546</v>
      </c>
      <c r="I26" s="6">
        <f t="shared" si="2"/>
        <v>949594.46576428716</v>
      </c>
      <c r="J26" s="36">
        <f>VLOOKUP($A26,[24]HISTOSEPT24!$A$6:$AQ$42,22,0)</f>
        <v>0</v>
      </c>
      <c r="K26" s="36">
        <f>VLOOKUP($A26,[24]HISTOSEPT24!$A$6:$AU$38,45,0)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VLOOKUP($A26,[24]HISTOSEPT24!$A$6:$AU$38,7,0)</f>
        <v>0</v>
      </c>
      <c r="Q26" s="36">
        <f>VLOOKUP($A26,[24]HISTOSEPT24!$A$6:$AU$38,23,0)</f>
        <v>0</v>
      </c>
      <c r="R26" s="36">
        <f>VLOOKUP($A26,[24]HISTOSEPT24!$A$6:$AU$38,46,0)</f>
        <v>0</v>
      </c>
      <c r="S26" s="36">
        <f>VLOOKUP($A26,[24]HISTOSEPT24!$A$6:$AU$38,26,0)</f>
        <v>0</v>
      </c>
      <c r="T26" s="36">
        <f>VLOOKUP($A26,[24]HISTOSEPT24!$A$6:$BG$38,58,0)</f>
        <v>0</v>
      </c>
      <c r="U26" s="36">
        <f>VLOOKUP($A26,[24]HISTOSEPT24!$A$6:$AU$38,28,0)</f>
        <v>0</v>
      </c>
      <c r="V26" s="36">
        <f>VLOOKUP($A26,[24]HISTOSEPT24!$A$6:$AU$38,19,0)</f>
        <v>0</v>
      </c>
      <c r="W26" s="36">
        <f>VLOOKUP($A26,[24]HISTOSEPT24!$A$6:$AU$38,20,0)</f>
        <v>0</v>
      </c>
      <c r="X26" s="36">
        <f>VLOOKUP($A26,[24]HISTOSEPT24!$A$6:$AU$38,27,0)</f>
        <v>0</v>
      </c>
      <c r="Y26" s="36">
        <f>VLOOKUP($A26,[24]HISTOSEPT24!$A$6:$BM$38,33,0)</f>
        <v>0</v>
      </c>
      <c r="Z26" s="36">
        <f>VLOOKUP($A26,[24]HISTOSEPT24!$A$6:$BM$38,65,0)</f>
        <v>0</v>
      </c>
      <c r="AA26" s="36"/>
      <c r="AB26" s="36">
        <f>VLOOKUP($A26,[24]HISTOSEPT24!$A$6:$AU$38,43,0)</f>
        <v>0</v>
      </c>
      <c r="AC26" s="36">
        <f>VLOOKUP($A26,[24]HISTOSEPT24!$A$6:$AU$38,44,0)</f>
        <v>0</v>
      </c>
      <c r="AD26" s="36">
        <f>VLOOKUP($A26,[24]HISTOSEPT24!$A$6:$AU$38,47,0)</f>
        <v>0</v>
      </c>
      <c r="AE26" s="36">
        <f>VLOOKUP(A26,[24]HISTOSEPT24!$A$6:$BB$38,54,0)</f>
        <v>0</v>
      </c>
      <c r="AF26" s="36">
        <f>VLOOKUP($A26,[24]HISTOSEPT24!$A$6:$CB$38,60,0)</f>
        <v>0</v>
      </c>
      <c r="AG26" s="36">
        <f>VLOOKUP($A26,[24]HISTOSEPT24!$A$6:$CB$38,61,0)</f>
        <v>0</v>
      </c>
      <c r="AH26" s="36">
        <f>VLOOKUP($A26,[24]HISTOSEPT24!$A$6:$CB$38,62,0)</f>
        <v>0</v>
      </c>
      <c r="AI26" s="36">
        <f>VLOOKUP($A26,[24]HISTOSEPT24!$A$6:$CB$38,63,0)</f>
        <v>0</v>
      </c>
      <c r="AJ26" s="36">
        <f>VLOOKUP($A26,[24]HISTOSEPT24!$A$6:$CB$38,64,0)</f>
        <v>0</v>
      </c>
      <c r="AK26" s="36">
        <f>VLOOKUP($A26,[24]HISTOSEPT24!$A$6:$CB$38,65,0)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MVTAOUT24!I27-E27+L27</f>
        <v>949566.0507426433</v>
      </c>
      <c r="G27" s="5">
        <f>IF(MVTAOUT24!I27+L27&gt;700000,(MVTAOUT24!I27-E27+L27),0)</f>
        <v>949566.0507426433</v>
      </c>
      <c r="H27" s="36">
        <f t="shared" si="0"/>
        <v>559.85363849381645</v>
      </c>
      <c r="I27" s="6">
        <f t="shared" si="2"/>
        <v>950125.90438113711</v>
      </c>
      <c r="J27" s="36">
        <f>VLOOKUP($A27,[24]HISTOSEPT24!$A$6:$AQ$42,22,0)</f>
        <v>0</v>
      </c>
      <c r="K27" s="36">
        <f>VLOOKUP($A27,[24]HISTOSEPT24!$A$6:$AU$38,45,0)</f>
        <v>26000</v>
      </c>
      <c r="L27" s="36">
        <f t="shared" si="3"/>
        <v>20000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VLOOKUP($A27,[24]HISTOSEPT24!$A$6:$AU$38,7,0)</f>
        <v>0</v>
      </c>
      <c r="Q27" s="36">
        <f>VLOOKUP($A27,[24]HISTOSEPT24!$A$6:$AU$38,23,0)</f>
        <v>0</v>
      </c>
      <c r="R27" s="36">
        <f>VLOOKUP($A27,[24]HISTOSEPT24!$A$6:$AU$38,46,0)</f>
        <v>0</v>
      </c>
      <c r="S27" s="36">
        <f>VLOOKUP($A27,[24]HISTOSEPT24!$A$6:$AU$38,26,0)</f>
        <v>0</v>
      </c>
      <c r="T27" s="36">
        <f>VLOOKUP($A27,[24]HISTOSEPT24!$A$6:$BG$38,58,0)</f>
        <v>0</v>
      </c>
      <c r="U27" s="36">
        <f>VLOOKUP($A27,[24]HISTOSEPT24!$A$6:$AU$38,28,0)</f>
        <v>0</v>
      </c>
      <c r="V27" s="36">
        <f>VLOOKUP($A27,[24]HISTOSEPT24!$A$6:$AU$38,19,0)</f>
        <v>0</v>
      </c>
      <c r="W27" s="36">
        <f>VLOOKUP($A27,[24]HISTOSEPT24!$A$6:$AU$38,20,0)</f>
        <v>0</v>
      </c>
      <c r="X27" s="36">
        <f>VLOOKUP($A27,[24]HISTOSEPT24!$A$6:$AU$38,27,0)</f>
        <v>0</v>
      </c>
      <c r="Y27" s="36">
        <f>VLOOKUP($A27,[24]HISTOSEPT24!$A$6:$BM$38,33,0)</f>
        <v>0</v>
      </c>
      <c r="Z27" s="36">
        <f>VLOOKUP($A27,[24]HISTOSEPT24!$A$6:$BM$38,65,0)</f>
        <v>0</v>
      </c>
      <c r="AA27" s="36"/>
      <c r="AB27" s="36">
        <f>VLOOKUP($A27,[24]HISTOSEPT24!$A$6:$AU$38,43,0)</f>
        <v>0</v>
      </c>
      <c r="AC27" s="36">
        <f>VLOOKUP($A27,[24]HISTOSEPT24!$A$6:$AU$38,44,0)</f>
        <v>0</v>
      </c>
      <c r="AD27" s="36">
        <f>VLOOKUP($A27,[24]HISTOSEPT24!$A$6:$AU$38,47,0)</f>
        <v>0</v>
      </c>
      <c r="AE27" s="36">
        <f>VLOOKUP(A27,[24]HISTOSEPT24!$A$6:$BB$38,54,0)</f>
        <v>0</v>
      </c>
      <c r="AF27" s="36">
        <f>VLOOKUP($A27,[24]HISTOSEPT24!$A$6:$CB$38,60,0)</f>
        <v>0</v>
      </c>
      <c r="AG27" s="36">
        <f>VLOOKUP($A27,[24]HISTOSEPT24!$A$6:$CB$38,61,0)</f>
        <v>0</v>
      </c>
      <c r="AH27" s="36">
        <f>VLOOKUP($A27,[24]HISTOSEPT24!$A$6:$CB$38,62,0)</f>
        <v>0</v>
      </c>
      <c r="AI27" s="36">
        <f>VLOOKUP($A27,[24]HISTOSEPT24!$A$6:$CB$38,63,0)</f>
        <v>0</v>
      </c>
      <c r="AJ27" s="36">
        <f>VLOOKUP($A27,[24]HISTOSEPT24!$A$6:$CB$38,64,0)</f>
        <v>0</v>
      </c>
      <c r="AK27" s="36">
        <f>VLOOKUP($A27,[24]HISTOSEPT24!$A$6:$CB$38,65,0)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MVTAOUT24!I28-E28+L28</f>
        <v>849276.04990082572</v>
      </c>
      <c r="G28" s="5">
        <f>IF(MVTAOUT24!I28+L28&gt;700000,(MVTAOUT24!I28-E28+L28),0)</f>
        <v>849276.04990082572</v>
      </c>
      <c r="H28" s="36">
        <f t="shared" si="0"/>
        <v>500.7237635031014</v>
      </c>
      <c r="I28" s="6">
        <f t="shared" si="2"/>
        <v>849776.77366432885</v>
      </c>
      <c r="J28" s="36">
        <f>VLOOKUP($A28,[24]HISTOSEPT24!$A$6:$AQ$42,22,0)</f>
        <v>0</v>
      </c>
      <c r="K28" s="36">
        <f>VLOOKUP($A28,[24]HISTOSEPT24!$A$6:$AU$38,45,0)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VLOOKUP($A28,[24]HISTOSEPT24!$A$6:$AU$38,7,0)</f>
        <v>0</v>
      </c>
      <c r="Q28" s="36">
        <f>VLOOKUP($A28,[24]HISTOSEPT24!$A$6:$AU$38,23,0)</f>
        <v>0</v>
      </c>
      <c r="R28" s="36">
        <f>VLOOKUP($A28,[24]HISTOSEPT24!$A$6:$AU$38,46,0)</f>
        <v>0</v>
      </c>
      <c r="S28" s="36">
        <f>VLOOKUP($A28,[24]HISTOSEPT24!$A$6:$AU$38,26,0)</f>
        <v>0</v>
      </c>
      <c r="T28" s="36">
        <f>VLOOKUP($A28,[24]HISTOSEPT24!$A$6:$BG$38,58,0)</f>
        <v>0</v>
      </c>
      <c r="U28" s="36">
        <f>VLOOKUP($A28,[24]HISTOSEPT24!$A$6:$AU$38,28,0)</f>
        <v>0</v>
      </c>
      <c r="V28" s="36">
        <f>VLOOKUP($A28,[24]HISTOSEPT24!$A$6:$AU$38,19,0)</f>
        <v>0</v>
      </c>
      <c r="W28" s="36">
        <f>VLOOKUP($A28,[24]HISTOSEPT24!$A$6:$AU$38,20,0)</f>
        <v>0</v>
      </c>
      <c r="X28" s="36">
        <f>VLOOKUP($A28,[24]HISTOSEPT24!$A$6:$AU$38,27,0)</f>
        <v>0</v>
      </c>
      <c r="Y28" s="36">
        <f>VLOOKUP($A28,[24]HISTOSEPT24!$A$6:$BM$38,33,0)</f>
        <v>0</v>
      </c>
      <c r="Z28" s="36">
        <f>VLOOKUP($A28,[24]HISTOSEPT24!$A$6:$BM$38,65,0)</f>
        <v>0</v>
      </c>
      <c r="AA28" s="36"/>
      <c r="AB28" s="36">
        <f>VLOOKUP($A28,[24]HISTOSEPT24!$A$6:$AU$38,43,0)</f>
        <v>0</v>
      </c>
      <c r="AC28" s="36">
        <f>VLOOKUP($A28,[24]HISTOSEPT24!$A$6:$AU$38,44,0)</f>
        <v>0</v>
      </c>
      <c r="AD28" s="36">
        <f>VLOOKUP($A28,[24]HISTOSEPT24!$A$6:$AU$38,47,0)</f>
        <v>0</v>
      </c>
      <c r="AE28" s="36">
        <f>VLOOKUP(A28,[24]HISTOSEPT24!$A$6:$BB$38,54,0)</f>
        <v>0</v>
      </c>
      <c r="AF28" s="36">
        <f>VLOOKUP($A28,[24]HISTOSEPT24!$A$6:$CB$38,60,0)</f>
        <v>0</v>
      </c>
      <c r="AG28" s="36">
        <f>VLOOKUP($A28,[24]HISTOSEPT24!$A$6:$CB$38,61,0)</f>
        <v>0</v>
      </c>
      <c r="AH28" s="36">
        <f>VLOOKUP($A28,[24]HISTOSEPT24!$A$6:$CB$38,62,0)</f>
        <v>0</v>
      </c>
      <c r="AI28" s="36">
        <f>VLOOKUP($A28,[24]HISTOSEPT24!$A$6:$CB$38,63,0)</f>
        <v>0</v>
      </c>
      <c r="AJ28" s="36">
        <f>VLOOKUP($A28,[24]HISTOSEPT24!$A$6:$CB$38,64,0)</f>
        <v>0</v>
      </c>
      <c r="AK28" s="36">
        <f>VLOOKUP($A28,[24]HISTOSEPT24!$A$6:$CB$38,65,0)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MVTAOUT24!I29-E29+L29</f>
        <v>974658.87966530537</v>
      </c>
      <c r="G29" s="5">
        <f>IF(MVTAOUT24!I29+L29&gt;700000,(MVTAOUT24!I29-E29+L29),0)</f>
        <v>974658.87966530537</v>
      </c>
      <c r="H29" s="36">
        <f t="shared" si="0"/>
        <v>574.64809282531689</v>
      </c>
      <c r="I29" s="6">
        <f t="shared" si="2"/>
        <v>975233.52775813069</v>
      </c>
      <c r="J29" s="36">
        <f>VLOOKUP($A29,[24]HISTOSEPT24!$A$6:$AQ$42,22,0)</f>
        <v>0</v>
      </c>
      <c r="K29" s="36">
        <f>VLOOKUP($A29,[24]HISTOSEPT24!$A$6:$AU$38,45,0)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VLOOKUP($A29,[24]HISTOSEPT24!$A$6:$AU$38,7,0)</f>
        <v>0</v>
      </c>
      <c r="Q29" s="36">
        <f>VLOOKUP($A29,[24]HISTOSEPT24!$A$6:$AU$38,23,0)</f>
        <v>0</v>
      </c>
      <c r="R29" s="36">
        <f>VLOOKUP($A29,[24]HISTOSEPT24!$A$6:$AU$38,46,0)</f>
        <v>0</v>
      </c>
      <c r="S29" s="36">
        <f>VLOOKUP($A29,[24]HISTOSEPT24!$A$6:$AU$38,26,0)</f>
        <v>0</v>
      </c>
      <c r="T29" s="36">
        <f>VLOOKUP($A29,[24]HISTOSEPT24!$A$6:$BG$38,58,0)</f>
        <v>0</v>
      </c>
      <c r="U29" s="36">
        <f>VLOOKUP($A29,[24]HISTOSEPT24!$A$6:$AU$38,28,0)</f>
        <v>0</v>
      </c>
      <c r="V29" s="36">
        <f>VLOOKUP($A29,[24]HISTOSEPT24!$A$6:$AU$38,19,0)</f>
        <v>0</v>
      </c>
      <c r="W29" s="36">
        <f>VLOOKUP($A29,[24]HISTOSEPT24!$A$6:$AU$38,20,0)</f>
        <v>0</v>
      </c>
      <c r="X29" s="36">
        <f>VLOOKUP($A29,[24]HISTOSEPT24!$A$6:$AU$38,27,0)</f>
        <v>0</v>
      </c>
      <c r="Y29" s="36">
        <f>VLOOKUP($A29,[24]HISTOSEPT24!$A$6:$BM$38,33,0)</f>
        <v>0</v>
      </c>
      <c r="Z29" s="36">
        <f>VLOOKUP($A29,[24]HISTOSEPT24!$A$6:$BM$38,65,0)</f>
        <v>0</v>
      </c>
      <c r="AA29" s="36"/>
      <c r="AB29" s="36">
        <f>VLOOKUP($A29,[24]HISTOSEPT24!$A$6:$AU$38,43,0)</f>
        <v>0</v>
      </c>
      <c r="AC29" s="36">
        <f>VLOOKUP($A29,[24]HISTOSEPT24!$A$6:$AU$38,44,0)</f>
        <v>0</v>
      </c>
      <c r="AD29" s="36">
        <f>VLOOKUP($A29,[24]HISTOSEPT24!$A$6:$AU$38,47,0)</f>
        <v>0</v>
      </c>
      <c r="AE29" s="36">
        <f>VLOOKUP(A29,[24]HISTOSEPT24!$A$6:$BB$38,54,0)</f>
        <v>0</v>
      </c>
      <c r="AF29" s="36">
        <f>VLOOKUP($A29,[24]HISTOSEPT24!$A$6:$CB$38,60,0)</f>
        <v>0</v>
      </c>
      <c r="AG29" s="36">
        <f>VLOOKUP($A29,[24]HISTOSEPT24!$A$6:$CB$38,61,0)</f>
        <v>0</v>
      </c>
      <c r="AH29" s="36">
        <f>VLOOKUP($A29,[24]HISTOSEPT24!$A$6:$CB$38,62,0)</f>
        <v>0</v>
      </c>
      <c r="AI29" s="36">
        <f>VLOOKUP($A29,[24]HISTOSEPT24!$A$6:$CB$38,63,0)</f>
        <v>0</v>
      </c>
      <c r="AJ29" s="36">
        <f>VLOOKUP($A29,[24]HISTOSEPT24!$A$6:$CB$38,64,0)</f>
        <v>0</v>
      </c>
      <c r="AK29" s="36">
        <f>VLOOKUP($A29,[24]HISTOSEPT24!$A$6:$CB$38,65,0)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MVTAOUT24!I30-E30+L30</f>
        <v>879228.22009943589</v>
      </c>
      <c r="G30" s="5">
        <f>IF(MVTAOUT24!I30+L30&gt;700000,(MVTAOUT24!I30-E30+L30),0)</f>
        <v>879228.22009943589</v>
      </c>
      <c r="H30" s="36">
        <f t="shared" si="0"/>
        <v>518.38323169213709</v>
      </c>
      <c r="I30" s="6">
        <f t="shared" si="2"/>
        <v>879746.60333112802</v>
      </c>
      <c r="J30" s="36">
        <f>VLOOKUP($A30,[24]HISTOSEPT24!$A$6:$AQ$42,22,0)</f>
        <v>0</v>
      </c>
      <c r="K30" s="36">
        <f>VLOOKUP($A30,[24]HISTOSEPT24!$A$6:$AU$38,45,0)</f>
        <v>26000</v>
      </c>
      <c r="L30" s="36">
        <f t="shared" si="3"/>
        <v>20000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VLOOKUP($A30,[24]HISTOSEPT24!$A$6:$AU$38,7,0)</f>
        <v>0</v>
      </c>
      <c r="Q30" s="36">
        <f>VLOOKUP($A30,[24]HISTOSEPT24!$A$6:$AU$38,23,0)</f>
        <v>0</v>
      </c>
      <c r="R30" s="36">
        <f>VLOOKUP($A30,[24]HISTOSEPT24!$A$6:$AU$38,46,0)</f>
        <v>0</v>
      </c>
      <c r="S30" s="36">
        <f>VLOOKUP($A30,[24]HISTOSEPT24!$A$6:$AU$38,26,0)</f>
        <v>0</v>
      </c>
      <c r="T30" s="36">
        <f>VLOOKUP($A30,[24]HISTOSEPT24!$A$6:$BG$38,58,0)</f>
        <v>0</v>
      </c>
      <c r="U30" s="36">
        <f>VLOOKUP($A30,[24]HISTOSEPT24!$A$6:$AU$38,28,0)</f>
        <v>0</v>
      </c>
      <c r="V30" s="36">
        <f>VLOOKUP($A30,[24]HISTOSEPT24!$A$6:$AU$38,19,0)</f>
        <v>0</v>
      </c>
      <c r="W30" s="36">
        <f>VLOOKUP($A30,[24]HISTOSEPT24!$A$6:$AU$38,20,0)</f>
        <v>0</v>
      </c>
      <c r="X30" s="36">
        <f>VLOOKUP($A30,[24]HISTOSEPT24!$A$6:$AU$38,27,0)</f>
        <v>0</v>
      </c>
      <c r="Y30" s="36">
        <f>VLOOKUP($A30,[24]HISTOSEPT24!$A$6:$BM$38,33,0)</f>
        <v>0</v>
      </c>
      <c r="Z30" s="36">
        <f>VLOOKUP($A30,[24]HISTOSEPT24!$A$6:$BM$38,65,0)</f>
        <v>0</v>
      </c>
      <c r="AA30" s="36"/>
      <c r="AB30" s="36">
        <f>VLOOKUP($A30,[24]HISTOSEPT24!$A$6:$AU$38,43,0)</f>
        <v>0</v>
      </c>
      <c r="AC30" s="36">
        <f>VLOOKUP($A30,[24]HISTOSEPT24!$A$6:$AU$38,44,0)</f>
        <v>0</v>
      </c>
      <c r="AD30" s="36">
        <f>VLOOKUP($A30,[24]HISTOSEPT24!$A$6:$AU$38,47,0)</f>
        <v>0</v>
      </c>
      <c r="AE30" s="36">
        <f>VLOOKUP(A30,[24]HISTOSEPT24!$A$6:$BB$38,54,0)</f>
        <v>0</v>
      </c>
      <c r="AF30" s="36">
        <f>VLOOKUP($A30,[24]HISTOSEPT24!$A$6:$CB$38,60,0)</f>
        <v>0</v>
      </c>
      <c r="AG30" s="36">
        <f>VLOOKUP($A30,[24]HISTOSEPT24!$A$6:$CB$38,61,0)</f>
        <v>0</v>
      </c>
      <c r="AH30" s="36">
        <f>VLOOKUP($A30,[24]HISTOSEPT24!$A$6:$CB$38,62,0)</f>
        <v>0</v>
      </c>
      <c r="AI30" s="36">
        <f>VLOOKUP($A30,[24]HISTOSEPT24!$A$6:$CB$38,63,0)</f>
        <v>0</v>
      </c>
      <c r="AJ30" s="36">
        <f>VLOOKUP($A30,[24]HISTOSEPT24!$A$6:$CB$38,64,0)</f>
        <v>0</v>
      </c>
      <c r="AK30" s="36">
        <f>VLOOKUP($A30,[24]HISTOSEPT24!$A$6:$CB$38,65,0)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MVTAOUT24!I31-E31+L31</f>
        <v>1043088.8735541243</v>
      </c>
      <c r="G31" s="5">
        <f>IF(MVTAOUT24!I31+L31&gt;700000,(MVTAOUT24!I31-E31+L31),0)</f>
        <v>1043088.8735541243</v>
      </c>
      <c r="H31" s="36">
        <f t="shared" si="0"/>
        <v>614.99366018295621</v>
      </c>
      <c r="I31" s="6">
        <f t="shared" si="2"/>
        <v>1043703.8672143072</v>
      </c>
      <c r="J31" s="36">
        <f>VLOOKUP($A31,[24]HISTOSEPT24!$A$6:$AQ$42,22,0)</f>
        <v>0</v>
      </c>
      <c r="K31" s="36">
        <f>VLOOKUP($A31,[24]HISTOSEPT24!$A$6:$AU$38,45,0)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VLOOKUP($A31,[24]HISTOSEPT24!$A$6:$AU$38,7,0)</f>
        <v>0</v>
      </c>
      <c r="Q31" s="36">
        <f>VLOOKUP($A31,[24]HISTOSEPT24!$A$6:$AU$38,23,0)</f>
        <v>0</v>
      </c>
      <c r="R31" s="36">
        <f>VLOOKUP($A31,[24]HISTOSEPT24!$A$6:$AU$38,46,0)</f>
        <v>0</v>
      </c>
      <c r="S31" s="36">
        <f>VLOOKUP($A31,[24]HISTOSEPT24!$A$6:$AU$38,26,0)</f>
        <v>0</v>
      </c>
      <c r="T31" s="36">
        <f>VLOOKUP($A31,[24]HISTOSEPT24!$A$6:$BG$38,58,0)</f>
        <v>0</v>
      </c>
      <c r="U31" s="36">
        <f>VLOOKUP($A31,[24]HISTOSEPT24!$A$6:$AU$38,28,0)</f>
        <v>0</v>
      </c>
      <c r="V31" s="36">
        <f>VLOOKUP($A31,[24]HISTOSEPT24!$A$6:$AU$38,19,0)</f>
        <v>0</v>
      </c>
      <c r="W31" s="36">
        <f>VLOOKUP($A31,[24]HISTOSEPT24!$A$6:$AU$38,20,0)</f>
        <v>0</v>
      </c>
      <c r="X31" s="36">
        <f>VLOOKUP($A31,[24]HISTOSEPT24!$A$6:$AU$38,27,0)</f>
        <v>0</v>
      </c>
      <c r="Y31" s="36">
        <f>VLOOKUP($A31,[24]HISTOSEPT24!$A$6:$BM$38,33,0)</f>
        <v>0</v>
      </c>
      <c r="Z31" s="36">
        <f>VLOOKUP($A31,[24]HISTOSEPT24!$A$6:$BM$38,65,0)</f>
        <v>0</v>
      </c>
      <c r="AA31" s="36"/>
      <c r="AB31" s="36">
        <f>VLOOKUP($A31,[24]HISTOSEPT24!$A$6:$AU$38,43,0)</f>
        <v>0</v>
      </c>
      <c r="AC31" s="36">
        <f>VLOOKUP($A31,[24]HISTOSEPT24!$A$6:$AU$38,44,0)</f>
        <v>0</v>
      </c>
      <c r="AD31" s="36">
        <f>VLOOKUP($A31,[24]HISTOSEPT24!$A$6:$AU$38,47,0)</f>
        <v>0</v>
      </c>
      <c r="AE31" s="36">
        <f>VLOOKUP(A31,[24]HISTOSEPT24!$A$6:$BB$38,54,0)</f>
        <v>0</v>
      </c>
      <c r="AF31" s="36">
        <f>VLOOKUP($A31,[24]HISTOSEPT24!$A$6:$CB$38,60,0)</f>
        <v>0</v>
      </c>
      <c r="AG31" s="36">
        <f>VLOOKUP($A31,[24]HISTOSEPT24!$A$6:$CB$38,61,0)</f>
        <v>0</v>
      </c>
      <c r="AH31" s="36">
        <f>VLOOKUP($A31,[24]HISTOSEPT24!$A$6:$CB$38,62,0)</f>
        <v>0</v>
      </c>
      <c r="AI31" s="36">
        <f>VLOOKUP($A31,[24]HISTOSEPT24!$A$6:$CB$38,63,0)</f>
        <v>0</v>
      </c>
      <c r="AJ31" s="36">
        <f>VLOOKUP($A31,[24]HISTOSEPT24!$A$6:$CB$38,64,0)</f>
        <v>0</v>
      </c>
      <c r="AK31" s="36">
        <f>VLOOKUP($A31,[24]HISTOSEPT24!$A$6:$CB$38,65,0)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MVTAOUT24!I32-E32+L32</f>
        <v>928280.80233503866</v>
      </c>
      <c r="G32" s="5">
        <f>IF(MVTAOUT24!I32+L32&gt;700000,(MVTAOUT24!I32-E32+L32),0)</f>
        <v>928280.80233503866</v>
      </c>
      <c r="H32" s="36">
        <f t="shared" si="0"/>
        <v>547.30409151083165</v>
      </c>
      <c r="I32" s="6">
        <f t="shared" si="2"/>
        <v>928828.10642654949</v>
      </c>
      <c r="J32" s="36">
        <f>VLOOKUP($A32,[24]HISTOSEPT24!$A$6:$AQ$42,22,0)</f>
        <v>0</v>
      </c>
      <c r="K32" s="36">
        <f>VLOOKUP($A32,[24]HISTOSEPT24!$A$6:$AU$38,45,0)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VLOOKUP($A32,[24]HISTOSEPT24!$A$6:$AU$38,7,0)</f>
        <v>0</v>
      </c>
      <c r="Q32" s="36">
        <f>VLOOKUP($A32,[24]HISTOSEPT24!$A$6:$AU$38,23,0)</f>
        <v>0</v>
      </c>
      <c r="R32" s="36">
        <f>VLOOKUP($A32,[24]HISTOSEPT24!$A$6:$AU$38,46,0)</f>
        <v>0</v>
      </c>
      <c r="S32" s="36">
        <f>VLOOKUP($A32,[24]HISTOSEPT24!$A$6:$AU$38,26,0)</f>
        <v>0</v>
      </c>
      <c r="T32" s="36">
        <f>VLOOKUP($A32,[24]HISTOSEPT24!$A$6:$BG$38,58,0)</f>
        <v>0</v>
      </c>
      <c r="U32" s="36">
        <f>VLOOKUP($A32,[24]HISTOSEPT24!$A$6:$AU$38,28,0)</f>
        <v>0</v>
      </c>
      <c r="V32" s="36">
        <f>VLOOKUP($A32,[24]HISTOSEPT24!$A$6:$AU$38,19,0)</f>
        <v>0</v>
      </c>
      <c r="W32" s="36">
        <f>VLOOKUP($A32,[24]HISTOSEPT24!$A$6:$AU$38,20,0)</f>
        <v>0</v>
      </c>
      <c r="X32" s="36">
        <f>VLOOKUP($A32,[24]HISTOSEPT24!$A$6:$AU$38,27,0)</f>
        <v>0</v>
      </c>
      <c r="Y32" s="36">
        <f>VLOOKUP($A32,[24]HISTOSEPT24!$A$6:$BM$38,33,0)</f>
        <v>0</v>
      </c>
      <c r="Z32" s="36">
        <f>VLOOKUP($A32,[24]HISTOSEPT24!$A$6:$BM$38,65,0)</f>
        <v>0</v>
      </c>
      <c r="AA32" s="36"/>
      <c r="AB32" s="36">
        <f>VLOOKUP($A32,[24]HISTOSEPT24!$A$6:$AU$38,43,0)</f>
        <v>0</v>
      </c>
      <c r="AC32" s="36">
        <f>VLOOKUP($A32,[24]HISTOSEPT24!$A$6:$AU$38,44,0)</f>
        <v>0</v>
      </c>
      <c r="AD32" s="36">
        <f>VLOOKUP($A32,[24]HISTOSEPT24!$A$6:$AU$38,47,0)</f>
        <v>0</v>
      </c>
      <c r="AE32" s="36">
        <f>VLOOKUP(A32,[24]HISTOSEPT24!$A$6:$BB$38,54,0)</f>
        <v>0</v>
      </c>
      <c r="AF32" s="36">
        <f>VLOOKUP($A32,[24]HISTOSEPT24!$A$6:$CB$38,60,0)</f>
        <v>0</v>
      </c>
      <c r="AG32" s="36">
        <f>VLOOKUP($A32,[24]HISTOSEPT24!$A$6:$CB$38,61,0)</f>
        <v>0</v>
      </c>
      <c r="AH32" s="36">
        <f>VLOOKUP($A32,[24]HISTOSEPT24!$A$6:$CB$38,62,0)</f>
        <v>0</v>
      </c>
      <c r="AI32" s="36">
        <f>VLOOKUP($A32,[24]HISTOSEPT24!$A$6:$CB$38,63,0)</f>
        <v>0</v>
      </c>
      <c r="AJ32" s="36">
        <f>VLOOKUP($A32,[24]HISTOSEPT24!$A$6:$CB$38,64,0)</f>
        <v>0</v>
      </c>
      <c r="AK32" s="36">
        <f>VLOOKUP($A32,[24]HISTOSEPT24!$A$6:$CB$38,65,0)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MVTAOUT24!I33-E33+L33</f>
        <v>1933382.9557552193</v>
      </c>
      <c r="G33" s="5">
        <f>IF(MVTAOUT24!I33+L33&gt;700000,(MVTAOUT24!I33-E33+L33),0)</f>
        <v>1933382.9557552193</v>
      </c>
      <c r="H33" s="36">
        <f t="shared" si="0"/>
        <v>1139.9012017488924</v>
      </c>
      <c r="I33" s="6">
        <f t="shared" si="2"/>
        <v>1934522.8569569683</v>
      </c>
      <c r="J33" s="36">
        <f>VLOOKUP($A33,[24]HISTOSEPT24!$A$6:$AQ$42,22,0)</f>
        <v>0</v>
      </c>
      <c r="K33" s="36">
        <f>VLOOKUP($A33,[24]HISTOSEPT24!$A$6:$AU$38,45,0)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VLOOKUP($A33,[24]HISTOSEPT24!$A$6:$AU$38,7,0)</f>
        <v>0</v>
      </c>
      <c r="Q33" s="36">
        <f>VLOOKUP($A33,[24]HISTOSEPT24!$A$6:$AU$38,23,0)</f>
        <v>0</v>
      </c>
      <c r="R33" s="36">
        <f>VLOOKUP($A33,[24]HISTOSEPT24!$A$6:$AU$38,46,0)</f>
        <v>0</v>
      </c>
      <c r="S33" s="36">
        <f>VLOOKUP($A33,[24]HISTOSEPT24!$A$6:$AU$38,26,0)</f>
        <v>0</v>
      </c>
      <c r="T33" s="36">
        <f>VLOOKUP($A33,[24]HISTOSEPT24!$A$6:$BG$38,58,0)</f>
        <v>0</v>
      </c>
      <c r="U33" s="36">
        <f>VLOOKUP($A33,[24]HISTOSEPT24!$A$6:$AU$38,28,0)</f>
        <v>0</v>
      </c>
      <c r="V33" s="36">
        <f>VLOOKUP($A33,[24]HISTOSEPT24!$A$6:$AU$38,19,0)</f>
        <v>0</v>
      </c>
      <c r="W33" s="36">
        <f>VLOOKUP($A33,[24]HISTOSEPT24!$A$6:$AU$38,20,0)</f>
        <v>0</v>
      </c>
      <c r="X33" s="36">
        <f>VLOOKUP($A33,[24]HISTOSEPT24!$A$6:$AU$38,27,0)</f>
        <v>0</v>
      </c>
      <c r="Y33" s="36">
        <f>VLOOKUP($A33,[24]HISTOSEPT24!$A$6:$BM$38,33,0)</f>
        <v>0</v>
      </c>
      <c r="Z33" s="36">
        <f>VLOOKUP($A33,[24]HISTOSEPT24!$A$6:$BM$38,65,0)</f>
        <v>0</v>
      </c>
      <c r="AA33" s="36"/>
      <c r="AB33" s="36">
        <f>VLOOKUP($A33,[24]HISTOSEPT24!$A$6:$AU$38,43,0)</f>
        <v>0</v>
      </c>
      <c r="AC33" s="36">
        <f>VLOOKUP($A33,[24]HISTOSEPT24!$A$6:$AU$38,44,0)</f>
        <v>0</v>
      </c>
      <c r="AD33" s="36">
        <f>VLOOKUP($A33,[24]HISTOSEPT24!$A$6:$AU$38,47,0)</f>
        <v>0</v>
      </c>
      <c r="AE33" s="36">
        <f>VLOOKUP(A33,[24]HISTOSEPT24!$A$6:$BB$38,54,0)</f>
        <v>0</v>
      </c>
      <c r="AF33" s="36">
        <f>VLOOKUP($A33,[24]HISTOSEPT24!$A$6:$CB$38,60,0)</f>
        <v>0</v>
      </c>
      <c r="AG33" s="36">
        <f>VLOOKUP($A33,[24]HISTOSEPT24!$A$6:$CB$38,61,0)</f>
        <v>0</v>
      </c>
      <c r="AH33" s="36">
        <f>VLOOKUP($A33,[24]HISTOSEPT24!$A$6:$CB$38,62,0)</f>
        <v>0</v>
      </c>
      <c r="AI33" s="36">
        <f>VLOOKUP($A33,[24]HISTOSEPT24!$A$6:$CB$38,63,0)</f>
        <v>0</v>
      </c>
      <c r="AJ33" s="36">
        <f>VLOOKUP($A33,[24]HISTOSEPT24!$A$6:$CB$38,64,0)</f>
        <v>0</v>
      </c>
      <c r="AK33" s="36">
        <f>VLOOKUP($A33,[24]HISTOSEPT24!$A$6:$CB$38,65,0)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MVTAOUT24!I34-E34+L34</f>
        <v>800000</v>
      </c>
      <c r="G34" s="5">
        <f>IF(MVTAOUT24!I34+L34&gt;700000,(MVTAOUT24!I34-E34+L34),0)</f>
        <v>800000</v>
      </c>
      <c r="H34" s="36">
        <f t="shared" si="0"/>
        <v>471.67114962120831</v>
      </c>
      <c r="I34" s="6">
        <f t="shared" si="2"/>
        <v>800471.67114962125</v>
      </c>
      <c r="J34" s="36">
        <f>VLOOKUP($A34,[24]HISTOSEPT24!$A$6:$AQ$42,22,0)</f>
        <v>0</v>
      </c>
      <c r="K34" s="36">
        <f>VLOOKUP($A34,[24]HISTOSEPT24!$A$6:$AU$38,45,0)</f>
        <v>199000</v>
      </c>
      <c r="L34" s="36">
        <f t="shared" si="3"/>
        <v>193000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VLOOKUP($A34,[24]HISTOSEPT24!$A$6:$AU$38,7,0)</f>
        <v>0</v>
      </c>
      <c r="Q34" s="36">
        <f>VLOOKUP($A34,[24]HISTOSEPT24!$A$6:$AU$38,23,0)</f>
        <v>0</v>
      </c>
      <c r="R34" s="36">
        <f>VLOOKUP($A34,[24]HISTOSEPT24!$A$6:$AU$38,46,0)</f>
        <v>0</v>
      </c>
      <c r="S34" s="36">
        <f>VLOOKUP($A34,[24]HISTOSEPT24!$A$6:$AU$38,26,0)</f>
        <v>0</v>
      </c>
      <c r="T34" s="36">
        <f>VLOOKUP($A34,[24]HISTOSEPT24!$A$6:$BG$38,58,0)</f>
        <v>0</v>
      </c>
      <c r="U34" s="36">
        <f>VLOOKUP($A34,[24]HISTOSEPT24!$A$6:$AU$38,28,0)</f>
        <v>0</v>
      </c>
      <c r="V34" s="36">
        <f>VLOOKUP($A34,[24]HISTOSEPT24!$A$6:$AU$38,19,0)</f>
        <v>0</v>
      </c>
      <c r="W34" s="36">
        <f>VLOOKUP($A34,[24]HISTOSEPT24!$A$6:$AU$38,20,0)</f>
        <v>0</v>
      </c>
      <c r="X34" s="36">
        <f>VLOOKUP($A34,[24]HISTOSEPT24!$A$6:$AU$38,27,0)</f>
        <v>0</v>
      </c>
      <c r="Y34" s="36">
        <f>VLOOKUP($A34,[24]HISTOSEPT24!$A$6:$BM$38,33,0)</f>
        <v>0</v>
      </c>
      <c r="Z34" s="36">
        <f>VLOOKUP($A34,[24]HISTOSEPT24!$A$6:$BM$38,65,0)</f>
        <v>0</v>
      </c>
      <c r="AA34" s="36"/>
      <c r="AB34" s="36">
        <f>VLOOKUP($A34,[24]HISTOSEPT24!$A$6:$AU$38,43,0)</f>
        <v>0</v>
      </c>
      <c r="AC34" s="36">
        <f>VLOOKUP($A34,[24]HISTOSEPT24!$A$6:$AU$38,44,0)</f>
        <v>0</v>
      </c>
      <c r="AD34" s="36">
        <f>VLOOKUP($A34,[24]HISTOSEPT24!$A$6:$AU$38,47,0)</f>
        <v>0</v>
      </c>
      <c r="AE34" s="36">
        <f>VLOOKUP(A34,[24]HISTOSEPT24!$A$6:$BB$38,54,0)</f>
        <v>140000</v>
      </c>
      <c r="AF34" s="36">
        <f>VLOOKUP($A34,[24]HISTOSEPT24!$A$6:$CB$38,60,0)</f>
        <v>0</v>
      </c>
      <c r="AG34" s="36">
        <f>VLOOKUP($A34,[24]HISTOSEPT24!$A$6:$CB$38,61,0)</f>
        <v>0</v>
      </c>
      <c r="AH34" s="36">
        <f>VLOOKUP($A34,[24]HISTOSEPT24!$A$6:$CB$38,62,0)</f>
        <v>0</v>
      </c>
      <c r="AI34" s="36">
        <f>VLOOKUP($A34,[24]HISTOSEPT24!$A$6:$CB$38,63,0)</f>
        <v>0</v>
      </c>
      <c r="AJ34" s="36">
        <f>VLOOKUP($A34,[24]HISTOSEPT24!$A$6:$CB$38,64,0)</f>
        <v>0</v>
      </c>
      <c r="AK34" s="36">
        <f>VLOOKUP($A34,[24]HISTOSEPT24!$A$6:$CB$38,65,0)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MVTAOUT24!I35-E35+L35</f>
        <v>277250</v>
      </c>
      <c r="G35" s="5">
        <f>IF(MVTAOUT24!I35+L35&gt;700000,(MVTAOUT24!I35-E35+L35),0)</f>
        <v>0</v>
      </c>
      <c r="H35" s="36">
        <f t="shared" si="0"/>
        <v>0</v>
      </c>
      <c r="I35" s="6">
        <f t="shared" si="2"/>
        <v>277250</v>
      </c>
      <c r="J35" s="36">
        <f>VLOOKUP($A35,[24]HISTOSEPT24!$A$6:$AQ$42,22,0)</f>
        <v>0</v>
      </c>
      <c r="K35" s="36">
        <f>VLOOKUP($A35,[24]HISTOSEPT24!$A$6:$AU$38,45,0)</f>
        <v>56250</v>
      </c>
      <c r="L35" s="36">
        <f>IF(K35=0,0,K35-(M35+N35+O35))</f>
        <v>44250</v>
      </c>
      <c r="M35" s="36">
        <f>IF(K35=0,0,1000)+1000</f>
        <v>2000</v>
      </c>
      <c r="N35" s="36">
        <f>IF(K35=0,0,1000)+1000</f>
        <v>2000</v>
      </c>
      <c r="O35" s="36">
        <f>IF(K35=0,0,4000)+4000</f>
        <v>8000</v>
      </c>
      <c r="P35" s="36">
        <f>VLOOKUP($A35,[24]HISTOSEPT24!$A$6:$AU$38,7,0)</f>
        <v>0</v>
      </c>
      <c r="Q35" s="36">
        <f>VLOOKUP($A35,[24]HISTOSEPT24!$A$6:$AU$38,23,0)</f>
        <v>0</v>
      </c>
      <c r="R35" s="36">
        <f>VLOOKUP($A35,[24]HISTOSEPT24!$A$6:$AU$38,46,0)</f>
        <v>0</v>
      </c>
      <c r="S35" s="36">
        <f>VLOOKUP($A35,[24]HISTOSEPT24!$A$6:$AU$38,26,0)</f>
        <v>0</v>
      </c>
      <c r="T35" s="36">
        <f>VLOOKUP($A35,[24]HISTOSEPT24!$A$6:$BG$38,58,0)</f>
        <v>0</v>
      </c>
      <c r="U35" s="36">
        <f>VLOOKUP($A35,[24]HISTOSEPT24!$A$6:$AU$38,28,0)</f>
        <v>0</v>
      </c>
      <c r="V35" s="36">
        <f>VLOOKUP($A35,[24]HISTOSEPT24!$A$6:$AU$38,19,0)</f>
        <v>0</v>
      </c>
      <c r="W35" s="36">
        <f>VLOOKUP($A35,[24]HISTOSEPT24!$A$6:$AU$38,20,0)</f>
        <v>0</v>
      </c>
      <c r="X35" s="36">
        <f>VLOOKUP($A35,[24]HISTOSEPT24!$A$6:$AU$38,27,0)</f>
        <v>0</v>
      </c>
      <c r="Y35" s="36">
        <f>VLOOKUP($A35,[24]HISTOSEPT24!$A$6:$BM$38,33,0)</f>
        <v>0</v>
      </c>
      <c r="Z35" s="36">
        <f>VLOOKUP($A35,[24]HISTOSEPT24!$A$6:$BM$38,65,0)</f>
        <v>0</v>
      </c>
      <c r="AA35" s="36"/>
      <c r="AB35" s="36">
        <f>VLOOKUP($A35,[24]HISTOSEPT24!$A$6:$AU$38,43,0)</f>
        <v>0</v>
      </c>
      <c r="AC35" s="36">
        <f>VLOOKUP($A35,[24]HISTOSEPT24!$A$6:$AU$38,44,0)</f>
        <v>3750</v>
      </c>
      <c r="AD35" s="36">
        <f>VLOOKUP($A35,[24]HISTOSEPT24!$A$6:$AU$38,47,0)</f>
        <v>0</v>
      </c>
      <c r="AE35" s="36">
        <f>VLOOKUP(A35,[24]HISTOSEPT24!$A$6:$BB$38,54,0)</f>
        <v>0</v>
      </c>
      <c r="AF35" s="36">
        <f>VLOOKUP($A35,[24]HISTOSEPT24!$A$6:$CB$38,60,0)</f>
        <v>0</v>
      </c>
      <c r="AG35" s="36">
        <f>VLOOKUP($A35,[24]HISTOSEPT24!$A$6:$CB$38,61,0)</f>
        <v>0</v>
      </c>
      <c r="AH35" s="36">
        <f>VLOOKUP($A35,[24]HISTOSEPT24!$A$6:$CB$38,62,0)</f>
        <v>0</v>
      </c>
      <c r="AI35" s="36">
        <f>VLOOKUP($A35,[24]HISTOSEPT24!$A$6:$CB$38,63,0)</f>
        <v>0</v>
      </c>
      <c r="AJ35" s="36">
        <f>VLOOKUP($A35,[24]HISTOSEPT24!$A$6:$CB$38,64,0)</f>
        <v>0</v>
      </c>
      <c r="AK35" s="36">
        <f>VLOOKUP($A35,[24]HISTOSEPT24!$A$6:$CB$38,65,0)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MVTAOUT24!I36-E36+L36</f>
        <v>1016326.8701622641</v>
      </c>
      <c r="G36" s="5">
        <f>IF(MVTAOUT24!I36+L36&gt;700000,(MVTAOUT24!I36-E36+L36),0)</f>
        <v>1016326.8701622641</v>
      </c>
      <c r="H36" s="36">
        <f t="shared" si="0"/>
        <v>599.2150790504495</v>
      </c>
      <c r="I36" s="6">
        <f t="shared" si="2"/>
        <v>1016926.0852413145</v>
      </c>
      <c r="J36" s="36">
        <f>VLOOKUP($A36,[24]HISTOSEPT24!$A$6:$AQ$42,22,0)</f>
        <v>0</v>
      </c>
      <c r="K36" s="36">
        <f>VLOOKUP($A36,[24]HISTOSEPT24!$A$6:$AU$38,45,0)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VLOOKUP($A36,[24]HISTOSEPT24!$A$6:$AU$38,7,0)</f>
        <v>0</v>
      </c>
      <c r="Q36" s="36">
        <f>VLOOKUP($A36,[24]HISTOSEPT24!$A$6:$AU$38,23,0)</f>
        <v>0</v>
      </c>
      <c r="R36" s="36">
        <f>VLOOKUP($A36,[24]HISTOSEPT24!$A$6:$AU$38,46,0)</f>
        <v>0</v>
      </c>
      <c r="S36" s="36">
        <f>VLOOKUP($A36,[24]HISTOSEPT24!$A$6:$AU$38,26,0)</f>
        <v>0</v>
      </c>
      <c r="T36" s="36">
        <f>VLOOKUP($A36,[24]HISTOSEPT24!$A$6:$BG$38,58,0)</f>
        <v>0</v>
      </c>
      <c r="U36" s="36">
        <f>VLOOKUP($A36,[24]HISTOSEPT24!$A$6:$AU$38,28,0)</f>
        <v>0</v>
      </c>
      <c r="V36" s="36">
        <f>VLOOKUP($A36,[24]HISTOSEPT24!$A$6:$AU$38,19,0)</f>
        <v>0</v>
      </c>
      <c r="W36" s="36">
        <f>VLOOKUP($A36,[24]HISTOSEPT24!$A$6:$AU$38,20,0)</f>
        <v>0</v>
      </c>
      <c r="X36" s="36">
        <f>VLOOKUP($A36,[24]HISTOSEPT24!$A$6:$AU$38,27,0)</f>
        <v>0</v>
      </c>
      <c r="Y36" s="36">
        <f>VLOOKUP($A36,[24]HISTOSEPT24!$A$6:$BM$38,33,0)</f>
        <v>0</v>
      </c>
      <c r="Z36" s="36">
        <f>VLOOKUP($A36,[24]HISTOSEPT24!$A$6:$BM$38,65,0)</f>
        <v>0</v>
      </c>
      <c r="AA36" s="36"/>
      <c r="AB36" s="36">
        <f>VLOOKUP($A36,[24]HISTOSEPT24!$A$6:$AU$38,43,0)</f>
        <v>0</v>
      </c>
      <c r="AC36" s="36">
        <f>VLOOKUP($A36,[24]HISTOSEPT24!$A$6:$AU$38,44,0)</f>
        <v>0</v>
      </c>
      <c r="AD36" s="36">
        <f>VLOOKUP($A36,[24]HISTOSEPT24!$A$6:$AU$38,47,0)</f>
        <v>0</v>
      </c>
      <c r="AE36" s="36">
        <f>VLOOKUP(A36,[24]HISTOSEPT24!$A$6:$BB$38,54,0)</f>
        <v>0</v>
      </c>
      <c r="AF36" s="36">
        <f>VLOOKUP($A36,[24]HISTOSEPT24!$A$6:$CB$38,60,0)</f>
        <v>0</v>
      </c>
      <c r="AG36" s="36">
        <f>VLOOKUP($A36,[24]HISTOSEPT24!$A$6:$CB$38,61,0)</f>
        <v>0</v>
      </c>
      <c r="AH36" s="36">
        <f>VLOOKUP($A36,[24]HISTOSEPT24!$A$6:$CB$38,62,0)</f>
        <v>0</v>
      </c>
      <c r="AI36" s="36">
        <f>VLOOKUP($A36,[24]HISTOSEPT24!$A$6:$CB$38,63,0)</f>
        <v>100000</v>
      </c>
      <c r="AJ36" s="36">
        <f>VLOOKUP($A36,[24]HISTOSEPT24!$A$6:$CB$38,64,0)</f>
        <v>0</v>
      </c>
      <c r="AK36" s="36">
        <f>VLOOKUP($A36,[24]HISTOSEPT24!$A$6:$CB$38,65,0)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MVTAOUT24!I37-E37+L37</f>
        <v>2009410.4637984536</v>
      </c>
      <c r="G37" s="5">
        <f>IF(MVTAOUT24!I37+L37&gt;700000,(MVTAOUT24!I37-E37+L37),0)</f>
        <v>2009410.4637984536</v>
      </c>
      <c r="H37" s="36">
        <f t="shared" si="0"/>
        <v>1184.7261794008775</v>
      </c>
      <c r="I37" s="6">
        <f t="shared" si="2"/>
        <v>2010595.1899778545</v>
      </c>
      <c r="J37" s="36">
        <f>VLOOKUP($A37,[24]HISTOSEPT24!$A$6:$AQ$42,22,0)</f>
        <v>0</v>
      </c>
      <c r="K37" s="36">
        <f>VLOOKUP($A37,[24]HISTOSEPT24!$A$6:$AU$38,45,0)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VLOOKUP($A37,[24]HISTOSEPT24!$A$6:$AU$38,7,0)</f>
        <v>0</v>
      </c>
      <c r="Q37" s="36">
        <f>VLOOKUP($A37,[24]HISTOSEPT24!$A$6:$AU$38,23,0)</f>
        <v>0</v>
      </c>
      <c r="R37" s="36">
        <f>VLOOKUP($A37,[24]HISTOSEPT24!$A$6:$AU$38,46,0)</f>
        <v>0</v>
      </c>
      <c r="S37" s="36">
        <f>VLOOKUP($A37,[24]HISTOSEPT24!$A$6:$AU$38,26,0)</f>
        <v>0</v>
      </c>
      <c r="T37" s="36">
        <f>VLOOKUP($A37,[24]HISTOSEPT24!$A$6:$BG$38,58,0)</f>
        <v>0</v>
      </c>
      <c r="U37" s="36">
        <f>VLOOKUP($A37,[24]HISTOSEPT24!$A$6:$AU$38,28,0)</f>
        <v>0</v>
      </c>
      <c r="V37" s="36">
        <f>VLOOKUP($A37,[24]HISTOSEPT24!$A$6:$AU$38,19,0)</f>
        <v>0</v>
      </c>
      <c r="W37" s="36">
        <f>VLOOKUP($A37,[24]HISTOSEPT24!$A$6:$AU$38,20,0)</f>
        <v>0</v>
      </c>
      <c r="X37" s="36">
        <f>VLOOKUP($A37,[24]HISTOSEPT24!$A$6:$AU$38,27,0)</f>
        <v>0</v>
      </c>
      <c r="Y37" s="36">
        <f>VLOOKUP($A37,[24]HISTOSEPT24!$A$6:$BM$38,33,0)</f>
        <v>0</v>
      </c>
      <c r="Z37" s="36">
        <f>VLOOKUP($A37,[24]HISTOSEPT24!$A$6:$BM$38,65,0)</f>
        <v>0</v>
      </c>
      <c r="AA37" s="36"/>
      <c r="AB37" s="36">
        <f>VLOOKUP($A37,[24]HISTOSEPT24!$A$6:$AU$38,43,0)</f>
        <v>0</v>
      </c>
      <c r="AC37" s="36">
        <f>VLOOKUP($A37,[24]HISTOSEPT24!$A$6:$AU$38,44,0)</f>
        <v>0</v>
      </c>
      <c r="AD37" s="36">
        <f>VLOOKUP($A37,[24]HISTOSEPT24!$A$6:$AU$38,47,0)</f>
        <v>0</v>
      </c>
      <c r="AE37" s="36">
        <f>VLOOKUP(A37,[24]HISTOSEPT24!$A$6:$BB$38,54,0)</f>
        <v>0</v>
      </c>
      <c r="AF37" s="36">
        <f>VLOOKUP($A37,[24]HISTOSEPT24!$A$6:$CB$38,60,0)</f>
        <v>0</v>
      </c>
      <c r="AG37" s="36">
        <f>VLOOKUP($A37,[24]HISTOSEPT24!$A$6:$CB$38,61,0)</f>
        <v>0</v>
      </c>
      <c r="AH37" s="36">
        <f>VLOOKUP($A37,[24]HISTOSEPT24!$A$6:$CB$38,62,0)</f>
        <v>0</v>
      </c>
      <c r="AI37" s="36">
        <f>VLOOKUP($A37,[24]HISTOSEPT24!$A$6:$CB$38,63,0)</f>
        <v>0</v>
      </c>
      <c r="AJ37" s="36">
        <f>VLOOKUP($A37,[24]HISTOSEPT24!$A$6:$CB$38,64,0)</f>
        <v>0</v>
      </c>
      <c r="AK37" s="36">
        <f>VLOOKUP($A37,[24]HISTOSEPT24!$A$6:$CB$38,65,0)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MVTAOUT24!I38-E38+L38</f>
        <v>871000</v>
      </c>
      <c r="G38" s="5">
        <f>IF(MVTAOUT24!I38+L38&gt;700000,(MVTAOUT24!I38-E38+L38),0)</f>
        <v>871000</v>
      </c>
      <c r="H38" s="36">
        <f t="shared" si="0"/>
        <v>513.53196415009052</v>
      </c>
      <c r="I38" s="6">
        <f t="shared" si="2"/>
        <v>871513.53196415014</v>
      </c>
      <c r="J38" s="36">
        <f>VLOOKUP($A38,[24]HISTOSEPT24!$A$6:$AQ$42,22,0)</f>
        <v>0</v>
      </c>
      <c r="K38" s="36">
        <f>VLOOKUP($A38,[24]HISTOSEPT24!$A$6:$AU$38,45,0)</f>
        <v>725000</v>
      </c>
      <c r="L38" s="36">
        <f t="shared" si="3"/>
        <v>719000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VLOOKUP($A38,[24]HISTOSEPT24!$A$6:$AU$38,7,0)</f>
        <v>3000</v>
      </c>
      <c r="Q38" s="36">
        <f>VLOOKUP($A38,[24]HISTOSEPT24!$A$6:$AU$38,23,0)</f>
        <v>0</v>
      </c>
      <c r="R38" s="36">
        <f>VLOOKUP($A38,[24]HISTOSEPT24!$A$6:$AU$38,46,0)</f>
        <v>120000</v>
      </c>
      <c r="S38" s="36">
        <f>VLOOKUP($A38,[24]HISTOSEPT24!$A$6:$AU$38,26,0)</f>
        <v>0</v>
      </c>
      <c r="T38" s="36">
        <f>VLOOKUP($A38,[24]HISTOSEPT24!$A$6:$BG$38,58,0)</f>
        <v>0</v>
      </c>
      <c r="U38" s="36">
        <f>VLOOKUP($A38,[24]HISTOSEPT24!$A$6:$AU$38,28,0)</f>
        <v>0</v>
      </c>
      <c r="V38" s="36">
        <f>VLOOKUP($A38,[24]HISTOSEPT24!$A$6:$AU$38,19,0)</f>
        <v>0</v>
      </c>
      <c r="W38" s="36">
        <f>VLOOKUP($A38,[24]HISTOSEPT24!$A$6:$AU$38,20,0)</f>
        <v>0</v>
      </c>
      <c r="X38" s="36">
        <f>VLOOKUP($A38,[24]HISTOSEPT24!$A$6:$AU$38,27,0)</f>
        <v>0</v>
      </c>
      <c r="Y38" s="36">
        <f>VLOOKUP($A38,[24]HISTOSEPT24!$A$6:$BM$38,33,0)</f>
        <v>0</v>
      </c>
      <c r="Z38" s="36">
        <f>VLOOKUP($A38,[24]HISTOSEPT24!$A$6:$BM$38,65,0)</f>
        <v>0</v>
      </c>
      <c r="AA38" s="36"/>
      <c r="AB38" s="36">
        <f>VLOOKUP($A38,[24]HISTOSEPT24!$A$6:$AU$38,43,0)</f>
        <v>0</v>
      </c>
      <c r="AC38" s="36">
        <f>VLOOKUP($A38,[24]HISTOSEPT24!$A$6:$AU$38,44,0)</f>
        <v>0</v>
      </c>
      <c r="AD38" s="36">
        <f>VLOOKUP($A38,[24]HISTOSEPT24!$A$6:$AU$38,47,0)</f>
        <v>0</v>
      </c>
      <c r="AE38" s="36">
        <f>VLOOKUP(A38,[24]HISTOSEPT24!$A$6:$BB$38,54,0)</f>
        <v>240000</v>
      </c>
      <c r="AF38" s="36">
        <f>VLOOKUP($A38,[24]HISTOSEPT24!$A$6:$CB$38,60,0)</f>
        <v>0</v>
      </c>
      <c r="AG38" s="36">
        <f>VLOOKUP($A38,[24]HISTOSEPT24!$A$6:$CB$38,61,0)</f>
        <v>0</v>
      </c>
      <c r="AH38" s="36">
        <f>VLOOKUP($A38,[24]HISTOSEPT24!$A$6:$CB$38,62,0)</f>
        <v>0</v>
      </c>
      <c r="AI38" s="36">
        <f>VLOOKUP($A38,[24]HISTOSEPT24!$A$6:$CB$38,63,0)</f>
        <v>0</v>
      </c>
      <c r="AJ38" s="36">
        <f>VLOOKUP($A38,[24]HISTOSEPT24!$A$6:$CB$38,64,0)</f>
        <v>0</v>
      </c>
      <c r="AK38" s="36">
        <f>VLOOKUP($A38,[24]HISTOSEPT24!$A$6:$CB$38,65,0)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MVTAOUT24!I39-E39+L39</f>
        <v>2176013.9052563463</v>
      </c>
      <c r="G39" s="5">
        <f>IF(MVTAOUT24!I39+L39&gt;700000,(MVTAOUT24!I39-E39+L39),0)</f>
        <v>2176013.9052563463</v>
      </c>
      <c r="H39" s="36">
        <f t="shared" si="0"/>
        <v>1282.953725354995</v>
      </c>
      <c r="I39" s="6">
        <f t="shared" si="2"/>
        <v>2177296.8589817015</v>
      </c>
      <c r="J39" s="36">
        <f>VLOOKUP($A39,[24]HISTOSEPT24!$A$6:$AQ$42,22,0)</f>
        <v>0</v>
      </c>
      <c r="K39" s="36">
        <f>VLOOKUP($A39,[24]HISTOSEPT24!$A$6:$AU$38,45,0)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VLOOKUP($A39,[24]HISTOSEPT24!$A$6:$AU$38,7,0)</f>
        <v>0</v>
      </c>
      <c r="Q39" s="36">
        <f>VLOOKUP($A39,[24]HISTOSEPT24!$A$6:$AU$38,23,0)</f>
        <v>0</v>
      </c>
      <c r="R39" s="36">
        <f>VLOOKUP($A39,[24]HISTOSEPT24!$A$6:$AU$38,46,0)</f>
        <v>0</v>
      </c>
      <c r="S39" s="36">
        <f>VLOOKUP($A39,[24]HISTOSEPT24!$A$6:$AU$38,26,0)</f>
        <v>0</v>
      </c>
      <c r="T39" s="36">
        <f>VLOOKUP($A39,[24]HISTOSEPT24!$A$6:$BG$38,58,0)</f>
        <v>0</v>
      </c>
      <c r="U39" s="36">
        <f>VLOOKUP($A39,[24]HISTOSEPT24!$A$6:$AU$38,28,0)</f>
        <v>0</v>
      </c>
      <c r="V39" s="36">
        <f>VLOOKUP($A39,[24]HISTOSEPT24!$A$6:$AU$38,19,0)</f>
        <v>0</v>
      </c>
      <c r="W39" s="36">
        <f>VLOOKUP($A39,[24]HISTOSEPT24!$A$6:$AU$38,20,0)</f>
        <v>0</v>
      </c>
      <c r="X39" s="36">
        <f>VLOOKUP($A39,[24]HISTOSEPT24!$A$6:$AU$38,27,0)</f>
        <v>0</v>
      </c>
      <c r="Y39" s="36">
        <f>VLOOKUP($A39,[24]HISTOSEPT24!$A$6:$BM$38,33,0)</f>
        <v>0</v>
      </c>
      <c r="Z39" s="36">
        <f>VLOOKUP($A39,[24]HISTOSEPT24!$A$6:$BM$38,65,0)</f>
        <v>0</v>
      </c>
      <c r="AA39" s="36"/>
      <c r="AB39" s="36">
        <f>VLOOKUP($A39,[24]HISTOSEPT24!$A$6:$AU$38,43,0)</f>
        <v>0</v>
      </c>
      <c r="AC39" s="36">
        <f>VLOOKUP($A39,[24]HISTOSEPT24!$A$6:$AU$38,44,0)</f>
        <v>0</v>
      </c>
      <c r="AD39" s="36">
        <f>VLOOKUP($A39,[24]HISTOSEPT24!$A$6:$AU$38,47,0)</f>
        <v>0</v>
      </c>
      <c r="AE39" s="36">
        <f>VLOOKUP(A39,[24]HISTOSEPT24!$A$6:$BB$38,54,0)</f>
        <v>0</v>
      </c>
      <c r="AF39" s="36">
        <f>VLOOKUP($A39,[24]HISTOSEPT24!$A$6:$CB$38,60,0)</f>
        <v>0</v>
      </c>
      <c r="AG39" s="36">
        <f>VLOOKUP($A39,[24]HISTOSEPT24!$A$6:$CB$38,61,0)</f>
        <v>0</v>
      </c>
      <c r="AH39" s="36">
        <f>VLOOKUP($A39,[24]HISTOSEPT24!$A$6:$CB$38,62,0)</f>
        <v>0</v>
      </c>
      <c r="AI39" s="36">
        <f>VLOOKUP($A39,[24]HISTOSEPT24!$A$6:$CB$38,63,0)</f>
        <v>0</v>
      </c>
      <c r="AJ39" s="36">
        <f>VLOOKUP($A39,[24]HISTOSEPT24!$A$6:$CB$38,64,0)</f>
        <v>0</v>
      </c>
      <c r="AK39" s="36">
        <f>VLOOKUP($A39,[24]HISTOSEPT24!$A$6:$CB$38,65,0)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35046406.07312192</v>
      </c>
      <c r="G41" s="9">
        <f t="shared" si="10"/>
        <v>33921939.07312192</v>
      </c>
      <c r="H41" s="36">
        <f t="shared" si="10"/>
        <v>20000</v>
      </c>
      <c r="I41" s="9">
        <f t="shared" si="10"/>
        <v>35066406.073121913</v>
      </c>
      <c r="J41" s="9">
        <f t="shared" si="10"/>
        <v>0</v>
      </c>
      <c r="K41" s="9">
        <f t="shared" si="10"/>
        <v>1783250</v>
      </c>
      <c r="L41" s="9">
        <f t="shared" si="10"/>
        <v>1585250</v>
      </c>
      <c r="M41" s="9">
        <f t="shared" si="10"/>
        <v>33000</v>
      </c>
      <c r="N41" s="9">
        <f t="shared" si="10"/>
        <v>33000</v>
      </c>
      <c r="O41" s="9">
        <f t="shared" si="10"/>
        <v>132000</v>
      </c>
      <c r="P41" s="9">
        <f t="shared" si="10"/>
        <v>18000</v>
      </c>
      <c r="Q41" s="9">
        <f t="shared" si="10"/>
        <v>0</v>
      </c>
      <c r="R41" s="9">
        <f t="shared" si="10"/>
        <v>120000</v>
      </c>
      <c r="S41" s="9">
        <f t="shared" si="10"/>
        <v>1000000</v>
      </c>
      <c r="T41" s="9">
        <f t="shared" si="10"/>
        <v>20000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3750</v>
      </c>
      <c r="AD41" s="9">
        <f t="shared" si="10"/>
        <v>0</v>
      </c>
      <c r="AE41" s="9">
        <f t="shared" si="10"/>
        <v>380000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3" spans="1:38" x14ac:dyDescent="0.35">
      <c r="P43" s="2">
        <v>3750</v>
      </c>
    </row>
    <row r="44" spans="1:38" ht="17.5" x14ac:dyDescent="0.35">
      <c r="G44" s="2"/>
      <c r="P44" s="9">
        <f>+P41+P43</f>
        <v>21750</v>
      </c>
    </row>
  </sheetData>
  <autoFilter ref="A5:V39" xr:uid="{00000000-0009-0000-0000-00000E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77">
        <v>45582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956486.33111614815</v>
      </c>
      <c r="G6" s="5">
        <f>IF(MVTSEPT24!I6+L6&gt;700000,(MVTSEPT24!I6-E6+L6),0)</f>
        <v>956486.33111614815</v>
      </c>
      <c r="H6" s="36">
        <f t="shared" ref="H6:H39" si="0">$T$41/$G$41*G6</f>
        <v>0</v>
      </c>
      <c r="I6" s="6">
        <f>F6+H6</f>
        <v>956486.33111614815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VLOOKUP($A6,[24]HISTOOCT24!$A$6:$CB$38,60,0)</f>
        <v>6000</v>
      </c>
      <c r="AG6" s="36">
        <f>VLOOKUP($A6,[24]HISTOOCT24!$A$6:$CB$38,61,0)</f>
        <v>321500</v>
      </c>
      <c r="AH6" s="36">
        <f>VLOOKUP($A6,[24]HISTOOCT24!$A$6:$CB$38,62,0)</f>
        <v>0</v>
      </c>
      <c r="AI6" s="36">
        <f>VLOOKUP($A6,[24]HISTOOCT24!$A$6:$CB$38,63,0)</f>
        <v>100000</v>
      </c>
      <c r="AJ6" s="36">
        <f>VLOOKUP($A6,[24]HISTOOCT24!$A$6:$CB$38,64,0)</f>
        <v>0</v>
      </c>
      <c r="AK6" s="36">
        <f>VLOOKUP($A6,[24]HISTOOCT24!$A$6:$CB$38,65,0)</f>
        <v>0</v>
      </c>
      <c r="AL6" s="36">
        <f>VLOOKUP($A6,[24]HISTOOCT24!$A$6:$CB$38,66,0)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889696.43880443554</v>
      </c>
      <c r="G7" s="5">
        <f>IF(MVTSEPT24!I7+L7&gt;700000,(MVTSEPT24!I7-E7+L7),0)</f>
        <v>889696.43880443554</v>
      </c>
      <c r="H7" s="36">
        <f t="shared" si="0"/>
        <v>0</v>
      </c>
      <c r="I7" s="6">
        <f t="shared" ref="I7:I39" si="2">F7+H7</f>
        <v>889696.43880443554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VLOOKUP($A7,[24]HISTOOCT24!$A$6:$CB$38,60,0)</f>
        <v>0</v>
      </c>
      <c r="AG7" s="36">
        <f>VLOOKUP($A7,[24]HISTOOCT24!$A$6:$CB$38,61,0)</f>
        <v>0</v>
      </c>
      <c r="AH7" s="36">
        <f>VLOOKUP($A7,[24]HISTOOCT24!$A$6:$CB$38,62,0)</f>
        <v>0</v>
      </c>
      <c r="AI7" s="36">
        <f>VLOOKUP($A7,[24]HISTOOCT24!$A$6:$CB$38,63,0)</f>
        <v>0</v>
      </c>
      <c r="AJ7" s="36">
        <f>VLOOKUP($A7,[24]HISTOOCT24!$A$6:$CB$38,64,0)</f>
        <v>0</v>
      </c>
      <c r="AK7" s="36">
        <f>VLOOKUP($A7,[24]HISTOOCT24!$A$6:$CB$38,65,0)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944073.24045783479</v>
      </c>
      <c r="G8" s="5">
        <f>IF(MVTSEPT24!I8+L8&gt;700000,(MVTSEPT24!I8-E8+L8),0)</f>
        <v>944073.24045783479</v>
      </c>
      <c r="H8" s="36">
        <f t="shared" si="0"/>
        <v>0</v>
      </c>
      <c r="I8" s="6">
        <f t="shared" si="2"/>
        <v>944073.24045783479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VLOOKUP($A8,[24]HISTOOCT24!$A$6:$CB$38,60,0)</f>
        <v>0</v>
      </c>
      <c r="AG8" s="36">
        <f>VLOOKUP($A8,[24]HISTOOCT24!$A$6:$CB$38,61,0)</f>
        <v>0</v>
      </c>
      <c r="AH8" s="36">
        <f>VLOOKUP($A8,[24]HISTOOCT24!$A$6:$CB$38,62,0)</f>
        <v>0</v>
      </c>
      <c r="AI8" s="36">
        <f>VLOOKUP($A8,[24]HISTOOCT24!$A$6:$CB$38,63,0)</f>
        <v>0</v>
      </c>
      <c r="AJ8" s="36">
        <f>VLOOKUP($A8,[24]HISTOOCT24!$A$6:$CB$38,64,0)</f>
        <v>0</v>
      </c>
      <c r="AK8" s="36">
        <f>VLOOKUP($A8,[24]HISTOOCT24!$A$6:$CB$38,65,0)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997116.39934003656</v>
      </c>
      <c r="G9" s="5">
        <f>IF(MVTSEPT24!I9+L9&gt;700000,(MVTSEPT24!I9-E9+L9),0)</f>
        <v>997116.39934003656</v>
      </c>
      <c r="H9" s="36">
        <f t="shared" si="0"/>
        <v>0</v>
      </c>
      <c r="I9" s="6">
        <f t="shared" si="2"/>
        <v>997116.39934003656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VLOOKUP($A9,[24]HISTOOCT24!$A$6:$CB$38,60,0)</f>
        <v>0</v>
      </c>
      <c r="AG9" s="36">
        <f>VLOOKUP($A9,[24]HISTOOCT24!$A$6:$CB$38,61,0)</f>
        <v>0</v>
      </c>
      <c r="AH9" s="36">
        <f>VLOOKUP($A9,[24]HISTOOCT24!$A$6:$CB$38,62,0)</f>
        <v>0</v>
      </c>
      <c r="AI9" s="36">
        <f>VLOOKUP($A9,[24]HISTOOCT24!$A$6:$CB$38,63,0)</f>
        <v>0</v>
      </c>
      <c r="AJ9" s="36">
        <f>VLOOKUP($A9,[24]HISTOOCT24!$A$6:$CB$38,64,0)</f>
        <v>0</v>
      </c>
      <c r="AK9" s="36">
        <f>VLOOKUP($A9,[24]HISTOOCT24!$A$6:$CB$38,65,0)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943806.15479334153</v>
      </c>
      <c r="G10" s="5">
        <f>IF(MVTSEPT24!I10+L10&gt;700000,(MVTSEPT24!I10-E10+L10),0)</f>
        <v>943806.15479334153</v>
      </c>
      <c r="H10" s="36">
        <f t="shared" si="0"/>
        <v>0</v>
      </c>
      <c r="I10" s="6">
        <f t="shared" si="2"/>
        <v>943806.15479334153</v>
      </c>
      <c r="J10" s="36">
        <f>VLOOKUP($A10,[24]HISTOOCT24!$A$6:$AQ$42,22,0)</f>
        <v>0</v>
      </c>
      <c r="K10" s="36">
        <f>VLOOKUP($A10,[24]HISTOOCT24!$A$6:$AU$38,45,0)</f>
        <v>26000</v>
      </c>
      <c r="L10" s="36">
        <f t="shared" si="3"/>
        <v>20000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VLOOKUP($A10,[24]HISTOOCT24!$A$6:$CB$38,60,0)</f>
        <v>0</v>
      </c>
      <c r="AG10" s="36">
        <f>VLOOKUP($A10,[24]HISTOOCT24!$A$6:$CB$38,61,0)</f>
        <v>0</v>
      </c>
      <c r="AH10" s="36">
        <f>VLOOKUP($A10,[24]HISTOOCT24!$A$6:$CB$38,62,0)</f>
        <v>0</v>
      </c>
      <c r="AI10" s="36">
        <f>VLOOKUP($A10,[24]HISTOOCT24!$A$6:$CB$38,63,0)</f>
        <v>0</v>
      </c>
      <c r="AJ10" s="36">
        <f>VLOOKUP($A10,[24]HISTOOCT24!$A$6:$CB$38,64,0)</f>
        <v>0</v>
      </c>
      <c r="AK10" s="36">
        <f>VLOOKUP($A10,[24]HISTOOCT24!$A$6:$CB$38,65,0)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972687.04134130187</v>
      </c>
      <c r="G11" s="5">
        <f>IF(MVTSEPT24!I11+L11&gt;700000,(MVTSEPT24!I11-E11+L11),0)</f>
        <v>972687.04134130187</v>
      </c>
      <c r="H11" s="36">
        <f t="shared" si="0"/>
        <v>0</v>
      </c>
      <c r="I11" s="6">
        <f t="shared" si="2"/>
        <v>972687.04134130187</v>
      </c>
      <c r="J11" s="36">
        <f>VLOOKUP($A11,[24]HISTOOCT24!$A$6:$AQ$42,22,0)</f>
        <v>0</v>
      </c>
      <c r="K11" s="36">
        <f>VLOOKUP($A11,[24]HISTOOCT24!$A$6:$AU$38,45,0)</f>
        <v>25500</v>
      </c>
      <c r="L11" s="36">
        <f t="shared" si="3"/>
        <v>19500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VLOOKUP($A11,[24]HISTOOCT24!$A$6:$CB$38,60,0)</f>
        <v>0</v>
      </c>
      <c r="AG11" s="36">
        <f>VLOOKUP($A11,[24]HISTOOCT24!$A$6:$CB$38,61,0)</f>
        <v>0</v>
      </c>
      <c r="AH11" s="36">
        <f>VLOOKUP($A11,[24]HISTOOCT24!$A$6:$CB$38,62,0)</f>
        <v>0</v>
      </c>
      <c r="AI11" s="36">
        <f>VLOOKUP($A11,[24]HISTOOCT24!$A$6:$CB$38,63,0)</f>
        <v>0</v>
      </c>
      <c r="AJ11" s="36">
        <f>VLOOKUP($A11,[24]HISTOOCT24!$A$6:$CB$38,64,0)</f>
        <v>0</v>
      </c>
      <c r="AK11" s="36">
        <f>VLOOKUP($A11,[24]HISTOOCT24!$A$6:$CB$38,65,0)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1018876.6151706504</v>
      </c>
      <c r="G12" s="5">
        <f>IF(MVTSEPT24!I12+L12&gt;700000,(MVTSEPT24!I12-E12+L12),0)</f>
        <v>1018876.6151706504</v>
      </c>
      <c r="H12" s="36">
        <f t="shared" si="0"/>
        <v>0</v>
      </c>
      <c r="I12" s="6">
        <f t="shared" si="2"/>
        <v>1018876.6151706504</v>
      </c>
      <c r="J12" s="36">
        <f>VLOOKUP($A12,[24]HISTOOCT24!$A$6:$AQ$42,22,0)</f>
        <v>0</v>
      </c>
      <c r="K12" s="36">
        <f>VLOOKUP($A12,[24]HISTOOCT24!$A$6:$AU$38,45,0)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100000</v>
      </c>
      <c r="W12" s="36" t="str">
        <f>VLOOKUP($A12,[24]HISTOOCT24!$A$6:$AU$38,20,0)</f>
        <v>BANQUE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VLOOKUP($A12,[24]HISTOOCT24!$A$6:$CB$38,60,0)</f>
        <v>0</v>
      </c>
      <c r="AG12" s="36">
        <f>VLOOKUP($A12,[24]HISTOOCT24!$A$6:$CB$38,61,0)</f>
        <v>0</v>
      </c>
      <c r="AH12" s="36">
        <f>VLOOKUP($A12,[24]HISTOOCT24!$A$6:$CB$38,62,0)</f>
        <v>0</v>
      </c>
      <c r="AI12" s="36">
        <f>VLOOKUP($A12,[24]HISTOOCT24!$A$6:$CB$38,63,0)</f>
        <v>0</v>
      </c>
      <c r="AJ12" s="36">
        <f>VLOOKUP($A12,[24]HISTOOCT24!$A$6:$CB$38,64,0)</f>
        <v>0</v>
      </c>
      <c r="AK12" s="36">
        <f>VLOOKUP($A12,[24]HISTOOCT24!$A$6:$CB$38,65,0)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947131.79792375595</v>
      </c>
      <c r="G13" s="5">
        <f>IF(MVTSEPT24!I13+L13&gt;700000,(MVTSEPT24!I13-E13+L13),0)</f>
        <v>947131.79792375595</v>
      </c>
      <c r="H13" s="36">
        <f t="shared" si="0"/>
        <v>0</v>
      </c>
      <c r="I13" s="6">
        <f t="shared" si="2"/>
        <v>947131.79792375595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VLOOKUP($A13,[24]HISTOOCT24!$A$6:$CB$38,60,0)</f>
        <v>0</v>
      </c>
      <c r="AG13" s="36">
        <f>VLOOKUP($A13,[24]HISTOOCT24!$A$6:$CB$38,61,0)</f>
        <v>0</v>
      </c>
      <c r="AH13" s="36">
        <f>VLOOKUP($A13,[24]HISTOOCT24!$A$6:$CB$38,62,0)</f>
        <v>0</v>
      </c>
      <c r="AI13" s="36">
        <f>VLOOKUP($A13,[24]HISTOOCT24!$A$6:$CB$38,63,0)</f>
        <v>0</v>
      </c>
      <c r="AJ13" s="36">
        <f>VLOOKUP($A13,[24]HISTOOCT24!$A$6:$CB$38,64,0)</f>
        <v>0</v>
      </c>
      <c r="AK13" s="36">
        <f>VLOOKUP($A13,[24]HISTOOCT24!$A$6:$CB$38,65,0)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1506000.8433511991</v>
      </c>
      <c r="G14" s="5">
        <f>IF(MVTSEPT24!I14+L14&gt;700000,(MVTSEPT24!I14-E14+L14),0)</f>
        <v>1506000.8433511991</v>
      </c>
      <c r="H14" s="36">
        <f t="shared" si="0"/>
        <v>0</v>
      </c>
      <c r="I14" s="6">
        <f t="shared" si="2"/>
        <v>1506000.8433511991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VLOOKUP($A14,[24]HISTOOCT24!$A$6:$CB$38,60,0)</f>
        <v>0</v>
      </c>
      <c r="AG14" s="36">
        <f>VLOOKUP($A14,[24]HISTOOCT24!$A$6:$CB$38,61,0)</f>
        <v>0</v>
      </c>
      <c r="AH14" s="36">
        <f>VLOOKUP($A14,[24]HISTOOCT24!$A$6:$CB$38,62,0)</f>
        <v>0</v>
      </c>
      <c r="AI14" s="36">
        <f>VLOOKUP($A14,[24]HISTOOCT24!$A$6:$CB$38,63,0)</f>
        <v>0</v>
      </c>
      <c r="AJ14" s="36">
        <f>VLOOKUP($A14,[24]HISTOOCT24!$A$6:$CB$38,64,0)</f>
        <v>0</v>
      </c>
      <c r="AK14" s="36">
        <f>VLOOKUP($A14,[24]HISTOOCT24!$A$6:$CB$38,65,0)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1009556.26032111</v>
      </c>
      <c r="G15" s="5">
        <f>IF(MVTSEPT24!I15+L15&gt;700000,(MVTSEPT24!I15-E15+L15),0)</f>
        <v>1009556.26032111</v>
      </c>
      <c r="H15" s="36">
        <f t="shared" si="0"/>
        <v>0</v>
      </c>
      <c r="I15" s="6">
        <f t="shared" si="2"/>
        <v>1009556.26032111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VLOOKUP($A15,[24]HISTOOCT24!$A$6:$CB$38,60,0)</f>
        <v>0</v>
      </c>
      <c r="AG15" s="36">
        <f>VLOOKUP($A15,[24]HISTOOCT24!$A$6:$CB$38,61,0)</f>
        <v>0</v>
      </c>
      <c r="AH15" s="36">
        <f>VLOOKUP($A15,[24]HISTOOCT24!$A$6:$CB$38,62,0)</f>
        <v>0</v>
      </c>
      <c r="AI15" s="36">
        <f>VLOOKUP($A15,[24]HISTOOCT24!$A$6:$CB$38,63,0)</f>
        <v>0</v>
      </c>
      <c r="AJ15" s="36">
        <f>VLOOKUP($A15,[24]HISTOOCT24!$A$6:$CB$38,64,0)</f>
        <v>0</v>
      </c>
      <c r="AK15" s="36">
        <f>VLOOKUP($A15,[24]HISTOOCT24!$A$6:$CB$38,65,0)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1281372.0816398228</v>
      </c>
      <c r="G16" s="5">
        <f>IF(MVTSEPT24!I16+L16&gt;700000,(MVTSEPT24!I16-E16+L16),0)</f>
        <v>1281372.0816398228</v>
      </c>
      <c r="H16" s="36">
        <f t="shared" si="0"/>
        <v>0</v>
      </c>
      <c r="I16" s="6">
        <f t="shared" si="2"/>
        <v>1281372.0816398228</v>
      </c>
      <c r="J16" s="36">
        <f>VLOOKUP($A16,[24]HISTOOCT24!$A$6:$AQ$42,22,0)</f>
        <v>0</v>
      </c>
      <c r="K16" s="36">
        <f>VLOOKUP($A16,[24]HISTOOCT24!$A$6:$AU$38,45,0)</f>
        <v>40000</v>
      </c>
      <c r="L16" s="36">
        <f t="shared" si="3"/>
        <v>34000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VLOOKUP($A16,[24]HISTOOCT24!$A$6:$CB$38,60,0)</f>
        <v>0</v>
      </c>
      <c r="AG16" s="36">
        <f>VLOOKUP($A16,[24]HISTOOCT24!$A$6:$CB$38,61,0)</f>
        <v>0</v>
      </c>
      <c r="AH16" s="36">
        <f>VLOOKUP($A16,[24]HISTOOCT24!$A$6:$CB$38,62,0)</f>
        <v>0</v>
      </c>
      <c r="AI16" s="36">
        <f>VLOOKUP($A16,[24]HISTOOCT24!$A$6:$CB$38,63,0)</f>
        <v>0</v>
      </c>
      <c r="AJ16" s="36">
        <f>VLOOKUP($A16,[24]HISTOOCT24!$A$6:$CB$38,64,0)</f>
        <v>0</v>
      </c>
      <c r="AK16" s="36">
        <f>VLOOKUP($A16,[24]HISTOOCT24!$A$6:$CB$38,65,0)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947581.42189074657</v>
      </c>
      <c r="G17" s="5">
        <f>IF(MVTSEPT24!I17+L17&gt;700000,(MVTSEPT24!I17-E17+L17),0)</f>
        <v>947581.42189074657</v>
      </c>
      <c r="H17" s="36">
        <f t="shared" si="0"/>
        <v>0</v>
      </c>
      <c r="I17" s="6">
        <f t="shared" si="2"/>
        <v>947581.42189074657</v>
      </c>
      <c r="J17" s="36">
        <f>VLOOKUP($A17,[24]HISTOOCT24!$A$6:$AQ$42,22,0)</f>
        <v>0</v>
      </c>
      <c r="K17" s="36">
        <f>VLOOKUP($A17,[24]HISTOOCT24!$A$6:$AU$38,45,0)</f>
        <v>25500</v>
      </c>
      <c r="L17" s="36">
        <f t="shared" si="3"/>
        <v>19500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VLOOKUP($A17,[24]HISTOOCT24!$A$6:$CB$38,60,0)</f>
        <v>0</v>
      </c>
      <c r="AG17" s="36">
        <f>VLOOKUP($A17,[24]HISTOOCT24!$A$6:$CB$38,61,0)</f>
        <v>0</v>
      </c>
      <c r="AH17" s="36">
        <f>VLOOKUP($A17,[24]HISTOOCT24!$A$6:$CB$38,62,0)</f>
        <v>0</v>
      </c>
      <c r="AI17" s="36">
        <f>VLOOKUP($A17,[24]HISTOOCT24!$A$6:$CB$38,63,0)</f>
        <v>0</v>
      </c>
      <c r="AJ17" s="36">
        <f>VLOOKUP($A17,[24]HISTOOCT24!$A$6:$CB$38,64,0)</f>
        <v>0</v>
      </c>
      <c r="AK17" s="36">
        <f>VLOOKUP($A17,[24]HISTOOCT24!$A$6:$CB$38,65,0)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1052170.1231270968</v>
      </c>
      <c r="G18" s="5">
        <f>IF(MVTSEPT24!I18+L18&gt;700000,(MVTSEPT24!I18-E18+L18),0)</f>
        <v>1052170.1231270968</v>
      </c>
      <c r="H18" s="36">
        <f t="shared" si="0"/>
        <v>0</v>
      </c>
      <c r="I18" s="6">
        <f t="shared" si="2"/>
        <v>1052170.1231270968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VLOOKUP($A18,[24]HISTOOCT24!$A$6:$CB$38,60,0)</f>
        <v>0</v>
      </c>
      <c r="AG18" s="36">
        <f>VLOOKUP($A18,[24]HISTOOCT24!$A$6:$CB$38,61,0)</f>
        <v>0</v>
      </c>
      <c r="AH18" s="36">
        <f>VLOOKUP($A18,[24]HISTOOCT24!$A$6:$CB$38,62,0)</f>
        <v>0</v>
      </c>
      <c r="AI18" s="36">
        <f>VLOOKUP($A18,[24]HISTOOCT24!$A$6:$CB$38,63,0)</f>
        <v>0</v>
      </c>
      <c r="AJ18" s="36">
        <f>VLOOKUP($A18,[24]HISTOOCT24!$A$6:$CB$38,64,0)</f>
        <v>0</v>
      </c>
      <c r="AK18" s="36">
        <f>VLOOKUP($A18,[24]HISTOOCT24!$A$6:$CB$38,65,0)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VLOOKUP($A20,[24]HISTOOCT24!$A$6:$CB$38,60,0)</f>
        <v>0</v>
      </c>
      <c r="AG20" s="36">
        <f>VLOOKUP($A20,[24]HISTOOCT24!$A$6:$CB$38,61,0)</f>
        <v>0</v>
      </c>
      <c r="AH20" s="36">
        <f>VLOOKUP($A20,[24]HISTOOCT24!$A$6:$CB$38,62,0)</f>
        <v>0</v>
      </c>
      <c r="AI20" s="36">
        <f>VLOOKUP($A20,[24]HISTOOCT24!$A$6:$CB$38,63,0)</f>
        <v>0</v>
      </c>
      <c r="AJ20" s="36">
        <f>VLOOKUP($A20,[24]HISTOOCT24!$A$6:$CB$38,64,0)</f>
        <v>0</v>
      </c>
      <c r="AK20" s="36">
        <f>VLOOKUP($A20,[24]HISTOOCT24!$A$6:$CB$38,65,0)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979780.93650222523</v>
      </c>
      <c r="G21" s="5">
        <f>IF(MVTSEPT24!I21+L21&gt;700000,(MVTSEPT24!I21-E21+L21),0)</f>
        <v>979780.93650222523</v>
      </c>
      <c r="H21" s="36">
        <f t="shared" si="0"/>
        <v>0</v>
      </c>
      <c r="I21" s="6">
        <f t="shared" si="2"/>
        <v>979780.93650222523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VLOOKUP($A21,[24]HISTOOCT24!$A$6:$CB$38,60,0)</f>
        <v>0</v>
      </c>
      <c r="AG21" s="36">
        <f>VLOOKUP($A21,[24]HISTOOCT24!$A$6:$CB$38,61,0)</f>
        <v>0</v>
      </c>
      <c r="AH21" s="36">
        <f>VLOOKUP($A21,[24]HISTOOCT24!$A$6:$CB$38,62,0)</f>
        <v>0</v>
      </c>
      <c r="AI21" s="36">
        <f>VLOOKUP($A21,[24]HISTOOCT24!$A$6:$CB$38,63,0)</f>
        <v>0</v>
      </c>
      <c r="AJ21" s="36">
        <f>VLOOKUP($A21,[24]HISTOOCT24!$A$6:$CB$38,64,0)</f>
        <v>0</v>
      </c>
      <c r="AK21" s="36">
        <f>VLOOKUP($A21,[24]HISTOOCT24!$A$6:$CB$38,65,0)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948328.45476362517</v>
      </c>
      <c r="G22" s="5">
        <f>IF(MVTSEPT24!I22+L22&gt;700000,(MVTSEPT24!I22-E22+L22),0)</f>
        <v>948328.45476362517</v>
      </c>
      <c r="H22" s="36">
        <f t="shared" si="0"/>
        <v>0</v>
      </c>
      <c r="I22" s="6">
        <f t="shared" si="2"/>
        <v>948328.45476362517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VLOOKUP($A22,[24]HISTOOCT24!$A$6:$CB$38,60,0)</f>
        <v>0</v>
      </c>
      <c r="AG22" s="36">
        <f>VLOOKUP($A22,[24]HISTOOCT24!$A$6:$CB$38,61,0)</f>
        <v>0</v>
      </c>
      <c r="AH22" s="36">
        <f>VLOOKUP($A22,[24]HISTOOCT24!$A$6:$CB$38,62,0)</f>
        <v>0</v>
      </c>
      <c r="AI22" s="36">
        <f>VLOOKUP($A22,[24]HISTOOCT24!$A$6:$CB$38,63,0)</f>
        <v>0</v>
      </c>
      <c r="AJ22" s="36">
        <f>VLOOKUP($A22,[24]HISTOOCT24!$A$6:$CB$38,64,0)</f>
        <v>0</v>
      </c>
      <c r="AK22" s="36">
        <f>VLOOKUP($A22,[24]HISTOOCT24!$A$6:$CB$38,65,0)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1055413.1344334492</v>
      </c>
      <c r="G23" s="5">
        <f>IF(MVTSEPT24!I23+L23&gt;700000,(MVTSEPT24!I23-E23+L23),0)</f>
        <v>1055413.1344334492</v>
      </c>
      <c r="H23" s="36">
        <f t="shared" si="0"/>
        <v>0</v>
      </c>
      <c r="I23" s="6">
        <f t="shared" si="2"/>
        <v>1055413.1344334492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VLOOKUP($A23,[24]HISTOOCT24!$A$6:$CB$38,60,0)</f>
        <v>0</v>
      </c>
      <c r="AG23" s="36">
        <f>VLOOKUP($A23,[24]HISTOOCT24!$A$6:$CB$38,61,0)</f>
        <v>0</v>
      </c>
      <c r="AH23" s="36">
        <f>VLOOKUP($A23,[24]HISTOOCT24!$A$6:$CB$38,62,0)</f>
        <v>0</v>
      </c>
      <c r="AI23" s="36">
        <f>VLOOKUP($A23,[24]HISTOOCT24!$A$6:$CB$38,63,0)</f>
        <v>0</v>
      </c>
      <c r="AJ23" s="36">
        <f>VLOOKUP($A23,[24]HISTOOCT24!$A$6:$CB$38,64,0)</f>
        <v>0</v>
      </c>
      <c r="AK23" s="36">
        <f>VLOOKUP($A23,[24]HISTOOCT24!$A$6:$CB$38,65,0)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1310958.3213542646</v>
      </c>
      <c r="G24" s="5">
        <f>IF(MVTSEPT24!I24+L24&gt;700000,(MVTSEPT24!I24-E24+L24),0)</f>
        <v>1310958.3213542646</v>
      </c>
      <c r="H24" s="36">
        <f t="shared" si="0"/>
        <v>0</v>
      </c>
      <c r="I24" s="6">
        <f t="shared" si="2"/>
        <v>1310958.3213542646</v>
      </c>
      <c r="J24" s="36">
        <f>VLOOKUP($A24,[24]HISTOOCT24!$A$6:$AQ$42,22,0)</f>
        <v>0</v>
      </c>
      <c r="K24" s="36">
        <f>VLOOKUP($A24,[24]HISTOOCT24!$A$6:$AU$38,45,0)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VLOOKUP($A24,[24]HISTOOCT24!$A$6:$CB$38,60,0)</f>
        <v>0</v>
      </c>
      <c r="AG24" s="36">
        <f>VLOOKUP($A24,[24]HISTOOCT24!$A$6:$CB$38,61,0)</f>
        <v>0</v>
      </c>
      <c r="AH24" s="36">
        <f>VLOOKUP($A24,[24]HISTOOCT24!$A$6:$CB$38,62,0)</f>
        <v>0</v>
      </c>
      <c r="AI24" s="36">
        <f>VLOOKUP($A24,[24]HISTOOCT24!$A$6:$CB$38,63,0)</f>
        <v>0</v>
      </c>
      <c r="AJ24" s="36">
        <f>VLOOKUP($A24,[24]HISTOOCT24!$A$6:$CB$38,64,0)</f>
        <v>0</v>
      </c>
      <c r="AK24" s="36">
        <f>VLOOKUP($A24,[24]HISTOOCT24!$A$6:$CB$38,65,0)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1147568.0339793954</v>
      </c>
      <c r="G25" s="5">
        <f>IF(MVTSEPT24!I25+L25&gt;700000,(MVTSEPT24!I25-E25+L25),0)</f>
        <v>1147568.0339793954</v>
      </c>
      <c r="H25" s="36">
        <f t="shared" si="0"/>
        <v>0</v>
      </c>
      <c r="I25" s="6">
        <f t="shared" si="2"/>
        <v>1147568.0339793954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VLOOKUP($A25,[24]HISTOOCT24!$A$6:$CB$38,60,0)</f>
        <v>0</v>
      </c>
      <c r="AG25" s="36">
        <f>VLOOKUP($A25,[24]HISTOOCT24!$A$6:$CB$38,61,0)</f>
        <v>0</v>
      </c>
      <c r="AH25" s="36">
        <f>VLOOKUP($A25,[24]HISTOOCT24!$A$6:$CB$38,62,0)</f>
        <v>0</v>
      </c>
      <c r="AI25" s="36">
        <f>VLOOKUP($A25,[24]HISTOOCT24!$A$6:$CB$38,63,0)</f>
        <v>0</v>
      </c>
      <c r="AJ25" s="36">
        <f>VLOOKUP($A25,[24]HISTOOCT24!$A$6:$CB$38,64,0)</f>
        <v>0</v>
      </c>
      <c r="AK25" s="36">
        <f>VLOOKUP($A25,[24]HISTOOCT24!$A$6:$CB$38,65,0)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957594.46576428716</v>
      </c>
      <c r="G26" s="5">
        <f>IF(MVTSEPT24!I26+L26&gt;700000,(MVTSEPT24!I26-E26+L26),0)</f>
        <v>957594.46576428716</v>
      </c>
      <c r="H26" s="36">
        <f t="shared" si="0"/>
        <v>0</v>
      </c>
      <c r="I26" s="6">
        <f t="shared" si="2"/>
        <v>957594.46576428716</v>
      </c>
      <c r="J26" s="36">
        <f>VLOOKUP($A26,[24]HISTOOCT24!$A$6:$AQ$42,22,0)</f>
        <v>0</v>
      </c>
      <c r="K26" s="36">
        <f>VLOOKUP($A26,[24]HISTOOCT24!$A$6:$AU$38,45,0)</f>
        <v>14000</v>
      </c>
      <c r="L26" s="36">
        <f t="shared" si="3"/>
        <v>8000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VLOOKUP($A26,[24]HISTOOCT24!$A$6:$CB$38,60,0)</f>
        <v>0</v>
      </c>
      <c r="AG26" s="36">
        <f>VLOOKUP($A26,[24]HISTOOCT24!$A$6:$CB$38,61,0)</f>
        <v>0</v>
      </c>
      <c r="AH26" s="36">
        <f>VLOOKUP($A26,[24]HISTOOCT24!$A$6:$CB$38,62,0)</f>
        <v>0</v>
      </c>
      <c r="AI26" s="36">
        <f>VLOOKUP($A26,[24]HISTOOCT24!$A$6:$CB$38,63,0)</f>
        <v>0</v>
      </c>
      <c r="AJ26" s="36">
        <f>VLOOKUP($A26,[24]HISTOOCT24!$A$6:$CB$38,64,0)</f>
        <v>0</v>
      </c>
      <c r="AK26" s="36">
        <f>VLOOKUP($A26,[24]HISTOOCT24!$A$6:$CB$38,65,0)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969125.90438113711</v>
      </c>
      <c r="G27" s="5">
        <f>IF(MVTSEPT24!I27+L27&gt;700000,(MVTSEPT24!I27-E27+L27),0)</f>
        <v>969125.90438113711</v>
      </c>
      <c r="H27" s="36">
        <f t="shared" si="0"/>
        <v>0</v>
      </c>
      <c r="I27" s="6">
        <f t="shared" si="2"/>
        <v>969125.90438113711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VLOOKUP($A27,[24]HISTOOCT24!$A$6:$CB$38,60,0)</f>
        <v>0</v>
      </c>
      <c r="AG27" s="36">
        <f>VLOOKUP($A27,[24]HISTOOCT24!$A$6:$CB$38,61,0)</f>
        <v>0</v>
      </c>
      <c r="AH27" s="36">
        <f>VLOOKUP($A27,[24]HISTOOCT24!$A$6:$CB$38,62,0)</f>
        <v>0</v>
      </c>
      <c r="AI27" s="36">
        <f>VLOOKUP($A27,[24]HISTOOCT24!$A$6:$CB$38,63,0)</f>
        <v>0</v>
      </c>
      <c r="AJ27" s="36">
        <f>VLOOKUP($A27,[24]HISTOOCT24!$A$6:$CB$38,64,0)</f>
        <v>0</v>
      </c>
      <c r="AK27" s="36">
        <f>VLOOKUP($A27,[24]HISTOOCT24!$A$6:$CB$38,65,0)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868776.77366432885</v>
      </c>
      <c r="G28" s="5">
        <f>IF(MVTSEPT24!I28+L28&gt;700000,(MVTSEPT24!I28-E28+L28),0)</f>
        <v>868776.77366432885</v>
      </c>
      <c r="H28" s="36">
        <f t="shared" si="0"/>
        <v>0</v>
      </c>
      <c r="I28" s="6">
        <f t="shared" si="2"/>
        <v>868776.77366432885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20000</v>
      </c>
      <c r="AF28" s="36">
        <f>VLOOKUP($A28,[24]HISTOOCT24!$A$6:$CB$38,60,0)</f>
        <v>0</v>
      </c>
      <c r="AG28" s="36">
        <f>VLOOKUP($A28,[24]HISTOOCT24!$A$6:$CB$38,61,0)</f>
        <v>0</v>
      </c>
      <c r="AH28" s="36">
        <f>VLOOKUP($A28,[24]HISTOOCT24!$A$6:$CB$38,62,0)</f>
        <v>0</v>
      </c>
      <c r="AI28" s="36">
        <f>VLOOKUP($A28,[24]HISTOOCT24!$A$6:$CB$38,63,0)</f>
        <v>0</v>
      </c>
      <c r="AJ28" s="36">
        <f>VLOOKUP($A28,[24]HISTOOCT24!$A$6:$CB$38,64,0)</f>
        <v>0</v>
      </c>
      <c r="AK28" s="36">
        <f>VLOOKUP($A28,[24]HISTOOCT24!$A$6:$CB$38,65,0)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994233.52775813069</v>
      </c>
      <c r="G29" s="5">
        <f>IF(MVTSEPT24!I29+L29&gt;700000,(MVTSEPT24!I29-E29+L29),0)</f>
        <v>994233.52775813069</v>
      </c>
      <c r="H29" s="36">
        <f t="shared" si="0"/>
        <v>0</v>
      </c>
      <c r="I29" s="6">
        <f t="shared" si="2"/>
        <v>994233.52775813069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VLOOKUP($A29,[24]HISTOOCT24!$A$6:$CB$38,60,0)</f>
        <v>0</v>
      </c>
      <c r="AG29" s="36">
        <f>VLOOKUP($A29,[24]HISTOOCT24!$A$6:$CB$38,61,0)</f>
        <v>0</v>
      </c>
      <c r="AH29" s="36">
        <f>VLOOKUP($A29,[24]HISTOOCT24!$A$6:$CB$38,62,0)</f>
        <v>0</v>
      </c>
      <c r="AI29" s="36">
        <f>VLOOKUP($A29,[24]HISTOOCT24!$A$6:$CB$38,63,0)</f>
        <v>0</v>
      </c>
      <c r="AJ29" s="36">
        <f>VLOOKUP($A29,[24]HISTOOCT24!$A$6:$CB$38,64,0)</f>
        <v>0</v>
      </c>
      <c r="AK29" s="36">
        <f>VLOOKUP($A29,[24]HISTOOCT24!$A$6:$CB$38,65,0)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898746.60333112802</v>
      </c>
      <c r="G30" s="5">
        <f>IF(MVTSEPT24!I30+L30&gt;700000,(MVTSEPT24!I30-E30+L30),0)</f>
        <v>898746.60333112802</v>
      </c>
      <c r="H30" s="36">
        <f t="shared" si="0"/>
        <v>0</v>
      </c>
      <c r="I30" s="6">
        <f t="shared" si="2"/>
        <v>898746.60333112802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VLOOKUP($A30,[24]HISTOOCT24!$A$6:$CB$38,60,0)</f>
        <v>0</v>
      </c>
      <c r="AG30" s="36">
        <f>VLOOKUP($A30,[24]HISTOOCT24!$A$6:$CB$38,61,0)</f>
        <v>0</v>
      </c>
      <c r="AH30" s="36">
        <f>VLOOKUP($A30,[24]HISTOOCT24!$A$6:$CB$38,62,0)</f>
        <v>0</v>
      </c>
      <c r="AI30" s="36">
        <f>VLOOKUP($A30,[24]HISTOOCT24!$A$6:$CB$38,63,0)</f>
        <v>0</v>
      </c>
      <c r="AJ30" s="36">
        <f>VLOOKUP($A30,[24]HISTOOCT24!$A$6:$CB$38,64,0)</f>
        <v>0</v>
      </c>
      <c r="AK30" s="36">
        <f>VLOOKUP($A30,[24]HISTOOCT24!$A$6:$CB$38,65,0)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1062703.8672143072</v>
      </c>
      <c r="G31" s="5">
        <f>IF(MVTSEPT24!I31+L31&gt;700000,(MVTSEPT24!I31-E31+L31),0)</f>
        <v>1062703.8672143072</v>
      </c>
      <c r="H31" s="36">
        <f t="shared" si="0"/>
        <v>0</v>
      </c>
      <c r="I31" s="6">
        <f t="shared" si="2"/>
        <v>1062703.8672143072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VLOOKUP($A31,[24]HISTOOCT24!$A$6:$CB$38,60,0)</f>
        <v>0</v>
      </c>
      <c r="AG31" s="36">
        <f>VLOOKUP($A31,[24]HISTOOCT24!$A$6:$CB$38,61,0)</f>
        <v>0</v>
      </c>
      <c r="AH31" s="36">
        <f>VLOOKUP($A31,[24]HISTOOCT24!$A$6:$CB$38,62,0)</f>
        <v>0</v>
      </c>
      <c r="AI31" s="36">
        <f>VLOOKUP($A31,[24]HISTOOCT24!$A$6:$CB$38,63,0)</f>
        <v>0</v>
      </c>
      <c r="AJ31" s="36">
        <f>VLOOKUP($A31,[24]HISTOOCT24!$A$6:$CB$38,64,0)</f>
        <v>0</v>
      </c>
      <c r="AK31" s="36">
        <f>VLOOKUP($A31,[24]HISTOOCT24!$A$6:$CB$38,65,0)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947828.10642654949</v>
      </c>
      <c r="G32" s="5">
        <f>IF(MVTSEPT24!I32+L32&gt;700000,(MVTSEPT24!I32-E32+L32),0)</f>
        <v>947828.10642654949</v>
      </c>
      <c r="H32" s="36">
        <f t="shared" si="0"/>
        <v>0</v>
      </c>
      <c r="I32" s="6">
        <f t="shared" si="2"/>
        <v>947828.10642654949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VLOOKUP($A32,[24]HISTOOCT24!$A$6:$CB$38,60,0)</f>
        <v>0</v>
      </c>
      <c r="AG32" s="36">
        <f>VLOOKUP($A32,[24]HISTOOCT24!$A$6:$CB$38,61,0)</f>
        <v>0</v>
      </c>
      <c r="AH32" s="36">
        <f>VLOOKUP($A32,[24]HISTOOCT24!$A$6:$CB$38,62,0)</f>
        <v>0</v>
      </c>
      <c r="AI32" s="36">
        <f>VLOOKUP($A32,[24]HISTOOCT24!$A$6:$CB$38,63,0)</f>
        <v>0</v>
      </c>
      <c r="AJ32" s="36">
        <f>VLOOKUP($A32,[24]HISTOOCT24!$A$6:$CB$38,64,0)</f>
        <v>0</v>
      </c>
      <c r="AK32" s="36">
        <f>VLOOKUP($A32,[24]HISTOOCT24!$A$6:$CB$38,65,0)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1953522.8569569683</v>
      </c>
      <c r="G33" s="5">
        <f>IF(MVTSEPT24!I33+L33&gt;700000,(MVTSEPT24!I33-E33+L33),0)</f>
        <v>1953522.8569569683</v>
      </c>
      <c r="H33" s="36">
        <f t="shared" si="0"/>
        <v>0</v>
      </c>
      <c r="I33" s="6">
        <f t="shared" si="2"/>
        <v>1953522.8569569683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VLOOKUP($A33,[24]HISTOOCT24!$A$6:$CB$38,60,0)</f>
        <v>0</v>
      </c>
      <c r="AG33" s="36">
        <f>VLOOKUP($A33,[24]HISTOOCT24!$A$6:$CB$38,61,0)</f>
        <v>0</v>
      </c>
      <c r="AH33" s="36">
        <f>VLOOKUP($A33,[24]HISTOOCT24!$A$6:$CB$38,62,0)</f>
        <v>0</v>
      </c>
      <c r="AI33" s="36">
        <f>VLOOKUP($A33,[24]HISTOOCT24!$A$6:$CB$38,63,0)</f>
        <v>0</v>
      </c>
      <c r="AJ33" s="36">
        <f>VLOOKUP($A33,[24]HISTOOCT24!$A$6:$CB$38,64,0)</f>
        <v>0</v>
      </c>
      <c r="AK33" s="36">
        <f>VLOOKUP($A33,[24]HISTOOCT24!$A$6:$CB$38,65,0)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914471.67114962125</v>
      </c>
      <c r="G34" s="5">
        <f>IF(MVTSEPT24!I34+L34&gt;700000,(MVTSEPT24!I34-E34+L34),0)</f>
        <v>914471.67114962125</v>
      </c>
      <c r="H34" s="36">
        <f t="shared" si="0"/>
        <v>0</v>
      </c>
      <c r="I34" s="6">
        <f t="shared" si="2"/>
        <v>914471.67114962125</v>
      </c>
      <c r="J34" s="36">
        <f>VLOOKUP($A34,[24]HISTOOCT24!$A$6:$AQ$42,22,0)</f>
        <v>0</v>
      </c>
      <c r="K34" s="36">
        <f>VLOOKUP($A34,[24]HISTOOCT24!$A$6:$AU$38,45,0)</f>
        <v>120000</v>
      </c>
      <c r="L34" s="36">
        <f t="shared" si="3"/>
        <v>114000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VLOOKUP($A34,[24]HISTOOCT24!$A$6:$CB$38,60,0)</f>
        <v>0</v>
      </c>
      <c r="AG34" s="36">
        <f>VLOOKUP($A34,[24]HISTOOCT24!$A$6:$CB$38,61,0)</f>
        <v>0</v>
      </c>
      <c r="AH34" s="36">
        <f>VLOOKUP($A34,[24]HISTOOCT24!$A$6:$CB$38,62,0)</f>
        <v>0</v>
      </c>
      <c r="AI34" s="36">
        <f>VLOOKUP($A34,[24]HISTOOCT24!$A$6:$CB$38,63,0)</f>
        <v>0</v>
      </c>
      <c r="AJ34" s="36">
        <f>VLOOKUP($A34,[24]HISTOOCT24!$A$6:$CB$38,64,0)</f>
        <v>0</v>
      </c>
      <c r="AK34" s="36">
        <f>VLOOKUP($A34,[24]HISTOOCT24!$A$6:$CB$38,65,0)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296250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296250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VLOOKUP($A35,[24]HISTOOCT24!$A$6:$CB$38,60,0)</f>
        <v>0</v>
      </c>
      <c r="AG35" s="36">
        <f>VLOOKUP($A35,[24]HISTOOCT24!$A$6:$CB$38,61,0)</f>
        <v>0</v>
      </c>
      <c r="AH35" s="36">
        <f>VLOOKUP($A35,[24]HISTOOCT24!$A$6:$CB$38,62,0)</f>
        <v>0</v>
      </c>
      <c r="AI35" s="36">
        <f>VLOOKUP($A35,[24]HISTOOCT24!$A$6:$CB$38,63,0)</f>
        <v>0</v>
      </c>
      <c r="AJ35" s="36">
        <f>VLOOKUP($A35,[24]HISTOOCT24!$A$6:$CB$38,64,0)</f>
        <v>0</v>
      </c>
      <c r="AK35" s="36">
        <f>VLOOKUP($A35,[24]HISTOOCT24!$A$6:$CB$38,65,0)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1045926.0852413145</v>
      </c>
      <c r="G36" s="5">
        <f>IF(MVTSEPT24!I36+L36&gt;700000,(MVTSEPT24!I36-E36+L36),0)</f>
        <v>1045926.0852413145</v>
      </c>
      <c r="H36" s="36">
        <f t="shared" si="0"/>
        <v>0</v>
      </c>
      <c r="I36" s="6">
        <f t="shared" si="2"/>
        <v>1045926.0852413145</v>
      </c>
      <c r="J36" s="36">
        <f>VLOOKUP($A36,[24]HISTOOCT24!$A$6:$AQ$42,22,0)</f>
        <v>0</v>
      </c>
      <c r="K36" s="36">
        <f>VLOOKUP($A36,[24]HISTOOCT24!$A$6:$AU$38,45,0)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VLOOKUP($A36,[24]HISTOOCT24!$A$6:$CB$38,60,0)</f>
        <v>0</v>
      </c>
      <c r="AG36" s="36">
        <f>VLOOKUP($A36,[24]HISTOOCT24!$A$6:$CB$38,61,0)</f>
        <v>0</v>
      </c>
      <c r="AH36" s="36">
        <f>VLOOKUP($A36,[24]HISTOOCT24!$A$6:$CB$38,62,0)</f>
        <v>0</v>
      </c>
      <c r="AI36" s="36">
        <f>VLOOKUP($A36,[24]HISTOOCT24!$A$6:$CB$38,63,0)</f>
        <v>0</v>
      </c>
      <c r="AJ36" s="36">
        <f>VLOOKUP($A36,[24]HISTOOCT24!$A$6:$CB$38,64,0)</f>
        <v>0</v>
      </c>
      <c r="AK36" s="36">
        <f>VLOOKUP($A36,[24]HISTOOCT24!$A$6:$CB$38,65,0)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2029595.1899778545</v>
      </c>
      <c r="G37" s="5">
        <f>IF(MVTSEPT24!I37+L37&gt;700000,(MVTSEPT24!I37-E37+L37),0)</f>
        <v>2029595.1899778545</v>
      </c>
      <c r="H37" s="36">
        <f t="shared" si="0"/>
        <v>0</v>
      </c>
      <c r="I37" s="6">
        <f t="shared" si="2"/>
        <v>2029595.1899778545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VLOOKUP($A37,[24]HISTOOCT24!$A$6:$CB$38,60,0)</f>
        <v>0</v>
      </c>
      <c r="AG37" s="36">
        <f>VLOOKUP($A37,[24]HISTOOCT24!$A$6:$CB$38,61,0)</f>
        <v>0</v>
      </c>
      <c r="AH37" s="36">
        <f>VLOOKUP($A37,[24]HISTOOCT24!$A$6:$CB$38,62,0)</f>
        <v>0</v>
      </c>
      <c r="AI37" s="36">
        <f>VLOOKUP($A37,[24]HISTOOCT24!$A$6:$CB$38,63,0)</f>
        <v>0</v>
      </c>
      <c r="AJ37" s="36">
        <f>VLOOKUP($A37,[24]HISTOOCT24!$A$6:$CB$38,64,0)</f>
        <v>0</v>
      </c>
      <c r="AK37" s="36">
        <f>VLOOKUP($A37,[24]HISTOOCT24!$A$6:$CB$38,65,0)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890513.53196415014</v>
      </c>
      <c r="G38" s="5">
        <f>IF(MVTSEPT24!I38+L38&gt;700000,(MVTSEPT24!I38-E38+L38),0)</f>
        <v>890513.53196415014</v>
      </c>
      <c r="H38" s="36">
        <f t="shared" si="0"/>
        <v>0</v>
      </c>
      <c r="I38" s="6">
        <f t="shared" si="2"/>
        <v>890513.53196415014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3000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VLOOKUP($A38,[24]HISTOOCT24!$A$6:$CB$38,60,0)</f>
        <v>0</v>
      </c>
      <c r="AG38" s="36">
        <f>VLOOKUP($A38,[24]HISTOOCT24!$A$6:$CB$38,61,0)</f>
        <v>0</v>
      </c>
      <c r="AH38" s="36">
        <f>VLOOKUP($A38,[24]HISTOOCT24!$A$6:$CB$38,62,0)</f>
        <v>0</v>
      </c>
      <c r="AI38" s="36">
        <f>VLOOKUP($A38,[24]HISTOOCT24!$A$6:$CB$38,63,0)</f>
        <v>0</v>
      </c>
      <c r="AJ38" s="36">
        <f>VLOOKUP($A38,[24]HISTOOCT24!$A$6:$CB$38,64,0)</f>
        <v>0</v>
      </c>
      <c r="AK38" s="36">
        <f>VLOOKUP($A38,[24]HISTOOCT24!$A$6:$CB$38,65,0)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2196296.8589817015</v>
      </c>
      <c r="G39" s="5">
        <f>IF(MVTSEPT24!I39+L39&gt;700000,(MVTSEPT24!I39-E39+L39),0)</f>
        <v>2196296.8589817015</v>
      </c>
      <c r="H39" s="36">
        <f t="shared" si="0"/>
        <v>0</v>
      </c>
      <c r="I39" s="6">
        <f t="shared" si="2"/>
        <v>2196296.8589817015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VLOOKUP($A39,[24]HISTOOCT24!$A$6:$CB$38,60,0)</f>
        <v>0</v>
      </c>
      <c r="AG39" s="36">
        <f>VLOOKUP($A39,[24]HISTOOCT24!$A$6:$CB$38,61,0)</f>
        <v>0</v>
      </c>
      <c r="AH39" s="36">
        <f>VLOOKUP($A39,[24]HISTOOCT24!$A$6:$CB$38,62,0)</f>
        <v>0</v>
      </c>
      <c r="AI39" s="36">
        <f>VLOOKUP($A39,[24]HISTOOCT24!$A$6:$CB$38,63,0)</f>
        <v>0</v>
      </c>
      <c r="AJ39" s="36">
        <f>VLOOKUP($A39,[24]HISTOOCT24!$A$6:$CB$38,64,0)</f>
        <v>0</v>
      </c>
      <c r="AK39" s="36">
        <f>VLOOKUP($A39,[24]HISTOOCT24!$A$6:$CB$38,65,0)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35800406.073121913</v>
      </c>
      <c r="G41" s="9">
        <f t="shared" si="10"/>
        <v>34637939.073121913</v>
      </c>
      <c r="H41" s="36">
        <f t="shared" si="10"/>
        <v>0</v>
      </c>
      <c r="I41" s="9">
        <f t="shared" si="10"/>
        <v>35800406.073121913</v>
      </c>
      <c r="J41" s="9">
        <f t="shared" si="10"/>
        <v>0</v>
      </c>
      <c r="K41" s="9">
        <f t="shared" si="10"/>
        <v>926000</v>
      </c>
      <c r="L41" s="9">
        <f t="shared" si="10"/>
        <v>734000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100000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20000</v>
      </c>
      <c r="AF41" s="9">
        <f t="shared" si="10"/>
        <v>6000</v>
      </c>
      <c r="AG41" s="9">
        <f t="shared" si="10"/>
        <v>321500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F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44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T16" sqref="T1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77">
        <v>45613</v>
      </c>
      <c r="L4" s="177"/>
      <c r="M4" s="177"/>
      <c r="N4" s="177"/>
      <c r="O4" s="177"/>
      <c r="P4" s="177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956486.33111614815</v>
      </c>
      <c r="G6" s="5">
        <f>IF(MVTOCT24!I6+L6&gt;700000,(MVTOCT24!I6-E6+L6),0)</f>
        <v>956486.33111614815</v>
      </c>
      <c r="H6" s="36">
        <f t="shared" ref="H6:H39" si="0">$T$41/$G$41*G6</f>
        <v>271.12490128421814</v>
      </c>
      <c r="I6" s="6">
        <f>F6+H6</f>
        <v>956757.45601743239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VLOOKUP($A6,[24]HISTONOV24!$A$6:$CB$38,60,0)</f>
        <v>6000</v>
      </c>
      <c r="AG6" s="36">
        <f>VLOOKUP($A6,[24]HISTONOV24!$A$6:$CB$38,61,0)</f>
        <v>50000</v>
      </c>
      <c r="AH6" s="36">
        <f>VLOOKUP($A6,[24]HISTONOV24!$A$6:$CB$38,62,0)</f>
        <v>100000</v>
      </c>
      <c r="AI6" s="36">
        <f>VLOOKUP($A6,[24]HISTONOV24!$A$6:$CB$38,63,0)</f>
        <v>0</v>
      </c>
      <c r="AJ6" s="36">
        <f>VLOOKUP($A6,[24]HISTONOV24!$A$6:$CB$38,64,0)</f>
        <v>0</v>
      </c>
      <c r="AK6" s="36">
        <f>VLOOKUP($A6,[24]HISTONOV24!$A$6:$CB$38,65,0)</f>
        <v>0</v>
      </c>
      <c r="AL6" s="36">
        <f>VLOOKUP($A6,[24]HISTONOV24!$A$6:$CB$38,66,0)</f>
        <v>2000000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908696.43880443554</v>
      </c>
      <c r="G7" s="5">
        <f>IF(MVTOCT24!I7+L7&gt;700000,(MVTOCT24!I7-E7+L7),0)</f>
        <v>908696.43880443554</v>
      </c>
      <c r="H7" s="36">
        <f t="shared" si="0"/>
        <v>257.57841409053646</v>
      </c>
      <c r="I7" s="6">
        <f t="shared" ref="I7:I39" si="2">F7+H7</f>
        <v>908954.0172185261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VLOOKUP($A7,[24]HISTONOV24!$A$6:$CB$38,60,0)</f>
        <v>0</v>
      </c>
      <c r="AG7" s="36">
        <f>VLOOKUP($A7,[24]HISTONOV24!$A$6:$CB$38,61,0)</f>
        <v>0</v>
      </c>
      <c r="AH7" s="36">
        <f>VLOOKUP($A7,[24]HISTONOV24!$A$6:$CB$38,62,0)</f>
        <v>0</v>
      </c>
      <c r="AI7" s="36">
        <f>VLOOKUP($A7,[24]HISTONOV24!$A$6:$CB$38,63,0)</f>
        <v>0</v>
      </c>
      <c r="AJ7" s="36">
        <f>VLOOKUP($A7,[24]HISTONOV24!$A$6:$CB$38,64,0)</f>
        <v>0</v>
      </c>
      <c r="AK7" s="36">
        <f>VLOOKUP($A7,[24]HISTONOV24!$A$6:$CB$38,65,0)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963073.24045783479</v>
      </c>
      <c r="G8" s="5">
        <f>IF(MVTOCT24!I8+L8&gt;700000,(MVTOCT24!I8-E8+L8),0)</f>
        <v>963073.24045783479</v>
      </c>
      <c r="H8" s="36">
        <f t="shared" si="0"/>
        <v>272.99202168827964</v>
      </c>
      <c r="I8" s="6">
        <f t="shared" si="2"/>
        <v>963346.23247952305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VLOOKUP($A8,[24]HISTONOV24!$A$6:$CB$38,60,0)</f>
        <v>0</v>
      </c>
      <c r="AG8" s="36">
        <f>VLOOKUP($A8,[24]HISTONOV24!$A$6:$CB$38,61,0)</f>
        <v>0</v>
      </c>
      <c r="AH8" s="36">
        <f>VLOOKUP($A8,[24]HISTONOV24!$A$6:$CB$38,62,0)</f>
        <v>0</v>
      </c>
      <c r="AI8" s="36">
        <f>VLOOKUP($A8,[24]HISTONOV24!$A$6:$CB$38,63,0)</f>
        <v>0</v>
      </c>
      <c r="AJ8" s="36">
        <f>VLOOKUP($A8,[24]HISTONOV24!$A$6:$CB$38,64,0)</f>
        <v>0</v>
      </c>
      <c r="AK8" s="36">
        <f>VLOOKUP($A8,[24]HISTONOV24!$A$6:$CB$38,65,0)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1016116.3993400366</v>
      </c>
      <c r="G9" s="5">
        <f>IF(MVTOCT24!I9+L9&gt;700000,(MVTOCT24!I9-E9+L9),0)</f>
        <v>1016116.3993400366</v>
      </c>
      <c r="H9" s="36">
        <f t="shared" si="0"/>
        <v>288.02759590182654</v>
      </c>
      <c r="I9" s="6">
        <f t="shared" si="2"/>
        <v>1016404.4269359384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VLOOKUP($A9,[24]HISTONOV24!$A$6:$CB$38,60,0)</f>
        <v>0</v>
      </c>
      <c r="AG9" s="36">
        <f>VLOOKUP($A9,[24]HISTONOV24!$A$6:$CB$38,61,0)</f>
        <v>0</v>
      </c>
      <c r="AH9" s="36">
        <f>VLOOKUP($A9,[24]HISTONOV24!$A$6:$CB$38,62,0)</f>
        <v>0</v>
      </c>
      <c r="AI9" s="36">
        <f>VLOOKUP($A9,[24]HISTONOV24!$A$6:$CB$38,63,0)</f>
        <v>0</v>
      </c>
      <c r="AJ9" s="36">
        <f>VLOOKUP($A9,[24]HISTONOV24!$A$6:$CB$38,64,0)</f>
        <v>0</v>
      </c>
      <c r="AK9" s="36">
        <f>VLOOKUP($A9,[24]HISTONOV24!$A$6:$CB$38,65,0)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959806.15479334153</v>
      </c>
      <c r="G10" s="5">
        <f>IF(MVTOCT24!I10+L10&gt;700000,(MVTOCT24!I10-E10+L10),0)</f>
        <v>959806.15479334153</v>
      </c>
      <c r="H10" s="36">
        <f t="shared" si="0"/>
        <v>272.06593602510117</v>
      </c>
      <c r="I10" s="6">
        <f t="shared" si="2"/>
        <v>960078.22072936664</v>
      </c>
      <c r="J10" s="36">
        <f>VLOOKUP($A10,[24]HISTONOV24!$A$6:$AQ$42,22,0)</f>
        <v>0</v>
      </c>
      <c r="K10" s="36">
        <f>VLOOKUP($A10,[24]HISTONOV24!$A$6:$AU$38,45,0)</f>
        <v>22000</v>
      </c>
      <c r="L10" s="36">
        <f t="shared" si="3"/>
        <v>16000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VLOOKUP($A10,[24]HISTONOV24!$A$6:$CB$38,60,0)</f>
        <v>0</v>
      </c>
      <c r="AG10" s="36">
        <f>VLOOKUP($A10,[24]HISTONOV24!$A$6:$CB$38,61,0)</f>
        <v>0</v>
      </c>
      <c r="AH10" s="36">
        <f>VLOOKUP($A10,[24]HISTONOV24!$A$6:$CB$38,62,0)</f>
        <v>0</v>
      </c>
      <c r="AI10" s="36">
        <f>VLOOKUP($A10,[24]HISTONOV24!$A$6:$CB$38,63,0)</f>
        <v>0</v>
      </c>
      <c r="AJ10" s="36">
        <f>VLOOKUP($A10,[24]HISTONOV24!$A$6:$CB$38,64,0)</f>
        <v>0</v>
      </c>
      <c r="AK10" s="36">
        <f>VLOOKUP($A10,[24]HISTONOV24!$A$6:$CB$38,65,0)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991687.04134130187</v>
      </c>
      <c r="G11" s="5">
        <f>IF(MVTOCT24!I11+L11&gt;700000,(MVTOCT24!I11-E11+L11),0)</f>
        <v>991687.04134130187</v>
      </c>
      <c r="H11" s="36">
        <f t="shared" si="0"/>
        <v>281.10286832300716</v>
      </c>
      <c r="I11" s="6">
        <f t="shared" si="2"/>
        <v>991968.14420962485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VLOOKUP($A11,[24]HISTONOV24!$A$6:$CB$38,60,0)</f>
        <v>0</v>
      </c>
      <c r="AG11" s="36">
        <f>VLOOKUP($A11,[24]HISTONOV24!$A$6:$CB$38,61,0)</f>
        <v>0</v>
      </c>
      <c r="AH11" s="36">
        <f>VLOOKUP($A11,[24]HISTONOV24!$A$6:$CB$38,62,0)</f>
        <v>0</v>
      </c>
      <c r="AI11" s="36">
        <f>VLOOKUP($A11,[24]HISTONOV24!$A$6:$CB$38,63,0)</f>
        <v>0</v>
      </c>
      <c r="AJ11" s="36">
        <f>VLOOKUP($A11,[24]HISTONOV24!$A$6:$CB$38,64,0)</f>
        <v>0</v>
      </c>
      <c r="AK11" s="36">
        <f>VLOOKUP($A11,[24]HISTONOV24!$A$6:$CB$38,65,0)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1044876.6151706504</v>
      </c>
      <c r="G12" s="5">
        <f>IF(MVTOCT24!I12+L12&gt;700000,(MVTOCT24!I12-E12+L12),0)</f>
        <v>1044876.6151706504</v>
      </c>
      <c r="H12" s="36">
        <f t="shared" si="0"/>
        <v>296.17994520815563</v>
      </c>
      <c r="I12" s="6">
        <f t="shared" si="2"/>
        <v>1045172.7951158585</v>
      </c>
      <c r="J12" s="36">
        <f>VLOOKUP($A12,[24]HISTONOV24!$A$6:$AQ$42,22,0)</f>
        <v>0</v>
      </c>
      <c r="K12" s="36">
        <f>VLOOKUP($A12,[24]HISTONOV24!$A$6:$AU$38,45,0)</f>
        <v>32000</v>
      </c>
      <c r="L12" s="36">
        <f t="shared" si="3"/>
        <v>26000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VLOOKUP($A12,[24]HISTONOV24!$A$6:$CB$38,60,0)</f>
        <v>0</v>
      </c>
      <c r="AG12" s="36">
        <f>VLOOKUP($A12,[24]HISTONOV24!$A$6:$CB$38,61,0)</f>
        <v>0</v>
      </c>
      <c r="AH12" s="36">
        <f>VLOOKUP($A12,[24]HISTONOV24!$A$6:$CB$38,62,0)</f>
        <v>0</v>
      </c>
      <c r="AI12" s="36">
        <f>VLOOKUP($A12,[24]HISTONOV24!$A$6:$CB$38,63,0)</f>
        <v>0</v>
      </c>
      <c r="AJ12" s="36">
        <f>VLOOKUP($A12,[24]HISTONOV24!$A$6:$CB$38,64,0)</f>
        <v>0</v>
      </c>
      <c r="AK12" s="36">
        <f>VLOOKUP($A12,[24]HISTONOV24!$A$6:$CB$38,65,0)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966131.79792375595</v>
      </c>
      <c r="G13" s="5">
        <f>IF(MVTOCT24!I13+L13&gt;700000,(MVTOCT24!I13-E13+L13),0)</f>
        <v>966131.79792375595</v>
      </c>
      <c r="H13" s="36">
        <f t="shared" si="0"/>
        <v>273.85899810398263</v>
      </c>
      <c r="I13" s="6">
        <f t="shared" si="2"/>
        <v>966405.65692185995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VLOOKUP($A13,[24]HISTONOV24!$A$6:$CB$38,60,0)</f>
        <v>0</v>
      </c>
      <c r="AG13" s="36">
        <f>VLOOKUP($A13,[24]HISTONOV24!$A$6:$CB$38,61,0)</f>
        <v>0</v>
      </c>
      <c r="AH13" s="36">
        <f>VLOOKUP($A13,[24]HISTONOV24!$A$6:$CB$38,62,0)</f>
        <v>0</v>
      </c>
      <c r="AI13" s="36">
        <f>VLOOKUP($A13,[24]HISTONOV24!$A$6:$CB$38,63,0)</f>
        <v>0</v>
      </c>
      <c r="AJ13" s="36">
        <f>VLOOKUP($A13,[24]HISTONOV24!$A$6:$CB$38,64,0)</f>
        <v>0</v>
      </c>
      <c r="AK13" s="36">
        <f>VLOOKUP($A13,[24]HISTONOV24!$A$6:$CB$38,65,0)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1525000.8433511991</v>
      </c>
      <c r="G14" s="5">
        <f>IF(MVTOCT24!I14+L14&gt;700000,(MVTOCT24!I14-E14+L14),0)</f>
        <v>1525000.8433511991</v>
      </c>
      <c r="H14" s="36">
        <f t="shared" si="0"/>
        <v>432.27560045678814</v>
      </c>
      <c r="I14" s="6">
        <f t="shared" si="2"/>
        <v>1525433.1189516559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3000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VLOOKUP($A14,[24]HISTONOV24!$A$6:$CB$38,60,0)</f>
        <v>0</v>
      </c>
      <c r="AG14" s="36">
        <f>VLOOKUP($A14,[24]HISTONOV24!$A$6:$CB$38,61,0)</f>
        <v>0</v>
      </c>
      <c r="AH14" s="36">
        <f>VLOOKUP($A14,[24]HISTONOV24!$A$6:$CB$38,62,0)</f>
        <v>0</v>
      </c>
      <c r="AI14" s="36">
        <f>VLOOKUP($A14,[24]HISTONOV24!$A$6:$CB$38,63,0)</f>
        <v>0</v>
      </c>
      <c r="AJ14" s="36">
        <f>VLOOKUP($A14,[24]HISTONOV24!$A$6:$CB$38,64,0)</f>
        <v>0</v>
      </c>
      <c r="AK14" s="36">
        <f>VLOOKUP($A14,[24]HISTONOV24!$A$6:$CB$38,65,0)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1028556.26032111</v>
      </c>
      <c r="G15" s="5">
        <f>IF(MVTOCT24!I15+L15&gt;700000,(MVTOCT24!I15-E15+L15),0)</f>
        <v>1028556.26032111</v>
      </c>
      <c r="H15" s="36">
        <f t="shared" si="0"/>
        <v>291.55378960764477</v>
      </c>
      <c r="I15" s="6">
        <f t="shared" si="2"/>
        <v>1028847.8141107176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VLOOKUP($A15,[24]HISTONOV24!$A$6:$CB$38,60,0)</f>
        <v>0</v>
      </c>
      <c r="AG15" s="36">
        <f>VLOOKUP($A15,[24]HISTONOV24!$A$6:$CB$38,61,0)</f>
        <v>0</v>
      </c>
      <c r="AH15" s="36">
        <f>VLOOKUP($A15,[24]HISTONOV24!$A$6:$CB$38,62,0)</f>
        <v>0</v>
      </c>
      <c r="AI15" s="36">
        <f>VLOOKUP($A15,[24]HISTONOV24!$A$6:$CB$38,63,0)</f>
        <v>0</v>
      </c>
      <c r="AJ15" s="36">
        <f>VLOOKUP($A15,[24]HISTONOV24!$A$6:$CB$38,64,0)</f>
        <v>0</v>
      </c>
      <c r="AK15" s="36">
        <f>VLOOKUP($A15,[24]HISTONOV24!$A$6:$CB$38,65,0)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1305372.0816398228</v>
      </c>
      <c r="G16" s="5">
        <f>IF(MVTOCT24!I16+L16&gt;700000,(MVTOCT24!I16-E16+L16),0)</f>
        <v>1305372.0816398228</v>
      </c>
      <c r="H16" s="36">
        <f t="shared" si="0"/>
        <v>370.01979564179908</v>
      </c>
      <c r="I16" s="6">
        <f t="shared" si="2"/>
        <v>1305742.1014354646</v>
      </c>
      <c r="J16" s="36">
        <f>VLOOKUP($A16,[24]HISTONOV24!$A$6:$AQ$42,22,0)</f>
        <v>0</v>
      </c>
      <c r="K16" s="36">
        <f>VLOOKUP($A16,[24]HISTONOV24!$A$6:$AU$38,45,0)</f>
        <v>30000</v>
      </c>
      <c r="L16" s="36">
        <f t="shared" si="3"/>
        <v>24000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VLOOKUP($A16,[24]HISTONOV24!$A$6:$BG$38,58,0)+10000</f>
        <v>10000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VLOOKUP($A16,[24]HISTONOV24!$A$6:$CB$38,60,0)</f>
        <v>0</v>
      </c>
      <c r="AG16" s="36">
        <f>VLOOKUP($A16,[24]HISTONOV24!$A$6:$CB$38,61,0)</f>
        <v>0</v>
      </c>
      <c r="AH16" s="36">
        <f>VLOOKUP($A16,[24]HISTONOV24!$A$6:$CB$38,62,0)</f>
        <v>0</v>
      </c>
      <c r="AI16" s="36">
        <f>VLOOKUP($A16,[24]HISTONOV24!$A$6:$CB$38,63,0)</f>
        <v>0</v>
      </c>
      <c r="AJ16" s="36">
        <f>VLOOKUP($A16,[24]HISTONOV24!$A$6:$CB$38,64,0)</f>
        <v>0</v>
      </c>
      <c r="AK16" s="36">
        <f>VLOOKUP($A16,[24]HISTONOV24!$A$6:$CB$38,65,0)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966581.42189074657</v>
      </c>
      <c r="G17" s="5">
        <f>IF(MVTOCT24!I17+L17&gt;700000,(MVTOCT24!I17-E17+L17),0)</f>
        <v>966581.42189074657</v>
      </c>
      <c r="H17" s="36">
        <f t="shared" si="0"/>
        <v>273.98644817796651</v>
      </c>
      <c r="I17" s="6">
        <f t="shared" si="2"/>
        <v>966855.40833892452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VLOOKUP($A17,[24]HISTONOV24!$A$6:$CB$38,60,0)</f>
        <v>0</v>
      </c>
      <c r="AG17" s="36">
        <f>VLOOKUP($A17,[24]HISTONOV24!$A$6:$CB$38,61,0)</f>
        <v>0</v>
      </c>
      <c r="AH17" s="36">
        <f>VLOOKUP($A17,[24]HISTONOV24!$A$6:$CB$38,62,0)</f>
        <v>0</v>
      </c>
      <c r="AI17" s="36">
        <f>VLOOKUP($A17,[24]HISTONOV24!$A$6:$CB$38,63,0)</f>
        <v>0</v>
      </c>
      <c r="AJ17" s="36">
        <f>VLOOKUP($A17,[24]HISTONOV24!$A$6:$CB$38,64,0)</f>
        <v>0</v>
      </c>
      <c r="AK17" s="36">
        <f>VLOOKUP($A17,[24]HISTONOV24!$A$6:$CB$38,65,0)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1075170.1231270968</v>
      </c>
      <c r="G18" s="5">
        <f>IF(MVTOCT24!I18+L18&gt;700000,(MVTOCT24!I18-E18+L18),0)</f>
        <v>1075170.1231270968</v>
      </c>
      <c r="H18" s="36">
        <f t="shared" si="0"/>
        <v>304.76692035568323</v>
      </c>
      <c r="I18" s="6">
        <f t="shared" si="2"/>
        <v>1075474.8900474524</v>
      </c>
      <c r="J18" s="36">
        <f>VLOOKUP($A18,[24]HISTONOV24!$A$6:$AQ$42,22,0)</f>
        <v>0</v>
      </c>
      <c r="K18" s="36">
        <f>VLOOKUP($A18,[24]HISTONOV24!$A$6:$AU$38,45,0)</f>
        <v>29000</v>
      </c>
      <c r="L18" s="36">
        <f t="shared" si="3"/>
        <v>23000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3000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VLOOKUP($A18,[24]HISTONOV24!$A$6:$CB$38,60,0)</f>
        <v>0</v>
      </c>
      <c r="AG18" s="36">
        <f>VLOOKUP($A18,[24]HISTONOV24!$A$6:$CB$38,61,0)</f>
        <v>0</v>
      </c>
      <c r="AH18" s="36">
        <f>VLOOKUP($A18,[24]HISTONOV24!$A$6:$CB$38,62,0)</f>
        <v>0</v>
      </c>
      <c r="AI18" s="36">
        <f>VLOOKUP($A18,[24]HISTONOV24!$A$6:$CB$38,63,0)</f>
        <v>0</v>
      </c>
      <c r="AJ18" s="36">
        <f>VLOOKUP($A18,[24]HISTONOV24!$A$6:$CB$38,64,0)</f>
        <v>0</v>
      </c>
      <c r="AK18" s="36">
        <f>VLOOKUP($A18,[24]HISTONOV24!$A$6:$CB$38,65,0)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VLOOKUP($A20,[24]HISTONOV24!$A$6:$CB$38,60,0)</f>
        <v>0</v>
      </c>
      <c r="AG20" s="36">
        <f>VLOOKUP($A20,[24]HISTONOV24!$A$6:$CB$38,61,0)</f>
        <v>0</v>
      </c>
      <c r="AH20" s="36">
        <f>VLOOKUP($A20,[24]HISTONOV24!$A$6:$CB$38,62,0)</f>
        <v>0</v>
      </c>
      <c r="AI20" s="36">
        <f>VLOOKUP($A20,[24]HISTONOV24!$A$6:$CB$38,63,0)</f>
        <v>0</v>
      </c>
      <c r="AJ20" s="36">
        <f>VLOOKUP($A20,[24]HISTONOV24!$A$6:$CB$38,64,0)</f>
        <v>0</v>
      </c>
      <c r="AK20" s="36">
        <f>VLOOKUP($A20,[24]HISTONOV24!$A$6:$CB$38,65,0)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998780.93650222523</v>
      </c>
      <c r="G21" s="5">
        <f>IF(MVTOCT24!I21+L21&gt;700000,(MVTOCT24!I21-E21+L21),0)</f>
        <v>998780.93650222523</v>
      </c>
      <c r="H21" s="36">
        <f t="shared" si="0"/>
        <v>283.1136985488626</v>
      </c>
      <c r="I21" s="6">
        <f t="shared" si="2"/>
        <v>999064.0502007741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VLOOKUP($A21,[24]HISTONOV24!$A$6:$CB$38,60,0)</f>
        <v>0</v>
      </c>
      <c r="AG21" s="36">
        <f>VLOOKUP($A21,[24]HISTONOV24!$A$6:$CB$38,61,0)</f>
        <v>0</v>
      </c>
      <c r="AH21" s="36">
        <f>VLOOKUP($A21,[24]HISTONOV24!$A$6:$CB$38,62,0)</f>
        <v>0</v>
      </c>
      <c r="AI21" s="36">
        <f>VLOOKUP($A21,[24]HISTONOV24!$A$6:$CB$38,63,0)</f>
        <v>6000</v>
      </c>
      <c r="AJ21" s="36">
        <f>VLOOKUP($A21,[24]HISTONOV24!$A$6:$CB$38,64,0)</f>
        <v>0</v>
      </c>
      <c r="AK21" s="36">
        <f>VLOOKUP($A21,[24]HISTONOV24!$A$6:$CB$38,65,0)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967328.45476362517</v>
      </c>
      <c r="G22" s="5">
        <f>IF(MVTOCT24!I22+L22&gt;700000,(MVTOCT24!I22-E22+L22),0)</f>
        <v>967328.45476362517</v>
      </c>
      <c r="H22" s="36">
        <f t="shared" si="0"/>
        <v>274.19820155836135</v>
      </c>
      <c r="I22" s="6">
        <f t="shared" si="2"/>
        <v>967602.65296518349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VLOOKUP($A22,[24]HISTONOV24!$A$6:$CB$38,60,0)</f>
        <v>0</v>
      </c>
      <c r="AG22" s="36">
        <f>VLOOKUP($A22,[24]HISTONOV24!$A$6:$CB$38,61,0)</f>
        <v>0</v>
      </c>
      <c r="AH22" s="36">
        <f>VLOOKUP($A22,[24]HISTONOV24!$A$6:$CB$38,62,0)</f>
        <v>0</v>
      </c>
      <c r="AI22" s="36">
        <f>VLOOKUP($A22,[24]HISTONOV24!$A$6:$CB$38,63,0)</f>
        <v>0</v>
      </c>
      <c r="AJ22" s="36">
        <f>VLOOKUP($A22,[24]HISTONOV24!$A$6:$CB$38,64,0)</f>
        <v>0</v>
      </c>
      <c r="AK22" s="36">
        <f>VLOOKUP($A22,[24]HISTONOV24!$A$6:$CB$38,65,0)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1074413.1344334492</v>
      </c>
      <c r="G23" s="5">
        <f>IF(MVTOCT24!I23+L23&gt;700000,(MVTOCT24!I23-E23+L23),0)</f>
        <v>1074413.1344334492</v>
      </c>
      <c r="H23" s="36">
        <f t="shared" si="0"/>
        <v>304.55234490576646</v>
      </c>
      <c r="I23" s="6">
        <f t="shared" si="2"/>
        <v>1074717.6867783549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892500</v>
      </c>
      <c r="W23" s="36" t="str">
        <f>VLOOKUP($A23,[24]HISTONOV24!$A$6:$AU$38,20,0)</f>
        <v>BANQUE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VLOOKUP($A23,[24]HISTONOV24!$A$6:$CB$38,60,0)</f>
        <v>0</v>
      </c>
      <c r="AG23" s="36">
        <f>VLOOKUP($A23,[24]HISTONOV24!$A$6:$CB$38,61,0)</f>
        <v>0</v>
      </c>
      <c r="AH23" s="36">
        <f>VLOOKUP($A23,[24]HISTONOV24!$A$6:$CB$38,62,0)</f>
        <v>0</v>
      </c>
      <c r="AI23" s="36">
        <f>VLOOKUP($A23,[24]HISTONOV24!$A$6:$CB$38,63,0)</f>
        <v>0</v>
      </c>
      <c r="AJ23" s="36">
        <f>VLOOKUP($A23,[24]HISTONOV24!$A$6:$CB$38,64,0)</f>
        <v>0</v>
      </c>
      <c r="AK23" s="36">
        <f>VLOOKUP($A23,[24]HISTONOV24!$A$6:$CB$38,65,0)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1339958.3213542646</v>
      </c>
      <c r="G24" s="5">
        <f>IF(MVTOCT24!I24+L24&gt;700000,(MVTOCT24!I24-E24+L24),0)</f>
        <v>1339958.3213542646</v>
      </c>
      <c r="H24" s="36">
        <f t="shared" si="0"/>
        <v>379.82358532839902</v>
      </c>
      <c r="I24" s="6">
        <f t="shared" si="2"/>
        <v>1340338.144939593</v>
      </c>
      <c r="J24" s="36">
        <f>VLOOKUP($A24,[24]HISTONOV24!$A$6:$AQ$42,22,0)</f>
        <v>0</v>
      </c>
      <c r="K24" s="36">
        <f>VLOOKUP($A24,[24]HISTONOV24!$A$6:$AU$38,45,0)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VLOOKUP($A24,[24]HISTONOV24!$A$6:$CB$38,60,0)</f>
        <v>0</v>
      </c>
      <c r="AG24" s="36">
        <f>VLOOKUP($A24,[24]HISTONOV24!$A$6:$CB$38,61,0)</f>
        <v>0</v>
      </c>
      <c r="AH24" s="36">
        <f>VLOOKUP($A24,[24]HISTONOV24!$A$6:$CB$38,62,0)</f>
        <v>0</v>
      </c>
      <c r="AI24" s="36">
        <f>VLOOKUP($A24,[24]HISTONOV24!$A$6:$CB$38,63,0)</f>
        <v>0</v>
      </c>
      <c r="AJ24" s="36">
        <f>VLOOKUP($A24,[24]HISTONOV24!$A$6:$CB$38,64,0)</f>
        <v>0</v>
      </c>
      <c r="AK24" s="36">
        <f>VLOOKUP($A24,[24]HISTONOV24!$A$6:$CB$38,65,0)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1181568.0339793954</v>
      </c>
      <c r="G25" s="5">
        <f>IF(MVTOCT24!I25+L25&gt;700000,(MVTOCT24!I25-E25+L25),0)</f>
        <v>1181568.0339793954</v>
      </c>
      <c r="H25" s="36">
        <f t="shared" si="0"/>
        <v>334.92639272682948</v>
      </c>
      <c r="I25" s="6">
        <f t="shared" si="2"/>
        <v>1181902.9603721222</v>
      </c>
      <c r="J25" s="36">
        <f>VLOOKUP($A25,[24]HISTONOV24!$A$6:$AQ$42,22,0)</f>
        <v>0</v>
      </c>
      <c r="K25" s="36">
        <f>VLOOKUP($A25,[24]HISTONOV24!$A$6:$AU$38,45,0)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VLOOKUP($A25,[24]HISTONOV24!$A$6:$CB$38,60,0)</f>
        <v>0</v>
      </c>
      <c r="AG25" s="36">
        <f>VLOOKUP($A25,[24]HISTONOV24!$A$6:$CB$38,61,0)</f>
        <v>0</v>
      </c>
      <c r="AH25" s="36">
        <f>VLOOKUP($A25,[24]HISTONOV24!$A$6:$CB$38,62,0)</f>
        <v>0</v>
      </c>
      <c r="AI25" s="36">
        <f>VLOOKUP($A25,[24]HISTONOV24!$A$6:$CB$38,63,0)</f>
        <v>0</v>
      </c>
      <c r="AJ25" s="36">
        <f>VLOOKUP($A25,[24]HISTONOV24!$A$6:$CB$38,64,0)</f>
        <v>0</v>
      </c>
      <c r="AK25" s="36">
        <f>VLOOKUP($A25,[24]HISTONOV24!$A$6:$CB$38,65,0)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980594.46576428716</v>
      </c>
      <c r="G26" s="5">
        <f>IF(MVTOCT24!I26+L26&gt;700000,(MVTOCT24!I26-E26+L26),0)</f>
        <v>980594.46576428716</v>
      </c>
      <c r="H26" s="36">
        <f t="shared" si="0"/>
        <v>277.95857513191015</v>
      </c>
      <c r="I26" s="6">
        <f t="shared" si="2"/>
        <v>980872.42433941911</v>
      </c>
      <c r="J26" s="36">
        <f>VLOOKUP($A26,[24]HISTONOV24!$A$6:$AQ$42,22,0)</f>
        <v>0</v>
      </c>
      <c r="K26" s="36">
        <f>VLOOKUP($A26,[24]HISTONOV24!$A$6:$AU$38,45,0)</f>
        <v>29000</v>
      </c>
      <c r="L26" s="36">
        <f t="shared" si="3"/>
        <v>23000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VLOOKUP($A26,[24]HISTONOV24!$A$6:$CB$38,60,0)</f>
        <v>0</v>
      </c>
      <c r="AG26" s="36">
        <f>VLOOKUP($A26,[24]HISTONOV24!$A$6:$CB$38,61,0)</f>
        <v>0</v>
      </c>
      <c r="AH26" s="36">
        <f>VLOOKUP($A26,[24]HISTONOV24!$A$6:$CB$38,62,0)</f>
        <v>0</v>
      </c>
      <c r="AI26" s="36">
        <f>VLOOKUP($A26,[24]HISTONOV24!$A$6:$CB$38,63,0)</f>
        <v>0</v>
      </c>
      <c r="AJ26" s="36">
        <f>VLOOKUP($A26,[24]HISTONOV24!$A$6:$CB$38,64,0)</f>
        <v>0</v>
      </c>
      <c r="AK26" s="36">
        <f>VLOOKUP($A26,[24]HISTONOV24!$A$6:$CB$38,65,0)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988125.90438113711</v>
      </c>
      <c r="G27" s="5">
        <f>IF(MVTOCT24!I27+L27&gt;700000,(MVTOCT24!I27-E27+L27),0)</f>
        <v>988125.90438113711</v>
      </c>
      <c r="H27" s="36">
        <f t="shared" si="0"/>
        <v>280.09343109910287</v>
      </c>
      <c r="I27" s="6">
        <f t="shared" si="2"/>
        <v>988405.99781223619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VLOOKUP($A27,[24]HISTONOV24!$A$6:$CB$38,60,0)</f>
        <v>0</v>
      </c>
      <c r="AG27" s="36">
        <f>VLOOKUP($A27,[24]HISTONOV24!$A$6:$CB$38,61,0)</f>
        <v>0</v>
      </c>
      <c r="AH27" s="36">
        <f>VLOOKUP($A27,[24]HISTONOV24!$A$6:$CB$38,62,0)</f>
        <v>0</v>
      </c>
      <c r="AI27" s="36">
        <f>VLOOKUP($A27,[24]HISTONOV24!$A$6:$CB$38,63,0)</f>
        <v>0</v>
      </c>
      <c r="AJ27" s="36">
        <f>VLOOKUP($A27,[24]HISTONOV24!$A$6:$CB$38,64,0)</f>
        <v>0</v>
      </c>
      <c r="AK27" s="36">
        <f>VLOOKUP($A27,[24]HISTONOV24!$A$6:$CB$38,65,0)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887776.77366432885</v>
      </c>
      <c r="G28" s="5">
        <f>IF(MVTOCT24!I28+L28&gt;700000,(MVTOCT24!I28-E28+L28),0)</f>
        <v>887776.77366432885</v>
      </c>
      <c r="H28" s="36">
        <f t="shared" si="0"/>
        <v>251.64854142900899</v>
      </c>
      <c r="I28" s="6">
        <f t="shared" si="2"/>
        <v>888028.42220575782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VLOOKUP($A28,[24]HISTONOV24!$A$6:$CB$38,60,0)</f>
        <v>0</v>
      </c>
      <c r="AG28" s="36">
        <f>VLOOKUP($A28,[24]HISTONOV24!$A$6:$CB$38,61,0)</f>
        <v>0</v>
      </c>
      <c r="AH28" s="36">
        <f>VLOOKUP($A28,[24]HISTONOV24!$A$6:$CB$38,62,0)</f>
        <v>0</v>
      </c>
      <c r="AI28" s="36">
        <f>VLOOKUP($A28,[24]HISTONOV24!$A$6:$CB$38,63,0)</f>
        <v>0</v>
      </c>
      <c r="AJ28" s="36">
        <f>VLOOKUP($A28,[24]HISTONOV24!$A$6:$CB$38,64,0)</f>
        <v>0</v>
      </c>
      <c r="AK28" s="36">
        <f>VLOOKUP($A28,[24]HISTONOV24!$A$6:$CB$38,65,0)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1013233.5277581307</v>
      </c>
      <c r="G29" s="5">
        <f>IF(MVTOCT24!I29+L29&gt;700000,(MVTOCT24!I29-E29+L29),0)</f>
        <v>1013233.5277581307</v>
      </c>
      <c r="H29" s="36">
        <f t="shared" si="0"/>
        <v>287.21041927563556</v>
      </c>
      <c r="I29" s="6">
        <f t="shared" si="2"/>
        <v>1013520.7381774064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VLOOKUP($A29,[24]HISTONOV24!$A$6:$CB$38,60,0)</f>
        <v>0</v>
      </c>
      <c r="AG29" s="36">
        <f>VLOOKUP($A29,[24]HISTONOV24!$A$6:$CB$38,61,0)</f>
        <v>0</v>
      </c>
      <c r="AH29" s="36">
        <f>VLOOKUP($A29,[24]HISTONOV24!$A$6:$CB$38,62,0)</f>
        <v>0</v>
      </c>
      <c r="AI29" s="36">
        <f>VLOOKUP($A29,[24]HISTONOV24!$A$6:$CB$38,63,0)</f>
        <v>0</v>
      </c>
      <c r="AJ29" s="36">
        <f>VLOOKUP($A29,[24]HISTONOV24!$A$6:$CB$38,64,0)</f>
        <v>0</v>
      </c>
      <c r="AK29" s="36">
        <f>VLOOKUP($A29,[24]HISTONOV24!$A$6:$CB$38,65,0)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926246.60333112802</v>
      </c>
      <c r="G30" s="5">
        <f>IF(MVTOCT24!I30+L30&gt;700000,(MVTOCT24!I30-E30+L30),0)</f>
        <v>926246.60333112802</v>
      </c>
      <c r="H30" s="36">
        <f t="shared" si="0"/>
        <v>262.55317062392959</v>
      </c>
      <c r="I30" s="6">
        <f t="shared" si="2"/>
        <v>926509.15650175198</v>
      </c>
      <c r="J30" s="36">
        <f>VLOOKUP($A30,[24]HISTONOV24!$A$6:$AQ$42,22,0)</f>
        <v>0</v>
      </c>
      <c r="K30" s="36">
        <f>VLOOKUP($A30,[24]HISTONOV24!$A$6:$AU$38,45,0)</f>
        <v>33500</v>
      </c>
      <c r="L30" s="36">
        <f t="shared" si="3"/>
        <v>27500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VLOOKUP($A30,[24]HISTONOV24!$A$6:$CB$38,60,0)</f>
        <v>0</v>
      </c>
      <c r="AG30" s="36">
        <f>VLOOKUP($A30,[24]HISTONOV24!$A$6:$CB$38,61,0)</f>
        <v>0</v>
      </c>
      <c r="AH30" s="36">
        <f>VLOOKUP($A30,[24]HISTONOV24!$A$6:$CB$38,62,0)</f>
        <v>0</v>
      </c>
      <c r="AI30" s="36">
        <f>VLOOKUP($A30,[24]HISTONOV24!$A$6:$CB$38,63,0)</f>
        <v>100000</v>
      </c>
      <c r="AJ30" s="36">
        <f>VLOOKUP($A30,[24]HISTONOV24!$A$6:$CB$38,64,0)</f>
        <v>0</v>
      </c>
      <c r="AK30" s="36">
        <f>VLOOKUP($A30,[24]HISTONOV24!$A$6:$CB$38,65,0)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1081703.8672143072</v>
      </c>
      <c r="G31" s="5">
        <f>IF(MVTOCT24!I31+L31&gt;700000,(MVTOCT24!I31-E31+L31),0)</f>
        <v>1081703.8672143072</v>
      </c>
      <c r="H31" s="36">
        <f t="shared" si="0"/>
        <v>306.61897057640522</v>
      </c>
      <c r="I31" s="6">
        <f t="shared" si="2"/>
        <v>1082010.4861848836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VLOOKUP($A31,[24]HISTONOV24!$A$6:$CB$38,60,0)</f>
        <v>0</v>
      </c>
      <c r="AG31" s="36">
        <f>VLOOKUP($A31,[24]HISTONOV24!$A$6:$CB$38,61,0)</f>
        <v>0</v>
      </c>
      <c r="AH31" s="36">
        <f>VLOOKUP($A31,[24]HISTONOV24!$A$6:$CB$38,62,0)</f>
        <v>0</v>
      </c>
      <c r="AI31" s="36">
        <f>VLOOKUP($A31,[24]HISTONOV24!$A$6:$CB$38,63,0)</f>
        <v>0</v>
      </c>
      <c r="AJ31" s="36">
        <f>VLOOKUP($A31,[24]HISTONOV24!$A$6:$CB$38,64,0)</f>
        <v>0</v>
      </c>
      <c r="AK31" s="36">
        <f>VLOOKUP($A31,[24]HISTONOV24!$A$6:$CB$38,65,0)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966828.10642654949</v>
      </c>
      <c r="G32" s="5">
        <f>IF(MVTOCT24!I32+L32&gt;700000,(MVTOCT24!I32-E32+L32),0)</f>
        <v>966828.10642654949</v>
      </c>
      <c r="H32" s="36">
        <f t="shared" si="0"/>
        <v>274.05637319230505</v>
      </c>
      <c r="I32" s="6">
        <f t="shared" si="2"/>
        <v>967102.16279974184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VLOOKUP($A32,[24]HISTONOV24!$A$6:$CB$38,60,0)</f>
        <v>0</v>
      </c>
      <c r="AG32" s="36">
        <f>VLOOKUP($A32,[24]HISTONOV24!$A$6:$CB$38,61,0)</f>
        <v>0</v>
      </c>
      <c r="AH32" s="36">
        <f>VLOOKUP($A32,[24]HISTONOV24!$A$6:$CB$38,62,0)</f>
        <v>0</v>
      </c>
      <c r="AI32" s="36">
        <f>VLOOKUP($A32,[24]HISTONOV24!$A$6:$CB$38,63,0)</f>
        <v>0</v>
      </c>
      <c r="AJ32" s="36">
        <f>VLOOKUP($A32,[24]HISTONOV24!$A$6:$CB$38,64,0)</f>
        <v>0</v>
      </c>
      <c r="AK32" s="36">
        <f>VLOOKUP($A32,[24]HISTONOV24!$A$6:$CB$38,65,0)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1972522.8569569683</v>
      </c>
      <c r="G33" s="5">
        <f>IF(MVTOCT24!I33+L33&gt;700000,(MVTOCT24!I33-E33+L33),0)</f>
        <v>1972522.8569569683</v>
      </c>
      <c r="H33" s="36">
        <f t="shared" si="0"/>
        <v>559.12985630359208</v>
      </c>
      <c r="I33" s="6">
        <f t="shared" si="2"/>
        <v>1973081.9868132719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VLOOKUP($A33,[24]HISTONOV24!$A$6:$CB$38,60,0)</f>
        <v>0</v>
      </c>
      <c r="AG33" s="36">
        <f>VLOOKUP($A33,[24]HISTONOV24!$A$6:$CB$38,61,0)</f>
        <v>0</v>
      </c>
      <c r="AH33" s="36">
        <f>VLOOKUP($A33,[24]HISTONOV24!$A$6:$CB$38,62,0)</f>
        <v>0</v>
      </c>
      <c r="AI33" s="36">
        <f>VLOOKUP($A33,[24]HISTONOV24!$A$6:$CB$38,63,0)</f>
        <v>0</v>
      </c>
      <c r="AJ33" s="36">
        <f>VLOOKUP($A33,[24]HISTONOV24!$A$6:$CB$38,64,0)</f>
        <v>0</v>
      </c>
      <c r="AK33" s="36">
        <f>VLOOKUP($A33,[24]HISTONOV24!$A$6:$CB$38,65,0)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943471.67114962125</v>
      </c>
      <c r="G34" s="5">
        <f>IF(MVTOCT24!I34+L34&gt;700000,(MVTOCT24!I34-E34+L34),0)</f>
        <v>943471.67114962125</v>
      </c>
      <c r="H34" s="36">
        <f t="shared" si="0"/>
        <v>267.43577548714097</v>
      </c>
      <c r="I34" s="6">
        <f t="shared" si="2"/>
        <v>943739.10692510835</v>
      </c>
      <c r="J34" s="36">
        <f>VLOOKUP($A34,[24]HISTONOV24!$A$6:$AQ$42,22,0)</f>
        <v>0</v>
      </c>
      <c r="K34" s="36">
        <f>VLOOKUP($A34,[24]HISTONOV24!$A$6:$AU$38,45,0)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VLOOKUP($A34,[24]HISTONOV24!$A$6:$CB$38,60,0)</f>
        <v>0</v>
      </c>
      <c r="AG34" s="36">
        <f>VLOOKUP($A34,[24]HISTONOV24!$A$6:$CB$38,61,0)</f>
        <v>0</v>
      </c>
      <c r="AH34" s="36">
        <f>VLOOKUP($A34,[24]HISTONOV24!$A$6:$CB$38,62,0)</f>
        <v>0</v>
      </c>
      <c r="AI34" s="36">
        <f>VLOOKUP($A34,[24]HISTONOV24!$A$6:$CB$38,63,0)</f>
        <v>0</v>
      </c>
      <c r="AJ34" s="36">
        <f>VLOOKUP($A34,[24]HISTONOV24!$A$6:$CB$38,64,0)</f>
        <v>0</v>
      </c>
      <c r="AK34" s="36">
        <f>VLOOKUP($A34,[24]HISTONOV24!$A$6:$CB$38,65,0)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315250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315250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VLOOKUP($A35,[24]HISTONOV24!$A$6:$CB$38,60,0)</f>
        <v>0</v>
      </c>
      <c r="AG35" s="36">
        <f>VLOOKUP($A35,[24]HISTONOV24!$A$6:$CB$38,61,0)</f>
        <v>0</v>
      </c>
      <c r="AH35" s="36">
        <f>VLOOKUP($A35,[24]HISTONOV24!$A$6:$CB$38,62,0)</f>
        <v>0</v>
      </c>
      <c r="AI35" s="36">
        <f>VLOOKUP($A35,[24]HISTONOV24!$A$6:$CB$38,63,0)</f>
        <v>0</v>
      </c>
      <c r="AJ35" s="36">
        <f>VLOOKUP($A35,[24]HISTONOV24!$A$6:$CB$38,64,0)</f>
        <v>0</v>
      </c>
      <c r="AK35" s="36">
        <f>VLOOKUP($A35,[24]HISTONOV24!$A$6:$CB$38,65,0)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1074926.0852413145</v>
      </c>
      <c r="G36" s="5">
        <f>IF(MVTOCT24!I36+L36&gt;700000,(MVTOCT24!I36-E36+L36),0)</f>
        <v>1074926.0852413145</v>
      </c>
      <c r="H36" s="36">
        <f t="shared" si="0"/>
        <v>304.69774555878348</v>
      </c>
      <c r="I36" s="6">
        <f t="shared" si="2"/>
        <v>1075230.7829868733</v>
      </c>
      <c r="J36" s="36">
        <f>VLOOKUP($A36,[24]HISTONOV24!$A$6:$AQ$42,22,0)</f>
        <v>0</v>
      </c>
      <c r="K36" s="36">
        <f>VLOOKUP($A36,[24]HISTONOV24!$A$6:$AU$38,45,0)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297500</v>
      </c>
      <c r="W36" s="36" t="str">
        <f>VLOOKUP($A36,[24]HISTONOV24!$A$6:$AU$38,20,0)</f>
        <v>BANQUE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VLOOKUP($A36,[24]HISTONOV24!$A$6:$CB$38,60,0)</f>
        <v>0</v>
      </c>
      <c r="AG36" s="36">
        <f>VLOOKUP($A36,[24]HISTONOV24!$A$6:$CB$38,61,0)</f>
        <v>0</v>
      </c>
      <c r="AH36" s="36">
        <f>VLOOKUP($A36,[24]HISTONOV24!$A$6:$CB$38,62,0)</f>
        <v>0</v>
      </c>
      <c r="AI36" s="36">
        <f>VLOOKUP($A36,[24]HISTONOV24!$A$6:$CB$38,63,0)</f>
        <v>0</v>
      </c>
      <c r="AJ36" s="36">
        <f>VLOOKUP($A36,[24]HISTONOV24!$A$6:$CB$38,64,0)</f>
        <v>0</v>
      </c>
      <c r="AK36" s="36">
        <f>VLOOKUP($A36,[24]HISTONOV24!$A$6:$CB$38,65,0)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2048595.1899778545</v>
      </c>
      <c r="G37" s="5">
        <f>IF(MVTOCT24!I37+L37&gt;700000,(MVTOCT24!I37-E37+L37),0)</f>
        <v>2048595.1899778545</v>
      </c>
      <c r="H37" s="36">
        <f t="shared" si="0"/>
        <v>580.69326302439697</v>
      </c>
      <c r="I37" s="6">
        <f t="shared" si="2"/>
        <v>2049175.8832408788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VLOOKUP($A37,[24]HISTONOV24!$A$6:$CB$38,60,0)</f>
        <v>0</v>
      </c>
      <c r="AG37" s="36">
        <f>VLOOKUP($A37,[24]HISTONOV24!$A$6:$CB$38,61,0)</f>
        <v>0</v>
      </c>
      <c r="AH37" s="36">
        <f>VLOOKUP($A37,[24]HISTONOV24!$A$6:$CB$38,62,0)</f>
        <v>0</v>
      </c>
      <c r="AI37" s="36">
        <f>VLOOKUP($A37,[24]HISTONOV24!$A$6:$CB$38,63,0)</f>
        <v>0</v>
      </c>
      <c r="AJ37" s="36">
        <f>VLOOKUP($A37,[24]HISTONOV24!$A$6:$CB$38,64,0)</f>
        <v>0</v>
      </c>
      <c r="AK37" s="36">
        <f>VLOOKUP($A37,[24]HISTONOV24!$A$6:$CB$38,65,0)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909513.53196415014</v>
      </c>
      <c r="G38" s="5">
        <f>IF(MVTOCT24!I38+L38&gt;700000,(MVTOCT24!I38-E38+L38),0)</f>
        <v>909513.53196415014</v>
      </c>
      <c r="H38" s="36">
        <f t="shared" si="0"/>
        <v>257.81002670752923</v>
      </c>
      <c r="I38" s="6">
        <f t="shared" si="2"/>
        <v>909771.34199085762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3000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VLOOKUP($A38,[24]HISTONOV24!$A$6:$CB$38,60,0)</f>
        <v>0</v>
      </c>
      <c r="AG38" s="36">
        <f>VLOOKUP($A38,[24]HISTONOV24!$A$6:$CB$38,61,0)</f>
        <v>0</v>
      </c>
      <c r="AH38" s="36">
        <f>VLOOKUP($A38,[24]HISTONOV24!$A$6:$CB$38,62,0)</f>
        <v>0</v>
      </c>
      <c r="AI38" s="36">
        <f>VLOOKUP($A38,[24]HISTONOV24!$A$6:$CB$38,63,0)</f>
        <v>0</v>
      </c>
      <c r="AJ38" s="36">
        <f>VLOOKUP($A38,[24]HISTONOV24!$A$6:$CB$38,64,0)</f>
        <v>0</v>
      </c>
      <c r="AK38" s="36">
        <f>VLOOKUP($A38,[24]HISTONOV24!$A$6:$CB$38,65,0)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2215296.8589817015</v>
      </c>
      <c r="G39" s="5">
        <f>IF(MVTOCT24!I39+L39&gt;700000,(MVTOCT24!I39-E39+L39),0)</f>
        <v>2215296.8589817015</v>
      </c>
      <c r="H39" s="36">
        <f t="shared" si="0"/>
        <v>627.94639365705427</v>
      </c>
      <c r="I39" s="6">
        <f t="shared" si="2"/>
        <v>2215924.8053753586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VLOOKUP($A39,[24]HISTONOV24!$A$6:$CB$38,60,0)</f>
        <v>0</v>
      </c>
      <c r="AG39" s="36">
        <f>VLOOKUP($A39,[24]HISTONOV24!$A$6:$CB$38,61,0)</f>
        <v>0</v>
      </c>
      <c r="AH39" s="36">
        <f>VLOOKUP($A39,[24]HISTONOV24!$A$6:$CB$38,62,0)</f>
        <v>0</v>
      </c>
      <c r="AI39" s="36">
        <f>VLOOKUP($A39,[24]HISTONOV24!$A$6:$CB$38,63,0)</f>
        <v>0</v>
      </c>
      <c r="AJ39" s="36">
        <f>VLOOKUP($A39,[24]HISTONOV24!$A$6:$CB$38,64,0)</f>
        <v>0</v>
      </c>
      <c r="AK39" s="36">
        <f>VLOOKUP($A39,[24]HISTONOV24!$A$6:$CB$38,65,0)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36478906.073121913</v>
      </c>
      <c r="G41" s="9">
        <f t="shared" si="10"/>
        <v>35278439.073121913</v>
      </c>
      <c r="H41" s="36">
        <f t="shared" si="10"/>
        <v>10000.000000000005</v>
      </c>
      <c r="I41" s="9">
        <f t="shared" si="10"/>
        <v>36488906.07312192</v>
      </c>
      <c r="J41" s="9">
        <f t="shared" si="10"/>
        <v>0</v>
      </c>
      <c r="K41" s="9">
        <f t="shared" si="10"/>
        <v>870500</v>
      </c>
      <c r="L41" s="9">
        <f t="shared" si="10"/>
        <v>678500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15000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10000</v>
      </c>
      <c r="U41" s="9">
        <f t="shared" si="10"/>
        <v>0</v>
      </c>
      <c r="V41" s="9">
        <f t="shared" si="10"/>
        <v>1190000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6000</v>
      </c>
      <c r="AG41" s="9">
        <f t="shared" si="10"/>
        <v>50000</v>
      </c>
      <c r="AH41" s="9">
        <f t="shared" si="10"/>
        <v>100000</v>
      </c>
      <c r="AI41" s="9">
        <f t="shared" si="10"/>
        <v>106000</v>
      </c>
      <c r="AJ41" s="9">
        <f t="shared" si="10"/>
        <v>0</v>
      </c>
      <c r="AK41" s="9">
        <f t="shared" si="10"/>
        <v>0</v>
      </c>
      <c r="AL41" s="9">
        <f t="shared" si="10"/>
        <v>2000000</v>
      </c>
    </row>
    <row r="44" spans="1:38" x14ac:dyDescent="0.35">
      <c r="G44" s="2"/>
    </row>
  </sheetData>
  <autoFilter ref="A5:V39" xr:uid="{00000000-0009-0000-0000-000010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44"/>
  <sheetViews>
    <sheetView workbookViewId="0">
      <pane xSplit="2" ySplit="5" topLeftCell="Q39" activePane="bottomRight" state="frozen"/>
      <selection activeCell="B43" sqref="B43"/>
      <selection pane="topRight" activeCell="B43" sqref="B43"/>
      <selection pane="bottomLeft" activeCell="B43" sqref="B43"/>
      <selection pane="bottomRight" activeCell="T29" sqref="T29:T3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75"/>
      <c r="AM1" s="176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11</v>
      </c>
      <c r="L3" s="5">
        <v>12</v>
      </c>
      <c r="M3" s="5">
        <v>13</v>
      </c>
      <c r="N3" s="5">
        <v>14</v>
      </c>
      <c r="O3" s="5">
        <v>15</v>
      </c>
      <c r="P3" s="5">
        <v>16</v>
      </c>
      <c r="Q3" s="5">
        <v>17</v>
      </c>
      <c r="R3" s="5">
        <v>18</v>
      </c>
      <c r="S3" s="5">
        <v>19</v>
      </c>
      <c r="T3" s="5">
        <v>20</v>
      </c>
      <c r="AK3" s="1"/>
      <c r="AL3" s="1"/>
      <c r="AM3"/>
    </row>
    <row r="4" spans="1:39" ht="26" x14ac:dyDescent="0.6">
      <c r="E4" s="16"/>
      <c r="F4" s="16"/>
      <c r="G4" s="16"/>
      <c r="H4" s="16"/>
      <c r="I4" s="16"/>
      <c r="J4" s="156"/>
      <c r="K4" s="177">
        <v>45643</v>
      </c>
      <c r="L4" s="177"/>
      <c r="M4" s="177"/>
      <c r="N4" s="177"/>
      <c r="O4" s="177"/>
      <c r="P4" s="177"/>
      <c r="Q4"/>
      <c r="R4">
        <v>3</v>
      </c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956757.45601743239</v>
      </c>
      <c r="G6" s="5">
        <f>IF(MVTNOV24!I6+L6&gt;700000,(MVTNOV24!I6-E6+L6),0)</f>
        <v>956757.45601743239</v>
      </c>
      <c r="H6" s="36">
        <f t="shared" ref="H6:H39" si="0">$T$41/$G$41*G6</f>
        <v>3914.1714743648799</v>
      </c>
      <c r="I6" s="6">
        <f>F6+H6</f>
        <v>960671.62749179732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VLOOKUP($A6,[24]HISTODEC24!$A$6:$CB$38,60,0)-4000000</f>
        <v>31000</v>
      </c>
      <c r="AG6" s="36">
        <f>VLOOKUP($A6,[24]HISTODEC24!$A$6:$CB$38,61,0)</f>
        <v>0</v>
      </c>
      <c r="AH6" s="36">
        <f>VLOOKUP($A6,[24]HISTODEC24!$A$6:$CB$38,62,0)</f>
        <v>0</v>
      </c>
      <c r="AI6" s="36">
        <f>VLOOKUP($A6,[24]HISTODEC24!$A$6:$CB$38,63,0)</f>
        <v>0</v>
      </c>
      <c r="AJ6" s="36">
        <f>VLOOKUP($A6,[24]HISTODEC24!$A$6:$CB$38,64,0)</f>
        <v>0</v>
      </c>
      <c r="AK6" s="36">
        <f>VLOOKUP($A6,[24]HISTODEC24!$A$6:$CB$38,65,0)</f>
        <v>0</v>
      </c>
      <c r="AL6" s="36">
        <f>VLOOKUP($A6,[24]HISTODEC24!$A$6:$CB$38,66,0)+4000000</f>
        <v>5026618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927954.0172185261</v>
      </c>
      <c r="G7" s="5">
        <f>IF(MVTNOV24!I7+L7&gt;700000,(MVTNOV24!I7-E7+L7),0)</f>
        <v>927954.0172185261</v>
      </c>
      <c r="H7" s="36">
        <f t="shared" si="0"/>
        <v>3796.3342965083434</v>
      </c>
      <c r="I7" s="6">
        <f t="shared" ref="I7:I39" si="2">F7+H7</f>
        <v>931750.35151503445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13">
        <f>VLOOKUP($A7,[24]HISTODEC24!$A$6:$BG$38,58,0)</f>
        <v>93000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VLOOKUP($A7,[24]HISTODEC24!$A$6:$CB$38,60,0)</f>
        <v>0</v>
      </c>
      <c r="AG7" s="36">
        <f>VLOOKUP($A7,[24]HISTODEC24!$A$6:$CB$38,61,0)</f>
        <v>0</v>
      </c>
      <c r="AH7" s="36">
        <f>VLOOKUP($A7,[24]HISTODEC24!$A$6:$CB$38,62,0)</f>
        <v>0</v>
      </c>
      <c r="AI7" s="36">
        <f>VLOOKUP($A7,[24]HISTODEC24!$A$6:$CB$38,63,0)</f>
        <v>0</v>
      </c>
      <c r="AJ7" s="36">
        <f>VLOOKUP($A7,[24]HISTODEC24!$A$6:$CB$38,64,0)</f>
        <v>0</v>
      </c>
      <c r="AK7" s="36">
        <f>VLOOKUP($A7,[24]HISTODEC24!$A$6:$CB$38,65,0)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982346.23247952305</v>
      </c>
      <c r="G8" s="5">
        <f>IF(MVTNOV24!I8+L8&gt;700000,(MVTNOV24!I8-E8+L8),0)</f>
        <v>982346.23247952305</v>
      </c>
      <c r="H8" s="36">
        <f t="shared" si="0"/>
        <v>4018.8572108196895</v>
      </c>
      <c r="I8" s="6">
        <f t="shared" si="2"/>
        <v>986365.08969034278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500000</v>
      </c>
      <c r="T8" s="36"/>
      <c r="U8" s="36">
        <f>VLOOKUP($A8,[24]HISTODEC24!$A$6:$AU$38,28,0)</f>
        <v>0</v>
      </c>
      <c r="V8" s="36">
        <f>VLOOKUP($A8,[24]HISTODEC24!$A$6:$AU$38,19,0)</f>
        <v>500000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VLOOKUP($A8,[24]HISTODEC24!$A$6:$CB$38,60,0)</f>
        <v>0</v>
      </c>
      <c r="AG8" s="36">
        <f>VLOOKUP($A8,[24]HISTODEC24!$A$6:$CB$38,61,0)</f>
        <v>0</v>
      </c>
      <c r="AH8" s="36">
        <f>VLOOKUP($A8,[24]HISTODEC24!$A$6:$CB$38,62,0)</f>
        <v>0</v>
      </c>
      <c r="AI8" s="36">
        <f>VLOOKUP($A8,[24]HISTODEC24!$A$6:$CB$38,63,0)</f>
        <v>0</v>
      </c>
      <c r="AJ8" s="36">
        <f>VLOOKUP($A8,[24]HISTODEC24!$A$6:$CB$38,64,0)</f>
        <v>0</v>
      </c>
      <c r="AK8" s="36">
        <f>VLOOKUP($A8,[24]HISTODEC24!$A$6:$CB$38,65,0)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1035404.4269359384</v>
      </c>
      <c r="G9" s="5">
        <f>IF(MVTNOV24!I9+L9&gt;700000,(MVTNOV24!I9-E9+L9),0)</f>
        <v>1035404.4269359384</v>
      </c>
      <c r="H9" s="36">
        <f t="shared" si="0"/>
        <v>4235.9225390451766</v>
      </c>
      <c r="I9" s="6">
        <f t="shared" si="2"/>
        <v>1039640.3494749836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1000000</v>
      </c>
      <c r="T9" s="36"/>
      <c r="U9" s="36">
        <f>VLOOKUP($A9,[24]HISTODEC24!$A$6:$AU$38,28,0)</f>
        <v>0</v>
      </c>
      <c r="V9" s="36">
        <f>VLOOKUP($A9,[24]HISTODEC24!$A$6:$AU$38,19,0)</f>
        <v>1000000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VLOOKUP($A9,[24]HISTODEC24!$A$6:$CB$38,60,0)</f>
        <v>0</v>
      </c>
      <c r="AG9" s="36">
        <f>VLOOKUP($A9,[24]HISTODEC24!$A$6:$CB$38,61,0)</f>
        <v>0</v>
      </c>
      <c r="AH9" s="36">
        <f>VLOOKUP($A9,[24]HISTODEC24!$A$6:$CB$38,62,0)</f>
        <v>0</v>
      </c>
      <c r="AI9" s="36">
        <f>VLOOKUP($A9,[24]HISTODEC24!$A$6:$CB$38,63,0)</f>
        <v>0</v>
      </c>
      <c r="AJ9" s="36">
        <f>VLOOKUP($A9,[24]HISTODEC24!$A$6:$CB$38,64,0)</f>
        <v>0</v>
      </c>
      <c r="AK9" s="36">
        <f>VLOOKUP($A9,[24]HISTODEC24!$A$6:$CB$38,65,0)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979078.22072936664</v>
      </c>
      <c r="G10" s="5">
        <f>IF(MVTNOV24!I10+L10&gt;700000,(MVTNOV24!I10-E10+L10),0)</f>
        <v>979078.22072936664</v>
      </c>
      <c r="H10" s="36">
        <f t="shared" si="0"/>
        <v>4005.4875126899278</v>
      </c>
      <c r="I10" s="6">
        <f t="shared" si="2"/>
        <v>983083.70824205654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1000000</v>
      </c>
      <c r="T10" s="36"/>
      <c r="U10" s="36">
        <f>VLOOKUP($A10,[24]HISTODEC24!$A$6:$AU$38,28,0)</f>
        <v>0</v>
      </c>
      <c r="V10" s="36">
        <f>VLOOKUP($A10,[24]HISTODEC24!$A$6:$AU$38,19,0)</f>
        <v>1000000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VLOOKUP($A10,[24]HISTODEC24!$A$6:$CB$38,60,0)</f>
        <v>0</v>
      </c>
      <c r="AG10" s="36">
        <f>VLOOKUP($A10,[24]HISTODEC24!$A$6:$CB$38,61,0)</f>
        <v>0</v>
      </c>
      <c r="AH10" s="36">
        <f>VLOOKUP($A10,[24]HISTODEC24!$A$6:$CB$38,62,0)</f>
        <v>0</v>
      </c>
      <c r="AI10" s="36">
        <f>VLOOKUP($A10,[24]HISTODEC24!$A$6:$CB$38,63,0)</f>
        <v>0</v>
      </c>
      <c r="AJ10" s="36">
        <f>VLOOKUP($A10,[24]HISTODEC24!$A$6:$CB$38,64,0)</f>
        <v>0</v>
      </c>
      <c r="AK10" s="36">
        <f>VLOOKUP($A10,[24]HISTODEC24!$A$6:$CB$38,65,0)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1010968.1442096249</v>
      </c>
      <c r="G11" s="5">
        <f>IF(MVTNOV24!I11+L11&gt;700000,(MVTNOV24!I11-E11+L11),0)</f>
        <v>1010968.1442096249</v>
      </c>
      <c r="H11" s="36">
        <f t="shared" si="0"/>
        <v>4135.9517468812019</v>
      </c>
      <c r="I11" s="6">
        <f t="shared" si="2"/>
        <v>1015104.0959565061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/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VLOOKUP($A11,[24]HISTODEC24!$A$6:$CB$38,60,0)</f>
        <v>0</v>
      </c>
      <c r="AG11" s="36">
        <f>VLOOKUP($A11,[24]HISTODEC24!$A$6:$CB$38,61,0)</f>
        <v>0</v>
      </c>
      <c r="AH11" s="36">
        <f>VLOOKUP($A11,[24]HISTODEC24!$A$6:$CB$38,62,0)</f>
        <v>0</v>
      </c>
      <c r="AI11" s="36">
        <f>VLOOKUP($A11,[24]HISTODEC24!$A$6:$CB$38,63,0)</f>
        <v>0</v>
      </c>
      <c r="AJ11" s="36">
        <f>VLOOKUP($A11,[24]HISTODEC24!$A$6:$CB$38,64,0)</f>
        <v>0</v>
      </c>
      <c r="AK11" s="36">
        <f>VLOOKUP($A11,[24]HISTODEC24!$A$6:$CB$38,65,0)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1069172.7951158585</v>
      </c>
      <c r="G12" s="5">
        <f>IF(MVTNOV24!I12+L12&gt;700000,(MVTNOV24!I12-E12+L12),0)</f>
        <v>1069172.7951158585</v>
      </c>
      <c r="H12" s="36">
        <f t="shared" si="0"/>
        <v>4374.0716411341027</v>
      </c>
      <c r="I12" s="6">
        <f t="shared" si="2"/>
        <v>1073546.8667569926</v>
      </c>
      <c r="J12" s="36">
        <f>VLOOKUP($A12,[24]HISTODEC24!$A$6:$AQ$42,22,0)</f>
        <v>0</v>
      </c>
      <c r="K12" s="36">
        <f>VLOOKUP($A12,[24]HISTODEC24!$A$6:$AU$38,45,0)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1000000</v>
      </c>
      <c r="T12" s="36"/>
      <c r="U12" s="36">
        <f>VLOOKUP($A12,[24]HISTODEC24!$A$6:$AU$38,28,0)</f>
        <v>0</v>
      </c>
      <c r="V12" s="36">
        <f>VLOOKUP($A12,[24]HISTODEC24!$A$6:$AU$38,19,0)</f>
        <v>40000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VLOOKUP($A12,[24]HISTODEC24!$A$6:$CB$38,60,0)</f>
        <v>0</v>
      </c>
      <c r="AG12" s="36">
        <f>VLOOKUP($A12,[24]HISTODEC24!$A$6:$CB$38,61,0)</f>
        <v>0</v>
      </c>
      <c r="AH12" s="36">
        <f>VLOOKUP($A12,[24]HISTODEC24!$A$6:$CB$38,62,0)</f>
        <v>0</v>
      </c>
      <c r="AI12" s="36">
        <f>VLOOKUP($A12,[24]HISTODEC24!$A$6:$CB$38,63,0)</f>
        <v>0</v>
      </c>
      <c r="AJ12" s="36">
        <f>VLOOKUP($A12,[24]HISTODEC24!$A$6:$CB$38,64,0)</f>
        <v>0</v>
      </c>
      <c r="AK12" s="36">
        <f>VLOOKUP($A12,[24]HISTODEC24!$A$6:$CB$38,65,0)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985405.65692185995</v>
      </c>
      <c r="G13" s="5">
        <f>IF(MVTNOV24!I13+L13&gt;700000,(MVTNOV24!I13-E13+L13),0)</f>
        <v>985405.65692185995</v>
      </c>
      <c r="H13" s="36">
        <f t="shared" si="0"/>
        <v>4031.3735615466717</v>
      </c>
      <c r="I13" s="6">
        <f t="shared" si="2"/>
        <v>989437.03048340662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/>
      <c r="U13" s="36">
        <f>VLOOKUP($A13,[24]HISTODEC24!$A$6:$AU$38,28,0)</f>
        <v>0</v>
      </c>
      <c r="V13" s="36">
        <f>VLOOKUP($A13,[24]HISTODEC24!$A$6:$AU$38,19,0)</f>
        <v>1000000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VLOOKUP($A13,[24]HISTODEC24!$A$6:$CB$38,60,0)</f>
        <v>0</v>
      </c>
      <c r="AG13" s="36">
        <f>VLOOKUP($A13,[24]HISTODEC24!$A$6:$CB$38,61,0)</f>
        <v>0</v>
      </c>
      <c r="AH13" s="36">
        <f>VLOOKUP($A13,[24]HISTODEC24!$A$6:$CB$38,62,0)</f>
        <v>0</v>
      </c>
      <c r="AI13" s="36">
        <f>VLOOKUP($A13,[24]HISTODEC24!$A$6:$CB$38,63,0)</f>
        <v>0</v>
      </c>
      <c r="AJ13" s="36">
        <f>VLOOKUP($A13,[24]HISTODEC24!$A$6:$CB$38,64,0)</f>
        <v>0</v>
      </c>
      <c r="AK13" s="36">
        <f>VLOOKUP($A13,[24]HISTODEC24!$A$6:$CB$38,65,0)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1544433.1189516559</v>
      </c>
      <c r="G14" s="5">
        <f>IF(MVTNOV24!I14+L14&gt;700000,(MVTNOV24!I14-E14+L14),0)</f>
        <v>1544433.1189516559</v>
      </c>
      <c r="H14" s="36">
        <f t="shared" si="0"/>
        <v>6318.3997367822012</v>
      </c>
      <c r="I14" s="6">
        <f t="shared" si="2"/>
        <v>1550751.5186884382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/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VLOOKUP($A14,[24]HISTODEC24!$A$6:$CB$38,60,0)</f>
        <v>0</v>
      </c>
      <c r="AG14" s="36">
        <f>VLOOKUP($A14,[24]HISTODEC24!$A$6:$CB$38,61,0)</f>
        <v>0</v>
      </c>
      <c r="AH14" s="36">
        <f>VLOOKUP($A14,[24]HISTODEC24!$A$6:$CB$38,62,0)</f>
        <v>0</v>
      </c>
      <c r="AI14" s="36">
        <f>VLOOKUP($A14,[24]HISTODEC24!$A$6:$CB$38,63,0)</f>
        <v>0</v>
      </c>
      <c r="AJ14" s="36">
        <f>VLOOKUP($A14,[24]HISTODEC24!$A$6:$CB$38,64,0)</f>
        <v>0</v>
      </c>
      <c r="AK14" s="36">
        <f>VLOOKUP($A14,[24]HISTODEC24!$A$6:$CB$38,65,0)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1047847.8141107176</v>
      </c>
      <c r="G15" s="5">
        <f>IF(MVTNOV24!I15+L15&gt;700000,(MVTNOV24!I15-E15+L15),0)</f>
        <v>1047847.8141107176</v>
      </c>
      <c r="H15" s="36">
        <f t="shared" si="0"/>
        <v>4286.8294338048354</v>
      </c>
      <c r="I15" s="6">
        <f t="shared" si="2"/>
        <v>1052134.6435445223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/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VLOOKUP($A15,[24]HISTODEC24!$A$6:$CB$38,60,0)</f>
        <v>0</v>
      </c>
      <c r="AG15" s="36">
        <f>VLOOKUP($A15,[24]HISTODEC24!$A$6:$CB$38,61,0)</f>
        <v>0</v>
      </c>
      <c r="AH15" s="36">
        <f>VLOOKUP($A15,[24]HISTODEC24!$A$6:$CB$38,62,0)</f>
        <v>0</v>
      </c>
      <c r="AI15" s="36">
        <f>VLOOKUP($A15,[24]HISTODEC24!$A$6:$CB$38,63,0)</f>
        <v>0</v>
      </c>
      <c r="AJ15" s="36">
        <f>VLOOKUP($A15,[24]HISTODEC24!$A$6:$CB$38,64,0)</f>
        <v>0</v>
      </c>
      <c r="AK15" s="36">
        <f>VLOOKUP($A15,[24]HISTODEC24!$A$6:$CB$38,65,0)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1379742.1014354646</v>
      </c>
      <c r="G16" s="5">
        <f>IF(MVTNOV24!I16+L16&gt;700000,(MVTNOV24!I16-E16+L16),0)</f>
        <v>1379742.1014354646</v>
      </c>
      <c r="H16" s="36">
        <f t="shared" si="0"/>
        <v>5644.6355776510936</v>
      </c>
      <c r="I16" s="6">
        <f t="shared" si="2"/>
        <v>1385386.7370131158</v>
      </c>
      <c r="J16" s="36">
        <f>VLOOKUP($A16,[24]HISTODEC24!$A$6:$AQ$42,22,0)</f>
        <v>0</v>
      </c>
      <c r="K16" s="36">
        <f>VLOOKUP($A16,[24]HISTODEC24!$A$6:$AU$38,45,0)</f>
        <v>80000</v>
      </c>
      <c r="L16" s="36">
        <f t="shared" si="3"/>
        <v>74000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/>
      <c r="U16" s="36">
        <f>VLOOKUP($A16,[24]HISTODEC24!$A$6:$AU$38,28,0)</f>
        <v>0</v>
      </c>
      <c r="V16" s="36">
        <f>VLOOKUP($A16,[24]HISTODEC24!$A$6:$AU$38,19,0)</f>
        <v>1000000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VLOOKUP($A16,[24]HISTODEC24!$A$6:$CB$38,60,0)</f>
        <v>0</v>
      </c>
      <c r="AG16" s="36">
        <f>VLOOKUP($A16,[24]HISTODEC24!$A$6:$CB$38,61,0)</f>
        <v>0</v>
      </c>
      <c r="AH16" s="36">
        <f>VLOOKUP($A16,[24]HISTODEC24!$A$6:$CB$38,62,0)</f>
        <v>0</v>
      </c>
      <c r="AI16" s="36">
        <f>VLOOKUP($A16,[24]HISTODEC24!$A$6:$CB$38,63,0)</f>
        <v>0</v>
      </c>
      <c r="AJ16" s="36">
        <f>VLOOKUP($A16,[24]HISTODEC24!$A$6:$CB$38,64,0)</f>
        <v>0</v>
      </c>
      <c r="AK16" s="36">
        <f>VLOOKUP($A16,[24]HISTODEC24!$A$6:$CB$38,65,0)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991355.40833892452</v>
      </c>
      <c r="G17" s="5">
        <f>IF(MVTNOV24!I17+L17&gt;700000,(MVTNOV24!I17-E17+L17),0)</f>
        <v>991355.40833892452</v>
      </c>
      <c r="H17" s="36">
        <f t="shared" si="0"/>
        <v>4055.7144717008246</v>
      </c>
      <c r="I17" s="6">
        <f t="shared" si="2"/>
        <v>995411.12281062535</v>
      </c>
      <c r="J17" s="36">
        <f>VLOOKUP($A17,[24]HISTODEC24!$A$6:$AQ$42,22,0)</f>
        <v>0</v>
      </c>
      <c r="K17" s="36">
        <f>VLOOKUP($A17,[24]HISTODEC24!$A$6:$AU$38,45,0)</f>
        <v>30500</v>
      </c>
      <c r="L17" s="36">
        <f t="shared" si="3"/>
        <v>24500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/>
      <c r="U17" s="36">
        <f>VLOOKUP($A17,[24]HISTODEC24!$A$6:$AU$38,28,0)</f>
        <v>0</v>
      </c>
      <c r="V17" s="36">
        <f>VLOOKUP($A17,[24]HISTODEC24!$A$6:$AU$38,19,0)</f>
        <v>170000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VLOOKUP($A17,[24]HISTODEC24!$A$6:$CB$38,60,0)</f>
        <v>0</v>
      </c>
      <c r="AG17" s="36">
        <f>VLOOKUP($A17,[24]HISTODEC24!$A$6:$CB$38,61,0)</f>
        <v>0</v>
      </c>
      <c r="AH17" s="36">
        <f>VLOOKUP($A17,[24]HISTODEC24!$A$6:$CB$38,62,0)</f>
        <v>0</v>
      </c>
      <c r="AI17" s="36">
        <f>VLOOKUP($A17,[24]HISTODEC24!$A$6:$CB$38,63,0)</f>
        <v>0</v>
      </c>
      <c r="AJ17" s="36">
        <f>VLOOKUP($A17,[24]HISTODEC24!$A$6:$CB$38,64,0)</f>
        <v>0</v>
      </c>
      <c r="AK17" s="36">
        <f>VLOOKUP($A17,[24]HISTODEC24!$A$6:$CB$38,65,0)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1104474.8900474524</v>
      </c>
      <c r="G18" s="5">
        <f>IF(MVTNOV24!I18+L18&gt;700000,(MVTNOV24!I18-E18+L18),0)</f>
        <v>1104474.8900474524</v>
      </c>
      <c r="H18" s="36">
        <f t="shared" si="0"/>
        <v>4518.4953423527404</v>
      </c>
      <c r="I18" s="6">
        <f t="shared" si="2"/>
        <v>1108993.3853898051</v>
      </c>
      <c r="J18" s="36">
        <f>VLOOKUP($A18,[24]HISTODEC24!$A$6:$AQ$42,22,0)</f>
        <v>0</v>
      </c>
      <c r="K18" s="36">
        <f>VLOOKUP($A18,[24]HISTODEC24!$A$6:$AU$38,45,0)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1000000</v>
      </c>
      <c r="T18" s="36"/>
      <c r="U18" s="36">
        <f>VLOOKUP($A18,[24]HISTODEC24!$A$6:$AU$38,28,0)</f>
        <v>0</v>
      </c>
      <c r="V18" s="36">
        <f>VLOOKUP($A18,[24]HISTODEC24!$A$6:$AU$38,19,0)</f>
        <v>350000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VLOOKUP($A18,[24]HISTODEC24!$A$6:$CB$38,60,0)</f>
        <v>0</v>
      </c>
      <c r="AG18" s="36">
        <f>VLOOKUP($A18,[24]HISTODEC24!$A$6:$CB$38,61,0)</f>
        <v>0</v>
      </c>
      <c r="AH18" s="36">
        <f>VLOOKUP($A18,[24]HISTODEC24!$A$6:$CB$38,62,0)</f>
        <v>0</v>
      </c>
      <c r="AI18" s="36">
        <f>VLOOKUP($A18,[24]HISTODEC24!$A$6:$CB$38,63,0)</f>
        <v>0</v>
      </c>
      <c r="AJ18" s="36">
        <f>VLOOKUP($A18,[24]HISTODEC24!$A$6:$CB$38,64,0)</f>
        <v>0</v>
      </c>
      <c r="AK18" s="36">
        <f>VLOOKUP($A18,[24]HISTODEC24!$A$6:$CB$38,65,0)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525500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525500</v>
      </c>
      <c r="J20" s="36">
        <f>VLOOKUP($A20,[24]HISTODEC24!$A$6:$AQ$42,22,0)</f>
        <v>0</v>
      </c>
      <c r="K20" s="36">
        <f>VLOOKUP($A20,[24]HISTODEC24!$A$6:$AU$38,45,0)</f>
        <v>322500</v>
      </c>
      <c r="L20" s="36">
        <f t="shared" ref="L20" si="6">IF(K20=0,0,K20-(M20+N20+O20))</f>
        <v>316500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/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190000</v>
      </c>
      <c r="AF20" s="36">
        <f>VLOOKUP($A20,[24]HISTODEC24!$A$6:$CB$38,60,0)</f>
        <v>0</v>
      </c>
      <c r="AG20" s="36">
        <f>VLOOKUP($A20,[24]HISTODEC24!$A$6:$CB$38,61,0)</f>
        <v>0</v>
      </c>
      <c r="AH20" s="36">
        <f>VLOOKUP($A20,[24]HISTODEC24!$A$6:$CB$38,62,0)</f>
        <v>0</v>
      </c>
      <c r="AI20" s="36">
        <f>VLOOKUP($A20,[24]HISTODEC24!$A$6:$CB$38,63,0)</f>
        <v>0</v>
      </c>
      <c r="AJ20" s="36">
        <f>VLOOKUP($A20,[24]HISTODEC24!$A$6:$CB$38,64,0)</f>
        <v>0</v>
      </c>
      <c r="AK20" s="36">
        <f>VLOOKUP($A20,[24]HISTODEC24!$A$6:$CB$38,65,0)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1018064.0502007741</v>
      </c>
      <c r="G21" s="5">
        <f>IF(MVTNOV24!I21+L21&gt;700000,(MVTNOV24!I21-E21+L21),0)</f>
        <v>1018064.0502007741</v>
      </c>
      <c r="H21" s="36">
        <f t="shared" si="0"/>
        <v>4164.9816673073719</v>
      </c>
      <c r="I21" s="6">
        <f t="shared" si="2"/>
        <v>1022229.0318680814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1000000</v>
      </c>
      <c r="T21" s="36"/>
      <c r="U21" s="36">
        <f>VLOOKUP($A21,[24]HISTODEC24!$A$6:$AU$38,28,0)</f>
        <v>0</v>
      </c>
      <c r="V21" s="36">
        <f>VLOOKUP($A21,[24]HISTODEC24!$A$6:$AU$38,19,0)</f>
        <v>1000000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66700</v>
      </c>
      <c r="AF21" s="36">
        <f>VLOOKUP($A21,[24]HISTODEC24!$A$6:$CB$38,60,0)</f>
        <v>0</v>
      </c>
      <c r="AG21" s="36">
        <f>VLOOKUP($A21,[24]HISTODEC24!$A$6:$CB$38,61,0)</f>
        <v>0</v>
      </c>
      <c r="AH21" s="36">
        <f>VLOOKUP($A21,[24]HISTODEC24!$A$6:$CB$38,62,0)</f>
        <v>0</v>
      </c>
      <c r="AI21" s="36">
        <f>VLOOKUP($A21,[24]HISTODEC24!$A$6:$CB$38,63,0)</f>
        <v>0</v>
      </c>
      <c r="AJ21" s="36">
        <f>VLOOKUP($A21,[24]HISTODEC24!$A$6:$CB$38,64,0)</f>
        <v>0</v>
      </c>
      <c r="AK21" s="36">
        <f>VLOOKUP($A21,[24]HISTODEC24!$A$6:$CB$38,65,0)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986602.65296518349</v>
      </c>
      <c r="G22" s="5">
        <f>IF(MVTNOV24!I22+L22&gt;700000,(MVTNOV24!I22-E22+L22),0)</f>
        <v>986602.65296518349</v>
      </c>
      <c r="H22" s="36">
        <f t="shared" si="0"/>
        <v>4036.2705683462918</v>
      </c>
      <c r="I22" s="6">
        <f t="shared" si="2"/>
        <v>990638.92353352974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13">
        <f>VLOOKUP($A22,[24]HISTODEC24!$A$6:$BG$38,58,0)</f>
        <v>46500</v>
      </c>
      <c r="U22" s="36">
        <f>VLOOKUP($A22,[24]HISTODEC24!$A$6:$AU$38,28,0)</f>
        <v>0</v>
      </c>
      <c r="V22" s="36">
        <f>VLOOKUP($A22,[24]HISTODEC24!$A$6:$AU$38,19,0)</f>
        <v>300000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VLOOKUP($A22,[24]HISTODEC24!$A$6:$CB$38,60,0)</f>
        <v>0</v>
      </c>
      <c r="AG22" s="36">
        <f>VLOOKUP($A22,[24]HISTODEC24!$A$6:$CB$38,61,0)</f>
        <v>0</v>
      </c>
      <c r="AH22" s="36">
        <f>VLOOKUP($A22,[24]HISTODEC24!$A$6:$CB$38,62,0)</f>
        <v>0</v>
      </c>
      <c r="AI22" s="36">
        <f>VLOOKUP($A22,[24]HISTODEC24!$A$6:$CB$38,63,0)</f>
        <v>0</v>
      </c>
      <c r="AJ22" s="36">
        <f>VLOOKUP($A22,[24]HISTODEC24!$A$6:$CB$38,64,0)</f>
        <v>0</v>
      </c>
      <c r="AK22" s="36">
        <f>VLOOKUP($A22,[24]HISTODEC24!$A$6:$CB$38,65,0)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1093717.6867783549</v>
      </c>
      <c r="G23" s="5">
        <f>IF(MVTNOV24!I23+L23&gt;700000,(MVTNOV24!I23-E23+L23),0)</f>
        <v>1093717.6867783549</v>
      </c>
      <c r="H23" s="36">
        <f t="shared" si="0"/>
        <v>4474.4867611652862</v>
      </c>
      <c r="I23" s="6">
        <f t="shared" si="2"/>
        <v>1098192.1735395202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900000</v>
      </c>
      <c r="T23" s="36"/>
      <c r="U23" s="36">
        <f>VLOOKUP($A23,[24]HISTODEC24!$A$6:$AU$38,28,0)</f>
        <v>0</v>
      </c>
      <c r="V23" s="36">
        <f>VLOOKUP($A23,[24]HISTODEC24!$A$6:$AU$38,19,0)</f>
        <v>107500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VLOOKUP($A23,[24]HISTODEC24!$A$6:$CB$38,60,0)</f>
        <v>0</v>
      </c>
      <c r="AG23" s="36">
        <f>VLOOKUP($A23,[24]HISTODEC24!$A$6:$CB$38,61,0)</f>
        <v>0</v>
      </c>
      <c r="AH23" s="36">
        <f>VLOOKUP($A23,[24]HISTODEC24!$A$6:$CB$38,62,0)</f>
        <v>0</v>
      </c>
      <c r="AI23" s="36">
        <f>VLOOKUP($A23,[24]HISTODEC24!$A$6:$CB$38,63,0)</f>
        <v>0</v>
      </c>
      <c r="AJ23" s="36">
        <f>VLOOKUP($A23,[24]HISTODEC24!$A$6:$CB$38,64,0)</f>
        <v>0</v>
      </c>
      <c r="AK23" s="36">
        <f>VLOOKUP($A23,[24]HISTODEC24!$A$6:$CB$38,65,0)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1369338.144939593</v>
      </c>
      <c r="G24" s="5">
        <f>IF(MVTNOV24!I24+L24&gt;700000,(MVTNOV24!I24-E24+L24),0)</f>
        <v>1369338.144939593</v>
      </c>
      <c r="H24" s="36">
        <f t="shared" si="0"/>
        <v>5602.0721573395494</v>
      </c>
      <c r="I24" s="6">
        <f t="shared" si="2"/>
        <v>1374940.2170969327</v>
      </c>
      <c r="J24" s="36">
        <f>VLOOKUP($A24,[24]HISTODEC24!$A$6:$AQ$42,22,0)</f>
        <v>0</v>
      </c>
      <c r="K24" s="36">
        <f>VLOOKUP($A24,[24]HISTODEC24!$A$6:$AU$38,45,0)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500000</v>
      </c>
      <c r="T24" s="36"/>
      <c r="U24" s="36">
        <f>VLOOKUP($A24,[24]HISTODEC24!$A$6:$AU$38,28,0)</f>
        <v>0</v>
      </c>
      <c r="V24" s="36">
        <f>VLOOKUP($A24,[24]HISTODEC24!$A$6:$AU$38,19,0)</f>
        <v>500000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VLOOKUP($A24,[24]HISTODEC24!$A$6:$CB$38,60,0)</f>
        <v>0</v>
      </c>
      <c r="AG24" s="36">
        <f>VLOOKUP($A24,[24]HISTODEC24!$A$6:$CB$38,61,0)</f>
        <v>0</v>
      </c>
      <c r="AH24" s="36">
        <f>VLOOKUP($A24,[24]HISTODEC24!$A$6:$CB$38,62,0)</f>
        <v>0</v>
      </c>
      <c r="AI24" s="36">
        <f>VLOOKUP($A24,[24]HISTODEC24!$A$6:$CB$38,63,0)</f>
        <v>0</v>
      </c>
      <c r="AJ24" s="36">
        <f>VLOOKUP($A24,[24]HISTODEC24!$A$6:$CB$38,64,0)</f>
        <v>0</v>
      </c>
      <c r="AK24" s="36">
        <f>VLOOKUP($A24,[24]HISTODEC24!$A$6:$CB$38,65,0)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1213902.9603721222</v>
      </c>
      <c r="G25" s="5">
        <f>IF(MVTNOV24!I25+L25&gt;700000,(MVTNOV24!I25-E25+L25),0)</f>
        <v>1213902.9603721222</v>
      </c>
      <c r="H25" s="36">
        <f t="shared" si="0"/>
        <v>4966.1743530212634</v>
      </c>
      <c r="I25" s="6">
        <f t="shared" si="2"/>
        <v>1218869.1347251434</v>
      </c>
      <c r="J25" s="36">
        <f>VLOOKUP($A25,[24]HISTODEC24!$A$6:$AQ$42,22,0)</f>
        <v>0</v>
      </c>
      <c r="K25" s="36">
        <f>VLOOKUP($A25,[24]HISTODEC24!$A$6:$AU$38,45,0)</f>
        <v>38000</v>
      </c>
      <c r="L25" s="36">
        <f t="shared" si="3"/>
        <v>32000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/>
      <c r="U25" s="36">
        <f>VLOOKUP($A25,[24]HISTODEC24!$A$6:$AU$38,28,0)</f>
        <v>0</v>
      </c>
      <c r="V25" s="36">
        <f>VLOOKUP($A25,[24]HISTODEC24!$A$6:$AU$38,19,0)</f>
        <v>500000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VLOOKUP($A25,[24]HISTODEC24!$A$6:$CB$38,60,0)</f>
        <v>0</v>
      </c>
      <c r="AG25" s="36">
        <f>VLOOKUP($A25,[24]HISTODEC24!$A$6:$CB$38,61,0)</f>
        <v>0</v>
      </c>
      <c r="AH25" s="36">
        <f>VLOOKUP($A25,[24]HISTODEC24!$A$6:$CB$38,62,0)</f>
        <v>0</v>
      </c>
      <c r="AI25" s="36">
        <f>VLOOKUP($A25,[24]HISTODEC24!$A$6:$CB$38,63,0)</f>
        <v>0</v>
      </c>
      <c r="AJ25" s="36">
        <f>VLOOKUP($A25,[24]HISTODEC24!$A$6:$CB$38,64,0)</f>
        <v>0</v>
      </c>
      <c r="AK25" s="36">
        <f>VLOOKUP($A25,[24]HISTODEC24!$A$6:$CB$38,65,0)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999872.42433941911</v>
      </c>
      <c r="G26" s="5">
        <f>IF(MVTNOV24!I26+L26&gt;700000,(MVTNOV24!I26-E26+L26),0)</f>
        <v>999872.42433941911</v>
      </c>
      <c r="H26" s="36">
        <f t="shared" si="0"/>
        <v>4090.5582671331726</v>
      </c>
      <c r="I26" s="6">
        <f t="shared" si="2"/>
        <v>1003962.9826065523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1000000</v>
      </c>
      <c r="T26" s="36"/>
      <c r="U26" s="36">
        <f>VLOOKUP($A26,[24]HISTODEC24!$A$6:$AU$38,28,0)</f>
        <v>0</v>
      </c>
      <c r="V26" s="36">
        <f>VLOOKUP($A26,[24]HISTODEC24!$A$6:$AU$38,19,0)</f>
        <v>1000000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VLOOKUP($A26,[24]HISTODEC24!$A$6:$CB$38,60,0)</f>
        <v>0</v>
      </c>
      <c r="AG26" s="36">
        <f>VLOOKUP($A26,[24]HISTODEC24!$A$6:$CB$38,61,0)</f>
        <v>0</v>
      </c>
      <c r="AH26" s="36">
        <f>VLOOKUP($A26,[24]HISTODEC24!$A$6:$CB$38,62,0)</f>
        <v>0</v>
      </c>
      <c r="AI26" s="36">
        <f>VLOOKUP($A26,[24]HISTODEC24!$A$6:$CB$38,63,0)</f>
        <v>0</v>
      </c>
      <c r="AJ26" s="36">
        <f>VLOOKUP($A26,[24]HISTODEC24!$A$6:$CB$38,64,0)</f>
        <v>0</v>
      </c>
      <c r="AK26" s="36">
        <f>VLOOKUP($A26,[24]HISTODEC24!$A$6:$CB$38,65,0)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1007405.9978122362</v>
      </c>
      <c r="G27" s="5">
        <f>IF(MVTNOV24!I27+L27&gt;700000,(MVTNOV24!I27-E27+L27),0)</f>
        <v>1007405.9978122362</v>
      </c>
      <c r="H27" s="36">
        <f t="shared" si="0"/>
        <v>4121.378720323135</v>
      </c>
      <c r="I27" s="6">
        <f t="shared" si="2"/>
        <v>1011527.3765325593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1000000</v>
      </c>
      <c r="T27" s="36"/>
      <c r="U27" s="36">
        <f>VLOOKUP($A27,[24]HISTODEC24!$A$6:$AU$38,28,0)</f>
        <v>0</v>
      </c>
      <c r="V27" s="36">
        <f>VLOOKUP($A27,[24]HISTODEC24!$A$6:$AU$38,19,0)</f>
        <v>1000000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VLOOKUP($A27,[24]HISTODEC24!$A$6:$CB$38,60,0)</f>
        <v>0</v>
      </c>
      <c r="AG27" s="36">
        <f>VLOOKUP($A27,[24]HISTODEC24!$A$6:$CB$38,61,0)</f>
        <v>0</v>
      </c>
      <c r="AH27" s="36">
        <f>VLOOKUP($A27,[24]HISTODEC24!$A$6:$CB$38,62,0)</f>
        <v>0</v>
      </c>
      <c r="AI27" s="36">
        <f>VLOOKUP($A27,[24]HISTODEC24!$A$6:$CB$38,63,0)</f>
        <v>0</v>
      </c>
      <c r="AJ27" s="36">
        <f>VLOOKUP($A27,[24]HISTODEC24!$A$6:$CB$38,64,0)</f>
        <v>0</v>
      </c>
      <c r="AK27" s="36">
        <f>VLOOKUP($A27,[24]HISTODEC24!$A$6:$CB$38,65,0)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907028.42220575782</v>
      </c>
      <c r="G28" s="5">
        <f>IF(MVTNOV24!I28+L28&gt;700000,(MVTNOV24!I28-E28+L28),0)</f>
        <v>907028.42220575782</v>
      </c>
      <c r="H28" s="36">
        <f t="shared" si="0"/>
        <v>3710.7260093003915</v>
      </c>
      <c r="I28" s="6">
        <f t="shared" si="2"/>
        <v>910739.14821505826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13">
        <f>VLOOKUP($A28,[24]HISTODEC24!$A$6:$BG$38,58,0)</f>
        <v>7750</v>
      </c>
      <c r="U28" s="36">
        <f>VLOOKUP($A28,[24]HISTODEC24!$A$6:$AU$38,28,0)</f>
        <v>0</v>
      </c>
      <c r="V28" s="36">
        <f>VLOOKUP($A28,[24]HISTODEC24!$A$6:$AU$38,19,0)</f>
        <v>50000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VLOOKUP($A28,[24]HISTODEC24!$A$6:$CB$38,60,0)</f>
        <v>0</v>
      </c>
      <c r="AG28" s="36">
        <f>VLOOKUP($A28,[24]HISTODEC24!$A$6:$CB$38,61,0)</f>
        <v>0</v>
      </c>
      <c r="AH28" s="36">
        <f>VLOOKUP($A28,[24]HISTODEC24!$A$6:$CB$38,62,0)</f>
        <v>0</v>
      </c>
      <c r="AI28" s="36">
        <f>VLOOKUP($A28,[24]HISTODEC24!$A$6:$CB$38,63,0)</f>
        <v>0</v>
      </c>
      <c r="AJ28" s="36">
        <f>VLOOKUP($A28,[24]HISTODEC24!$A$6:$CB$38,64,0)</f>
        <v>0</v>
      </c>
      <c r="AK28" s="36">
        <f>VLOOKUP($A28,[24]HISTODEC24!$A$6:$CB$38,65,0)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1059520.7381774064</v>
      </c>
      <c r="G29" s="5">
        <f>IF(MVTNOV24!I29+L29&gt;700000,(MVTNOV24!I29-E29+L29),0)</f>
        <v>1059520.7381774064</v>
      </c>
      <c r="H29" s="36">
        <f t="shared" si="0"/>
        <v>4334.5843022063291</v>
      </c>
      <c r="I29" s="6">
        <f t="shared" si="2"/>
        <v>1063855.3224796127</v>
      </c>
      <c r="J29" s="36">
        <f>VLOOKUP($A29,[24]HISTODEC24!$A$6:$AQ$42,22,0)</f>
        <v>0</v>
      </c>
      <c r="K29" s="36">
        <f>VLOOKUP($A29,[24]HISTODEC24!$A$6:$AU$38,45,0)</f>
        <v>52000</v>
      </c>
      <c r="L29" s="36">
        <f t="shared" si="3"/>
        <v>46000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/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VLOOKUP($A29,[24]HISTODEC24!$A$6:$CB$38,60,0)</f>
        <v>0</v>
      </c>
      <c r="AG29" s="36">
        <f>VLOOKUP($A29,[24]HISTODEC24!$A$6:$CB$38,61,0)</f>
        <v>0</v>
      </c>
      <c r="AH29" s="36">
        <f>VLOOKUP($A29,[24]HISTODEC24!$A$6:$CB$38,62,0)</f>
        <v>0</v>
      </c>
      <c r="AI29" s="36">
        <f>VLOOKUP($A29,[24]HISTODEC24!$A$6:$CB$38,63,0)</f>
        <v>0</v>
      </c>
      <c r="AJ29" s="36">
        <f>VLOOKUP($A29,[24]HISTODEC24!$A$6:$CB$38,64,0)</f>
        <v>0</v>
      </c>
      <c r="AK29" s="36">
        <f>VLOOKUP($A29,[24]HISTODEC24!$A$6:$CB$38,65,0)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944509.15650175198</v>
      </c>
      <c r="G30" s="5">
        <f>IF(MVTNOV24!I30+L30&gt;700000,(MVTNOV24!I30-E30+L30),0)</f>
        <v>944509.15650175198</v>
      </c>
      <c r="H30" s="36">
        <f t="shared" si="0"/>
        <v>3864.0626988625545</v>
      </c>
      <c r="I30" s="6">
        <f t="shared" si="2"/>
        <v>948373.21920061449</v>
      </c>
      <c r="J30" s="36">
        <f>VLOOKUP($A30,[24]HISTODEC24!$A$6:$AQ$42,22,0)</f>
        <v>0</v>
      </c>
      <c r="K30" s="36">
        <f>VLOOKUP($A30,[24]HISTODEC24!$A$6:$AU$38,45,0)</f>
        <v>24000</v>
      </c>
      <c r="L30" s="36">
        <f t="shared" si="3"/>
        <v>18000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1000000</v>
      </c>
      <c r="T30" s="36"/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115000</v>
      </c>
      <c r="AF30" s="36">
        <f>VLOOKUP($A30,[24]HISTODEC24!$A$6:$CB$38,60,0)</f>
        <v>0</v>
      </c>
      <c r="AG30" s="36">
        <f>VLOOKUP($A30,[24]HISTODEC24!$A$6:$CB$38,61,0)</f>
        <v>0</v>
      </c>
      <c r="AH30" s="36">
        <f>VLOOKUP($A30,[24]HISTODEC24!$A$6:$CB$38,62,0)</f>
        <v>0</v>
      </c>
      <c r="AI30" s="36">
        <f>VLOOKUP($A30,[24]HISTODEC24!$A$6:$CB$38,63,0)</f>
        <v>100000</v>
      </c>
      <c r="AJ30" s="36">
        <f>VLOOKUP($A30,[24]HISTODEC24!$A$6:$CB$38,64,0)</f>
        <v>0</v>
      </c>
      <c r="AK30" s="36">
        <f>VLOOKUP($A30,[24]HISTODEC24!$A$6:$CB$38,65,0)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1101010.4861848836</v>
      </c>
      <c r="G31" s="5">
        <f>IF(MVTNOV24!I31+L31&gt;700000,(MVTNOV24!I31-E31+L31),0)</f>
        <v>1101010.4861848836</v>
      </c>
      <c r="H31" s="36">
        <f t="shared" si="0"/>
        <v>4504.3221883425367</v>
      </c>
      <c r="I31" s="6">
        <f t="shared" si="2"/>
        <v>1105514.8083732261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1000000</v>
      </c>
      <c r="T31" s="36"/>
      <c r="U31" s="36">
        <f>VLOOKUP($A31,[24]HISTODEC24!$A$6:$AU$38,28,0)</f>
        <v>0</v>
      </c>
      <c r="V31" s="36">
        <f>VLOOKUP($A31,[24]HISTODEC24!$A$6:$AU$38,19,0)</f>
        <v>1000000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VLOOKUP($A31,[24]HISTODEC24!$A$6:$CB$38,60,0)</f>
        <v>0</v>
      </c>
      <c r="AG31" s="36">
        <f>VLOOKUP($A31,[24]HISTODEC24!$A$6:$CB$38,61,0)</f>
        <v>0</v>
      </c>
      <c r="AH31" s="36">
        <f>VLOOKUP($A31,[24]HISTODEC24!$A$6:$CB$38,62,0)</f>
        <v>0</v>
      </c>
      <c r="AI31" s="36">
        <f>VLOOKUP($A31,[24]HISTODEC24!$A$6:$CB$38,63,0)</f>
        <v>0</v>
      </c>
      <c r="AJ31" s="36">
        <f>VLOOKUP($A31,[24]HISTODEC24!$A$6:$CB$38,64,0)</f>
        <v>0</v>
      </c>
      <c r="AK31" s="36">
        <f>VLOOKUP($A31,[24]HISTODEC24!$A$6:$CB$38,65,0)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986102.16279974184</v>
      </c>
      <c r="G32" s="5">
        <f>IF(MVTNOV24!I32+L32&gt;700000,(MVTNOV24!I32-E32+L32),0)</f>
        <v>986102.16279974184</v>
      </c>
      <c r="H32" s="36">
        <f t="shared" si="0"/>
        <v>4034.223022945469</v>
      </c>
      <c r="I32" s="6">
        <f t="shared" si="2"/>
        <v>990136.3858226873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1000000</v>
      </c>
      <c r="T32" s="36"/>
      <c r="U32" s="36">
        <f>VLOOKUP($A32,[24]HISTODEC24!$A$6:$AU$38,28,0)</f>
        <v>0</v>
      </c>
      <c r="V32" s="36">
        <f>VLOOKUP($A32,[24]HISTODEC24!$A$6:$AU$38,19,0)</f>
        <v>1000000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VLOOKUP($A32,[24]HISTODEC24!$A$6:$CB$38,60,0)</f>
        <v>0</v>
      </c>
      <c r="AG32" s="36">
        <f>VLOOKUP($A32,[24]HISTODEC24!$A$6:$CB$38,61,0)</f>
        <v>0</v>
      </c>
      <c r="AH32" s="36">
        <f>VLOOKUP($A32,[24]HISTODEC24!$A$6:$CB$38,62,0)</f>
        <v>0</v>
      </c>
      <c r="AI32" s="36">
        <f>VLOOKUP($A32,[24]HISTODEC24!$A$6:$CB$38,63,0)</f>
        <v>0</v>
      </c>
      <c r="AJ32" s="36">
        <f>VLOOKUP($A32,[24]HISTODEC24!$A$6:$CB$38,64,0)</f>
        <v>0</v>
      </c>
      <c r="AK32" s="36">
        <f>VLOOKUP($A32,[24]HISTODEC24!$A$6:$CB$38,65,0)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1992081.9868132719</v>
      </c>
      <c r="G33" s="5">
        <f>IF(MVTNOV24!I33+L33&gt;700000,(MVTNOV24!I33-E33+L33),0)</f>
        <v>1992081.9868132719</v>
      </c>
      <c r="H33" s="36">
        <f t="shared" si="0"/>
        <v>8149.7671518940888</v>
      </c>
      <c r="I33" s="6">
        <f t="shared" si="2"/>
        <v>2000231.7539651659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1000000</v>
      </c>
      <c r="T33" s="36"/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VLOOKUP($A33,[24]HISTODEC24!$A$6:$CB$38,60,0)</f>
        <v>0</v>
      </c>
      <c r="AG33" s="36">
        <f>VLOOKUP($A33,[24]HISTODEC24!$A$6:$CB$38,61,0)</f>
        <v>0</v>
      </c>
      <c r="AH33" s="36">
        <f>VLOOKUP($A33,[24]HISTODEC24!$A$6:$CB$38,62,0)</f>
        <v>0</v>
      </c>
      <c r="AI33" s="36">
        <f>VLOOKUP($A33,[24]HISTODEC24!$A$6:$CB$38,63,0)</f>
        <v>0</v>
      </c>
      <c r="AJ33" s="36">
        <f>VLOOKUP($A33,[24]HISTODEC24!$A$6:$CB$38,64,0)</f>
        <v>0</v>
      </c>
      <c r="AK33" s="36">
        <f>VLOOKUP($A33,[24]HISTODEC24!$A$6:$CB$38,65,0)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972739.10692510835</v>
      </c>
      <c r="G34" s="5">
        <f>IF(MVTNOV24!I34+L34&gt;700000,(MVTNOV24!I34-E34+L34),0)</f>
        <v>972739.10692510835</v>
      </c>
      <c r="H34" s="36">
        <f t="shared" si="0"/>
        <v>3979.5536897870329</v>
      </c>
      <c r="I34" s="6">
        <f t="shared" si="2"/>
        <v>976718.6606148954</v>
      </c>
      <c r="J34" s="36">
        <f>VLOOKUP($A34,[24]HISTODEC24!$A$6:$AQ$42,22,0)</f>
        <v>0</v>
      </c>
      <c r="K34" s="36">
        <f>VLOOKUP($A34,[24]HISTODEC24!$A$6:$AU$38,45,0)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1000000</v>
      </c>
      <c r="T34" s="36"/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VLOOKUP($A34,[24]HISTODEC24!$A$6:$CB$38,60,0)</f>
        <v>0</v>
      </c>
      <c r="AG34" s="36">
        <f>VLOOKUP($A34,[24]HISTODEC24!$A$6:$CB$38,61,0)</f>
        <v>0</v>
      </c>
      <c r="AH34" s="36">
        <f>VLOOKUP($A34,[24]HISTODEC24!$A$6:$CB$38,62,0)</f>
        <v>0</v>
      </c>
      <c r="AI34" s="36">
        <f>VLOOKUP($A34,[24]HISTODEC24!$A$6:$CB$38,63,0)</f>
        <v>0</v>
      </c>
      <c r="AJ34" s="36">
        <f>VLOOKUP($A34,[24]HISTODEC24!$A$6:$CB$38,64,0)</f>
        <v>0</v>
      </c>
      <c r="AK34" s="36">
        <f>VLOOKUP($A34,[24]HISTODEC24!$A$6:$CB$38,65,0)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631750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631750</v>
      </c>
      <c r="J35" s="36">
        <f>VLOOKUP($A35,[24]HISTODEC24!$A$6:$AQ$42,22,0)</f>
        <v>0</v>
      </c>
      <c r="K35" s="36">
        <f>VLOOKUP($A35,[24]HISTODEC24!$A$6:$AU$38,45,0)</f>
        <v>322500</v>
      </c>
      <c r="L35" s="36">
        <f t="shared" si="3"/>
        <v>316500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/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VLOOKUP($A35,[24]HISTODEC24!$A$6:$CB$38,60,0)</f>
        <v>0</v>
      </c>
      <c r="AG35" s="36">
        <f>VLOOKUP($A35,[24]HISTODEC24!$A$6:$CB$38,61,0)</f>
        <v>0</v>
      </c>
      <c r="AH35" s="36">
        <f>VLOOKUP($A35,[24]HISTODEC24!$A$6:$CB$38,62,0)</f>
        <v>0</v>
      </c>
      <c r="AI35" s="36">
        <f>VLOOKUP($A35,[24]HISTODEC24!$A$6:$CB$38,63,0)</f>
        <v>0</v>
      </c>
      <c r="AJ35" s="36">
        <f>VLOOKUP($A35,[24]HISTODEC24!$A$6:$CB$38,64,0)</f>
        <v>0</v>
      </c>
      <c r="AK35" s="36">
        <f>VLOOKUP($A35,[24]HISTODEC24!$A$6:$CB$38,65,0)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1094230.7829868733</v>
      </c>
      <c r="G36" s="5">
        <f>IF(MVTNOV24!I36+L36&gt;700000,(MVTNOV24!I36-E36+L36),0)</f>
        <v>1094230.7829868733</v>
      </c>
      <c r="H36" s="36">
        <f t="shared" si="0"/>
        <v>4476.5858788992073</v>
      </c>
      <c r="I36" s="6">
        <f t="shared" si="2"/>
        <v>1098707.3688657726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1000000</v>
      </c>
      <c r="T36" s="36"/>
      <c r="U36" s="36">
        <f>VLOOKUP($A36,[24]HISTODEC24!$A$6:$AU$38,28,0)</f>
        <v>0</v>
      </c>
      <c r="V36" s="36">
        <f>VLOOKUP($A36,[24]HISTODEC24!$A$6:$AU$38,19,0)</f>
        <v>300000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VLOOKUP($A36,[24]HISTODEC24!$A$6:$CB$38,60,0)</f>
        <v>0</v>
      </c>
      <c r="AG36" s="36">
        <f>VLOOKUP($A36,[24]HISTODEC24!$A$6:$CB$38,61,0)</f>
        <v>0</v>
      </c>
      <c r="AH36" s="36">
        <f>VLOOKUP($A36,[24]HISTODEC24!$A$6:$CB$38,62,0)</f>
        <v>0</v>
      </c>
      <c r="AI36" s="36">
        <f>VLOOKUP($A36,[24]HISTODEC24!$A$6:$CB$38,63,0)</f>
        <v>0</v>
      </c>
      <c r="AJ36" s="36">
        <f>VLOOKUP($A36,[24]HISTODEC24!$A$6:$CB$38,64,0)</f>
        <v>0</v>
      </c>
      <c r="AK36" s="36">
        <f>VLOOKUP($A36,[24]HISTODEC24!$A$6:$CB$38,65,0)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2068175.8832408788</v>
      </c>
      <c r="G37" s="5">
        <f>IF(MVTNOV24!I37+L37&gt;700000,(MVTNOV24!I37-E37+L37),0)</f>
        <v>2068175.8832408788</v>
      </c>
      <c r="H37" s="36">
        <f t="shared" si="0"/>
        <v>8461.0733841026286</v>
      </c>
      <c r="I37" s="6">
        <f t="shared" si="2"/>
        <v>2076636.9566249815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/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VLOOKUP($A37,[24]HISTODEC24!$A$6:$CB$38,60,0)</f>
        <v>0</v>
      </c>
      <c r="AG37" s="36">
        <f>VLOOKUP($A37,[24]HISTODEC24!$A$6:$CB$38,61,0)</f>
        <v>0</v>
      </c>
      <c r="AH37" s="36">
        <f>VLOOKUP($A37,[24]HISTODEC24!$A$6:$CB$38,62,0)</f>
        <v>0</v>
      </c>
      <c r="AI37" s="36">
        <f>VLOOKUP($A37,[24]HISTODEC24!$A$6:$CB$38,63,0)</f>
        <v>0</v>
      </c>
      <c r="AJ37" s="36">
        <f>VLOOKUP($A37,[24]HISTODEC24!$A$6:$CB$38,64,0)</f>
        <v>0</v>
      </c>
      <c r="AK37" s="36">
        <f>VLOOKUP($A37,[24]HISTODEC24!$A$6:$CB$38,65,0)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928771.34199085762</v>
      </c>
      <c r="G38" s="5">
        <f>IF(MVTNOV24!I38+L38&gt;700000,(MVTNOV24!I38-E38+L38),0)</f>
        <v>928771.34199085762</v>
      </c>
      <c r="H38" s="36">
        <f t="shared" si="0"/>
        <v>3799.6780376927272</v>
      </c>
      <c r="I38" s="6">
        <f t="shared" si="2"/>
        <v>932571.02002855029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/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VLOOKUP($A38,[24]HISTODEC24!$A$6:$CB$38,60,0)</f>
        <v>0</v>
      </c>
      <c r="AG38" s="36">
        <f>VLOOKUP($A38,[24]HISTODEC24!$A$6:$CB$38,61,0)</f>
        <v>0</v>
      </c>
      <c r="AH38" s="36">
        <f>VLOOKUP($A38,[24]HISTODEC24!$A$6:$CB$38,62,0)</f>
        <v>0</v>
      </c>
      <c r="AI38" s="36">
        <f>VLOOKUP($A38,[24]HISTODEC24!$A$6:$CB$38,63,0)</f>
        <v>0</v>
      </c>
      <c r="AJ38" s="36">
        <f>VLOOKUP($A38,[24]HISTODEC24!$A$6:$CB$38,64,0)</f>
        <v>0</v>
      </c>
      <c r="AK38" s="36">
        <f>VLOOKUP($A38,[24]HISTODEC24!$A$6:$CB$38,65,0)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2234924.8053753586</v>
      </c>
      <c r="G39" s="5">
        <f>IF(MVTNOV24!I39+L39&gt;700000,(MVTNOV24!I39-E39+L39),0)</f>
        <v>2234924.8053753586</v>
      </c>
      <c r="H39" s="36">
        <f t="shared" si="0"/>
        <v>9143.256596049272</v>
      </c>
      <c r="I39" s="6">
        <f t="shared" si="2"/>
        <v>2244068.0619714078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500000</v>
      </c>
      <c r="T39" s="36"/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VLOOKUP($A39,[24]HISTODEC24!$A$6:$CB$38,60,0)</f>
        <v>0</v>
      </c>
      <c r="AG39" s="36">
        <f>VLOOKUP($A39,[24]HISTODEC24!$A$6:$CB$38,61,0)</f>
        <v>0</v>
      </c>
      <c r="AH39" s="36">
        <f>VLOOKUP($A39,[24]HISTODEC24!$A$6:$CB$38,62,0)</f>
        <v>0</v>
      </c>
      <c r="AI39" s="36">
        <f>VLOOKUP($A39,[24]HISTODEC24!$A$6:$CB$38,63,0)</f>
        <v>0</v>
      </c>
      <c r="AJ39" s="36">
        <f>VLOOKUP($A39,[24]HISTODEC24!$A$6:$CB$38,64,0)</f>
        <v>0</v>
      </c>
      <c r="AK39" s="36">
        <f>VLOOKUP($A39,[24]HISTODEC24!$A$6:$CB$38,65,0)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37826406.07312192</v>
      </c>
      <c r="G41" s="9">
        <f t="shared" si="10"/>
        <v>35992939.07312192</v>
      </c>
      <c r="H41" s="36">
        <f t="shared" si="10"/>
        <v>147250.00000000003</v>
      </c>
      <c r="I41" s="9">
        <f t="shared" si="10"/>
        <v>37973656.073121928</v>
      </c>
      <c r="J41" s="9">
        <f t="shared" si="10"/>
        <v>0</v>
      </c>
      <c r="K41" s="9">
        <f t="shared" si="10"/>
        <v>1529500</v>
      </c>
      <c r="L41" s="9">
        <f t="shared" si="10"/>
        <v>1337500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15400000</v>
      </c>
      <c r="T41" s="9">
        <f t="shared" si="10"/>
        <v>147250</v>
      </c>
      <c r="U41" s="9">
        <f t="shared" si="10"/>
        <v>0</v>
      </c>
      <c r="V41" s="9">
        <f t="shared" si="10"/>
        <v>11817500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371700</v>
      </c>
      <c r="AF41" s="9">
        <f t="shared" si="10"/>
        <v>31000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5026618</v>
      </c>
    </row>
    <row r="44" spans="1:38" x14ac:dyDescent="0.35">
      <c r="G44" s="2"/>
    </row>
  </sheetData>
  <autoFilter ref="A5:V39" xr:uid="{00000000-0009-0000-0000-000011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Q45"/>
  <sheetViews>
    <sheetView tabSelected="1" zoomScale="101" zoomScaleNormal="101" workbookViewId="0">
      <pane xSplit="2" ySplit="6" topLeftCell="T7" activePane="bottomRight" state="frozen"/>
      <selection activeCell="B43" sqref="B43"/>
      <selection pane="topRight" activeCell="B43" sqref="B43"/>
      <selection pane="bottomLeft" activeCell="B43" sqref="B43"/>
      <selection pane="bottomRight" activeCell="AL8" sqref="AL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157" customWidth="1"/>
    <col min="5" max="5" width="15.7265625" style="2" customWidth="1"/>
    <col min="6" max="6" width="14.90625" style="2" bestFit="1" customWidth="1"/>
    <col min="7" max="7" width="18.36328125" style="2" bestFit="1" customWidth="1"/>
    <col min="8" max="8" width="12.453125" style="2" customWidth="1"/>
    <col min="9" max="9" width="16.81640625" style="2" bestFit="1" customWidth="1"/>
    <col min="10" max="10" width="16.81640625" style="2" customWidth="1"/>
    <col min="11" max="11" width="16.81640625" bestFit="1" customWidth="1"/>
    <col min="12" max="12" width="14.81640625" bestFit="1" customWidth="1"/>
    <col min="15" max="15" width="12.453125" bestFit="1" customWidth="1"/>
    <col min="16" max="16" width="12.453125" style="2" bestFit="1" customWidth="1"/>
    <col min="17" max="17" width="17.1796875" customWidth="1"/>
    <col min="19" max="19" width="14.7265625" customWidth="1"/>
    <col min="20" max="20" width="13.36328125" customWidth="1"/>
    <col min="22" max="22" width="13.08984375" bestFit="1" customWidth="1"/>
    <col min="23" max="23" width="14.6328125" bestFit="1" customWidth="1"/>
    <col min="35" max="35" width="13.08984375" customWidth="1"/>
    <col min="39" max="39" width="13.26953125" bestFit="1" customWidth="1"/>
    <col min="40" max="40" width="13.26953125" customWidth="1"/>
  </cols>
  <sheetData>
    <row r="1" spans="1:43" ht="26" x14ac:dyDescent="0.35">
      <c r="A1" s="1" t="s">
        <v>0</v>
      </c>
      <c r="B1" s="1" t="s">
        <v>1</v>
      </c>
      <c r="C1" s="1"/>
      <c r="P1" s="145"/>
    </row>
    <row r="2" spans="1:43" ht="26" x14ac:dyDescent="0.6">
      <c r="A2" s="1" t="s">
        <v>2</v>
      </c>
      <c r="B2" s="1">
        <v>2024</v>
      </c>
      <c r="C2" s="1"/>
      <c r="K2" s="2">
        <f>1140000-L35</f>
        <v>168000</v>
      </c>
      <c r="P2" s="59"/>
    </row>
    <row r="3" spans="1:43" x14ac:dyDescent="0.35">
      <c r="A3" s="1" t="s">
        <v>3</v>
      </c>
      <c r="B3" s="5"/>
      <c r="C3" s="5"/>
      <c r="P3"/>
    </row>
    <row r="4" spans="1:43" ht="26" x14ac:dyDescent="0.6">
      <c r="C4" s="16"/>
      <c r="D4" s="16"/>
      <c r="E4" s="16"/>
      <c r="F4" s="16"/>
      <c r="G4" s="16"/>
      <c r="H4" s="16"/>
      <c r="I4" s="160"/>
      <c r="J4" s="174"/>
      <c r="K4" s="174"/>
      <c r="L4" s="174"/>
      <c r="M4" s="174"/>
      <c r="N4" s="174"/>
      <c r="O4" s="174"/>
      <c r="P4"/>
      <c r="W4">
        <v>23</v>
      </c>
      <c r="AJ4" s="104"/>
      <c r="AL4" s="2"/>
    </row>
    <row r="5" spans="1:43" x14ac:dyDescent="0.3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  <c r="AQ5">
        <v>43</v>
      </c>
    </row>
    <row r="6" spans="1:43" ht="56.5" x14ac:dyDescent="0.35">
      <c r="A6" s="1" t="s">
        <v>4</v>
      </c>
      <c r="B6" s="1" t="s">
        <v>5</v>
      </c>
      <c r="C6" s="4" t="s">
        <v>212</v>
      </c>
      <c r="D6" s="4" t="s">
        <v>324</v>
      </c>
      <c r="E6" s="4" t="s">
        <v>213</v>
      </c>
      <c r="F6" s="4" t="s">
        <v>214</v>
      </c>
      <c r="G6" s="4" t="s">
        <v>332</v>
      </c>
      <c r="H6" s="158" t="s">
        <v>330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331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321</v>
      </c>
      <c r="AM6" s="83" t="s">
        <v>333</v>
      </c>
      <c r="AN6" s="83" t="s">
        <v>335</v>
      </c>
      <c r="AO6" s="83" t="s">
        <v>322</v>
      </c>
      <c r="AP6" s="83" t="s">
        <v>210</v>
      </c>
      <c r="AQ6" s="83" t="s">
        <v>325</v>
      </c>
    </row>
    <row r="7" spans="1:43" ht="15.5" x14ac:dyDescent="0.3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956757.45601743239</v>
      </c>
      <c r="G7" s="5">
        <f>MVTDEC24!G6</f>
        <v>956757.45601743239</v>
      </c>
      <c r="H7" s="36">
        <f>MVTDEC23!H6+MVTJANV24!H6+MVTFEV24!H6+MVTMARS24!H6+MVTAVRIL24!H6+MVTMAI24!H6+MVTJUIN24!H6+MVTJUIL24!H6+MVTAOUT24!H6+MVTSEPT24!H6+MVTOCT24!H6+MVTNOV24!H6+MVTDEC24!H6</f>
        <v>74148.368569555823</v>
      </c>
      <c r="I7" s="6">
        <f>F7+H7</f>
        <v>1030905.8245869882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MVTJANV24!L6+MVTFEV24!L6+MVTMARS24!L6+MVTAVRIL24!L6+MVTMAI24!L6+MVTJUIN24!L6+MVTJUIL24!L6+MVTAOUT24!L6+MVTSEPT24!L6+MVTOCT24!L6+MVTNOV24!L6+MVTDEC24!L6+62000</f>
        <v>62000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251000</v>
      </c>
      <c r="AG7" s="36">
        <f>MVTJANV24!AG6+MVTFEV24!AG6+MVTMARS24!AG6+MVTAVRIL24!AG6+MVTMAI24!AG6+MVTJUIN24!AG6+MVTJUIL24!AG6+MVTAOUT24!AG6+MVTSEPT24!AG6+MVTOCT24!AG6+MVTNOV24!AG6+MVTDEC24!AG6</f>
        <v>960000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N7" s="144">
        <f>MVTJANV24!AL6+MVTFEV24!AL6+MVTMARS24!AL6+MVTAVRIL24!AL6+MVTMAI24!AL6+MVTJUIN24!AL6+MVTJUIL24!AL6+MVTAOUT24!AL6+MVTSEPT24!AL6+MVTOCT24!AL6+MVTNOV24!AL6+MVTDEC24!AL6</f>
        <v>9326618</v>
      </c>
      <c r="AQ7" s="36"/>
    </row>
    <row r="8" spans="1:43" ht="15.5" x14ac:dyDescent="0.35">
      <c r="A8" s="1" t="s">
        <v>17</v>
      </c>
      <c r="B8" s="1" t="str">
        <f>VLOOKUP(A8,[19]LISTADHERENT!A$5:H$60,3,0)</f>
        <v>BAKOP ACHILLE</v>
      </c>
      <c r="C8" s="36"/>
      <c r="D8" s="36">
        <f>+MVTDEC23!D7+678482</f>
        <v>1356964</v>
      </c>
      <c r="E8" s="36">
        <f>VLOOKUP($A8,[24]HISTODEC24!$A$6:$BA$38,48,0)</f>
        <v>0</v>
      </c>
      <c r="F8" s="36">
        <f>MVTDEC24!F7</f>
        <v>927954.0172185261</v>
      </c>
      <c r="G8" s="5">
        <f>MVTDEC24!G7</f>
        <v>927954.0172185261</v>
      </c>
      <c r="H8" s="36">
        <f>MVTDEC23!H7+MVTJANV24!H7+MVTFEV24!H7+MVTMARS24!H7+MVTAVRIL24!H7+MVTMAI24!H7+MVTJUIN24!H7+MVTJUIL24!H7+MVTAOUT24!H7+MVTSEPT24!H7+MVTOCT24!H7+MVTNOV24!H7+MVTDEC24!H7</f>
        <v>17268.351515034443</v>
      </c>
      <c r="I8" s="6">
        <f t="shared" ref="I8:I40" si="0">F8+H8</f>
        <v>945222.36873356055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308000</v>
      </c>
      <c r="L8" s="36">
        <f>MVTJANV24!L7+MVTFEV24!L7+MVTMARS24!L7+MVTAVRIL24!L7+MVTMAI24!L7+MVTJUIN24!L7+MVTJUIL24!L7+MVTAOUT24!L7+MVTSEPT24!L7+MVTOCT24!L7+MVTNOV24!L7+MVTDEC24!L7</f>
        <v>236000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15000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117000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117000</v>
      </c>
      <c r="AN8" s="144">
        <f>MVTJANV24!AL7+MVTFEV24!AL7+MVTMARS24!AL7+MVTAVRIL24!AL7+MVTMAI24!AL7+MVTJUIN24!AL7+MVTJUIL24!AL7+MVTAOUT24!AL7+MVTSEPT24!AL7+MVTOCT24!AL7+MVTNOV24!AL7+MVTDEC24!AL7</f>
        <v>0</v>
      </c>
      <c r="AQ8" s="36"/>
    </row>
    <row r="9" spans="1:43" ht="15.5" x14ac:dyDescent="0.3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982346.23247952305</v>
      </c>
      <c r="G9" s="5">
        <f>MVTDEC24!G8</f>
        <v>982346.23247952305</v>
      </c>
      <c r="H9" s="36">
        <f>MVTDEC23!H8+MVTJANV24!H8+MVTFEV24!H8+MVTMARS24!H8+MVTAVRIL24!H8+MVTMAI24!H8+MVTJUIN24!H8+MVTJUIL24!H8+MVTAOUT24!H8+MVTSEPT24!H8+MVTOCT24!H8+MVTNOV24!H8+MVTDEC24!H8</f>
        <v>61331.963427137409</v>
      </c>
      <c r="I9" s="6">
        <f t="shared" si="0"/>
        <v>1043678.1959066605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6000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1000000</v>
      </c>
      <c r="T9" s="36">
        <f>MVTDEC23!T8+MVTJANV24!T8+MVTFEV24!T8+MVTMARS24!T8+MVTAVRIL24!T8+MVTMAI24!T8+MVTJUIN24!T8+MVTJUIL24!T8+MVTAOUT24!T8+MVTSEPT24!T8+MVTOCT24!T8+MVTNOV24!T8+MVTDEC24!T8</f>
        <v>60000</v>
      </c>
      <c r="U9" s="36"/>
      <c r="V9" s="36">
        <f>MVTJANV24!V8+MVTFEV24!V8+MVTMARS24!V8+MVTAVRIL24!V8+MVTMAI24!V8+MVTJUIN24!V8+MVTJUIL24!V8+MVTAOUT24!V8+MVTSEPT24!V8+MVTOCT24!V8+MVTNOV24!V8+MVTDEC24!V8</f>
        <v>500000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7750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60000</v>
      </c>
      <c r="AN9" s="144">
        <f>MVTJANV24!AL8+MVTFEV24!AL8+MVTMARS24!AL8+MVTAVRIL24!AL8+MVTMAI24!AL8+MVTJUIN24!AL8+MVTJUIL24!AL8+MVTAOUT24!AL8+MVTSEPT24!AL8+MVTOCT24!AL8+MVTNOV24!AL8+MVTDEC24!AL8</f>
        <v>0</v>
      </c>
      <c r="AO9" s="144"/>
      <c r="AQ9" s="36"/>
    </row>
    <row r="10" spans="1:43" ht="15.5" x14ac:dyDescent="0.3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1035404.4269359384</v>
      </c>
      <c r="G10" s="5">
        <f>MVTDEC24!G9</f>
        <v>1035404.4269359384</v>
      </c>
      <c r="H10" s="36">
        <f>MVTDEC23!H9+MVTJANV24!H9+MVTFEV24!H9+MVTMARS24!H9+MVTAVRIL24!H9+MVTMAI24!H9+MVTJUIN24!H9+MVTJUIL24!H9+MVTAOUT24!H9+MVTSEPT24!H9+MVTOCT24!H9+MVTNOV24!H9+MVTDEC24!H9</f>
        <v>65782.523231943604</v>
      </c>
      <c r="I10" s="6">
        <f t="shared" si="0"/>
        <v>1101186.950167882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292500</v>
      </c>
      <c r="L10" s="36">
        <f>MVTJANV24!L9+MVTFEV24!L9+MVTMARS24!L9+MVTAVRIL24!L9+MVTMAI24!L9+MVTJUIN24!L9+MVTJUIL24!L9+MVTAOUT24!L9+MVTSEPT24!L9+MVTOCT24!L9+MVTNOV24!L9+MVTDEC24!L9</f>
        <v>220500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2000000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1000000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>
        <f>MVTJANV24!AL9+MVTFEV24!AL9+MVTMARS24!AL9+MVTAVRIL24!AL9+MVTMAI24!AL9+MVTJUIN24!AL9+MVTJUIL24!AL9+MVTAOUT24!AL9+MVTSEPT24!AL9+MVTOCT24!AL9+MVTNOV24!AL9+MVTDEC24!AL9</f>
        <v>0</v>
      </c>
      <c r="AO10" s="144"/>
      <c r="AQ10" s="36"/>
    </row>
    <row r="11" spans="1:43" ht="15.5" x14ac:dyDescent="0.3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979078.22072936664</v>
      </c>
      <c r="G11" s="5">
        <f>MVTDEC24!G10</f>
        <v>979078.22072936664</v>
      </c>
      <c r="H11" s="36">
        <f>MVTDEC23!H10+MVTJANV24!H10+MVTFEV24!H10+MVTMARS24!H10+MVTAVRIL24!H10+MVTMAI24!H10+MVTJUIN24!H10+MVTJUIL24!H10+MVTAOUT24!H10+MVTSEPT24!H10+MVTOCT24!H10+MVTNOV24!H10+MVTDEC24!H10</f>
        <v>61289.02894615112</v>
      </c>
      <c r="I11" s="6">
        <f t="shared" si="0"/>
        <v>1040367.2496755178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293500</v>
      </c>
      <c r="L11" s="36">
        <f>MVTJANV24!L10+MVTFEV24!L10+MVTMARS24!L10+MVTAVRIL24!L10+MVTMAI24!L10+MVTJUIN24!L10+MVTJUIL24!L10+MVTAOUT24!L10+MVTSEPT24!L10+MVTOCT24!L10+MVTNOV24!L10+MVTDEC24!L10</f>
        <v>221500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9000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2000000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1000000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>
        <f>MVTJANV24!AL10+MVTFEV24!AL10+MVTMARS24!AL10+MVTAVRIL24!AL10+MVTMAI24!AL10+MVTJUIN24!AL10+MVTJUIL24!AL10+MVTAOUT24!AL10+MVTSEPT24!AL10+MVTOCT24!AL10+MVTNOV24!AL10+MVTDEC24!AL10</f>
        <v>0</v>
      </c>
      <c r="AO11" s="144"/>
      <c r="AQ11" s="36"/>
    </row>
    <row r="12" spans="1:43" ht="15.5" x14ac:dyDescent="0.3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1010968.1442096249</v>
      </c>
      <c r="G12" s="5">
        <f>MVTDEC24!G11</f>
        <v>1010968.1442096249</v>
      </c>
      <c r="H12" s="36">
        <f>MVTDEC23!H11+MVTJANV24!H11+MVTFEV24!H11+MVTMARS24!H11+MVTAVRIL24!H11+MVTMAI24!H11+MVTJUIN24!H11+MVTJUIL24!H11+MVTAOUT24!H11+MVTSEPT24!H11+MVTOCT24!H11+MVTNOV24!H11+MVTDEC24!H11</f>
        <v>61907.328059099258</v>
      </c>
      <c r="I12" s="6">
        <f t="shared" si="0"/>
        <v>1072875.4722687241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323000</v>
      </c>
      <c r="L12" s="36">
        <f>MVTJANV24!L11+MVTFEV24!L11+MVTMARS24!L11+MVTAVRIL24!L11+MVTMAI24!L11+MVTJUIN24!L11+MVTJUIL24!L11+MVTAOUT24!L11+MVTSEPT24!L11+MVTOCT24!L11+MVTNOV24!L11+MVTDEC24!L11</f>
        <v>251000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3000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60000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MVTJANV24!AJ11+MVTFEV24!AJ11+MVTMARS24!AJ11+MVTAVRIL24!AJ11+MVTMAI24!AJ11+MVTJUIN24!AJ11+MVTJUIL24!AJ11+MVTAOUT24!AJ11+MVTSEPT24!AJ11+MVTOCT24!AJ11+MVTNOV24!AJ11+MVTDEC24!AJ11+50000+105000</f>
        <v>155000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45474</v>
      </c>
      <c r="AM12" s="144">
        <f t="shared" si="2"/>
        <v>60000</v>
      </c>
      <c r="AN12" s="144">
        <f>MVTJANV24!AL11+MVTFEV24!AL11+MVTMARS24!AL11+MVTAVRIL24!AL11+MVTMAI24!AL11+MVTJUIN24!AL11+MVTJUIL24!AL11+MVTAOUT24!AL11+MVTSEPT24!AL11+MVTOCT24!AL11+MVTNOV24!AL11+MVTDEC24!AL11</f>
        <v>0</v>
      </c>
      <c r="AO12" s="144"/>
      <c r="AQ12" s="36"/>
    </row>
    <row r="13" spans="1:43" ht="15.5" x14ac:dyDescent="0.3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1069172.7951158585</v>
      </c>
      <c r="G13" s="5">
        <f>MVTDEC24!G12</f>
        <v>1069172.7951158585</v>
      </c>
      <c r="H13" s="36">
        <f>MVTDEC23!H12+MVTJANV24!H12+MVTFEV24!H12+MVTMARS24!H12+MVTAVRIL24!H12+MVTMAI24!H12+MVTJUIN24!H12+MVTJUIL24!H12+MVTAOUT24!H12+MVTSEPT24!H12+MVTOCT24!H12+MVTNOV24!H12+MVTDEC24!H12</f>
        <v>63433.589305372217</v>
      </c>
      <c r="I13" s="6">
        <f t="shared" si="0"/>
        <v>1132606.3844212308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367600</v>
      </c>
      <c r="L13" s="36">
        <f>MVTJANV24!L12+MVTFEV24!L12+MVTMARS24!L12+MVTAVRIL24!L12+MVTMAI24!L12+MVTJUIN24!L12+MVTJUIL24!L12+MVTAOUT24!L12+MVTSEPT24!L12+MVTOCT24!L12+MVTNOV24!L12+MVTDEC24!L12</f>
        <v>295600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2000000</v>
      </c>
      <c r="T13" s="36">
        <f>MVTDEC23!T12+MVTJANV24!T12+MVTFEV24!T12+MVTMARS24!T12+MVTAVRIL24!T12+MVTMAI24!T12+MVTJUIN24!T12+MVTJUIL24!T12+MVTAOUT24!T12+MVTSEPT24!T12+MVTOCT24!T12+MVTNOV24!T12+MVTDEC24!T12</f>
        <v>68400</v>
      </c>
      <c r="U13" s="36"/>
      <c r="V13" s="36">
        <f>MVTJANV24!V12+MVTFEV24!V12+MVTMARS24!V12+MVTAVRIL24!V12+MVTMAI24!V12+MVTJUIN24!V12+MVTJUIL24!V12+MVTAOUT24!V12+MVTSEPT24!V12+MVTOCT24!V12+MVTNOV24!V12+MVTDEC24!V12</f>
        <v>1000000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45627</v>
      </c>
      <c r="AM13" s="144">
        <f t="shared" si="2"/>
        <v>68400</v>
      </c>
      <c r="AN13" s="144">
        <f>MVTJANV24!AL12+MVTFEV24!AL12+MVTMARS24!AL12+MVTAVRIL24!AL12+MVTMAI24!AL12+MVTJUIN24!AL12+MVTJUIL24!AL12+MVTAOUT24!AL12+MVTSEPT24!AL12+MVTOCT24!AL12+MVTNOV24!AL12+MVTDEC24!AL12</f>
        <v>0</v>
      </c>
      <c r="AO13" s="144"/>
      <c r="AQ13" s="36"/>
    </row>
    <row r="14" spans="1:43" ht="15.5" x14ac:dyDescent="0.3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985405.65692185995</v>
      </c>
      <c r="G14" s="5">
        <f>MVTDEC24!G13</f>
        <v>985405.65692185995</v>
      </c>
      <c r="H14" s="36">
        <f>MVTDEC23!H13+MVTJANV24!H13+MVTFEV24!H13+MVTMARS24!H13+MVTAVRIL24!H13+MVTMAI24!H13+MVTJUIN24!H13+MVTJUIL24!H13+MVTAOUT24!H13+MVTSEPT24!H13+MVTOCT24!H13+MVTNOV24!H13+MVTDEC24!H13</f>
        <v>61395.794677496764</v>
      </c>
      <c r="I14" s="6">
        <f t="shared" si="0"/>
        <v>1046801.4515993567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1000000</v>
      </c>
      <c r="W14" s="36">
        <f t="shared" si="1"/>
        <v>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>
        <f>MVTJANV24!AL13+MVTFEV24!AL13+MVTMARS24!AL13+MVTAVRIL24!AL13+MVTMAI24!AL13+MVTJUIN24!AL13+MVTJUIL24!AL13+MVTAOUT24!AL13+MVTSEPT24!AL13+MVTOCT24!AL13+MVTNOV24!AL13+MVTDEC24!AL13</f>
        <v>0</v>
      </c>
      <c r="AO14" s="144"/>
      <c r="AQ14" s="36"/>
    </row>
    <row r="15" spans="1:43" ht="15.5" x14ac:dyDescent="0.3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1544433.1189516559</v>
      </c>
      <c r="G15" s="5">
        <f>MVTDEC24!G14</f>
        <v>1544433.1189516559</v>
      </c>
      <c r="H15" s="36">
        <f>MVTDEC23!H14+MVTJANV24!H14+MVTFEV24!H14+MVTMARS24!H14+MVTAVRIL24!H14+MVTMAI24!H14+MVTJUIN24!H14+MVTJUIL24!H14+MVTAOUT24!H14+MVTSEPT24!H14+MVTOCT24!H14+MVTNOV24!H14+MVTDEC24!H14</f>
        <v>104720.22767186417</v>
      </c>
      <c r="I15" s="6">
        <f t="shared" si="0"/>
        <v>1649153.3466235201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3000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>
        <f>MVTJANV24!AL14+MVTFEV24!AL14+MVTMARS24!AL14+MVTAVRIL24!AL14+MVTMAI24!AL14+MVTJUIN24!AL14+MVTJUIL24!AL14+MVTAOUT24!AL14+MVTSEPT24!AL14+MVTOCT24!AL14+MVTNOV24!AL14+MVTDEC24!AL14</f>
        <v>0</v>
      </c>
      <c r="AO15" s="144"/>
      <c r="AQ15" s="36"/>
    </row>
    <row r="16" spans="1:43" ht="14.25" customHeight="1" x14ac:dyDescent="0.3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1047847.8141107176</v>
      </c>
      <c r="G16" s="5">
        <f>MVTDEC24!G15</f>
        <v>1047847.8141107176</v>
      </c>
      <c r="H16" s="36">
        <f>MVTDEC23!H15+MVTJANV24!H15+MVTFEV24!H15+MVTMARS24!H15+MVTAVRIL24!H15+MVTMAI24!H15+MVTJUIN24!H15+MVTJUIL24!H15+MVTAOUT24!H15+MVTSEPT24!H15+MVTOCT24!H15+MVTNOV24!H15+MVTDEC24!H15</f>
        <v>66235.0400436005</v>
      </c>
      <c r="I16" s="6">
        <f t="shared" si="0"/>
        <v>1114082.8541543181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1000000</v>
      </c>
      <c r="T16" s="36">
        <f>MVTDEC23!T15+MVTJANV24!T15+MVTFEV24!T15+MVTMARS24!T15+MVTAVRIL24!T15+MVTMAI24!T15+MVTJUIN24!T15+MVTJUIL24!T15+MVTAOUT24!T15+MVTSEPT24!T15+MVTOCT24!T15+MVTNOV24!T15+MVTDEC24!T15</f>
        <v>70000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1000000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>
        <v>45627</v>
      </c>
      <c r="AM16" s="144">
        <f t="shared" si="2"/>
        <v>70000</v>
      </c>
      <c r="AN16" s="144">
        <f>MVTJANV24!AL15+MVTFEV24!AL15+MVTMARS24!AL15+MVTAVRIL24!AL15+MVTMAI24!AL15+MVTJUIN24!AL15+MVTJUIL24!AL15+MVTAOUT24!AL15+MVTSEPT24!AL15+MVTOCT24!AL15+MVTNOV24!AL15+MVTDEC24!AL15</f>
        <v>0</v>
      </c>
      <c r="AO16" s="144"/>
      <c r="AQ16" s="36"/>
    </row>
    <row r="17" spans="1:43" ht="15.5" x14ac:dyDescent="0.3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1379742.1014354646</v>
      </c>
      <c r="G17" s="5">
        <f>MVTDEC24!G16</f>
        <v>1379742.1014354646</v>
      </c>
      <c r="H17" s="36">
        <f>MVTDEC23!H16+MVTJANV24!H16+MVTFEV24!H16+MVTMARS24!H16+MVTAVRIL24!H16+MVTMAI24!H16+MVTJUIN24!H16+MVTJUIL24!H16+MVTAOUT24!H16+MVTSEPT24!H16+MVTOCT24!H16+MVTNOV24!H16+MVTDEC24!H16</f>
        <v>68725.52890901413</v>
      </c>
      <c r="I17" s="6">
        <f t="shared" si="0"/>
        <v>1448467.6303444786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659000</v>
      </c>
      <c r="L17" s="36">
        <f>MVTJANV24!L16+MVTFEV24!L16+MVTMARS24!L16+MVTAVRIL24!L16+MVTMAI24!L16+MVTJUIN24!L16+MVTJUIL24!L16+MVTAOUT24!L16+MVTSEPT24!L16+MVTOCT24!L16+MVTNOV24!L16+MVTDEC24!L16</f>
        <v>587000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1238500</v>
      </c>
      <c r="T17" s="36">
        <f>MVTDEC23!T16+MVTJANV24!T16+MVTFEV24!T16+MVTMARS24!T16+MVTAVRIL24!T16+MVTMAI24!T16+MVTJUIN24!T16+MVTJUIL24!T16+MVTAOUT24!T16+MVTSEPT24!T16+MVTOCT24!T16+MVTNOV24!T16+MVTDEC24!T16</f>
        <v>30000</v>
      </c>
      <c r="U17" s="36"/>
      <c r="V17" s="36">
        <f>MVTJANV24!V16+MVTFEV24!V16+MVTMARS24!V16+MVTAVRIL24!V16+MVTMAI24!V16+MVTJUIN24!V16+MVTJUIL24!V16+MVTAOUT24!V16+MVTSEPT24!V16+MVTOCT24!V16+MVTNOV24!V16+MVTDEC24!V16</f>
        <v>1238500</v>
      </c>
      <c r="W17" s="36">
        <f t="shared" si="1"/>
        <v>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>
        <v>45627</v>
      </c>
      <c r="AM17" s="144">
        <f t="shared" si="2"/>
        <v>30000</v>
      </c>
      <c r="AN17" s="144">
        <f>MVTJANV24!AL16+MVTFEV24!AL16+MVTMARS24!AL16+MVTAVRIL24!AL16+MVTMAI24!AL16+MVTJUIN24!AL16+MVTJUIL24!AL16+MVTAOUT24!AL16+MVTSEPT24!AL16+MVTOCT24!AL16+MVTNOV24!AL16+MVTDEC24!AL16</f>
        <v>0</v>
      </c>
      <c r="AO17" s="144"/>
      <c r="AQ17" s="36"/>
    </row>
    <row r="18" spans="1:43" ht="15.5" x14ac:dyDescent="0.3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991355.40833892452</v>
      </c>
      <c r="G18" s="5">
        <f>MVTDEC24!G17</f>
        <v>991355.40833892452</v>
      </c>
      <c r="H18" s="36">
        <f>MVTDEC23!H17+MVTJANV24!H17+MVTFEV24!H17+MVTMARS24!H17+MVTAVRIL24!H17+MVTMAI24!H17+MVTJUIN24!H17+MVTJUIL24!H17+MVTAOUT24!H17+MVTSEPT24!H17+MVTOCT24!H17+MVTNOV24!H17+MVTDEC24!H17</f>
        <v>62143.617657746596</v>
      </c>
      <c r="I18" s="6">
        <f t="shared" si="0"/>
        <v>1053499.0259966711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296000</v>
      </c>
      <c r="L18" s="36">
        <f>MVTJANV24!L17+MVTFEV24!L17+MVTMARS24!L17+MVTAVRIL24!L17+MVTMAI24!L17+MVTJUIN24!L17+MVTJUIL24!L17+MVTAOUT24!L17+MVTSEPT24!L17+MVTOCT24!L17+MVTNOV24!L17+MVTDEC24!L17</f>
        <v>224000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6000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670000</v>
      </c>
      <c r="W18" s="36">
        <f t="shared" si="1"/>
        <v>330000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>
        <f>MVTJANV24!AL17+MVTFEV24!AL17+MVTMARS24!AL17+MVTAVRIL24!AL17+MVTMAI24!AL17+MVTJUIN24!AL17+MVTJUIL24!AL17+MVTAOUT24!AL17+MVTSEPT24!AL17+MVTOCT24!AL17+MVTNOV24!AL17+MVTDEC24!AL17</f>
        <v>0</v>
      </c>
      <c r="AO18" s="144"/>
      <c r="AQ18" s="36"/>
    </row>
    <row r="19" spans="1:43" ht="15.5" x14ac:dyDescent="0.3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1104474.8900474524</v>
      </c>
      <c r="G19" s="5">
        <f>MVTDEC24!G18</f>
        <v>1104474.8900474524</v>
      </c>
      <c r="H19" s="36">
        <f>MVTDEC23!H18+MVTJANV24!H18+MVTFEV24!H18+MVTMARS24!H18+MVTAVRIL24!H18+MVTMAI24!H18+MVTJUIN24!H18+MVTJUIL24!H18+MVTAOUT24!H18+MVTSEPT24!H18+MVTOCT24!H18+MVTNOV24!H18+MVTDEC24!H18</f>
        <v>64564.757324560269</v>
      </c>
      <c r="I19" s="6">
        <f t="shared" si="0"/>
        <v>1169039.6473720127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392000</v>
      </c>
      <c r="L19" s="36">
        <f>MVTJANV24!L18+MVTFEV24!L18+MVTMARS24!L18+MVTAVRIL24!L18+MVTMAI24!L18+MVTJUIN24!L18+MVTJUIL24!L18+MVTAOUT24!L18+MVTSEPT24!L18+MVTOCT24!L18+MVTNOV24!L18+MVTDEC24!L18</f>
        <v>320000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6000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2350000</v>
      </c>
      <c r="T19" s="36">
        <f>MVTDEC23!T18+MVTJANV24!T18+MVTFEV24!T18+MVTMARS24!T18+MVTAVRIL24!T18+MVTMAI24!T18+MVTJUIN24!T18+MVTJUIL24!T18+MVTAOUT24!T18+MVTSEPT24!T18+MVTOCT24!T18+MVTNOV24!T18+MVTDEC24!T18</f>
        <v>64000</v>
      </c>
      <c r="U19" s="36"/>
      <c r="V19" s="36">
        <f>MVTJANV24!V18+MVTFEV24!V18+MVTMARS24!V18+MVTAVRIL24!V18+MVTMAI24!V18+MVTJUIN24!V18+MVTJUIL24!V18+MVTAOUT24!V18+MVTSEPT24!V18+MVTOCT24!V18+MVTNOV24!V18+MVTDEC24!V18</f>
        <v>1350000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45627</v>
      </c>
      <c r="AM19" s="144">
        <f t="shared" si="2"/>
        <v>64000</v>
      </c>
      <c r="AN19" s="144">
        <f>MVTJANV24!AL18+MVTFEV24!AL18+MVTMARS24!AL18+MVTAVRIL24!AL18+MVTMAI24!AL18+MVTJUIN24!AL18+MVTJUIL24!AL18+MVTAOUT24!AL18+MVTSEPT24!AL18+MVTOCT24!AL18+MVTNOV24!AL18+MVTDEC24!AL18</f>
        <v>0</v>
      </c>
      <c r="AO19" s="144"/>
      <c r="AQ19" s="36"/>
    </row>
    <row r="20" spans="1:43" ht="15.5" x14ac:dyDescent="0.35">
      <c r="A20" s="1" t="s">
        <v>36</v>
      </c>
      <c r="B20" s="1" t="str">
        <f>VLOOKUP(A20,[19]LISTADHERENT!A$5:H$60,3,0)</f>
        <v>LOWE JEAN</v>
      </c>
      <c r="C20" s="36"/>
      <c r="D20" s="36">
        <f>+MVTDEC23!D19+676217</f>
        <v>1352434</v>
      </c>
      <c r="E20" s="36"/>
      <c r="F20" s="36">
        <f>MVTDEC24!F19</f>
        <v>676217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>
        <f>MVTJANV24!AL19+MVTFEV24!AL19+MVTMARS24!AL19+MVTAVRIL24!AL19+MVTMAI24!AL19+MVTJUIN24!AL19+MVTJUIL24!AL19+MVTAOUT24!AL19+MVTSEPT24!AL19+MVTOCT24!AL19+MVTNOV24!AL19+MVTDEC24!AL19</f>
        <v>0</v>
      </c>
      <c r="AO20" s="144"/>
      <c r="AQ20" s="36"/>
    </row>
    <row r="21" spans="1:43" ht="13.5" customHeight="1" x14ac:dyDescent="0.35">
      <c r="A21" s="1" t="s">
        <v>329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525500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525500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597500</v>
      </c>
      <c r="L21" s="36">
        <f>MVTJANV24!L20+MVTFEV24!L20+MVTMARS24!L20+MVTAVRIL24!L20+MVTMAI24!L20+MVTJUIN24!L20+MVTJUIL24!L20+MVTAOUT24!L20+MVTSEPT24!L20+MVTOCT24!L20+MVTNOV24!L20+MVTDEC24!L20</f>
        <v>525500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190000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>
        <f>MVTJANV24!AL20+MVTFEV24!AL20+MVTMARS24!AL20+MVTAVRIL24!AL20+MVTMAI24!AL20+MVTJUIN24!AL20+MVTJUIL24!AL20+MVTAOUT24!AL20+MVTSEPT24!AL20+MVTOCT24!AL20+MVTNOV24!AL20+MVTDEC24!AL20</f>
        <v>0</v>
      </c>
      <c r="AO21" s="144"/>
      <c r="AQ21" s="36"/>
    </row>
    <row r="22" spans="1:43" ht="15.5" x14ac:dyDescent="0.3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1018064.0502007741</v>
      </c>
      <c r="G22" s="5">
        <f>MVTDEC24!G21</f>
        <v>1018064.0502007741</v>
      </c>
      <c r="H22" s="36">
        <f>MVTDEC23!H21+MVTJANV24!H21+MVTFEV24!H21+MVTMARS24!H21+MVTAVRIL24!H21+MVTMAI24!H21+MVTJUIN24!H21+MVTJUIL24!H21+MVTAOUT24!H21+MVTSEPT24!H21+MVTOCT24!H21+MVTNOV24!H21+MVTDEC24!H21</f>
        <v>64019.634626899009</v>
      </c>
      <c r="I22" s="6">
        <f t="shared" si="0"/>
        <v>1082083.684827673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298500</v>
      </c>
      <c r="L22" s="36">
        <f>MVTJANV24!L21+MVTFEV24!L21+MVTMARS24!L21+MVTAVRIL24!L21+MVTMAI24!L21+MVTJUIN24!L21+MVTJUIL24!L21+MVTAOUT24!L21+MVTSEPT24!L21+MVTOCT24!L21+MVTNOV24!L21+MVTDEC24!L21</f>
        <v>226500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2000000</v>
      </c>
      <c r="T22" s="36">
        <f>MVTDEC23!T21+MVTJANV24!T21+MVTFEV24!T21+MVTMARS24!T21+MVTAVRIL24!T21+MVTMAI24!T21+MVTJUIN24!T21+MVTJUIL24!T21+MVTAOUT24!T21+MVTSEPT24!T21+MVTOCT24!T21+MVTNOV24!T21+MVTDEC24!T21</f>
        <v>120000</v>
      </c>
      <c r="U22" s="36"/>
      <c r="V22" s="36">
        <f>MVTJANV24!V21+MVTFEV24!V21+MVTMARS24!V21+MVTAVRIL24!V21+MVTMAI24!V21+MVTJUIN24!V21+MVTJUIL24!V21+MVTAOUT24!V21+MVTSEPT24!V21+MVTOCT24!V21+MVTNOV24!V21+MVTDEC24!V21</f>
        <v>1000000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66700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6000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45627</v>
      </c>
      <c r="AM22" s="144">
        <f t="shared" si="2"/>
        <v>120000</v>
      </c>
      <c r="AN22" s="144">
        <f>MVTJANV24!AL21+MVTFEV24!AL21+MVTMARS24!AL21+MVTAVRIL24!AL21+MVTMAI24!AL21+MVTJUIN24!AL21+MVTJUIL24!AL21+MVTAOUT24!AL21+MVTSEPT24!AL21+MVTOCT24!AL21+MVTNOV24!AL21+MVTDEC24!AL21</f>
        <v>0</v>
      </c>
      <c r="AO22" s="144"/>
      <c r="AQ22" s="36"/>
    </row>
    <row r="23" spans="1:43" ht="15.5" x14ac:dyDescent="0.3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986602.65296518349</v>
      </c>
      <c r="G23" s="5">
        <f>MVTDEC24!G22</f>
        <v>986602.65296518349</v>
      </c>
      <c r="H23" s="36">
        <f>MVTDEC23!H22+MVTJANV24!H22+MVTFEV24!H22+MVTMARS24!H22+MVTAVRIL24!H22+MVTMAI24!H22+MVTJUIN24!H22+MVTJUIL24!H22+MVTAOUT24!H22+MVTSEPT24!H22+MVTOCT24!H22+MVTNOV24!H22+MVTDEC24!H22</f>
        <v>61488.56145264802</v>
      </c>
      <c r="I23" s="6">
        <f t="shared" si="0"/>
        <v>1048091.2144178315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64500</v>
      </c>
      <c r="U23" s="36"/>
      <c r="V23" s="36">
        <f>MVTJANV24!V22+MVTFEV24!V22+MVTMARS24!V22+MVTAVRIL24!V22+MVTMAI24!V22+MVTJUIN24!V22+MVTJUIL24!V22+MVTAOUT24!V22+MVTSEPT24!V22+MVTOCT24!V22+MVTNOV24!V22+MVTDEC24!V22</f>
        <v>300000</v>
      </c>
      <c r="W23" s="36">
        <f t="shared" si="1"/>
        <v>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MVTJANV24!AJ22+MVTFEV24!AJ22+MVTMARS24!AJ22+MVTAVRIL24!AJ22+MVTMAI24!AJ22+MVTJUIN24!AJ22+MVTJUIL24!AJ22+MVTAOUT24!AJ22+MVTSEPT24!AJ22+MVTOCT24!AJ22+MVTNOV24!AJ22+MVTDEC24!AJ22+15000+31500</f>
        <v>46500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64500</v>
      </c>
      <c r="AN23" s="144">
        <f>MVTJANV24!AL22+MVTFEV24!AL22+MVTMARS24!AL22+MVTAVRIL24!AL22+MVTMAI24!AL22+MVTJUIN24!AL22+MVTJUIL24!AL22+MVTAOUT24!AL22+MVTSEPT24!AL22+MVTOCT24!AL22+MVTNOV24!AL22+MVTDEC24!AL22</f>
        <v>0</v>
      </c>
      <c r="AO23" s="144"/>
      <c r="AQ23" s="36"/>
    </row>
    <row r="24" spans="1:43" ht="15.5" x14ac:dyDescent="0.3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1093717.6867783549</v>
      </c>
      <c r="G24" s="5">
        <f>MVTDEC24!G23</f>
        <v>1093717.6867783549</v>
      </c>
      <c r="H24" s="36">
        <f>MVTDEC23!H23+MVTJANV24!H23+MVTFEV24!H23+MVTMARS24!H23+MVTAVRIL24!H23+MVTMAI24!H23+MVTJUIN24!H23+MVTJUIL24!H23+MVTAOUT24!H23+MVTSEPT24!H23+MVTOCT24!H23+MVTNOV24!H23+MVTDEC24!H23</f>
        <v>69789.939149332262</v>
      </c>
      <c r="I24" s="6">
        <f t="shared" si="0"/>
        <v>1163507.6259276872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3000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1900000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1000000</v>
      </c>
      <c r="W24" s="36">
        <f t="shared" si="1"/>
        <v>900000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/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>
        <f>MVTJANV24!AL23+MVTFEV24!AL23+MVTMARS24!AL23+MVTAVRIL24!AL23+MVTMAI24!AL23+MVTJUIN24!AL23+MVTJUIL24!AL23+MVTAOUT24!AL23+MVTSEPT24!AL23+MVTOCT24!AL23+MVTNOV24!AL23+MVTDEC24!AL23</f>
        <v>0</v>
      </c>
      <c r="AO24" s="144"/>
      <c r="AQ24" s="36"/>
    </row>
    <row r="25" spans="1:43" ht="15.5" x14ac:dyDescent="0.3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1369338.144939593</v>
      </c>
      <c r="G25" s="5">
        <f>MVTDEC24!G24</f>
        <v>1369338.144939593</v>
      </c>
      <c r="H25" s="36">
        <f>MVTDEC23!H24+MVTJANV24!H24+MVTFEV24!H24+MVTMARS24!H24+MVTAVRIL24!H24+MVTMAI24!H24+MVTJUIN24!H24+MVTJUIL24!H24+MVTAOUT24!H24+MVTSEPT24!H24+MVTOCT24!H24+MVTNOV24!H24+MVTDEC24!H24</f>
        <v>81969.599284953001</v>
      </c>
      <c r="I25" s="6">
        <f t="shared" si="0"/>
        <v>1451307.744224546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440000</v>
      </c>
      <c r="L25" s="36">
        <f>MVTJANV24!L24+MVTFEV24!L24+MVTMARS24!L24+MVTAVRIL24!L24+MVTMAI24!L24+MVTJUIN24!L24+MVTJUIL24!L24+MVTAOUT24!L24+MVTSEPT24!L24+MVTOCT24!L24+MVTNOV24!L24+MVTDEC24!L24</f>
        <v>368000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1000000</v>
      </c>
      <c r="T25" s="36">
        <f>MVTDEC23!T24+MVTJANV24!T24+MVTFEV24!T24+MVTMARS24!T24+MVTAVRIL24!T24+MVTMAI24!T24+MVTJUIN24!T24+MVTJUIL24!T24+MVTAOUT24!T24+MVTSEPT24!T24+MVTOCT24!T24+MVTNOV24!T24+MVTDEC24!T24</f>
        <v>60000</v>
      </c>
      <c r="U25" s="36"/>
      <c r="V25" s="36">
        <f>MVTJANV24!V24+MVTFEV24!V24+MVTMARS24!V24+MVTAVRIL24!V24+MVTMAI24!V24+MVTJUIN24!V24+MVTJUIL24!V24+MVTAOUT24!V24+MVTSEPT24!V24+MVTOCT24!V24+MVTNOV24!V24+MVTDEC24!V24</f>
        <v>500000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45627</v>
      </c>
      <c r="AM25" s="144">
        <f t="shared" si="2"/>
        <v>60000</v>
      </c>
      <c r="AN25" s="144">
        <f>MVTJANV24!AL24+MVTFEV24!AL24+MVTMARS24!AL24+MVTAVRIL24!AL24+MVTMAI24!AL24+MVTJUIN24!AL24+MVTJUIL24!AL24+MVTAOUT24!AL24+MVTSEPT24!AL24+MVTOCT24!AL24+MVTNOV24!AL24+MVTDEC24!AL24</f>
        <v>0</v>
      </c>
      <c r="AO25" s="144"/>
      <c r="AQ25" s="36"/>
    </row>
    <row r="26" spans="1:43" ht="15.5" x14ac:dyDescent="0.3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1213902.9603721222</v>
      </c>
      <c r="G26" s="5">
        <f>MVTDEC24!G25</f>
        <v>1213902.9603721222</v>
      </c>
      <c r="H26" s="36">
        <f>MVTDEC23!H25+MVTJANV24!H25+MVTFEV24!H25+MVTMARS24!H25+MVTAVRIL24!H25+MVTMAI24!H25+MVTJUIN24!H25+MVTJUIL24!H25+MVTAOUT24!H25+MVTSEPT24!H25+MVTOCT24!H25+MVTNOV24!H25+MVTDEC24!H25</f>
        <v>68236.402453996707</v>
      </c>
      <c r="I26" s="6">
        <f t="shared" si="0"/>
        <v>1282139.3628261189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465000</v>
      </c>
      <c r="L26" s="36">
        <f>MVTJANV24!L25+MVTFEV24!L25+MVTMARS24!L25+MVTAVRIL24!L25+MVTMAI24!L25+MVTJUIN24!L25+MVTJUIL24!L25+MVTAOUT24!L25+MVTSEPT24!L25+MVTOCT24!L25+MVTNOV24!L25+MVTDEC24!L25</f>
        <v>393000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12000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1000000</v>
      </c>
      <c r="W26" s="36">
        <f t="shared" si="1"/>
        <v>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100000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>
        <f>MVTJANV24!AL25+MVTFEV24!AL25+MVTMARS24!AL25+MVTAVRIL24!AL25+MVTMAI24!AL25+MVTJUIN24!AL25+MVTJUIL24!AL25+MVTAOUT24!AL25+MVTSEPT24!AL25+MVTOCT24!AL25+MVTNOV24!AL25+MVTDEC24!AL25</f>
        <v>0</v>
      </c>
      <c r="AO26" s="144"/>
      <c r="AQ26" s="36"/>
    </row>
    <row r="27" spans="1:43" ht="15.5" x14ac:dyDescent="0.3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999872.42433941911</v>
      </c>
      <c r="G27" s="5">
        <f>MVTDEC24!G26</f>
        <v>999872.42433941911</v>
      </c>
      <c r="H27" s="36">
        <f>MVTDEC23!H26+MVTJANV24!H26+MVTFEV24!H26+MVTMARS24!H26+MVTAVRIL24!H26+MVTMAI24!H26+MVTJUIN24!H26+MVTJUIL24!H26+MVTAOUT24!H26+MVTSEPT24!H26+MVTOCT24!H26+MVTNOV24!H26+MVTDEC24!H26</f>
        <v>63080.198374743843</v>
      </c>
      <c r="I27" s="6">
        <f t="shared" si="0"/>
        <v>1062952.622714163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292500</v>
      </c>
      <c r="L27" s="36">
        <f>MVTJANV24!L26+MVTFEV24!L26+MVTMARS24!L26+MVTAVRIL24!L26+MVTMAI24!L26+MVTJUIN24!L26+MVTJUIL24!L26+MVTAOUT24!L26+MVTSEPT24!L26+MVTOCT24!L26+MVTNOV24!L26+MVTDEC24!L26</f>
        <v>220500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2000000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1000000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>
        <f>MVTJANV24!AL26+MVTFEV24!AL26+MVTMARS24!AL26+MVTAVRIL24!AL26+MVTMAI24!AL26+MVTJUIN24!AL26+MVTJUIL24!AL26+MVTAOUT24!AL26+MVTSEPT24!AL26+MVTOCT24!AL26+MVTNOV24!AL26+MVTDEC24!AL26</f>
        <v>0</v>
      </c>
      <c r="AO27" s="144"/>
      <c r="AQ27" s="36"/>
    </row>
    <row r="28" spans="1:43" ht="15.5" x14ac:dyDescent="0.3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1007405.9978122362</v>
      </c>
      <c r="G28" s="5">
        <f>MVTDEC24!G27</f>
        <v>1007405.9978122362</v>
      </c>
      <c r="H28" s="36">
        <f>MVTDEC23!H27+MVTJANV24!H27+MVTFEV24!H27+MVTMARS24!H27+MVTAVRIL24!H27+MVTMAI24!H27+MVTJUIN24!H27+MVTJUIL24!H27+MVTAOUT24!H27+MVTSEPT24!H27+MVTOCT24!H27+MVTNOV24!H27+MVTDEC24!H27</f>
        <v>62995.891948801094</v>
      </c>
      <c r="I28" s="6">
        <f t="shared" si="0"/>
        <v>1070401.8897610372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301500</v>
      </c>
      <c r="L28" s="36">
        <f>MVTJANV24!L27+MVTFEV24!L27+MVTMARS24!L27+MVTAVRIL24!L27+MVTMAI24!L27+MVTJUIN24!L27+MVTJUIL24!L27+MVTAOUT24!L27+MVTSEPT24!L27+MVTOCT24!L27+MVTNOV24!L27+MVTDEC24!L27</f>
        <v>229500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2000000</v>
      </c>
      <c r="T28" s="36">
        <f>MVTDEC23!T27+MVTJANV24!T27+MVTFEV24!T27+MVTMARS24!T27+MVTAVRIL24!T27+MVTMAI24!T27+MVTJUIN24!T27+MVTJUIL24!T27+MVTAOUT24!T27+MVTSEPT24!T27+MVTOCT24!T27+MVTNOV24!T27+MVTDEC24!T27</f>
        <v>90000</v>
      </c>
      <c r="U28" s="36"/>
      <c r="V28" s="36">
        <f>MVTJANV24!V27+MVTFEV24!V27+MVTMARS24!V27+MVTAVRIL24!V27+MVTMAI24!V27+MVTJUIN24!V27+MVTJUIL24!V27+MVTAOUT24!V27+MVTSEPT24!V27+MVTOCT24!V27+MVTNOV24!V27+MVTDEC24!V27</f>
        <v>1000000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45566</v>
      </c>
      <c r="AM28" s="144">
        <f t="shared" si="2"/>
        <v>90000</v>
      </c>
      <c r="AN28" s="144">
        <f>MVTJANV24!AL27+MVTFEV24!AL27+MVTMARS24!AL27+MVTAVRIL24!AL27+MVTMAI24!AL27+MVTJUIN24!AL27+MVTJUIL24!AL27+MVTAOUT24!AL27+MVTSEPT24!AL27+MVTOCT24!AL27+MVTNOV24!AL27+MVTDEC24!AL27</f>
        <v>0</v>
      </c>
      <c r="AO28" s="144"/>
      <c r="AQ28" s="36"/>
    </row>
    <row r="29" spans="1:43" ht="15.5" x14ac:dyDescent="0.35">
      <c r="A29" s="1" t="s">
        <v>172</v>
      </c>
      <c r="B29" s="1" t="str">
        <f>VLOOKUP(A29,[19]LISTADHERENT!A$5:H$60,3,0)</f>
        <v>NOUBE ETIENNE</v>
      </c>
      <c r="C29" s="36"/>
      <c r="D29" s="36">
        <f>+MVTDEC23!D28+666019</f>
        <v>1332038</v>
      </c>
      <c r="E29" s="36">
        <f>VLOOKUP($A29,[24]HISTOJANV24!$A$6:$BA$38,48,0)</f>
        <v>0</v>
      </c>
      <c r="F29" s="36">
        <f>MVTDEC24!F28</f>
        <v>907028.42220575782</v>
      </c>
      <c r="G29" s="5">
        <f>MVTDEC24!G28</f>
        <v>907028.42220575782</v>
      </c>
      <c r="H29" s="36">
        <f>MVTDEC23!H28+MVTJANV24!H28+MVTFEV24!H28+MVTMARS24!H28+MVTAVRIL24!H28+MVTMAI24!H28+MVTJUIN24!H28+MVTJUIL24!H28+MVTAOUT24!H28+MVTSEPT24!H28+MVTOCT24!H28+MVTNOV24!H28+MVTDEC24!H28</f>
        <v>16720.148215058223</v>
      </c>
      <c r="I29" s="6">
        <f t="shared" si="0"/>
        <v>923748.57042081608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9250</v>
      </c>
      <c r="U29" s="36"/>
      <c r="V29" s="36">
        <f>MVTJANV24!V28+MVTFEV24!V28+MVTMARS24!V28+MVTAVRIL24!V28+MVTMAI24!V28+MVTJUIN24!V28+MVTJUIL24!V28+MVTAOUT24!V28+MVTSEPT24!V28+MVTOCT24!V28+MVTNOV24!V28+MVTDEC24!V28</f>
        <v>50000</v>
      </c>
      <c r="W29" s="36">
        <f t="shared" si="1"/>
        <v>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20000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100000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>
        <v>45444</v>
      </c>
      <c r="AM29" s="144">
        <f t="shared" si="2"/>
        <v>9250</v>
      </c>
      <c r="AN29" s="144">
        <f>MVTJANV24!AL28+MVTFEV24!AL28+MVTMARS24!AL28+MVTAVRIL24!AL28+MVTMAI24!AL28+MVTJUIN24!AL28+MVTJUIL24!AL28+MVTAOUT24!AL28+MVTSEPT24!AL28+MVTOCT24!AL28+MVTNOV24!AL28+MVTDEC24!AL28</f>
        <v>0</v>
      </c>
      <c r="AO29" s="144"/>
      <c r="AQ29" s="36"/>
    </row>
    <row r="30" spans="1:43" ht="15.5" x14ac:dyDescent="0.3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1059520.7381774064</v>
      </c>
      <c r="G30" s="5">
        <f>MVTDEC24!G29</f>
        <v>1059520.7381774064</v>
      </c>
      <c r="H30" s="36">
        <f>MVTDEC23!H29+MVTJANV24!H29+MVTFEV24!H29+MVTMARS24!H29+MVTAVRIL24!H29+MVTMAI24!H29+MVTJUIN24!H29+MVTJUIL24!H29+MVTAOUT24!H29+MVTSEPT24!H29+MVTOCT24!H29+MVTNOV24!H29+MVTDEC24!H29</f>
        <v>65157.656178854231</v>
      </c>
      <c r="I30" s="6">
        <f t="shared" si="0"/>
        <v>1124678.3943562605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327000</v>
      </c>
      <c r="L30" s="36">
        <f>MVTJANV24!L29+MVTFEV24!L29+MVTMARS24!L29+MVTAVRIL24!L29+MVTMAI24!L29+MVTJUIN24!L29+MVTJUIL24!L29+MVTAOUT24!L29+MVTSEPT24!L29+MVTOCT24!L29+MVTNOV24!L29+MVTDEC24!L29</f>
        <v>255000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>
        <f>MVTJANV24!AL29+MVTFEV24!AL29+MVTMARS24!AL29+MVTAVRIL24!AL29+MVTMAI24!AL29+MVTJUIN24!AL29+MVTJUIL24!AL29+MVTAOUT24!AL29+MVTSEPT24!AL29+MVTOCT24!AL29+MVTNOV24!AL29+MVTDEC24!AL29</f>
        <v>0</v>
      </c>
      <c r="AO30" s="144"/>
      <c r="AQ30" s="36"/>
    </row>
    <row r="31" spans="1:43" ht="15.5" x14ac:dyDescent="0.3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944509.15650175198</v>
      </c>
      <c r="G31" s="5">
        <f>MVTDEC24!G30</f>
        <v>944509.15650175198</v>
      </c>
      <c r="H31" s="36">
        <f>MVTDEC23!H30+MVTJANV24!H30+MVTFEV24!H30+MVTMARS24!H30+MVTAVRIL24!H30+MVTMAI24!H30+MVTJUIN24!H30+MVTJUIL24!H30+MVTAOUT24!H30+MVTSEPT24!H30+MVTOCT24!H30+MVTNOV24!H30+MVTDEC24!H30</f>
        <v>17373.219200614534</v>
      </c>
      <c r="I31" s="6">
        <f t="shared" si="0"/>
        <v>961882.37570236647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757500</v>
      </c>
      <c r="L31" s="36">
        <f>MVTJANV24!L30+MVTFEV24!L30+MVTMARS24!L30+MVTAVRIL24!L30+MVTMAI24!L30+MVTJUIN24!L30+MVTJUIL24!L30+MVTAOUT24!L30+MVTSEPT24!L30+MVTOCT24!L30+MVTNOV24!L30+MVTDEC24!L30</f>
        <v>685500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1000000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1000000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115000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200000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>
        <f>MVTJANV24!AL30+MVTFEV24!AL30+MVTMARS24!AL30+MVTAVRIL24!AL30+MVTMAI24!AL30+MVTJUIN24!AL30+MVTJUIL24!AL30+MVTAOUT24!AL30+MVTSEPT24!AL30+MVTOCT24!AL30+MVTNOV24!AL30+MVTDEC24!AL30</f>
        <v>0</v>
      </c>
      <c r="AO31" s="144"/>
      <c r="AQ31" s="36"/>
    </row>
    <row r="32" spans="1:43" ht="15.5" x14ac:dyDescent="0.3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1101010.4861848836</v>
      </c>
      <c r="G32" s="5">
        <f>MVTDEC24!G31</f>
        <v>1101010.4861848836</v>
      </c>
      <c r="H32" s="36">
        <f>MVTDEC23!H31+MVTJANV24!H31+MVTFEV24!H31+MVTMARS24!H31+MVTAVRIL24!H31+MVTMAI24!H31+MVTJUIN24!H31+MVTJUIL24!H31+MVTAOUT24!H31+MVTSEPT24!H31+MVTOCT24!H31+MVTNOV24!H31+MVTDEC24!H31</f>
        <v>70150.657823061978</v>
      </c>
      <c r="I32" s="6">
        <f t="shared" si="0"/>
        <v>1171161.1440079457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303000</v>
      </c>
      <c r="L32" s="36">
        <f>MVTJANV24!L31+MVTFEV24!L31+MVTMARS24!L31+MVTAVRIL24!L31+MVTMAI24!L31+MVTJUIN24!L31+MVTJUIL24!L31+MVTAOUT24!L31+MVTSEPT24!L31+MVTOCT24!L31+MVTNOV24!L31+MVTDEC24!L31</f>
        <v>231000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2000000</v>
      </c>
      <c r="T32" s="36">
        <f>MVTDEC23!T31+MVTJANV24!T31+MVTFEV24!T31+MVTMARS24!T31+MVTAVRIL24!T31+MVTMAI24!T31+MVTJUIN24!T31+MVTJUIL24!T31+MVTAOUT24!T31+MVTSEPT24!T31+MVTOCT24!T31+MVTNOV24!T31+MVTDEC24!T31</f>
        <v>90000</v>
      </c>
      <c r="U32" s="36"/>
      <c r="V32" s="36">
        <f>MVTJANV24!V31+MVTFEV24!V31+MVTMARS24!V31+MVTAVRIL24!V31+MVTMAI24!V31+MVTJUIN24!V31+MVTJUIL24!V31+MVTAOUT24!V31+MVTSEPT24!V31+MVTOCT24!V31+MVTNOV24!V31+MVTDEC24!V31</f>
        <v>1000000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/>
      <c r="AM32" s="144">
        <f t="shared" si="2"/>
        <v>90000</v>
      </c>
      <c r="AN32" s="144">
        <f>MVTJANV24!AL31+MVTFEV24!AL31+MVTMARS24!AL31+MVTAVRIL24!AL31+MVTMAI24!AL31+MVTJUIN24!AL31+MVTJUIL24!AL31+MVTAOUT24!AL31+MVTSEPT24!AL31+MVTOCT24!AL31+MVTNOV24!AL31+MVTDEC24!AL31</f>
        <v>0</v>
      </c>
      <c r="AO32" s="144"/>
      <c r="AQ32" s="36"/>
    </row>
    <row r="33" spans="1:43" ht="15.5" x14ac:dyDescent="0.3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986102.16279974184</v>
      </c>
      <c r="G33" s="5">
        <f>MVTDEC24!G32</f>
        <v>986102.16279974184</v>
      </c>
      <c r="H33" s="36">
        <f>MVTDEC23!H32+MVTJANV24!H32+MVTFEV24!H32+MVTMARS24!H32+MVTAVRIL24!H32+MVTMAI24!H32+MVTJUIN24!H32+MVTJUIL24!H32+MVTAOUT24!H32+MVTSEPT24!H32+MVTOCT24!H32+MVTNOV24!H32+MVTDEC24!H32</f>
        <v>61449.773639687468</v>
      </c>
      <c r="I33" s="6">
        <f t="shared" si="0"/>
        <v>1047551.9364394293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2250000</v>
      </c>
      <c r="T33" s="36">
        <f>MVTDEC23!T32+MVTJANV24!T32+MVTFEV24!T32+MVTMARS24!T32+MVTAVRIL24!T32+MVTMAI24!T32+MVTJUIN24!T32+MVTJUIL24!T32+MVTAOUT24!T32+MVTSEPT24!T32+MVTOCT24!T32+MVTNOV24!T32+MVTDEC24!T32</f>
        <v>105000</v>
      </c>
      <c r="U33" s="36"/>
      <c r="V33" s="36">
        <f>MVTJANV24!V32+MVTFEV24!V32+MVTMARS24!V32+MVTAVRIL24!V32+MVTMAI24!V32+MVTJUIN24!V32+MVTJUIL24!V32+MVTAOUT24!V32+MVTSEPT24!V32+MVTOCT24!V32+MVTNOV24!V32+MVTDEC24!V32</f>
        <v>1250000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100000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45627</v>
      </c>
      <c r="AM33" s="144">
        <f t="shared" si="2"/>
        <v>105000</v>
      </c>
      <c r="AN33" s="144">
        <f>MVTJANV24!AL32+MVTFEV24!AL32+MVTMARS24!AL32+MVTAVRIL24!AL32+MVTMAI24!AL32+MVTJUIN24!AL32+MVTJUIL24!AL32+MVTAOUT24!AL32+MVTSEPT24!AL32+MVTOCT24!AL32+MVTNOV24!AL32+MVTDEC24!AL32</f>
        <v>0</v>
      </c>
      <c r="AO33" s="144"/>
      <c r="AQ33" s="36"/>
    </row>
    <row r="34" spans="1:43" ht="15.5" x14ac:dyDescent="0.3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1992081.9868132719</v>
      </c>
      <c r="G34" s="5">
        <f>MVTDEC24!G33</f>
        <v>1992081.9868132719</v>
      </c>
      <c r="H34" s="36">
        <f>MVTDEC23!H33+MVTJANV24!H33+MVTFEV24!H33+MVTMARS24!H33+MVTAVRIL24!H33+MVTMAI24!H33+MVTJUIN24!H33+MVTJUIL24!H33+MVTAOUT24!H33+MVTSEPT24!H33+MVTOCT24!H33+MVTNOV24!H33+MVTDEC24!H33</f>
        <v>71255.947758649185</v>
      </c>
      <c r="I34" s="6">
        <f t="shared" si="0"/>
        <v>2063337.9345719211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1300000</v>
      </c>
      <c r="L34" s="36">
        <f>MVTJANV24!L33+MVTFEV24!L33+MVTMARS24!L33+MVTAVRIL24!L33+MVTMAI24!L33+MVTJUIN24!L33+MVTJUIL24!L33+MVTAOUT24!L33+MVTSEPT24!L33+MVTOCT24!L33+MVTNOV24!L33+MVTDEC24!L33</f>
        <v>1228000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2000000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1000000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/>
      <c r="AM34" s="144">
        <f t="shared" si="2"/>
        <v>60000</v>
      </c>
      <c r="AN34" s="144">
        <f>MVTJANV24!AL33+MVTFEV24!AL33+MVTMARS24!AL33+MVTAVRIL24!AL33+MVTMAI24!AL33+MVTJUIN24!AL33+MVTJUIL24!AL33+MVTAOUT24!AL33+MVTSEPT24!AL33+MVTOCT24!AL33+MVTNOV24!AL33+MVTDEC24!AL33</f>
        <v>0</v>
      </c>
      <c r="AO34" s="144"/>
      <c r="AP34" s="36"/>
      <c r="AQ34" s="36"/>
    </row>
    <row r="35" spans="1:43" ht="15.5" x14ac:dyDescent="0.35">
      <c r="A35" s="1" t="s">
        <v>327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972739.10692510835</v>
      </c>
      <c r="G35" s="5">
        <f>MVTDEC24!G34</f>
        <v>972739.10692510835</v>
      </c>
      <c r="H35" s="36">
        <f>MVTDEC23!H34+MVTJANV24!H34+MVTFEV24!H34+MVTMARS24!H34+MVTAVRIL24!H34+MVTMAI24!H34+MVTJUIN24!H34+MVTJUIL24!H34+MVTAOUT24!H34+MVTSEPT24!H34+MVTOCT24!H34+MVTNOV24!H34+MVTDEC24!H34</f>
        <v>4718.6606148953824</v>
      </c>
      <c r="I35" s="6">
        <f t="shared" si="0"/>
        <v>977457.76754000376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1044000</v>
      </c>
      <c r="L35" s="36">
        <f>MVTJANV24!L34+MVTFEV24!L34+MVTMARS24!L34+MVTAVRIL24!L34+MVTMAI24!L34+MVTJUIN24!L34+MVTJUIL24!L34+MVTAOUT24!L34+MVTSEPT24!L34+MVTOCT24!L34+MVTNOV24!L34+MVTDEC24!L34</f>
        <v>972000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1000000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1000000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140000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>
        <f>MVTJANV24!AL34+MVTFEV24!AL34+MVTMARS24!AL34+MVTAVRIL24!AL34+MVTMAI24!AL34+MVTJUIN24!AL34+MVTJUIL24!AL34+MVTAOUT24!AL34+MVTSEPT24!AL34+MVTOCT24!AL34+MVTNOV24!AL34+MVTDEC24!AL34</f>
        <v>0</v>
      </c>
      <c r="AO35" s="144"/>
      <c r="AQ35" s="36"/>
    </row>
    <row r="36" spans="1:43" ht="15.5" x14ac:dyDescent="0.3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631750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631750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600750</v>
      </c>
      <c r="L36" s="36">
        <f>MVTJANV24!L35+MVTFEV24!L35+MVTMARS24!L35+MVTAVRIL24!L35+MVTMAI24!L35+MVTJUIN24!L35+MVTJUIL24!L35+MVTAOUT24!L35+MVTSEPT24!L35+MVTOCT24!L35+MVTNOV24!L35+MVTDEC24!L35</f>
        <v>528750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3000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3750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>
        <f>MVTJANV24!AL35+MVTFEV24!AL35+MVTMARS24!AL35+MVTAVRIL24!AL35+MVTMAI24!AL35+MVTJUIN24!AL35+MVTJUIL24!AL35+MVTAOUT24!AL35+MVTSEPT24!AL35+MVTOCT24!AL35+MVTNOV24!AL35+MVTDEC24!AL35</f>
        <v>0</v>
      </c>
      <c r="AO36" s="144"/>
      <c r="AQ36" s="36"/>
    </row>
    <row r="37" spans="1:43" ht="15.5" x14ac:dyDescent="0.35">
      <c r="A37" s="1" t="s">
        <v>313</v>
      </c>
      <c r="B37" s="1" t="str">
        <f>VLOOKUP(A37,[19]LISTADHERENT!A$5:H$60,3,0)</f>
        <v>YANTCHOU GERVAIS</v>
      </c>
      <c r="C37" s="36"/>
      <c r="D37" s="36">
        <f>+MVTDEC23!D36+698024</f>
        <v>1396048</v>
      </c>
      <c r="E37" s="36">
        <f>VLOOKUP($A37,[24]HISTOJANV24!$A$6:$BA$38,48,0)</f>
        <v>0</v>
      </c>
      <c r="F37" s="36">
        <f>MVTDEC24!F36</f>
        <v>1094230.7829868733</v>
      </c>
      <c r="G37" s="5">
        <f>MVTDEC24!G36</f>
        <v>1094230.7829868733</v>
      </c>
      <c r="H37" s="36">
        <f>MVTDEC23!H36+MVTJANV24!H36+MVTFEV24!H36+MVTMARS24!H36+MVTAVRIL24!H36+MVTMAI24!H36+MVTJUIN24!H36+MVTJUIL24!H36+MVTAOUT24!H36+MVTSEPT24!H36+MVTOCT24!H36+MVTNOV24!H36+MVTDEC24!H36</f>
        <v>62683.368865772507</v>
      </c>
      <c r="I37" s="6">
        <f t="shared" si="0"/>
        <v>1156914.1518526459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410000</v>
      </c>
      <c r="L37" s="36">
        <f>MVTJANV24!L36+MVTFEV24!L36+MVTMARS24!L36+MVTAVRIL24!L36+MVTMAI24!L36+MVTJUIN24!L36+MVTJUIL24!L36+MVTAOUT24!L36+MVTSEPT24!L36+MVTOCT24!L36+MVTNOV24!L36+MVTDEC24!L36</f>
        <v>338000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1700000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597500</v>
      </c>
      <c r="W37" s="36">
        <f t="shared" si="1"/>
        <v>1102500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100000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/>
      <c r="AM37" s="144">
        <f t="shared" si="2"/>
        <v>84000</v>
      </c>
      <c r="AN37" s="144">
        <f>MVTJANV24!AL36+MVTFEV24!AL36+MVTMARS24!AL36+MVTAVRIL24!AL36+MVTMAI24!AL36+MVTJUIN24!AL36+MVTJUIL24!AL36+MVTAOUT24!AL36+MVTSEPT24!AL36+MVTOCT24!AL36+MVTNOV24!AL36+MVTDEC24!AL36</f>
        <v>0</v>
      </c>
      <c r="AO37" s="144"/>
      <c r="AQ37" s="36"/>
    </row>
    <row r="38" spans="1:43" ht="15.5" x14ac:dyDescent="0.3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2068175.8832408788</v>
      </c>
      <c r="G38" s="5">
        <f>MVTDEC24!G37</f>
        <v>2068175.8832408788</v>
      </c>
      <c r="H38" s="36">
        <f>MVTDEC23!H37+MVTJANV24!H37+MVTFEV24!H37+MVTMARS24!H37+MVTAVRIL24!H37+MVTMAI24!H37+MVTJUIN24!H37+MVTJUIL24!H37+MVTAOUT24!H37+MVTSEPT24!H37+MVTOCT24!H37+MVTNOV24!H37+MVTDEC24!H37</f>
        <v>145310.10891910025</v>
      </c>
      <c r="I38" s="6">
        <f t="shared" si="0"/>
        <v>2213485.992159979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6000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100000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144">
        <f>MVTJANV24!AL37+MVTFEV24!AL37+MVTMARS24!AL37+MVTAVRIL24!AL37+MVTMAI24!AL37+MVTJUIN24!AL37+MVTJUIL24!AL37+MVTAOUT24!AL37+MVTSEPT24!AL37+MVTOCT24!AL37+MVTNOV24!AL37+MVTDEC24!AL37</f>
        <v>0</v>
      </c>
      <c r="AO38" s="36"/>
      <c r="AP38" s="36"/>
      <c r="AQ38" s="36"/>
    </row>
    <row r="39" spans="1:43" ht="15.5" x14ac:dyDescent="0.35">
      <c r="A39" s="1" t="s">
        <v>328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928771.34199085762</v>
      </c>
      <c r="G39" s="5">
        <f>MVTDEC24!G38</f>
        <v>928771.34199085762</v>
      </c>
      <c r="H39" s="36">
        <f>MVTDEC23!H38+MVTJANV24!H38+MVTFEV24!H38+MVTMARS24!H38+MVTAVRIL24!H38+MVTMAI24!H38+MVTJUIN24!H38+MVTJUIL24!H38+MVTAOUT24!H38+MVTSEPT24!H38+MVTOCT24!H38+MVTNOV24!H38+MVTDEC24!H38</f>
        <v>4571.020028550347</v>
      </c>
      <c r="I39" s="6">
        <f t="shared" si="0"/>
        <v>933342.36201940791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1000000</v>
      </c>
      <c r="L39" s="36">
        <f>MVTJANV24!L38+MVTFEV24!L38+MVTMARS24!L38+MVTAVRIL24!L38+MVTMAI24!L38+MVTJUIN24!L38+MVTJUIL24!L38+MVTAOUT24!L38+MVTSEPT24!L38+MVTOCT24!L38+MVTNOV24!L38+MVTDEC24!L38</f>
        <v>928000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18000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120000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240000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L39" s="2"/>
      <c r="AM39" s="144">
        <f t="shared" si="2"/>
        <v>0</v>
      </c>
      <c r="AN39" s="144">
        <f>MVTJANV24!AL38+MVTFEV24!AL38+MVTMARS24!AL38+MVTAVRIL24!AL38+MVTMAI24!AL38+MVTJUIN24!AL38+MVTJUIL24!AL38+MVTAOUT24!AL38+MVTSEPT24!AL38+MVTOCT24!AL38+MVTNOV24!AL38+MVTDEC24!AL38</f>
        <v>0</v>
      </c>
    </row>
    <row r="40" spans="1:43" ht="15.5" x14ac:dyDescent="0.3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2234924.8053753586</v>
      </c>
      <c r="G40" s="5">
        <f>MVTDEC24!G39</f>
        <v>2234924.8053753586</v>
      </c>
      <c r="H40" s="36">
        <f>MVTDEC23!H39+MVTJANV24!H39+MVTFEV24!H39+MVTMARS24!H39+MVTAVRIL24!H39+MVTMAI24!H39+MVTJUIN24!H39+MVTJUIL24!H39+MVTAOUT24!H39+MVTSEPT24!H39+MVTOCT24!H39+MVTNOV24!H39+MVTDEC24!H39</f>
        <v>158233.09212580579</v>
      </c>
      <c r="I40" s="6">
        <f t="shared" si="0"/>
        <v>2393157.8975011641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500000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500000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100000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L40" s="2"/>
      <c r="AM40" s="144">
        <f t="shared" si="2"/>
        <v>0</v>
      </c>
      <c r="AN40" s="144">
        <f>MVTJANV24!AL39+MVTFEV24!AL39+MVTMARS24!AL39+MVTAVRIL24!AL39+MVTMAI24!AL39+MVTJUIN24!AL39+MVTJUIL24!AL39+MVTAOUT24!AL39+MVTSEPT24!AL39+MVTOCT24!AL39+MVTNOV24!AL39+MVTDEC24!AL39</f>
        <v>0</v>
      </c>
    </row>
    <row r="41" spans="1:43" ht="17.5" x14ac:dyDescent="0.3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J41"/>
      <c r="K41" s="161"/>
      <c r="L41" s="161"/>
      <c r="M41" s="2"/>
      <c r="N41" s="2"/>
      <c r="O41" s="2"/>
      <c r="Q41" s="2"/>
      <c r="R41" s="2"/>
      <c r="W41" s="36">
        <f t="shared" si="1"/>
        <v>0</v>
      </c>
      <c r="AL41" s="9"/>
      <c r="AM41" s="9"/>
      <c r="AN41" s="144">
        <f>MVTJANV24!AL40+MVTFEV24!AL40+MVTMARS24!AL40+MVTAVRIL24!AL40+MVTMAI24!AL40+MVTJUIN24!AL40+MVTJUIL24!AL40+MVTAOUT24!AL40+MVTSEPT24!AL40+MVTOCT24!AL40+MVTNOV24!AL40+MVTDEC24!AL40</f>
        <v>0</v>
      </c>
      <c r="AO41" s="9"/>
      <c r="AP41" s="9"/>
      <c r="AQ41" s="9"/>
    </row>
    <row r="42" spans="1:43" ht="17.5" x14ac:dyDescent="0.35">
      <c r="A42" s="1" t="s">
        <v>57</v>
      </c>
      <c r="B42" s="1"/>
      <c r="C42" s="9">
        <f t="shared" ref="C42:AQ42" si="3">SUM(C7:C41)</f>
        <v>16800000</v>
      </c>
      <c r="D42" s="9">
        <f t="shared" si="3"/>
        <v>10148398.07312192</v>
      </c>
      <c r="E42" s="9">
        <f t="shared" si="3"/>
        <v>0</v>
      </c>
      <c r="F42" s="9">
        <f t="shared" si="3"/>
        <v>37826406.07312192</v>
      </c>
      <c r="G42" s="9">
        <f t="shared" si="3"/>
        <v>35992939.07312192</v>
      </c>
      <c r="H42" s="36">
        <f t="shared" si="3"/>
        <v>1982150.0000000005</v>
      </c>
      <c r="I42" s="9">
        <f t="shared" si="3"/>
        <v>39808556.073121913</v>
      </c>
      <c r="J42" s="9">
        <f t="shared" si="3"/>
        <v>0</v>
      </c>
      <c r="K42" s="9">
        <f t="shared" si="3"/>
        <v>14065850</v>
      </c>
      <c r="L42" s="9">
        <f t="shared" si="3"/>
        <v>11823850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93000</v>
      </c>
      <c r="Q42" s="9">
        <f t="shared" si="3"/>
        <v>75000</v>
      </c>
      <c r="R42" s="9">
        <f t="shared" si="3"/>
        <v>240000</v>
      </c>
      <c r="S42" s="9">
        <f t="shared" si="3"/>
        <v>36888500</v>
      </c>
      <c r="T42" s="9">
        <f t="shared" si="3"/>
        <v>1982150</v>
      </c>
      <c r="U42" s="9">
        <f t="shared" si="3"/>
        <v>0</v>
      </c>
      <c r="V42" s="9">
        <f t="shared" si="3"/>
        <v>18456000</v>
      </c>
      <c r="W42" s="9">
        <f t="shared" si="3"/>
        <v>18432500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3750</v>
      </c>
      <c r="AD42" s="9">
        <f t="shared" si="3"/>
        <v>0</v>
      </c>
      <c r="AE42" s="9">
        <f t="shared" si="3"/>
        <v>771700</v>
      </c>
      <c r="AF42" s="9">
        <f t="shared" si="3"/>
        <v>251000</v>
      </c>
      <c r="AG42" s="9">
        <f t="shared" si="3"/>
        <v>960000</v>
      </c>
      <c r="AH42" s="9">
        <f t="shared" si="3"/>
        <v>200000</v>
      </c>
      <c r="AI42" s="9">
        <f t="shared" si="3"/>
        <v>1206000</v>
      </c>
      <c r="AJ42" s="9">
        <f t="shared" si="3"/>
        <v>209250</v>
      </c>
      <c r="AK42" s="9">
        <f t="shared" si="3"/>
        <v>0</v>
      </c>
      <c r="AL42" s="9"/>
      <c r="AM42" s="9">
        <f t="shared" si="3"/>
        <v>1982150</v>
      </c>
      <c r="AN42" s="9">
        <f t="shared" si="3"/>
        <v>9326618</v>
      </c>
      <c r="AO42" s="9">
        <f t="shared" si="3"/>
        <v>0</v>
      </c>
      <c r="AP42" s="9">
        <f t="shared" si="3"/>
        <v>0</v>
      </c>
      <c r="AQ42" s="9">
        <f t="shared" si="3"/>
        <v>0</v>
      </c>
    </row>
    <row r="44" spans="1:43" ht="17.5" x14ac:dyDescent="0.35">
      <c r="D44" s="157">
        <v>6273822</v>
      </c>
      <c r="E44" s="2">
        <f>D42-D44</f>
        <v>3874576.0731219202</v>
      </c>
      <c r="AM44" t="s">
        <v>337</v>
      </c>
      <c r="AN44" s="9">
        <f>2300000/32</f>
        <v>71875</v>
      </c>
    </row>
    <row r="45" spans="1:43" x14ac:dyDescent="0.35">
      <c r="S45" s="2"/>
      <c r="T45" s="2"/>
    </row>
  </sheetData>
  <autoFilter ref="A6:J40" xr:uid="{00000000-0009-0000-0000-000012000000}">
    <sortState ref="A5:D48">
      <sortCondition ref="B5:B48"/>
    </sortState>
  </autoFilter>
  <mergeCells count="1">
    <mergeCell ref="J4:O4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F27B-597D-47A6-9DAB-F93A27192CA4}">
  <dimension ref="A1:R42"/>
  <sheetViews>
    <sheetView zoomScale="93" zoomScaleNormal="93"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M2" sqref="M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161" customWidth="1"/>
    <col min="5" max="5" width="15.7265625" style="2" customWidth="1"/>
    <col min="6" max="8" width="12.453125" style="2" customWidth="1"/>
    <col min="9" max="9" width="16.81640625" style="2" bestFit="1" customWidth="1"/>
    <col min="10" max="10" width="16.81640625" style="2" customWidth="1"/>
    <col min="11" max="11" width="14.6328125" bestFit="1" customWidth="1"/>
    <col min="12" max="12" width="17.1796875" customWidth="1"/>
    <col min="13" max="13" width="12.453125" style="2" bestFit="1" customWidth="1"/>
    <col min="14" max="14" width="13.08984375" bestFit="1" customWidth="1"/>
    <col min="17" max="17" width="12.453125" bestFit="1" customWidth="1"/>
  </cols>
  <sheetData>
    <row r="1" spans="1:18" ht="26" x14ac:dyDescent="0.35">
      <c r="A1" s="1" t="s">
        <v>0</v>
      </c>
      <c r="B1" s="1" t="s">
        <v>1</v>
      </c>
      <c r="C1" s="1"/>
      <c r="M1" s="145"/>
    </row>
    <row r="2" spans="1:18" ht="26" x14ac:dyDescent="0.6">
      <c r="A2" s="1" t="s">
        <v>2</v>
      </c>
      <c r="B2" s="1">
        <v>2024</v>
      </c>
      <c r="C2" s="1"/>
      <c r="M2" s="59"/>
    </row>
    <row r="3" spans="1:18" ht="23.5" x14ac:dyDescent="0.55000000000000004">
      <c r="A3" s="178" t="s">
        <v>336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</row>
    <row r="4" spans="1:18" ht="15" thickBot="1" x14ac:dyDescent="0.4">
      <c r="A4" s="14"/>
      <c r="B4" s="14"/>
      <c r="D4"/>
      <c r="E4"/>
      <c r="F4"/>
      <c r="G4"/>
      <c r="H4"/>
      <c r="I4" s="14"/>
      <c r="J4" s="14"/>
      <c r="K4" s="14"/>
      <c r="L4" s="14"/>
      <c r="M4" s="14"/>
      <c r="N4" s="14"/>
      <c r="O4" s="14"/>
      <c r="P4" s="14"/>
      <c r="Q4" s="14"/>
    </row>
    <row r="5" spans="1:18" ht="43" thickTop="1" x14ac:dyDescent="0.35">
      <c r="A5" s="169" t="s">
        <v>4</v>
      </c>
      <c r="B5" s="170" t="s">
        <v>5</v>
      </c>
      <c r="C5" s="171" t="s">
        <v>214</v>
      </c>
      <c r="D5" s="170" t="s">
        <v>9</v>
      </c>
      <c r="E5" s="171" t="s">
        <v>10</v>
      </c>
      <c r="F5" s="171" t="s">
        <v>11</v>
      </c>
      <c r="G5" s="171" t="s">
        <v>12</v>
      </c>
      <c r="H5" s="171" t="s">
        <v>72</v>
      </c>
      <c r="I5" s="171" t="s">
        <v>73</v>
      </c>
      <c r="J5" s="171" t="s">
        <v>13</v>
      </c>
      <c r="K5" s="171" t="s">
        <v>334</v>
      </c>
      <c r="L5" s="172" t="s">
        <v>333</v>
      </c>
      <c r="M5" s="172" t="s">
        <v>321</v>
      </c>
      <c r="N5" s="172" t="s">
        <v>10</v>
      </c>
      <c r="O5" s="172" t="s">
        <v>11</v>
      </c>
      <c r="P5" s="172" t="s">
        <v>303</v>
      </c>
      <c r="Q5" s="172" t="s">
        <v>269</v>
      </c>
      <c r="R5" s="173" t="s">
        <v>335</v>
      </c>
    </row>
    <row r="6" spans="1:18" ht="15.5" x14ac:dyDescent="0.35">
      <c r="A6" s="42" t="s">
        <v>16</v>
      </c>
      <c r="B6" s="49" t="str">
        <f>VLOOKUP(A6,[19]LISTADHERENT!A$5:H$60,3,0)</f>
        <v>ASELBY</v>
      </c>
      <c r="C6" s="48">
        <f>MVTRESUME24!C7+MVTRESUME24!D7</f>
        <v>886523.25892224163</v>
      </c>
      <c r="D6" s="48">
        <f>+MVTRESUME24!L7</f>
        <v>62000</v>
      </c>
      <c r="E6" s="48">
        <f>+MVTRESUME24!M7</f>
        <v>0</v>
      </c>
      <c r="F6" s="48">
        <f>+MVTRESUME24!N7</f>
        <v>0</v>
      </c>
      <c r="G6" s="48">
        <f>+MVTRESUME24!O7</f>
        <v>0</v>
      </c>
      <c r="H6" s="48">
        <f>+MVTRESUME24!P7</f>
        <v>0</v>
      </c>
      <c r="I6" s="48">
        <f>+MVTRESUME24!Q7</f>
        <v>0</v>
      </c>
      <c r="J6" s="48">
        <f>+MVTRESUME24!R7</f>
        <v>0</v>
      </c>
      <c r="K6" s="48">
        <f>+MVTRESUME24!W7</f>
        <v>0</v>
      </c>
      <c r="L6" s="165">
        <f>+MVTRESUME24!AM7</f>
        <v>0</v>
      </c>
      <c r="M6" s="166" t="str">
        <f>IF(L6=0,"",VLOOKUP(A6,MVTRESUME24!A7:AQ41,38,0))</f>
        <v/>
      </c>
      <c r="N6" s="48">
        <f>+MVTRESUME24!AF7</f>
        <v>251000</v>
      </c>
      <c r="O6" s="48">
        <f>+MVTRESUME24!AG7</f>
        <v>960000</v>
      </c>
      <c r="P6" s="48">
        <f>+MVTRESUME24!AH7</f>
        <v>200000</v>
      </c>
      <c r="Q6" s="48">
        <f>+MVTRESUME24!AI7</f>
        <v>300000</v>
      </c>
      <c r="R6" s="167">
        <f>MVTRESUME24!AN7</f>
        <v>9326618</v>
      </c>
    </row>
    <row r="7" spans="1:18" ht="15.5" x14ac:dyDescent="0.35">
      <c r="A7" s="42" t="s">
        <v>17</v>
      </c>
      <c r="B7" s="49" t="str">
        <f>VLOOKUP(A7,[19]LISTADHERENT!A$5:H$60,3,0)</f>
        <v>BAKOP ACHILLE</v>
      </c>
      <c r="C7" s="48">
        <f>MVTRESUME24!C8+MVTRESUME24!D8</f>
        <v>1356964</v>
      </c>
      <c r="D7" s="48">
        <f>+MVTRESUME24!L8</f>
        <v>236000</v>
      </c>
      <c r="E7" s="48">
        <f>+MVTRESUME24!M8</f>
        <v>12000</v>
      </c>
      <c r="F7" s="48">
        <f>+MVTRESUME24!N8</f>
        <v>12000</v>
      </c>
      <c r="G7" s="48">
        <f>+MVTRESUME24!O8</f>
        <v>48000</v>
      </c>
      <c r="H7" s="48">
        <f>+MVTRESUME24!P8</f>
        <v>15000</v>
      </c>
      <c r="I7" s="48">
        <f>+MVTRESUME24!Q8</f>
        <v>0</v>
      </c>
      <c r="J7" s="48">
        <f>+MVTRESUME24!R8</f>
        <v>0</v>
      </c>
      <c r="K7" s="48">
        <f>+MVTRESUME24!W8</f>
        <v>600000</v>
      </c>
      <c r="L7" s="165">
        <f>+MVTRESUME24!AM8</f>
        <v>117000</v>
      </c>
      <c r="M7" s="166">
        <f>IF(L7=0,"",VLOOKUP(A7,MVTRESUME24!A8:AQ42,38,0))</f>
        <v>45474</v>
      </c>
      <c r="N7" s="48">
        <v>0</v>
      </c>
      <c r="O7" s="48">
        <v>0</v>
      </c>
      <c r="P7" s="48">
        <v>0</v>
      </c>
      <c r="Q7" s="48">
        <v>0</v>
      </c>
      <c r="R7" s="168"/>
    </row>
    <row r="8" spans="1:18" ht="15.5" x14ac:dyDescent="0.35">
      <c r="A8" s="42" t="s">
        <v>19</v>
      </c>
      <c r="B8" s="49" t="str">
        <f>VLOOKUP(A8,[19]LISTADHERENT!A$5:H$60,3,0)</f>
        <v>BOUTCHOUANG WILLIAM</v>
      </c>
      <c r="C8" s="48">
        <f>MVTRESUME24!C9+MVTRESUME24!D9</f>
        <v>700033.12626320519</v>
      </c>
      <c r="D8" s="48">
        <f>+MVTRESUME24!L9</f>
        <v>225000</v>
      </c>
      <c r="E8" s="48">
        <f>+MVTRESUME24!M9</f>
        <v>12000</v>
      </c>
      <c r="F8" s="48">
        <f>+MVTRESUME24!N9</f>
        <v>12000</v>
      </c>
      <c r="G8" s="48">
        <f>+MVTRESUME24!O9</f>
        <v>48000</v>
      </c>
      <c r="H8" s="48">
        <f>+MVTRESUME24!P9</f>
        <v>6000</v>
      </c>
      <c r="I8" s="48">
        <f>+MVTRESUME24!Q9</f>
        <v>0</v>
      </c>
      <c r="J8" s="48">
        <f>+MVTRESUME24!R9</f>
        <v>0</v>
      </c>
      <c r="K8" s="48">
        <f>+MVTRESUME24!W9</f>
        <v>500000</v>
      </c>
      <c r="L8" s="165">
        <f>+MVTRESUME24!AM9</f>
        <v>60000</v>
      </c>
      <c r="M8" s="166">
        <f>IF(L8=0,"",VLOOKUP(A8,MVTRESUME24!A9:AQ43,38,0))</f>
        <v>45352</v>
      </c>
      <c r="N8" s="48">
        <v>0</v>
      </c>
      <c r="O8" s="48">
        <v>0</v>
      </c>
      <c r="P8" s="48">
        <v>0</v>
      </c>
      <c r="Q8" s="48">
        <v>0</v>
      </c>
      <c r="R8" s="168"/>
    </row>
    <row r="9" spans="1:18" ht="15.5" x14ac:dyDescent="0.35">
      <c r="A9" s="42" t="s">
        <v>23</v>
      </c>
      <c r="B9" s="49" t="str">
        <f>VLOOKUP(A9,[19]LISTADHERENT!A$5:H$60,3,0)</f>
        <v xml:space="preserve">DJOMO JEAN PAUL </v>
      </c>
      <c r="C9" s="48">
        <f>MVTRESUME24!C10+MVTRESUME24!D10</f>
        <v>753357.82624304004</v>
      </c>
      <c r="D9" s="48">
        <f>+MVTRESUME24!L10</f>
        <v>220500</v>
      </c>
      <c r="E9" s="48">
        <f>+MVTRESUME24!M10</f>
        <v>12000</v>
      </c>
      <c r="F9" s="48">
        <f>+MVTRESUME24!N10</f>
        <v>12000</v>
      </c>
      <c r="G9" s="48">
        <f>+MVTRESUME24!O10</f>
        <v>48000</v>
      </c>
      <c r="H9" s="48">
        <f>+MVTRESUME24!P10</f>
        <v>0</v>
      </c>
      <c r="I9" s="48">
        <f>+MVTRESUME24!Q10</f>
        <v>0</v>
      </c>
      <c r="J9" s="48">
        <f>+MVTRESUME24!R10</f>
        <v>0</v>
      </c>
      <c r="K9" s="48">
        <f>+MVTRESUME24!W10</f>
        <v>1000000</v>
      </c>
      <c r="L9" s="165">
        <f>+MVTRESUME24!AM10</f>
        <v>120000</v>
      </c>
      <c r="M9" s="166">
        <f>IF(L9=0,"",VLOOKUP(A9,MVTRESUME24!A10:AQ44,38,0))</f>
        <v>45627</v>
      </c>
      <c r="N9" s="48">
        <v>0</v>
      </c>
      <c r="O9" s="48">
        <v>0</v>
      </c>
      <c r="P9" s="48">
        <v>0</v>
      </c>
      <c r="Q9" s="48">
        <v>0</v>
      </c>
      <c r="R9" s="168"/>
    </row>
    <row r="10" spans="1:18" ht="15.5" x14ac:dyDescent="0.35">
      <c r="A10" s="42" t="s">
        <v>154</v>
      </c>
      <c r="B10" s="49" t="str">
        <f>VLOOKUP(A10,[19]LISTADHERENT!A$5:H$60,3,0)</f>
        <v>DJOMOU TCHAPDA</v>
      </c>
      <c r="C10" s="48">
        <f>MVTRESUME24!C11+MVTRESUME24!D11</f>
        <v>700294.6792959054</v>
      </c>
      <c r="D10" s="48">
        <f>+MVTRESUME24!L11</f>
        <v>221500</v>
      </c>
      <c r="E10" s="48">
        <f>+MVTRESUME24!M11</f>
        <v>12000</v>
      </c>
      <c r="F10" s="48">
        <f>+MVTRESUME24!N11</f>
        <v>12000</v>
      </c>
      <c r="G10" s="48">
        <f>+MVTRESUME24!O11</f>
        <v>48000</v>
      </c>
      <c r="H10" s="48">
        <f>+MVTRESUME24!P11</f>
        <v>9000</v>
      </c>
      <c r="I10" s="48">
        <f>+MVTRESUME24!Q11</f>
        <v>0</v>
      </c>
      <c r="J10" s="48">
        <f>+MVTRESUME24!R11</f>
        <v>0</v>
      </c>
      <c r="K10" s="48">
        <f>+MVTRESUME24!W11</f>
        <v>1000000</v>
      </c>
      <c r="L10" s="165">
        <f>+MVTRESUME24!AM11</f>
        <v>120000</v>
      </c>
      <c r="M10" s="166">
        <f>IF(L10=0,"",VLOOKUP(A10,MVTRESUME24!A11:AQ45,38,0))</f>
        <v>45627</v>
      </c>
      <c r="N10" s="48">
        <v>0</v>
      </c>
      <c r="O10" s="48">
        <v>0</v>
      </c>
      <c r="P10" s="48">
        <v>0</v>
      </c>
      <c r="Q10" s="48">
        <v>0</v>
      </c>
      <c r="R10" s="168"/>
    </row>
    <row r="11" spans="1:18" ht="15.5" x14ac:dyDescent="0.35">
      <c r="A11" s="42" t="s">
        <v>24</v>
      </c>
      <c r="B11" s="49" t="str">
        <f>VLOOKUP(A11,[19]LISTADHERENT!A$5:H$60,3,0)</f>
        <v>DJOUKWE NANGUEN GUY BLAISE</v>
      </c>
      <c r="C11" s="48">
        <f>MVTRESUME24!C12+MVTRESUME24!D12</f>
        <v>702196.76789740683</v>
      </c>
      <c r="D11" s="48">
        <f>+MVTRESUME24!L12</f>
        <v>251000</v>
      </c>
      <c r="E11" s="48">
        <f>+MVTRESUME24!M12</f>
        <v>12000</v>
      </c>
      <c r="F11" s="48">
        <f>+MVTRESUME24!N12</f>
        <v>12000</v>
      </c>
      <c r="G11" s="48">
        <f>+MVTRESUME24!O12</f>
        <v>48000</v>
      </c>
      <c r="H11" s="48">
        <f>+MVTRESUME24!P12</f>
        <v>3000</v>
      </c>
      <c r="I11" s="48">
        <f>+MVTRESUME24!Q12</f>
        <v>0</v>
      </c>
      <c r="J11" s="48">
        <f>+MVTRESUME24!R12</f>
        <v>0</v>
      </c>
      <c r="K11" s="48">
        <f>+MVTRESUME24!W12</f>
        <v>1000000</v>
      </c>
      <c r="L11" s="165">
        <f>+MVTRESUME24!AM12</f>
        <v>60000</v>
      </c>
      <c r="M11" s="166">
        <f>IF(L11=0,"",VLOOKUP(A11,MVTRESUME24!A12:AQ46,38,0))</f>
        <v>45474</v>
      </c>
      <c r="N11" s="48">
        <v>0</v>
      </c>
      <c r="O11" s="48">
        <v>0</v>
      </c>
      <c r="P11" s="48">
        <v>0</v>
      </c>
      <c r="Q11" s="48">
        <v>0</v>
      </c>
      <c r="R11" s="168"/>
    </row>
    <row r="12" spans="1:18" ht="15.5" x14ac:dyDescent="0.35">
      <c r="A12" s="42" t="s">
        <v>25</v>
      </c>
      <c r="B12" s="49" t="str">
        <f>VLOOKUP(A12,[19]LISTADHERENT!A$5:H$60,3,0)</f>
        <v>DJUOMBESSY ANTOINE</v>
      </c>
      <c r="C12" s="48">
        <f>MVTRESUME24!C13+MVTRESUME24!D13</f>
        <v>714513.27745162044</v>
      </c>
      <c r="D12" s="48">
        <f>+MVTRESUME24!L13</f>
        <v>295600</v>
      </c>
      <c r="E12" s="48">
        <f>+MVTRESUME24!M13</f>
        <v>12000</v>
      </c>
      <c r="F12" s="48">
        <f>+MVTRESUME24!N13</f>
        <v>12000</v>
      </c>
      <c r="G12" s="48">
        <f>+MVTRESUME24!O13</f>
        <v>48000</v>
      </c>
      <c r="H12" s="48">
        <f>+MVTRESUME24!P13</f>
        <v>0</v>
      </c>
      <c r="I12" s="48">
        <f>+MVTRESUME24!Q13</f>
        <v>0</v>
      </c>
      <c r="J12" s="48">
        <f>+MVTRESUME24!R13</f>
        <v>0</v>
      </c>
      <c r="K12" s="48">
        <f>+MVTRESUME24!W13</f>
        <v>1000000</v>
      </c>
      <c r="L12" s="165">
        <f>+MVTRESUME24!AM13</f>
        <v>68400</v>
      </c>
      <c r="M12" s="166">
        <f>IF(L12=0,"",VLOOKUP(A12,MVTRESUME24!A13:AQ47,38,0))</f>
        <v>45627</v>
      </c>
      <c r="N12" s="48">
        <v>0</v>
      </c>
      <c r="O12" s="48">
        <v>0</v>
      </c>
      <c r="P12" s="48">
        <v>0</v>
      </c>
      <c r="Q12" s="48">
        <v>0</v>
      </c>
      <c r="R12" s="168"/>
    </row>
    <row r="13" spans="1:18" ht="15.5" x14ac:dyDescent="0.35">
      <c r="A13" s="42" t="s">
        <v>79</v>
      </c>
      <c r="B13" s="49" t="str">
        <f>VLOOKUP(A13,[19]LISTADHERENT!A$5:H$60,3,0)</f>
        <v>DOMOU FABIEN</v>
      </c>
      <c r="C13" s="48">
        <f>MVTRESUME24!C14+MVTRESUME24!D14</f>
        <v>700041.23580590985</v>
      </c>
      <c r="D13" s="48">
        <f>+MVTRESUME24!L14</f>
        <v>228000</v>
      </c>
      <c r="E13" s="48">
        <f>+MVTRESUME24!M14</f>
        <v>12000</v>
      </c>
      <c r="F13" s="48">
        <f>+MVTRESUME24!N14</f>
        <v>12000</v>
      </c>
      <c r="G13" s="48">
        <f>+MVTRESUME24!O14</f>
        <v>48000</v>
      </c>
      <c r="H13" s="48">
        <f>+MVTRESUME24!P14</f>
        <v>0</v>
      </c>
      <c r="I13" s="48">
        <f>+MVTRESUME24!Q14</f>
        <v>0</v>
      </c>
      <c r="J13" s="48">
        <f>+MVTRESUME24!R14</f>
        <v>0</v>
      </c>
      <c r="K13" s="48">
        <f>+MVTRESUME24!W14</f>
        <v>0</v>
      </c>
      <c r="L13" s="165">
        <f>+MVTRESUME24!AM14</f>
        <v>120000</v>
      </c>
      <c r="M13" s="166">
        <f>IF(L13=0,"",VLOOKUP(A13,MVTRESUME24!A14:AQ48,38,0))</f>
        <v>45627</v>
      </c>
      <c r="N13" s="48">
        <v>0</v>
      </c>
      <c r="O13" s="48">
        <v>0</v>
      </c>
      <c r="P13" s="48">
        <v>0</v>
      </c>
      <c r="Q13" s="48">
        <v>0</v>
      </c>
      <c r="R13" s="168"/>
    </row>
    <row r="14" spans="1:18" ht="15.5" x14ac:dyDescent="0.35">
      <c r="A14" s="42" t="s">
        <v>26</v>
      </c>
      <c r="B14" s="49" t="str">
        <f>VLOOKUP(A14,[19]LISTADHERENT!A$5:H$60,3,0)</f>
        <v>DONHOU DAVID</v>
      </c>
      <c r="C14" s="48">
        <f>MVTRESUME24!C15+MVTRESUME24!D15</f>
        <v>1218031.291016574</v>
      </c>
      <c r="D14" s="48">
        <f>+MVTRESUME24!L15</f>
        <v>228000</v>
      </c>
      <c r="E14" s="48">
        <f>+MVTRESUME24!M15</f>
        <v>12000</v>
      </c>
      <c r="F14" s="48">
        <f>+MVTRESUME24!N15</f>
        <v>12000</v>
      </c>
      <c r="G14" s="48">
        <f>+MVTRESUME24!O15</f>
        <v>48000</v>
      </c>
      <c r="H14" s="48">
        <f>+MVTRESUME24!P15</f>
        <v>3000</v>
      </c>
      <c r="I14" s="48">
        <f>+MVTRESUME24!Q15</f>
        <v>0</v>
      </c>
      <c r="J14" s="48">
        <f>+MVTRESUME24!R15</f>
        <v>0</v>
      </c>
      <c r="K14" s="48">
        <f>+MVTRESUME24!W15</f>
        <v>0</v>
      </c>
      <c r="L14" s="165">
        <f>+MVTRESUME24!AM15</f>
        <v>0</v>
      </c>
      <c r="M14" s="166" t="str">
        <f>IF(L14=0,"",VLOOKUP(A14,MVTRESUME24!A15:AQ49,38,0))</f>
        <v/>
      </c>
      <c r="N14" s="48">
        <v>0</v>
      </c>
      <c r="O14" s="48">
        <v>0</v>
      </c>
      <c r="P14" s="48">
        <v>0</v>
      </c>
      <c r="Q14" s="48">
        <v>0</v>
      </c>
      <c r="R14" s="168"/>
    </row>
    <row r="15" spans="1:18" ht="14.25" customHeight="1" x14ac:dyDescent="0.35">
      <c r="A15" s="42" t="s">
        <v>28</v>
      </c>
      <c r="B15" s="49" t="str">
        <f>VLOOKUP(A15,[19]LISTADHERENT!A$5:H$60,3,0)</f>
        <v>HENGUE PAUL OMER</v>
      </c>
      <c r="C15" s="48">
        <f>MVTRESUME24!C16+MVTRESUME24!D16</f>
        <v>757899.60350092198</v>
      </c>
      <c r="D15" s="48">
        <f>+MVTRESUME24!L16</f>
        <v>228000</v>
      </c>
      <c r="E15" s="48">
        <f>+MVTRESUME24!M16</f>
        <v>12000</v>
      </c>
      <c r="F15" s="48">
        <f>+MVTRESUME24!N16</f>
        <v>12000</v>
      </c>
      <c r="G15" s="48">
        <f>+MVTRESUME24!O16</f>
        <v>48000</v>
      </c>
      <c r="H15" s="48">
        <f>+MVTRESUME24!P16</f>
        <v>0</v>
      </c>
      <c r="I15" s="48">
        <f>+MVTRESUME24!Q16</f>
        <v>0</v>
      </c>
      <c r="J15" s="48">
        <f>+MVTRESUME24!R16</f>
        <v>0</v>
      </c>
      <c r="K15" s="48">
        <f>+MVTRESUME24!W16</f>
        <v>1000000</v>
      </c>
      <c r="L15" s="165">
        <f>+MVTRESUME24!AM16</f>
        <v>70000</v>
      </c>
      <c r="M15" s="166">
        <f>IF(L15=0,"",VLOOKUP(A15,MVTRESUME24!A16:AQ50,38,0))</f>
        <v>45627</v>
      </c>
      <c r="N15" s="48">
        <v>0</v>
      </c>
      <c r="O15" s="48">
        <v>0</v>
      </c>
      <c r="P15" s="48">
        <v>0</v>
      </c>
      <c r="Q15" s="48">
        <v>0</v>
      </c>
      <c r="R15" s="168"/>
    </row>
    <row r="16" spans="1:18" ht="15.5" x14ac:dyDescent="0.35">
      <c r="A16" s="42" t="s">
        <v>29</v>
      </c>
      <c r="B16" s="49" t="str">
        <f>VLOOKUP(A16,[19]LISTADHERENT!A$5:H$60,3,0)</f>
        <v>HOTCHO BENJAMIN</v>
      </c>
      <c r="C16" s="48">
        <f>MVTRESUME24!C17+MVTRESUME24!D17</f>
        <v>729661.20810410159</v>
      </c>
      <c r="D16" s="48">
        <f>+MVTRESUME24!L17</f>
        <v>587000</v>
      </c>
      <c r="E16" s="48">
        <f>+MVTRESUME24!M17</f>
        <v>12000</v>
      </c>
      <c r="F16" s="48">
        <f>+MVTRESUME24!N17</f>
        <v>12000</v>
      </c>
      <c r="G16" s="48">
        <f>+MVTRESUME24!O17</f>
        <v>48000</v>
      </c>
      <c r="H16" s="48">
        <f>+MVTRESUME24!P17</f>
        <v>0</v>
      </c>
      <c r="I16" s="48">
        <f>+MVTRESUME24!Q17</f>
        <v>0</v>
      </c>
      <c r="J16" s="48">
        <f>+MVTRESUME24!R17</f>
        <v>0</v>
      </c>
      <c r="K16" s="48">
        <f>+MVTRESUME24!W17</f>
        <v>0</v>
      </c>
      <c r="L16" s="165">
        <f>+MVTRESUME24!AM17</f>
        <v>30000</v>
      </c>
      <c r="M16" s="166">
        <f>IF(L16=0,"",VLOOKUP(A16,MVTRESUME24!A17:AQ51,38,0))</f>
        <v>45627</v>
      </c>
      <c r="N16" s="48">
        <v>0</v>
      </c>
      <c r="O16" s="48">
        <v>0</v>
      </c>
      <c r="P16" s="48">
        <v>0</v>
      </c>
      <c r="Q16" s="48">
        <v>0</v>
      </c>
      <c r="R16" s="168"/>
    </row>
    <row r="17" spans="1:18" ht="15.5" x14ac:dyDescent="0.35">
      <c r="A17" s="42" t="s">
        <v>33</v>
      </c>
      <c r="B17" s="49" t="str">
        <f>VLOOKUP(A17,[19]LISTADHERENT!A$5:H$60,3,0)</f>
        <v>KOUAMOU MOISE</v>
      </c>
      <c r="C17" s="48">
        <f>MVTRESUME24!C18+MVTRESUME24!D18</f>
        <v>709267.50515287893</v>
      </c>
      <c r="D17" s="48">
        <f>+MVTRESUME24!L18</f>
        <v>224000</v>
      </c>
      <c r="E17" s="48">
        <f>+MVTRESUME24!M18</f>
        <v>12000</v>
      </c>
      <c r="F17" s="48">
        <f>+MVTRESUME24!N18</f>
        <v>12000</v>
      </c>
      <c r="G17" s="48">
        <f>+MVTRESUME24!O18</f>
        <v>48000</v>
      </c>
      <c r="H17" s="48">
        <f>+MVTRESUME24!P18</f>
        <v>6000</v>
      </c>
      <c r="I17" s="48">
        <f>+MVTRESUME24!Q18</f>
        <v>0</v>
      </c>
      <c r="J17" s="48">
        <f>+MVTRESUME24!R18</f>
        <v>0</v>
      </c>
      <c r="K17" s="48">
        <f>+MVTRESUME24!W18</f>
        <v>330000</v>
      </c>
      <c r="L17" s="165">
        <f>+MVTRESUME24!AM18</f>
        <v>110000</v>
      </c>
      <c r="M17" s="166">
        <f>IF(L17=0,"",VLOOKUP(A17,MVTRESUME24!A18:AQ52,38,0))</f>
        <v>45627</v>
      </c>
      <c r="N17" s="48">
        <v>0</v>
      </c>
      <c r="O17" s="48">
        <v>0</v>
      </c>
      <c r="P17" s="48">
        <v>0</v>
      </c>
      <c r="Q17" s="48">
        <v>100000</v>
      </c>
      <c r="R17" s="168"/>
    </row>
    <row r="18" spans="1:18" ht="15.5" x14ac:dyDescent="0.35">
      <c r="A18" s="42" t="s">
        <v>35</v>
      </c>
      <c r="B18" s="49" t="str">
        <f>VLOOKUP(A18,[19]LISTADHERENT!A$5:H$60,3,0)</f>
        <v>KOUATCHO MESSACK</v>
      </c>
      <c r="C18" s="48">
        <f>MVTRESUME24!C19+MVTRESUME24!D19</f>
        <v>724428.62806524511</v>
      </c>
      <c r="D18" s="48">
        <f>+MVTRESUME24!L19</f>
        <v>320000</v>
      </c>
      <c r="E18" s="48">
        <f>+MVTRESUME24!M19</f>
        <v>12000</v>
      </c>
      <c r="F18" s="48">
        <f>+MVTRESUME24!N19</f>
        <v>12000</v>
      </c>
      <c r="G18" s="48">
        <f>+MVTRESUME24!O19</f>
        <v>48000</v>
      </c>
      <c r="H18" s="48">
        <f>+MVTRESUME24!P19</f>
        <v>6000</v>
      </c>
      <c r="I18" s="48">
        <f>+MVTRESUME24!Q19</f>
        <v>0</v>
      </c>
      <c r="J18" s="48">
        <f>+MVTRESUME24!R19</f>
        <v>0</v>
      </c>
      <c r="K18" s="48">
        <f>+MVTRESUME24!W19</f>
        <v>1000000</v>
      </c>
      <c r="L18" s="165">
        <f>+MVTRESUME24!AM19</f>
        <v>64000</v>
      </c>
      <c r="M18" s="166">
        <f>IF(L18=0,"",VLOOKUP(A18,MVTRESUME24!A19:AQ53,38,0))</f>
        <v>45627</v>
      </c>
      <c r="N18" s="48">
        <v>0</v>
      </c>
      <c r="O18" s="48">
        <v>0</v>
      </c>
      <c r="P18" s="48">
        <v>0</v>
      </c>
      <c r="Q18" s="48">
        <v>0</v>
      </c>
      <c r="R18" s="168"/>
    </row>
    <row r="19" spans="1:18" ht="15.5" x14ac:dyDescent="0.35">
      <c r="A19" s="42" t="s">
        <v>36</v>
      </c>
      <c r="B19" s="49" t="str">
        <f>VLOOKUP(A19,[19]LISTADHERENT!A$5:H$60,3,0)</f>
        <v>LOWE JEAN</v>
      </c>
      <c r="C19" s="48">
        <f>MVTRESUME24!C20+MVTRESUME24!D20</f>
        <v>1352434</v>
      </c>
      <c r="D19" s="48">
        <f>+MVTRESUME24!L20</f>
        <v>0</v>
      </c>
      <c r="E19" s="48">
        <f>+MVTRESUME24!M20</f>
        <v>0</v>
      </c>
      <c r="F19" s="48">
        <f>+MVTRESUME24!N20</f>
        <v>0</v>
      </c>
      <c r="G19" s="48">
        <f>+MVTRESUME24!O20</f>
        <v>0</v>
      </c>
      <c r="H19" s="48">
        <f>+MVTRESUME24!P20</f>
        <v>0</v>
      </c>
      <c r="I19" s="48">
        <f>+MVTRESUME24!Q20</f>
        <v>0</v>
      </c>
      <c r="J19" s="48">
        <f>+MVTRESUME24!R20</f>
        <v>0</v>
      </c>
      <c r="K19" s="48">
        <f>+MVTRESUME24!W20</f>
        <v>0</v>
      </c>
      <c r="L19" s="165">
        <f>+MVTRESUME24!AM20</f>
        <v>0</v>
      </c>
      <c r="M19" s="166" t="str">
        <f>IF(L19=0,"",VLOOKUP(A19,MVTRESUME24!A20:AQ54,38,0))</f>
        <v/>
      </c>
      <c r="N19" s="48">
        <v>0</v>
      </c>
      <c r="O19" s="48">
        <v>0</v>
      </c>
      <c r="P19" s="48">
        <v>0</v>
      </c>
      <c r="Q19" s="48">
        <v>0</v>
      </c>
      <c r="R19" s="168"/>
    </row>
    <row r="20" spans="1:18" ht="15.5" x14ac:dyDescent="0.35">
      <c r="A20" s="42" t="s">
        <v>329</v>
      </c>
      <c r="B20" s="49" t="str">
        <f>VLOOKUP(A20,[19]LISTADHERENT!A$5:H$60,3,0)</f>
        <v>MASSEUNGOUE DAGOBERT</v>
      </c>
      <c r="C20" s="48">
        <f>MVTRESUME24!C21+MVTRESUME24!D21</f>
        <v>0</v>
      </c>
      <c r="D20" s="48">
        <f>+MVTRESUME24!L21</f>
        <v>525500</v>
      </c>
      <c r="E20" s="48">
        <f>+MVTRESUME24!M21</f>
        <v>12000</v>
      </c>
      <c r="F20" s="48">
        <f>+MVTRESUME24!N21</f>
        <v>12000</v>
      </c>
      <c r="G20" s="48">
        <f>+MVTRESUME24!O21</f>
        <v>48000</v>
      </c>
      <c r="H20" s="48">
        <f>+MVTRESUME24!P21</f>
        <v>0</v>
      </c>
      <c r="I20" s="48">
        <f>+MVTRESUME24!Q21</f>
        <v>25000</v>
      </c>
      <c r="J20" s="48">
        <f>+MVTRESUME24!R21</f>
        <v>0</v>
      </c>
      <c r="K20" s="48">
        <f>+MVTRESUME24!W21</f>
        <v>0</v>
      </c>
      <c r="L20" s="165">
        <f>+MVTRESUME24!AM21</f>
        <v>0</v>
      </c>
      <c r="M20" s="166" t="str">
        <f>IF(L20=0,"",VLOOKUP(A20,MVTRESUME24!A21:AQ55,38,0))</f>
        <v/>
      </c>
      <c r="N20" s="48">
        <v>0</v>
      </c>
      <c r="O20" s="48">
        <v>0</v>
      </c>
      <c r="P20" s="48">
        <v>0</v>
      </c>
      <c r="Q20" s="48">
        <v>0</v>
      </c>
      <c r="R20" s="168"/>
    </row>
    <row r="21" spans="1:18" ht="15.5" x14ac:dyDescent="0.35">
      <c r="A21" s="42" t="s">
        <v>75</v>
      </c>
      <c r="B21" s="49" t="str">
        <f>VLOOKUP(A21,[19]LISTADHERENT!A$5:H$60,3,0)</f>
        <v>MBOGNING TUGMA GUY</v>
      </c>
      <c r="C21" s="48">
        <f>MVTRESUME24!C22+MVTRESUME24!D22</f>
        <v>731709.39724118263</v>
      </c>
      <c r="D21" s="48">
        <f>+MVTRESUME24!L22</f>
        <v>226500</v>
      </c>
      <c r="E21" s="48">
        <f>+MVTRESUME24!M22</f>
        <v>12000</v>
      </c>
      <c r="F21" s="48">
        <f>+MVTRESUME24!N22</f>
        <v>12000</v>
      </c>
      <c r="G21" s="48">
        <f>+MVTRESUME24!O22</f>
        <v>48000</v>
      </c>
      <c r="H21" s="48">
        <f>+MVTRESUME24!P22</f>
        <v>0</v>
      </c>
      <c r="I21" s="48">
        <f>+MVTRESUME24!Q22</f>
        <v>0</v>
      </c>
      <c r="J21" s="48">
        <f>+MVTRESUME24!R22</f>
        <v>0</v>
      </c>
      <c r="K21" s="48">
        <f>+MVTRESUME24!W22</f>
        <v>1000000</v>
      </c>
      <c r="L21" s="165">
        <f>+MVTRESUME24!AM22</f>
        <v>120000</v>
      </c>
      <c r="M21" s="166">
        <f>IF(L21=0,"",VLOOKUP(A21,MVTRESUME24!A22:AQ56,38,0))</f>
        <v>45627</v>
      </c>
      <c r="N21" s="48">
        <v>0</v>
      </c>
      <c r="O21" s="48">
        <v>0</v>
      </c>
      <c r="P21" s="48">
        <v>0</v>
      </c>
      <c r="Q21" s="48">
        <v>0</v>
      </c>
      <c r="R21" s="168"/>
    </row>
    <row r="22" spans="1:18" ht="15.5" x14ac:dyDescent="0.35">
      <c r="A22" s="42" t="s">
        <v>50</v>
      </c>
      <c r="B22" s="49" t="str">
        <f>VLOOKUP(A22,[19]LISTADHERENT!A$5:H$60,3,0)</f>
        <v>NANGUEN MARTIN</v>
      </c>
      <c r="C22" s="48">
        <f>MVTRESUME24!C23+MVTRESUME24!D23</f>
        <v>701150.36208088184</v>
      </c>
      <c r="D22" s="48">
        <f>+MVTRESUME24!L23</f>
        <v>228000</v>
      </c>
      <c r="E22" s="48">
        <f>+MVTRESUME24!M23</f>
        <v>12000</v>
      </c>
      <c r="F22" s="48">
        <f>+MVTRESUME24!N23</f>
        <v>12000</v>
      </c>
      <c r="G22" s="48">
        <f>+MVTRESUME24!O23</f>
        <v>48000</v>
      </c>
      <c r="H22" s="48">
        <f>+MVTRESUME24!P23</f>
        <v>0</v>
      </c>
      <c r="I22" s="48">
        <f>+MVTRESUME24!Q23</f>
        <v>0</v>
      </c>
      <c r="J22" s="48">
        <f>+MVTRESUME24!R23</f>
        <v>0</v>
      </c>
      <c r="K22" s="48">
        <f>+MVTRESUME24!W23</f>
        <v>0</v>
      </c>
      <c r="L22" s="165">
        <f>+MVTRESUME24!AM23</f>
        <v>64500</v>
      </c>
      <c r="M22" s="166">
        <f>IF(L22=0,"",VLOOKUP(A22,MVTRESUME24!A23:AQ57,38,0))</f>
        <v>45474</v>
      </c>
      <c r="N22" s="48">
        <v>0</v>
      </c>
      <c r="O22" s="48">
        <v>0</v>
      </c>
      <c r="P22" s="48">
        <v>0</v>
      </c>
      <c r="Q22" s="48">
        <v>0</v>
      </c>
      <c r="R22" s="168"/>
    </row>
    <row r="23" spans="1:18" ht="15.5" x14ac:dyDescent="0.35">
      <c r="A23" s="42" t="s">
        <v>37</v>
      </c>
      <c r="B23" s="49" t="str">
        <f>VLOOKUP(A23,[19]LISTADHERENT!A$5:H$60,3,0)</f>
        <v>NANKAM APPOLINAIRE</v>
      </c>
      <c r="C23" s="48">
        <f>MVTRESUME24!C24+MVTRESUME24!D24</f>
        <v>800402.23439018801</v>
      </c>
      <c r="D23" s="48">
        <f>+MVTRESUME24!L24</f>
        <v>228000</v>
      </c>
      <c r="E23" s="48">
        <f>+MVTRESUME24!M24</f>
        <v>12000</v>
      </c>
      <c r="F23" s="48">
        <f>+MVTRESUME24!N24</f>
        <v>12000</v>
      </c>
      <c r="G23" s="48">
        <f>+MVTRESUME24!O24</f>
        <v>48000</v>
      </c>
      <c r="H23" s="48">
        <f>+MVTRESUME24!P24</f>
        <v>3000</v>
      </c>
      <c r="I23" s="48">
        <f>+MVTRESUME24!Q24</f>
        <v>0</v>
      </c>
      <c r="J23" s="48">
        <f>+MVTRESUME24!R24</f>
        <v>0</v>
      </c>
      <c r="K23" s="48">
        <f>+MVTRESUME24!W24</f>
        <v>900000</v>
      </c>
      <c r="L23" s="165">
        <f>+MVTRESUME24!AM24</f>
        <v>120000</v>
      </c>
      <c r="M23" s="166">
        <f>IF(L23=0,"",VLOOKUP(A23,MVTRESUME24!A24:AQ58,38,0))</f>
        <v>45627</v>
      </c>
      <c r="N23" s="48">
        <v>0</v>
      </c>
      <c r="O23" s="48">
        <v>0</v>
      </c>
      <c r="P23" s="48">
        <v>0</v>
      </c>
      <c r="Q23" s="48">
        <v>0</v>
      </c>
      <c r="R23" s="168"/>
    </row>
    <row r="24" spans="1:18" ht="15.5" x14ac:dyDescent="0.35">
      <c r="A24" s="42" t="s">
        <v>38</v>
      </c>
      <c r="B24" s="49" t="str">
        <f>VLOOKUP(A24,[19]LISTADHERENT!A$5:H$60,3,0)</f>
        <v>NDJOMO ETIENNE</v>
      </c>
      <c r="C24" s="48">
        <f>MVTRESUME24!C25+MVTRESUME24!D25</f>
        <v>924970.61781197961</v>
      </c>
      <c r="D24" s="48">
        <f>+MVTRESUME24!L25</f>
        <v>368000</v>
      </c>
      <c r="E24" s="48">
        <f>+MVTRESUME24!M25</f>
        <v>12000</v>
      </c>
      <c r="F24" s="48">
        <f>+MVTRESUME24!N25</f>
        <v>12000</v>
      </c>
      <c r="G24" s="48">
        <f>+MVTRESUME24!O25</f>
        <v>48000</v>
      </c>
      <c r="H24" s="48">
        <f>+MVTRESUME24!P25</f>
        <v>0</v>
      </c>
      <c r="I24" s="48">
        <f>+MVTRESUME24!Q25</f>
        <v>0</v>
      </c>
      <c r="J24" s="48">
        <f>+MVTRESUME24!R25</f>
        <v>0</v>
      </c>
      <c r="K24" s="48">
        <f>+MVTRESUME24!W25</f>
        <v>500000</v>
      </c>
      <c r="L24" s="165">
        <f>+MVTRESUME24!AM25</f>
        <v>60000</v>
      </c>
      <c r="M24" s="166">
        <f>IF(L24=0,"",VLOOKUP(A24,MVTRESUME24!A25:AQ59,38,0))</f>
        <v>45627</v>
      </c>
      <c r="N24" s="48">
        <v>0</v>
      </c>
      <c r="O24" s="48">
        <v>0</v>
      </c>
      <c r="P24" s="48">
        <v>0</v>
      </c>
      <c r="Q24" s="48">
        <v>0</v>
      </c>
      <c r="R24" s="168"/>
    </row>
    <row r="25" spans="1:18" ht="15.5" x14ac:dyDescent="0.35">
      <c r="A25" s="42" t="s">
        <v>39</v>
      </c>
      <c r="B25" s="49" t="str">
        <f>VLOOKUP(A25,[19]LISTADHERENT!A$5:H$60,3,0)</f>
        <v>NGONDIEP CLAUDE</v>
      </c>
      <c r="C25" s="48">
        <f>MVTRESUME24!C26+MVTRESUME24!D26</f>
        <v>757632.73227114684</v>
      </c>
      <c r="D25" s="48">
        <f>+MVTRESUME24!L26</f>
        <v>393000</v>
      </c>
      <c r="E25" s="48">
        <f>+MVTRESUME24!M26</f>
        <v>12000</v>
      </c>
      <c r="F25" s="48">
        <f>+MVTRESUME24!N26</f>
        <v>12000</v>
      </c>
      <c r="G25" s="48">
        <f>+MVTRESUME24!O26</f>
        <v>48000</v>
      </c>
      <c r="H25" s="48">
        <f>+MVTRESUME24!P26</f>
        <v>12000</v>
      </c>
      <c r="I25" s="48">
        <f>+MVTRESUME24!Q26</f>
        <v>0</v>
      </c>
      <c r="J25" s="48">
        <f>+MVTRESUME24!R26</f>
        <v>0</v>
      </c>
      <c r="K25" s="48">
        <f>+MVTRESUME24!W26</f>
        <v>0</v>
      </c>
      <c r="L25" s="165">
        <f>+MVTRESUME24!AM26</f>
        <v>120000</v>
      </c>
      <c r="M25" s="166">
        <f>IF(L25=0,"",VLOOKUP(A25,MVTRESUME24!A26:AQ60,38,0))</f>
        <v>45627</v>
      </c>
      <c r="N25" s="48">
        <v>0</v>
      </c>
      <c r="O25" s="48">
        <v>0</v>
      </c>
      <c r="P25" s="48">
        <v>0</v>
      </c>
      <c r="Q25" s="48">
        <v>100000</v>
      </c>
      <c r="R25" s="168"/>
    </row>
    <row r="26" spans="1:18" ht="15.5" x14ac:dyDescent="0.35">
      <c r="A26" s="42" t="s">
        <v>41</v>
      </c>
      <c r="B26" s="49" t="str">
        <f>VLOOKUP(A26,[19]LISTADHERENT!A$5:H$60,3,0)</f>
        <v>NGUIEMEGNI MATHIEU BLAISE</v>
      </c>
      <c r="C26" s="48">
        <f>MVTRESUME24!C27+MVTRESUME24!D27</f>
        <v>720382.7842318085</v>
      </c>
      <c r="D26" s="48">
        <f>+MVTRESUME24!L27</f>
        <v>220500</v>
      </c>
      <c r="E26" s="48">
        <f>+MVTRESUME24!M27</f>
        <v>12000</v>
      </c>
      <c r="F26" s="48">
        <f>+MVTRESUME24!N27</f>
        <v>12000</v>
      </c>
      <c r="G26" s="48">
        <f>+MVTRESUME24!O27</f>
        <v>48000</v>
      </c>
      <c r="H26" s="48">
        <f>+MVTRESUME24!P27</f>
        <v>3000</v>
      </c>
      <c r="I26" s="48">
        <f>+MVTRESUME24!Q27</f>
        <v>0</v>
      </c>
      <c r="J26" s="48">
        <f>+MVTRESUME24!R27</f>
        <v>0</v>
      </c>
      <c r="K26" s="48">
        <f>+MVTRESUME24!W27</f>
        <v>1000000</v>
      </c>
      <c r="L26" s="165">
        <f>+MVTRESUME24!AM27</f>
        <v>120000</v>
      </c>
      <c r="M26" s="166">
        <f>IF(L26=0,"",VLOOKUP(A26,MVTRESUME24!A27:AQ61,38,0))</f>
        <v>45627</v>
      </c>
      <c r="N26" s="48">
        <v>0</v>
      </c>
      <c r="O26" s="48">
        <v>0</v>
      </c>
      <c r="P26" s="48">
        <v>0</v>
      </c>
      <c r="Q26" s="48">
        <v>0</v>
      </c>
      <c r="R26" s="168"/>
    </row>
    <row r="27" spans="1:18" ht="15.5" x14ac:dyDescent="0.35">
      <c r="A27" s="42" t="s">
        <v>43</v>
      </c>
      <c r="B27" s="49" t="str">
        <f>VLOOKUP(A27,[19]LISTADHERENT!A$5:H$60,3,0)</f>
        <v>NKAMGANG JUSTIN DEJOLIE</v>
      </c>
      <c r="C27" s="48">
        <f>MVTRESUME24!C28+MVTRESUME24!D28</f>
        <v>719031.48458375828</v>
      </c>
      <c r="D27" s="48">
        <f>+MVTRESUME24!L28</f>
        <v>229500</v>
      </c>
      <c r="E27" s="48">
        <f>+MVTRESUME24!M28</f>
        <v>12000</v>
      </c>
      <c r="F27" s="48">
        <f>+MVTRESUME24!N28</f>
        <v>12000</v>
      </c>
      <c r="G27" s="48">
        <f>+MVTRESUME24!O28</f>
        <v>48000</v>
      </c>
      <c r="H27" s="48">
        <f>+MVTRESUME24!P28</f>
        <v>0</v>
      </c>
      <c r="I27" s="48">
        <f>+MVTRESUME24!Q28</f>
        <v>0</v>
      </c>
      <c r="J27" s="48">
        <f>+MVTRESUME24!R28</f>
        <v>0</v>
      </c>
      <c r="K27" s="48">
        <f>+MVTRESUME24!W28</f>
        <v>1000000</v>
      </c>
      <c r="L27" s="165">
        <f>+MVTRESUME24!AM28</f>
        <v>90000</v>
      </c>
      <c r="M27" s="166">
        <f>IF(L27=0,"",VLOOKUP(A27,MVTRESUME24!A28:AQ62,38,0))</f>
        <v>45566</v>
      </c>
      <c r="N27" s="48">
        <v>0</v>
      </c>
      <c r="O27" s="48">
        <v>0</v>
      </c>
      <c r="P27" s="48">
        <v>0</v>
      </c>
      <c r="Q27" s="48">
        <v>0</v>
      </c>
      <c r="R27" s="168"/>
    </row>
    <row r="28" spans="1:18" ht="15.5" x14ac:dyDescent="0.35">
      <c r="A28" s="42" t="s">
        <v>172</v>
      </c>
      <c r="B28" s="49" t="str">
        <f>VLOOKUP(A28,[19]LISTADHERENT!A$5:H$60,3,0)</f>
        <v>NOUBE ETIENNE</v>
      </c>
      <c r="C28" s="48">
        <f>MVTRESUME24!C29+MVTRESUME24!D29</f>
        <v>1332038</v>
      </c>
      <c r="D28" s="48">
        <f>+MVTRESUME24!L29</f>
        <v>228000</v>
      </c>
      <c r="E28" s="48">
        <f>+MVTRESUME24!M29</f>
        <v>12000</v>
      </c>
      <c r="F28" s="48">
        <f>+MVTRESUME24!N29</f>
        <v>12000</v>
      </c>
      <c r="G28" s="48">
        <f>+MVTRESUME24!O29</f>
        <v>48000</v>
      </c>
      <c r="H28" s="48">
        <f>+MVTRESUME24!P29</f>
        <v>0</v>
      </c>
      <c r="I28" s="48">
        <f>+MVTRESUME24!Q29</f>
        <v>0</v>
      </c>
      <c r="J28" s="48">
        <f>+MVTRESUME24!R29</f>
        <v>0</v>
      </c>
      <c r="K28" s="48">
        <f>+MVTRESUME24!W29</f>
        <v>0</v>
      </c>
      <c r="L28" s="165">
        <f>+MVTRESUME24!AM29</f>
        <v>9250</v>
      </c>
      <c r="M28" s="166">
        <f>IF(L28=0,"",VLOOKUP(A28,MVTRESUME24!A29:AQ63,38,0))</f>
        <v>45444</v>
      </c>
      <c r="N28" s="48">
        <v>0</v>
      </c>
      <c r="O28" s="48">
        <v>0</v>
      </c>
      <c r="P28" s="48">
        <v>0</v>
      </c>
      <c r="Q28" s="48">
        <v>0</v>
      </c>
      <c r="R28" s="168"/>
    </row>
    <row r="29" spans="1:18" ht="15.5" x14ac:dyDescent="0.35">
      <c r="A29" s="42" t="s">
        <v>45</v>
      </c>
      <c r="B29" s="49" t="str">
        <f>VLOOKUP(A29,[19]LISTADHERENT!A$5:H$60,3,0)</f>
        <v>PATEGO NJOSSU GUSTAVE</v>
      </c>
      <c r="C29" s="48">
        <f>MVTRESUME24!C30+MVTRESUME24!D30</f>
        <v>743697.66630075849</v>
      </c>
      <c r="D29" s="48">
        <f>+MVTRESUME24!L30</f>
        <v>255000</v>
      </c>
      <c r="E29" s="48">
        <f>+MVTRESUME24!M30</f>
        <v>12000</v>
      </c>
      <c r="F29" s="48">
        <f>+MVTRESUME24!N30</f>
        <v>12000</v>
      </c>
      <c r="G29" s="48">
        <f>+MVTRESUME24!O30</f>
        <v>48000</v>
      </c>
      <c r="H29" s="48">
        <f>+MVTRESUME24!P30</f>
        <v>0</v>
      </c>
      <c r="I29" s="48">
        <f>+MVTRESUME24!Q30</f>
        <v>0</v>
      </c>
      <c r="J29" s="48">
        <f>+MVTRESUME24!R30</f>
        <v>0</v>
      </c>
      <c r="K29" s="48">
        <f>+MVTRESUME24!W30</f>
        <v>0</v>
      </c>
      <c r="L29" s="165">
        <f>+MVTRESUME24!AM30</f>
        <v>0</v>
      </c>
      <c r="M29" s="166" t="str">
        <f>IF(L29=0,"",VLOOKUP(A29,MVTRESUME24!A30:AQ64,38,0))</f>
        <v/>
      </c>
      <c r="N29" s="48">
        <v>0</v>
      </c>
      <c r="O29" s="48">
        <v>0</v>
      </c>
      <c r="P29" s="48">
        <v>0</v>
      </c>
      <c r="Q29" s="48">
        <v>0</v>
      </c>
      <c r="R29" s="168"/>
    </row>
    <row r="30" spans="1:18" ht="15.5" x14ac:dyDescent="0.35">
      <c r="A30" s="42" t="s">
        <v>312</v>
      </c>
      <c r="B30" s="49" t="str">
        <f>VLOOKUP(A30,[19]LISTADHERENT!A$5:H$60,3,0)</f>
        <v>SEUMO POLYCARPE</v>
      </c>
      <c r="C30" s="48">
        <f>MVTRESUME24!C31+MVTRESUME24!D31</f>
        <v>245500</v>
      </c>
      <c r="D30" s="48">
        <f>+MVTRESUME24!L31</f>
        <v>685500</v>
      </c>
      <c r="E30" s="48">
        <f>+MVTRESUME24!M31</f>
        <v>12000</v>
      </c>
      <c r="F30" s="48">
        <f>+MVTRESUME24!N31</f>
        <v>12000</v>
      </c>
      <c r="G30" s="48">
        <f>+MVTRESUME24!O31</f>
        <v>48000</v>
      </c>
      <c r="H30" s="48">
        <f>+MVTRESUME24!P31</f>
        <v>0</v>
      </c>
      <c r="I30" s="48">
        <f>+MVTRESUME24!Q31</f>
        <v>0</v>
      </c>
      <c r="J30" s="48">
        <f>+MVTRESUME24!R31</f>
        <v>0</v>
      </c>
      <c r="K30" s="48">
        <f>+MVTRESUME24!W31</f>
        <v>1000000</v>
      </c>
      <c r="L30" s="165">
        <f>+MVTRESUME24!AM31</f>
        <v>0</v>
      </c>
      <c r="M30" s="166" t="str">
        <f>IF(L30=0,"",VLOOKUP(A30,MVTRESUME24!A31:AQ65,38,0))</f>
        <v/>
      </c>
      <c r="N30" s="48">
        <v>0</v>
      </c>
      <c r="O30" s="48">
        <v>0</v>
      </c>
      <c r="P30" s="48">
        <v>0</v>
      </c>
      <c r="Q30" s="48">
        <v>0</v>
      </c>
      <c r="R30" s="168"/>
    </row>
    <row r="31" spans="1:18" ht="15.5" x14ac:dyDescent="0.35">
      <c r="A31" s="42" t="s">
        <v>81</v>
      </c>
      <c r="B31" s="49" t="str">
        <f>VLOOKUP(A31,[19]LISTADHERENT!A$5:H$60,3,0)</f>
        <v>SIME BRICE</v>
      </c>
      <c r="C31" s="48">
        <f>MVTRESUME24!C32+MVTRESUME24!D32</f>
        <v>804364.15055016428</v>
      </c>
      <c r="D31" s="48">
        <f>+MVTRESUME24!L32</f>
        <v>231000</v>
      </c>
      <c r="E31" s="48">
        <f>+MVTRESUME24!M32</f>
        <v>12000</v>
      </c>
      <c r="F31" s="48">
        <f>+MVTRESUME24!N32</f>
        <v>12000</v>
      </c>
      <c r="G31" s="48">
        <f>+MVTRESUME24!O32</f>
        <v>48000</v>
      </c>
      <c r="H31" s="48">
        <f>+MVTRESUME24!P32</f>
        <v>0</v>
      </c>
      <c r="I31" s="48">
        <f>+MVTRESUME24!Q32</f>
        <v>0</v>
      </c>
      <c r="J31" s="48">
        <f>+MVTRESUME24!R32</f>
        <v>0</v>
      </c>
      <c r="K31" s="48">
        <f>+MVTRESUME24!W32</f>
        <v>1000000</v>
      </c>
      <c r="L31" s="165">
        <f>+MVTRESUME24!AM32</f>
        <v>90000</v>
      </c>
      <c r="M31" s="166">
        <f>IF(L31=0,"",VLOOKUP(A31,MVTRESUME24!A32:AQ66,38,0))</f>
        <v>0</v>
      </c>
      <c r="N31" s="48">
        <v>0</v>
      </c>
      <c r="O31" s="48">
        <v>0</v>
      </c>
      <c r="P31" s="48">
        <v>0</v>
      </c>
      <c r="Q31" s="48">
        <v>0</v>
      </c>
      <c r="R31" s="168"/>
    </row>
    <row r="32" spans="1:18" ht="15.5" x14ac:dyDescent="0.35">
      <c r="A32" s="42" t="s">
        <v>49</v>
      </c>
      <c r="B32" s="49" t="str">
        <f>VLOOKUP(A32,[19]LISTADHERENT!A$5:H$60,3,0)</f>
        <v>SIMO PIERRE</v>
      </c>
      <c r="C32" s="48">
        <f>MVTRESUME24!C33+MVTRESUME24!D33</f>
        <v>700686.61218299973</v>
      </c>
      <c r="D32" s="48">
        <f>+MVTRESUME24!L33</f>
        <v>228000</v>
      </c>
      <c r="E32" s="48">
        <f>+MVTRESUME24!M33</f>
        <v>12000</v>
      </c>
      <c r="F32" s="48">
        <f>+MVTRESUME24!N33</f>
        <v>12000</v>
      </c>
      <c r="G32" s="48">
        <f>+MVTRESUME24!O33</f>
        <v>48000</v>
      </c>
      <c r="H32" s="48">
        <f>+MVTRESUME24!P33</f>
        <v>0</v>
      </c>
      <c r="I32" s="48">
        <f>+MVTRESUME24!Q33</f>
        <v>0</v>
      </c>
      <c r="J32" s="48">
        <f>+MVTRESUME24!R33</f>
        <v>0</v>
      </c>
      <c r="K32" s="48">
        <f>+MVTRESUME24!W33</f>
        <v>1000000</v>
      </c>
      <c r="L32" s="165">
        <f>+MVTRESUME24!AM33</f>
        <v>105000</v>
      </c>
      <c r="M32" s="166">
        <f>IF(L32=0,"",VLOOKUP(A32,MVTRESUME24!A33:AQ67,38,0))</f>
        <v>45627</v>
      </c>
      <c r="N32" s="48">
        <v>0</v>
      </c>
      <c r="O32" s="48">
        <v>0</v>
      </c>
      <c r="P32" s="48">
        <v>0</v>
      </c>
      <c r="Q32" s="48">
        <v>100000</v>
      </c>
      <c r="R32" s="168"/>
    </row>
    <row r="33" spans="1:18" ht="15.5" x14ac:dyDescent="0.35">
      <c r="A33" s="42" t="s">
        <v>51</v>
      </c>
      <c r="B33" s="49" t="str">
        <f>VLOOKUP(A33,[19]LISTADHERENT!A$5:H$60,3,0)</f>
        <v>TCHOUAMOU MATHIEU</v>
      </c>
      <c r="C33" s="48">
        <f>MVTRESUME24!C34+MVTRESUME24!D34</f>
        <v>700975.80620651692</v>
      </c>
      <c r="D33" s="48">
        <f>+MVTRESUME24!L34</f>
        <v>1228000</v>
      </c>
      <c r="E33" s="48">
        <f>+MVTRESUME24!M34</f>
        <v>12000</v>
      </c>
      <c r="F33" s="48">
        <f>+MVTRESUME24!N34</f>
        <v>12000</v>
      </c>
      <c r="G33" s="48">
        <f>+MVTRESUME24!O34</f>
        <v>48000</v>
      </c>
      <c r="H33" s="48">
        <f>+MVTRESUME24!P34</f>
        <v>0</v>
      </c>
      <c r="I33" s="48">
        <f>+MVTRESUME24!Q34</f>
        <v>0</v>
      </c>
      <c r="J33" s="48">
        <f>+MVTRESUME24!R34</f>
        <v>0</v>
      </c>
      <c r="K33" s="48">
        <f>+MVTRESUME24!W34</f>
        <v>1000000</v>
      </c>
      <c r="L33" s="165">
        <f>+MVTRESUME24!AM34</f>
        <v>60000</v>
      </c>
      <c r="M33" s="166">
        <f>IF(L33=0,"",VLOOKUP(A33,MVTRESUME24!A34:AQ68,38,0))</f>
        <v>0</v>
      </c>
      <c r="N33" s="48">
        <v>0</v>
      </c>
      <c r="O33" s="48">
        <v>0</v>
      </c>
      <c r="P33" s="48">
        <v>0</v>
      </c>
      <c r="Q33" s="48">
        <v>0</v>
      </c>
      <c r="R33" s="168"/>
    </row>
    <row r="34" spans="1:18" ht="15.5" x14ac:dyDescent="0.35">
      <c r="A34" s="42" t="s">
        <v>327</v>
      </c>
      <c r="B34" s="49" t="str">
        <f>VLOOKUP(A34,[19]LISTADHERENT!A$5:H$60,3,0)</f>
        <v>TCHOUATEU AUGUSTIN</v>
      </c>
      <c r="C34" s="48">
        <f>MVTRESUME24!C35+MVTRESUME24!D35</f>
        <v>0</v>
      </c>
      <c r="D34" s="48">
        <f>+MVTRESUME24!L35</f>
        <v>972000</v>
      </c>
      <c r="E34" s="48">
        <f>+MVTRESUME24!M35</f>
        <v>12000</v>
      </c>
      <c r="F34" s="48">
        <f>+MVTRESUME24!N35</f>
        <v>12000</v>
      </c>
      <c r="G34" s="48">
        <f>+MVTRESUME24!O35</f>
        <v>48000</v>
      </c>
      <c r="H34" s="48">
        <f>+MVTRESUME24!P35</f>
        <v>0</v>
      </c>
      <c r="I34" s="48">
        <f>+MVTRESUME24!Q35</f>
        <v>25000</v>
      </c>
      <c r="J34" s="48">
        <f>+MVTRESUME24!R35</f>
        <v>120000</v>
      </c>
      <c r="K34" s="48">
        <f>+MVTRESUME24!W35</f>
        <v>1000000</v>
      </c>
      <c r="L34" s="165">
        <f>+MVTRESUME24!AM35</f>
        <v>0</v>
      </c>
      <c r="M34" s="166" t="str">
        <f>IF(L34=0,"",VLOOKUP(A34,MVTRESUME24!A35:AQ69,38,0))</f>
        <v/>
      </c>
      <c r="N34" s="48">
        <v>0</v>
      </c>
      <c r="O34" s="48">
        <v>0</v>
      </c>
      <c r="P34" s="48">
        <v>0</v>
      </c>
      <c r="Q34" s="48">
        <v>0</v>
      </c>
      <c r="R34" s="168"/>
    </row>
    <row r="35" spans="1:18" ht="15.5" x14ac:dyDescent="0.35">
      <c r="A35" s="42" t="s">
        <v>53</v>
      </c>
      <c r="B35" s="49" t="str">
        <f>VLOOKUP(A35,[19]LISTADHERENT!A$5:H$60,3,0)</f>
        <v>TCHOUTOU NANA CLAUDE</v>
      </c>
      <c r="C35" s="48">
        <f>MVTRESUME24!C36+MVTRESUME24!D36</f>
        <v>103000</v>
      </c>
      <c r="D35" s="48">
        <f>+MVTRESUME24!L36</f>
        <v>528750</v>
      </c>
      <c r="E35" s="48">
        <f>+MVTRESUME24!M36</f>
        <v>12000</v>
      </c>
      <c r="F35" s="48">
        <f>+MVTRESUME24!N36</f>
        <v>12000</v>
      </c>
      <c r="G35" s="48">
        <f>+MVTRESUME24!O36</f>
        <v>48000</v>
      </c>
      <c r="H35" s="48">
        <f>+MVTRESUME24!P36</f>
        <v>3000</v>
      </c>
      <c r="I35" s="48">
        <f>+MVTRESUME24!Q36</f>
        <v>0</v>
      </c>
      <c r="J35" s="48">
        <f>+MVTRESUME24!R36</f>
        <v>0</v>
      </c>
      <c r="K35" s="48">
        <f>+MVTRESUME24!W36</f>
        <v>0</v>
      </c>
      <c r="L35" s="165">
        <f>+MVTRESUME24!AM36</f>
        <v>0</v>
      </c>
      <c r="M35" s="166" t="str">
        <f>IF(L35=0,"",VLOOKUP(A35,MVTRESUME24!A36:AQ70,38,0))</f>
        <v/>
      </c>
      <c r="N35" s="48">
        <v>0</v>
      </c>
      <c r="O35" s="48">
        <v>0</v>
      </c>
      <c r="P35" s="48">
        <v>0</v>
      </c>
      <c r="Q35" s="48">
        <v>0</v>
      </c>
      <c r="R35" s="168"/>
    </row>
    <row r="36" spans="1:18" ht="15.5" x14ac:dyDescent="0.35">
      <c r="A36" s="42" t="s">
        <v>313</v>
      </c>
      <c r="B36" s="49" t="str">
        <f>VLOOKUP(A36,[19]LISTADHERENT!A$5:H$60,3,0)</f>
        <v>YANTCHOU GERVAIS</v>
      </c>
      <c r="C36" s="48">
        <f>MVTRESUME24!C37+MVTRESUME24!D37</f>
        <v>1396048</v>
      </c>
      <c r="D36" s="48">
        <f>+MVTRESUME24!L37</f>
        <v>338000</v>
      </c>
      <c r="E36" s="48">
        <f>+MVTRESUME24!M37</f>
        <v>12000</v>
      </c>
      <c r="F36" s="48">
        <f>+MVTRESUME24!N37</f>
        <v>12000</v>
      </c>
      <c r="G36" s="48">
        <f>+MVTRESUME24!O37</f>
        <v>48000</v>
      </c>
      <c r="H36" s="48">
        <f>+MVTRESUME24!P37</f>
        <v>0</v>
      </c>
      <c r="I36" s="48">
        <f>+MVTRESUME24!Q37</f>
        <v>0</v>
      </c>
      <c r="J36" s="48">
        <f>+MVTRESUME24!R37</f>
        <v>0</v>
      </c>
      <c r="K36" s="48">
        <f>+MVTRESUME24!W37</f>
        <v>1102500</v>
      </c>
      <c r="L36" s="165">
        <f>+MVTRESUME24!AM37</f>
        <v>84000</v>
      </c>
      <c r="M36" s="166">
        <f>IF(L36=0,"",VLOOKUP(A36,MVTRESUME24!A37:AQ71,38,0))</f>
        <v>0</v>
      </c>
      <c r="N36" s="48">
        <v>0</v>
      </c>
      <c r="O36" s="48">
        <v>0</v>
      </c>
      <c r="P36" s="48">
        <v>0</v>
      </c>
      <c r="Q36" s="48">
        <v>0</v>
      </c>
      <c r="R36" s="168"/>
    </row>
    <row r="37" spans="1:18" ht="15.5" x14ac:dyDescent="0.35">
      <c r="A37" s="42" t="s">
        <v>55</v>
      </c>
      <c r="B37" s="49" t="str">
        <f>VLOOKUP(A37,[19]LISTADHERENT!A$5:H$60,3,0)</f>
        <v>YEPMOU JEAN JACQUES</v>
      </c>
      <c r="C37" s="48">
        <f>MVTRESUME24!C38+MVTRESUME24!D38</f>
        <v>1703326.8477058813</v>
      </c>
      <c r="D37" s="48">
        <f>+MVTRESUME24!L38</f>
        <v>228000</v>
      </c>
      <c r="E37" s="48">
        <f>+MVTRESUME24!M38</f>
        <v>12000</v>
      </c>
      <c r="F37" s="48">
        <f>+MVTRESUME24!N38</f>
        <v>12000</v>
      </c>
      <c r="G37" s="48">
        <f>+MVTRESUME24!O38</f>
        <v>48000</v>
      </c>
      <c r="H37" s="48">
        <f>+MVTRESUME24!P38</f>
        <v>6000</v>
      </c>
      <c r="I37" s="48">
        <f>+MVTRESUME24!Q38</f>
        <v>0</v>
      </c>
      <c r="J37" s="48">
        <f>+MVTRESUME24!R38</f>
        <v>0</v>
      </c>
      <c r="K37" s="48">
        <f>+MVTRESUME24!W38</f>
        <v>0</v>
      </c>
      <c r="L37" s="165">
        <f>+MVTRESUME24!AM38</f>
        <v>0</v>
      </c>
      <c r="M37" s="166" t="str">
        <f>IF(L37=0,"",VLOOKUP(A37,MVTRESUME24!A38:AQ72,38,0))</f>
        <v/>
      </c>
      <c r="N37" s="48">
        <v>0</v>
      </c>
      <c r="O37" s="48">
        <v>0</v>
      </c>
      <c r="P37" s="48">
        <v>0</v>
      </c>
      <c r="Q37" s="48">
        <v>0</v>
      </c>
      <c r="R37" s="168"/>
    </row>
    <row r="38" spans="1:18" ht="15.5" x14ac:dyDescent="0.35">
      <c r="A38" s="42" t="s">
        <v>328</v>
      </c>
      <c r="B38" s="49" t="str">
        <f>VLOOKUP(A38,[19]LISTADHERENT!A$5:H$60,3,0)</f>
        <v>YIALA ALAIN OSCAR</v>
      </c>
      <c r="C38" s="48">
        <f>MVTRESUME24!C39+MVTRESUME24!D39</f>
        <v>0</v>
      </c>
      <c r="D38" s="48">
        <f>+MVTRESUME24!L39</f>
        <v>928000</v>
      </c>
      <c r="E38" s="48">
        <f>+MVTRESUME24!M39</f>
        <v>12000</v>
      </c>
      <c r="F38" s="48">
        <f>+MVTRESUME24!N39</f>
        <v>12000</v>
      </c>
      <c r="G38" s="48">
        <f>+MVTRESUME24!O39</f>
        <v>48000</v>
      </c>
      <c r="H38" s="48">
        <f>+MVTRESUME24!P39</f>
        <v>18000</v>
      </c>
      <c r="I38" s="48">
        <f>+MVTRESUME24!Q39</f>
        <v>25000</v>
      </c>
      <c r="J38" s="48">
        <f>+MVTRESUME24!R39</f>
        <v>120000</v>
      </c>
      <c r="K38" s="48">
        <f>+MVTRESUME24!W39</f>
        <v>0</v>
      </c>
      <c r="L38" s="165">
        <f>+MVTRESUME24!AM39</f>
        <v>0</v>
      </c>
      <c r="M38" s="166" t="str">
        <f>IF(L38=0,"",VLOOKUP(A38,MVTRESUME24!A39:AQ73,38,0))</f>
        <v/>
      </c>
      <c r="N38" s="48">
        <v>0</v>
      </c>
      <c r="O38" s="48">
        <v>0</v>
      </c>
      <c r="P38" s="48">
        <v>0</v>
      </c>
      <c r="Q38" s="48">
        <v>0</v>
      </c>
      <c r="R38" s="168"/>
    </row>
    <row r="39" spans="1:18" ht="15.5" x14ac:dyDescent="0.35">
      <c r="A39" s="42" t="s">
        <v>56</v>
      </c>
      <c r="B39" s="49" t="str">
        <f>VLOOKUP(A39,[19]LISTADHERENT!A$5:H$60,3,0)</f>
        <v>YOUMBI EMMANUEL</v>
      </c>
      <c r="C39" s="48">
        <f>MVTRESUME24!C40+MVTRESUME24!D40</f>
        <v>1857834.9698456018</v>
      </c>
      <c r="D39" s="48">
        <f>+MVTRESUME24!L40</f>
        <v>228000</v>
      </c>
      <c r="E39" s="48">
        <f>+MVTRESUME24!M40</f>
        <v>12000</v>
      </c>
      <c r="F39" s="48">
        <f>+MVTRESUME24!N40</f>
        <v>12000</v>
      </c>
      <c r="G39" s="48">
        <f>+MVTRESUME24!O40</f>
        <v>48000</v>
      </c>
      <c r="H39" s="48">
        <f>+MVTRESUME24!P40</f>
        <v>0</v>
      </c>
      <c r="I39" s="48">
        <f>+MVTRESUME24!Q40</f>
        <v>0</v>
      </c>
      <c r="J39" s="48">
        <f>+MVTRESUME24!R40</f>
        <v>0</v>
      </c>
      <c r="K39" s="48">
        <f>+MVTRESUME24!W40</f>
        <v>500000</v>
      </c>
      <c r="L39" s="165">
        <f>+MVTRESUME24!AM40</f>
        <v>0</v>
      </c>
      <c r="M39" s="166" t="str">
        <f>IF(L39=0,"",VLOOKUP(A39,MVTRESUME24!A40:AQ74,38,0))</f>
        <v/>
      </c>
      <c r="N39" s="48">
        <v>0</v>
      </c>
      <c r="O39" s="48">
        <v>0</v>
      </c>
      <c r="P39" s="48">
        <v>0</v>
      </c>
      <c r="Q39" s="48">
        <v>100000</v>
      </c>
      <c r="R39" s="168"/>
    </row>
    <row r="40" spans="1:18" ht="17.5" x14ac:dyDescent="0.35">
      <c r="A40" s="42"/>
      <c r="B40" s="49"/>
      <c r="C40" s="49"/>
      <c r="D40" s="163"/>
      <c r="E40" s="18"/>
      <c r="F40" s="18"/>
      <c r="G40" s="18"/>
      <c r="H40" s="18"/>
      <c r="I40" s="18"/>
      <c r="J40" s="18"/>
      <c r="K40" s="162"/>
      <c r="L40" s="52"/>
      <c r="M40" s="52"/>
      <c r="N40" s="50"/>
      <c r="O40" s="50"/>
      <c r="P40" s="50"/>
      <c r="Q40" s="50"/>
      <c r="R40" s="51"/>
    </row>
    <row r="41" spans="1:18" ht="18" thickBot="1" x14ac:dyDescent="0.4">
      <c r="A41" s="53" t="s">
        <v>57</v>
      </c>
      <c r="B41" s="68"/>
      <c r="C41" s="73">
        <f t="shared" ref="C41:R41" si="0">SUM(C6:C40)</f>
        <v>26948398.07312192</v>
      </c>
      <c r="D41" s="73">
        <f t="shared" si="0"/>
        <v>11823850</v>
      </c>
      <c r="E41" s="73">
        <f t="shared" si="0"/>
        <v>384000</v>
      </c>
      <c r="F41" s="73">
        <f t="shared" si="0"/>
        <v>384000</v>
      </c>
      <c r="G41" s="73">
        <f t="shared" si="0"/>
        <v>1536000</v>
      </c>
      <c r="H41" s="73">
        <f t="shared" si="0"/>
        <v>93000</v>
      </c>
      <c r="I41" s="73">
        <f t="shared" si="0"/>
        <v>75000</v>
      </c>
      <c r="J41" s="73">
        <f t="shared" si="0"/>
        <v>240000</v>
      </c>
      <c r="K41" s="73">
        <f t="shared" si="0"/>
        <v>18432500</v>
      </c>
      <c r="L41" s="73">
        <f>SUM(L6:L40)</f>
        <v>1982150</v>
      </c>
      <c r="M41" s="73"/>
      <c r="N41" s="73">
        <f t="shared" si="0"/>
        <v>251000</v>
      </c>
      <c r="O41" s="73">
        <f t="shared" si="0"/>
        <v>960000</v>
      </c>
      <c r="P41" s="73">
        <f t="shared" si="0"/>
        <v>200000</v>
      </c>
      <c r="Q41" s="73">
        <f t="shared" si="0"/>
        <v>700000</v>
      </c>
      <c r="R41" s="164">
        <f t="shared" si="0"/>
        <v>9326618</v>
      </c>
    </row>
    <row r="42" spans="1:18" ht="15" thickTop="1" x14ac:dyDescent="0.35"/>
  </sheetData>
  <autoFilter ref="A5:J39" xr:uid="{00000000-0009-0000-0000-000012000000}">
    <sortState ref="A4:D47">
      <sortCondition ref="B4:B47"/>
    </sortState>
  </autoFilter>
  <mergeCells count="1">
    <mergeCell ref="A3:R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" customWidth="1"/>
    <col min="6" max="6" width="16.81640625" bestFit="1" customWidth="1"/>
    <col min="7" max="7" width="15.26953125" customWidth="1"/>
    <col min="8" max="8" width="15" bestFit="1" customWidth="1"/>
    <col min="9" max="10" width="15.26953125" customWidth="1"/>
    <col min="11" max="11" width="16.81640625" bestFit="1" customWidth="1"/>
    <col min="12" max="15" width="16.81640625" customWidth="1"/>
    <col min="16" max="20" width="20.7265625" customWidth="1"/>
    <col min="21" max="21" width="17.54296875" style="110" bestFit="1" customWidth="1"/>
    <col min="22" max="22" width="16.54296875" customWidth="1"/>
    <col min="23" max="23" width="12.453125" bestFit="1" customWidth="1"/>
    <col min="24" max="24" width="15" bestFit="1" customWidth="1"/>
  </cols>
  <sheetData>
    <row r="1" spans="1:26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3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6.5" thickBot="1" x14ac:dyDescent="0.65">
      <c r="A4" s="180" t="s">
        <v>315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 spans="1:26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3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3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3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3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3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3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3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3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3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3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3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3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3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3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3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3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3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3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3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3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3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3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3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3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3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3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3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3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3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3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3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3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3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" thickBot="1" x14ac:dyDescent="0.4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" thickTop="1" x14ac:dyDescent="0.35">
      <c r="G40" t="s">
        <v>311</v>
      </c>
    </row>
    <row r="41" spans="1:26" x14ac:dyDescent="0.3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3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3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3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3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3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35">
      <c r="A47" s="1" t="s">
        <v>40</v>
      </c>
      <c r="B47" s="1" t="s">
        <v>114</v>
      </c>
      <c r="C47" s="6">
        <v>257467</v>
      </c>
    </row>
    <row r="48" spans="1:26" x14ac:dyDescent="0.3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7.5" x14ac:dyDescent="0.3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 xr:uid="{00000000-0009-0000-0000-000013000000}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9"/>
  <sheetViews>
    <sheetView topLeftCell="A13" workbookViewId="0">
      <selection activeCell="E13" sqref="E13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42" t="s">
        <v>1</v>
      </c>
    </row>
    <row r="2" spans="1:7" x14ac:dyDescent="0.35">
      <c r="B2" s="42" t="s">
        <v>2</v>
      </c>
      <c r="C2" s="42">
        <v>2022</v>
      </c>
    </row>
    <row r="3" spans="1:7" ht="21" x14ac:dyDescent="0.5">
      <c r="B3" s="182" t="s">
        <v>281</v>
      </c>
      <c r="C3" s="183"/>
      <c r="D3" s="183"/>
      <c r="E3" s="183"/>
      <c r="F3" s="183"/>
    </row>
    <row r="5" spans="1:7" ht="15" thickBot="1" x14ac:dyDescent="0.4"/>
    <row r="6" spans="1:7" ht="37.5" thickTop="1" x14ac:dyDescent="0.45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5" x14ac:dyDescent="0.45">
      <c r="A7" s="118"/>
      <c r="B7" s="119"/>
      <c r="C7" s="120"/>
      <c r="D7" s="119"/>
      <c r="E7" s="119"/>
      <c r="F7" s="121"/>
    </row>
    <row r="8" spans="1:7" x14ac:dyDescent="0.3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3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3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3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3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3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3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3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3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3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3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3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3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3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3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3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35">
      <c r="A24" s="128"/>
      <c r="B24" s="129"/>
      <c r="C24" s="130"/>
      <c r="D24" s="130"/>
      <c r="E24" s="131"/>
      <c r="F24" s="132"/>
      <c r="G24" s="2"/>
    </row>
    <row r="25" spans="1:8" ht="20.5" thickBot="1" x14ac:dyDescent="0.45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" thickTop="1" x14ac:dyDescent="0.35">
      <c r="A26" s="111"/>
      <c r="B26" s="15"/>
      <c r="C26" s="112"/>
      <c r="D26" s="112"/>
      <c r="E26" s="112"/>
      <c r="F26" s="112"/>
      <c r="G26" s="2"/>
    </row>
    <row r="27" spans="1:8" ht="23.5" x14ac:dyDescent="0.55000000000000004">
      <c r="B27" s="184" t="s">
        <v>291</v>
      </c>
      <c r="C27" s="185"/>
      <c r="D27" s="185"/>
      <c r="E27" s="185"/>
      <c r="F27" s="185"/>
      <c r="G27" s="111"/>
    </row>
    <row r="28" spans="1:8" x14ac:dyDescent="0.35">
      <c r="A28" s="111"/>
      <c r="B28" s="15"/>
      <c r="C28" s="112"/>
      <c r="D28" s="112"/>
      <c r="E28" s="113"/>
      <c r="F28" s="112"/>
      <c r="G28" s="2"/>
    </row>
    <row r="29" spans="1:8" x14ac:dyDescent="0.35">
      <c r="A29" s="111"/>
      <c r="B29" s="15"/>
      <c r="C29" s="112"/>
      <c r="D29" s="112"/>
      <c r="E29" s="113"/>
      <c r="F29" s="112"/>
      <c r="G29" s="2"/>
    </row>
    <row r="30" spans="1:8" ht="15" thickBot="1" x14ac:dyDescent="0.4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" thickTop="1" x14ac:dyDescent="0.3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3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3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3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3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3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3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3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35">
      <c r="A39" s="78"/>
      <c r="B39" s="50"/>
      <c r="C39" s="43"/>
      <c r="D39" s="44"/>
      <c r="E39" s="113"/>
      <c r="F39" s="112"/>
      <c r="G39" s="2"/>
    </row>
    <row r="40" spans="1:7" ht="15" thickBot="1" x14ac:dyDescent="0.4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" thickTop="1" x14ac:dyDescent="0.35">
      <c r="A41" s="111"/>
      <c r="B41" s="111"/>
      <c r="C41" s="115"/>
      <c r="D41" s="115"/>
      <c r="E41" s="114"/>
      <c r="F41" s="112"/>
      <c r="G41" s="2"/>
    </row>
    <row r="42" spans="1:7" x14ac:dyDescent="0.35">
      <c r="A42" s="111"/>
      <c r="B42" s="111"/>
      <c r="C42" s="112"/>
      <c r="D42" s="112"/>
      <c r="E42" s="113"/>
      <c r="F42" s="112"/>
      <c r="G42" s="2"/>
    </row>
    <row r="43" spans="1:7" x14ac:dyDescent="0.35">
      <c r="A43" s="111"/>
      <c r="B43" s="15"/>
      <c r="C43" s="115"/>
      <c r="D43" s="112"/>
      <c r="E43" s="113"/>
      <c r="F43" s="112"/>
      <c r="G43" s="2"/>
    </row>
    <row r="44" spans="1:7" x14ac:dyDescent="0.35">
      <c r="A44" s="111"/>
      <c r="B44" s="15"/>
      <c r="C44" s="115"/>
      <c r="D44" s="111"/>
      <c r="E44" s="113"/>
      <c r="F44" s="112"/>
      <c r="G44" s="2"/>
    </row>
    <row r="45" spans="1:7" x14ac:dyDescent="0.35">
      <c r="A45" s="111"/>
      <c r="B45" s="15"/>
      <c r="C45" s="115"/>
      <c r="D45" s="112"/>
      <c r="E45" s="114"/>
      <c r="F45" s="112"/>
      <c r="G45" s="2"/>
    </row>
    <row r="46" spans="1:7" x14ac:dyDescent="0.35">
      <c r="A46" s="111"/>
      <c r="B46" s="15"/>
      <c r="C46" s="115"/>
      <c r="D46" s="112"/>
      <c r="E46" s="114"/>
      <c r="F46" s="112"/>
      <c r="G46" s="2"/>
    </row>
    <row r="47" spans="1:7" x14ac:dyDescent="0.35">
      <c r="A47" s="111"/>
      <c r="B47" s="15"/>
      <c r="C47" s="115"/>
      <c r="D47" s="112"/>
      <c r="E47" s="114"/>
      <c r="F47" s="112"/>
      <c r="G47" s="2"/>
    </row>
    <row r="48" spans="1:7" x14ac:dyDescent="0.35">
      <c r="A48" s="111"/>
      <c r="B48" s="15"/>
      <c r="C48" s="115"/>
      <c r="D48" s="112"/>
      <c r="E48" s="114"/>
      <c r="F48" s="112"/>
      <c r="G48" s="2"/>
    </row>
    <row r="49" spans="1:7" x14ac:dyDescent="0.35">
      <c r="A49" s="111"/>
      <c r="B49" s="15"/>
      <c r="C49" s="111"/>
      <c r="D49" s="112"/>
      <c r="E49" s="113"/>
      <c r="F49" s="112"/>
      <c r="G49" s="2"/>
    </row>
    <row r="50" spans="1:7" x14ac:dyDescent="0.35">
      <c r="A50" s="111"/>
      <c r="B50" s="15"/>
      <c r="C50" s="111"/>
      <c r="D50" s="112"/>
      <c r="E50" s="116"/>
      <c r="F50" s="112"/>
      <c r="G50" s="2"/>
    </row>
    <row r="51" spans="1:7" x14ac:dyDescent="0.35">
      <c r="A51" s="111"/>
      <c r="B51" s="15"/>
      <c r="C51" s="112"/>
      <c r="D51" s="112"/>
      <c r="E51" s="116"/>
      <c r="F51" s="112"/>
      <c r="G51" s="2"/>
    </row>
    <row r="52" spans="1:7" x14ac:dyDescent="0.35">
      <c r="A52" s="111"/>
      <c r="B52" s="15"/>
      <c r="C52" s="111"/>
      <c r="D52" s="112"/>
      <c r="E52" s="114"/>
      <c r="F52" s="112"/>
      <c r="G52" s="2"/>
    </row>
    <row r="53" spans="1:7" x14ac:dyDescent="0.35">
      <c r="A53" s="111"/>
      <c r="B53" s="15"/>
      <c r="C53" s="115"/>
      <c r="D53" s="112"/>
      <c r="E53" s="114"/>
      <c r="F53" s="112"/>
      <c r="G53" s="2"/>
    </row>
    <row r="54" spans="1:7" x14ac:dyDescent="0.35">
      <c r="A54" s="111"/>
      <c r="B54" s="15"/>
      <c r="C54" s="115"/>
      <c r="D54" s="112"/>
      <c r="E54" s="113"/>
      <c r="F54" s="112"/>
      <c r="G54" s="2"/>
    </row>
    <row r="55" spans="1:7" x14ac:dyDescent="0.35">
      <c r="A55" s="111"/>
      <c r="B55" s="15"/>
      <c r="C55" s="115"/>
      <c r="D55" s="112"/>
      <c r="E55" s="114"/>
      <c r="F55" s="112"/>
      <c r="G55" s="2"/>
    </row>
    <row r="56" spans="1:7" x14ac:dyDescent="0.35">
      <c r="A56" s="111"/>
      <c r="B56" s="111"/>
      <c r="C56" s="111"/>
      <c r="D56" s="111"/>
      <c r="E56" s="116"/>
      <c r="F56" s="112"/>
    </row>
    <row r="57" spans="1:7" x14ac:dyDescent="0.35">
      <c r="A57" s="111"/>
      <c r="B57" s="111"/>
      <c r="C57" s="111"/>
      <c r="D57" s="111"/>
      <c r="E57" s="116"/>
      <c r="F57" s="111"/>
    </row>
    <row r="58" spans="1:7" ht="17.5" x14ac:dyDescent="0.35">
      <c r="A58" s="111"/>
      <c r="B58" s="15"/>
      <c r="C58" s="117"/>
      <c r="D58" s="117"/>
      <c r="E58" s="117"/>
      <c r="F58" s="117"/>
    </row>
    <row r="59" spans="1:7" x14ac:dyDescent="0.35">
      <c r="A59" s="111"/>
      <c r="B59" s="111"/>
      <c r="C59" s="111"/>
      <c r="D59" s="111"/>
      <c r="E59" s="111"/>
      <c r="F59" s="111"/>
    </row>
    <row r="60" spans="1:7" x14ac:dyDescent="0.35">
      <c r="A60" s="111"/>
      <c r="B60" s="111"/>
      <c r="C60" s="111"/>
      <c r="D60" s="111"/>
      <c r="E60" s="111"/>
      <c r="F60" s="111"/>
    </row>
    <row r="61" spans="1:7" x14ac:dyDescent="0.35">
      <c r="A61" s="111"/>
      <c r="B61" s="111"/>
      <c r="C61" s="111"/>
      <c r="D61" s="111"/>
      <c r="E61" s="111"/>
      <c r="F61" s="111"/>
    </row>
    <row r="62" spans="1:7" x14ac:dyDescent="0.35">
      <c r="A62" s="111"/>
      <c r="B62" s="111"/>
      <c r="C62" s="111"/>
      <c r="D62" s="111"/>
      <c r="E62" s="111"/>
      <c r="F62" s="111"/>
    </row>
    <row r="63" spans="1:7" x14ac:dyDescent="0.35">
      <c r="A63" s="111"/>
      <c r="B63" s="111"/>
      <c r="C63" s="111"/>
      <c r="D63" s="111"/>
      <c r="E63" s="111"/>
      <c r="F63" s="111"/>
    </row>
    <row r="64" spans="1:7" x14ac:dyDescent="0.35">
      <c r="A64" s="111"/>
      <c r="B64" s="111"/>
      <c r="C64" s="111"/>
      <c r="D64" s="111"/>
      <c r="E64" s="111"/>
      <c r="F64" s="111"/>
    </row>
    <row r="65" spans="1:6" x14ac:dyDescent="0.35">
      <c r="A65" s="111"/>
      <c r="B65" s="111"/>
      <c r="C65" s="111"/>
      <c r="D65" s="111"/>
      <c r="E65" s="111"/>
      <c r="F65" s="111"/>
    </row>
    <row r="66" spans="1:6" x14ac:dyDescent="0.35">
      <c r="A66" s="111"/>
      <c r="B66" s="111"/>
      <c r="C66" s="111"/>
      <c r="D66" s="111"/>
      <c r="E66" s="111"/>
      <c r="F66" s="111"/>
    </row>
    <row r="67" spans="1:6" x14ac:dyDescent="0.35">
      <c r="A67" s="111"/>
      <c r="B67" s="111"/>
      <c r="C67" s="111"/>
      <c r="D67" s="111"/>
      <c r="E67" s="111"/>
      <c r="F67" s="111"/>
    </row>
    <row r="68" spans="1:6" x14ac:dyDescent="0.35">
      <c r="A68" s="111"/>
      <c r="B68" s="111"/>
      <c r="C68" s="111"/>
      <c r="D68" s="111"/>
      <c r="E68" s="111"/>
      <c r="F68" s="111"/>
    </row>
    <row r="69" spans="1:6" x14ac:dyDescent="0.35">
      <c r="A69" s="111"/>
      <c r="B69" s="111"/>
      <c r="C69" s="111"/>
      <c r="D69" s="111"/>
      <c r="E69" s="111"/>
      <c r="F69" s="111"/>
    </row>
    <row r="70" spans="1:6" x14ac:dyDescent="0.35">
      <c r="A70" s="111"/>
      <c r="B70" s="111"/>
      <c r="C70" s="111"/>
      <c r="D70" s="111"/>
      <c r="E70" s="111"/>
      <c r="F70" s="111"/>
    </row>
    <row r="71" spans="1:6" x14ac:dyDescent="0.35">
      <c r="A71" s="111"/>
      <c r="B71" s="111"/>
      <c r="C71" s="111"/>
      <c r="D71" s="111"/>
      <c r="E71" s="111"/>
      <c r="F71" s="111"/>
    </row>
    <row r="72" spans="1:6" x14ac:dyDescent="0.35">
      <c r="A72" s="111"/>
      <c r="B72" s="111"/>
      <c r="C72" s="111"/>
      <c r="D72" s="111"/>
      <c r="E72" s="111"/>
      <c r="F72" s="111"/>
    </row>
    <row r="73" spans="1:6" x14ac:dyDescent="0.35">
      <c r="A73" s="111"/>
      <c r="B73" s="111"/>
      <c r="C73" s="111"/>
      <c r="D73" s="111"/>
      <c r="E73" s="111"/>
      <c r="F73" s="111"/>
    </row>
    <row r="74" spans="1:6" x14ac:dyDescent="0.35">
      <c r="A74" s="111"/>
      <c r="B74" s="111"/>
      <c r="C74" s="111"/>
      <c r="D74" s="111"/>
      <c r="E74" s="111"/>
      <c r="F74" s="111"/>
    </row>
    <row r="75" spans="1:6" x14ac:dyDescent="0.35">
      <c r="A75" s="111"/>
      <c r="B75" s="111"/>
      <c r="C75" s="111"/>
      <c r="D75" s="111"/>
      <c r="E75" s="111"/>
      <c r="F75" s="111"/>
    </row>
    <row r="76" spans="1:6" x14ac:dyDescent="0.35">
      <c r="A76" s="111"/>
      <c r="B76" s="111"/>
      <c r="C76" s="111"/>
      <c r="D76" s="111"/>
      <c r="E76" s="111"/>
      <c r="F76" s="111"/>
    </row>
    <row r="77" spans="1:6" x14ac:dyDescent="0.35">
      <c r="A77" s="111"/>
      <c r="B77" s="111"/>
      <c r="C77" s="111"/>
      <c r="D77" s="111"/>
      <c r="E77" s="111"/>
      <c r="F77" s="111"/>
    </row>
    <row r="78" spans="1:6" x14ac:dyDescent="0.35">
      <c r="A78" s="111"/>
      <c r="B78" s="111"/>
      <c r="C78" s="111"/>
      <c r="D78" s="111"/>
      <c r="E78" s="111"/>
      <c r="F78" s="111"/>
    </row>
    <row r="79" spans="1:6" x14ac:dyDescent="0.35">
      <c r="A79" s="111"/>
      <c r="B79" s="111"/>
      <c r="C79" s="111"/>
      <c r="D79" s="111"/>
      <c r="E79" s="111"/>
      <c r="F79" s="111"/>
    </row>
    <row r="80" spans="1:6" x14ac:dyDescent="0.35">
      <c r="A80" s="111"/>
      <c r="B80" s="111"/>
      <c r="C80" s="111"/>
      <c r="D80" s="111"/>
      <c r="E80" s="111"/>
      <c r="F80" s="111"/>
    </row>
    <row r="81" spans="1:6" x14ac:dyDescent="0.35">
      <c r="A81" s="111"/>
      <c r="B81" s="111"/>
      <c r="C81" s="111"/>
      <c r="D81" s="111"/>
      <c r="E81" s="111"/>
      <c r="F81" s="111"/>
    </row>
    <row r="82" spans="1:6" x14ac:dyDescent="0.35">
      <c r="A82" s="111"/>
      <c r="B82" s="111"/>
      <c r="C82" s="111"/>
      <c r="D82" s="111"/>
      <c r="E82" s="111"/>
      <c r="F82" s="111"/>
    </row>
    <row r="83" spans="1:6" x14ac:dyDescent="0.35">
      <c r="A83" s="111"/>
      <c r="B83" s="111"/>
      <c r="C83" s="111"/>
      <c r="D83" s="111"/>
      <c r="E83" s="111"/>
      <c r="F83" s="111"/>
    </row>
    <row r="84" spans="1:6" x14ac:dyDescent="0.35">
      <c r="A84" s="111"/>
      <c r="B84" s="111"/>
      <c r="C84" s="111"/>
      <c r="D84" s="111"/>
      <c r="E84" s="111"/>
      <c r="F84" s="111"/>
    </row>
    <row r="85" spans="1:6" x14ac:dyDescent="0.35">
      <c r="A85" s="111"/>
      <c r="B85" s="111"/>
      <c r="C85" s="111"/>
      <c r="D85" s="111"/>
      <c r="E85" s="111"/>
      <c r="F85" s="111"/>
    </row>
    <row r="86" spans="1:6" x14ac:dyDescent="0.35">
      <c r="A86" s="111"/>
      <c r="B86" s="111"/>
      <c r="C86" s="111"/>
      <c r="D86" s="111"/>
      <c r="E86" s="111"/>
      <c r="F86" s="111"/>
    </row>
    <row r="87" spans="1:6" x14ac:dyDescent="0.35">
      <c r="A87" s="111"/>
      <c r="B87" s="111"/>
      <c r="C87" s="111"/>
      <c r="D87" s="111"/>
      <c r="E87" s="111"/>
      <c r="F87" s="111"/>
    </row>
    <row r="88" spans="1:6" x14ac:dyDescent="0.35">
      <c r="A88" s="111"/>
      <c r="B88" s="111"/>
      <c r="C88" s="111"/>
      <c r="D88" s="111"/>
      <c r="E88" s="111"/>
      <c r="F88" s="111"/>
    </row>
    <row r="89" spans="1:6" x14ac:dyDescent="0.35">
      <c r="A89" s="111"/>
      <c r="B89" s="111"/>
      <c r="C89" s="111"/>
      <c r="D89" s="111"/>
      <c r="E89" s="111"/>
      <c r="F89" s="111"/>
    </row>
    <row r="90" spans="1:6" x14ac:dyDescent="0.35">
      <c r="A90" s="111"/>
      <c r="B90" s="111"/>
      <c r="C90" s="111"/>
      <c r="D90" s="111"/>
      <c r="E90" s="111"/>
      <c r="F90" s="111"/>
    </row>
    <row r="91" spans="1:6" x14ac:dyDescent="0.35">
      <c r="A91" s="111"/>
      <c r="B91" s="111"/>
      <c r="C91" s="111"/>
      <c r="D91" s="111"/>
      <c r="E91" s="111"/>
      <c r="F91" s="111"/>
    </row>
    <row r="92" spans="1:6" x14ac:dyDescent="0.35">
      <c r="A92" s="111"/>
      <c r="B92" s="111"/>
      <c r="C92" s="111"/>
      <c r="D92" s="111"/>
      <c r="E92" s="111"/>
      <c r="F92" s="111"/>
    </row>
    <row r="93" spans="1:6" x14ac:dyDescent="0.35">
      <c r="A93" s="111"/>
      <c r="B93" s="111"/>
      <c r="C93" s="111"/>
      <c r="D93" s="111"/>
      <c r="E93" s="111"/>
      <c r="F93" s="111"/>
    </row>
    <row r="94" spans="1:6" x14ac:dyDescent="0.35">
      <c r="A94" s="111"/>
      <c r="B94" s="111"/>
      <c r="C94" s="111"/>
      <c r="D94" s="111"/>
      <c r="E94" s="111"/>
      <c r="F94" s="111"/>
    </row>
    <row r="95" spans="1:6" x14ac:dyDescent="0.35">
      <c r="A95" s="111"/>
      <c r="B95" s="111"/>
      <c r="C95" s="111"/>
      <c r="D95" s="111"/>
      <c r="E95" s="111"/>
      <c r="F95" s="111"/>
    </row>
    <row r="96" spans="1:6" x14ac:dyDescent="0.35">
      <c r="A96" s="111"/>
      <c r="B96" s="111"/>
      <c r="C96" s="111"/>
      <c r="D96" s="111"/>
      <c r="E96" s="111"/>
      <c r="F96" s="111"/>
    </row>
    <row r="97" spans="1:6" x14ac:dyDescent="0.35">
      <c r="A97" s="111"/>
      <c r="B97" s="111"/>
      <c r="C97" s="111"/>
      <c r="D97" s="111"/>
      <c r="E97" s="111"/>
      <c r="F97" s="111"/>
    </row>
    <row r="98" spans="1:6" x14ac:dyDescent="0.35">
      <c r="A98" s="111"/>
      <c r="B98" s="111"/>
      <c r="C98" s="111"/>
      <c r="D98" s="111"/>
      <c r="E98" s="111"/>
      <c r="F98" s="111"/>
    </row>
    <row r="99" spans="1:6" x14ac:dyDescent="0.35">
      <c r="A99" s="111"/>
      <c r="B99" s="111"/>
      <c r="C99" s="111"/>
      <c r="D99" s="111"/>
      <c r="E99" s="111"/>
      <c r="F99" s="111"/>
    </row>
    <row r="100" spans="1:6" x14ac:dyDescent="0.35">
      <c r="A100" s="111"/>
      <c r="B100" s="111"/>
      <c r="C100" s="111"/>
      <c r="D100" s="111"/>
      <c r="E100" s="111"/>
      <c r="F100" s="111"/>
    </row>
    <row r="101" spans="1:6" x14ac:dyDescent="0.35">
      <c r="A101" s="111"/>
      <c r="B101" s="111"/>
      <c r="C101" s="111"/>
      <c r="D101" s="111"/>
      <c r="E101" s="111"/>
      <c r="F101" s="111"/>
    </row>
    <row r="102" spans="1:6" x14ac:dyDescent="0.35">
      <c r="A102" s="111"/>
      <c r="B102" s="111"/>
      <c r="C102" s="111"/>
      <c r="D102" s="111"/>
      <c r="E102" s="111"/>
      <c r="F102" s="111"/>
    </row>
    <row r="103" spans="1:6" x14ac:dyDescent="0.35">
      <c r="A103" s="111"/>
      <c r="B103" s="111"/>
      <c r="C103" s="111"/>
      <c r="D103" s="111"/>
      <c r="E103" s="111"/>
      <c r="F103" s="111"/>
    </row>
    <row r="104" spans="1:6" x14ac:dyDescent="0.35">
      <c r="A104" s="111"/>
      <c r="B104" s="111"/>
      <c r="C104" s="111"/>
      <c r="D104" s="111"/>
      <c r="E104" s="111"/>
      <c r="F104" s="111"/>
    </row>
    <row r="105" spans="1:6" x14ac:dyDescent="0.35">
      <c r="A105" s="111"/>
      <c r="B105" s="111"/>
      <c r="C105" s="111"/>
      <c r="D105" s="111"/>
      <c r="E105" s="111"/>
      <c r="F105" s="111"/>
    </row>
    <row r="106" spans="1:6" x14ac:dyDescent="0.35">
      <c r="A106" s="111"/>
      <c r="B106" s="111"/>
      <c r="C106" s="111"/>
      <c r="D106" s="111"/>
      <c r="E106" s="111"/>
      <c r="F106" s="111"/>
    </row>
    <row r="107" spans="1:6" x14ac:dyDescent="0.35">
      <c r="A107" s="111"/>
      <c r="B107" s="111"/>
      <c r="C107" s="111"/>
      <c r="D107" s="111"/>
      <c r="E107" s="111"/>
      <c r="F107" s="111"/>
    </row>
    <row r="108" spans="1:6" x14ac:dyDescent="0.35">
      <c r="A108" s="111"/>
      <c r="B108" s="111"/>
      <c r="C108" s="111"/>
      <c r="D108" s="111"/>
      <c r="E108" s="111"/>
      <c r="F108" s="111"/>
    </row>
    <row r="109" spans="1:6" x14ac:dyDescent="0.3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4.5" x14ac:dyDescent="0.35"/>
  <cols>
    <col min="1" max="1" width="12.453125" customWidth="1"/>
    <col min="2" max="2" width="31.81640625" bestFit="1" customWidth="1"/>
    <col min="3" max="3" width="14.1796875" customWidth="1"/>
    <col min="4" max="4" width="27" customWidth="1"/>
    <col min="5" max="5" width="14.453125" customWidth="1"/>
    <col min="6" max="6" width="15" bestFit="1" customWidth="1"/>
    <col min="7" max="7" width="15.26953125" customWidth="1"/>
  </cols>
  <sheetData>
    <row r="1" spans="1:13" x14ac:dyDescent="0.35">
      <c r="A1" s="1" t="s">
        <v>0</v>
      </c>
      <c r="B1" s="1" t="s">
        <v>1</v>
      </c>
      <c r="C1" s="1"/>
      <c r="D1" s="1"/>
      <c r="E1" s="1"/>
      <c r="G1" s="1"/>
    </row>
    <row r="2" spans="1:13" x14ac:dyDescent="0.35">
      <c r="A2" s="1" t="s">
        <v>2</v>
      </c>
      <c r="B2" s="1" t="s">
        <v>153</v>
      </c>
      <c r="C2" s="1"/>
      <c r="D2" s="1"/>
      <c r="E2" s="1"/>
      <c r="G2" s="1"/>
    </row>
    <row r="3" spans="1:13" x14ac:dyDescent="0.35">
      <c r="A3" s="1" t="s">
        <v>3</v>
      </c>
      <c r="B3" s="5"/>
      <c r="C3" s="1"/>
      <c r="D3" s="1"/>
      <c r="E3" s="1"/>
      <c r="G3" s="5"/>
    </row>
    <row r="4" spans="1:13" ht="26.5" thickBot="1" x14ac:dyDescent="0.65">
      <c r="A4" s="186" t="s">
        <v>186</v>
      </c>
      <c r="B4" s="187"/>
      <c r="C4" s="187"/>
      <c r="D4" s="187"/>
      <c r="E4" s="187"/>
      <c r="F4" s="187"/>
      <c r="G4" s="187"/>
      <c r="H4" s="63"/>
      <c r="I4" s="63"/>
      <c r="J4" s="63"/>
      <c r="K4" s="63"/>
      <c r="L4" s="63"/>
      <c r="M4" s="63"/>
    </row>
    <row r="5" spans="1:13" ht="71" thickTop="1" x14ac:dyDescent="0.3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3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3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3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3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3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3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3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3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3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3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3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3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3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3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3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3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3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3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3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3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3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3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3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3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3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3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3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3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3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3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3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3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3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3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3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3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35">
      <c r="A42" s="42"/>
      <c r="B42" s="49"/>
      <c r="C42" s="43"/>
      <c r="D42" s="43"/>
      <c r="E42" s="67"/>
      <c r="F42" s="67"/>
      <c r="G42" s="64"/>
    </row>
    <row r="43" spans="1:11" x14ac:dyDescent="0.35">
      <c r="A43" s="42"/>
      <c r="B43" s="49"/>
      <c r="C43" s="49"/>
      <c r="D43" s="49"/>
      <c r="E43" s="49"/>
      <c r="F43" s="50"/>
      <c r="G43" s="64"/>
    </row>
    <row r="44" spans="1:11" ht="16" thickBot="1" x14ac:dyDescent="0.4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" thickTop="1" x14ac:dyDescent="0.35"/>
    <row r="46" spans="1:11" x14ac:dyDescent="0.35">
      <c r="C46" s="2"/>
      <c r="F46" s="61"/>
    </row>
    <row r="47" spans="1:11" x14ac:dyDescent="0.35">
      <c r="F47" s="61"/>
    </row>
    <row r="48" spans="1:11" x14ac:dyDescent="0.35">
      <c r="F48" s="61"/>
    </row>
    <row r="49" spans="6:6" x14ac:dyDescent="0.35">
      <c r="F49" s="61"/>
    </row>
    <row r="50" spans="6:6" x14ac:dyDescent="0.35">
      <c r="F50" s="61"/>
    </row>
    <row r="51" spans="6:6" x14ac:dyDescent="0.35">
      <c r="F51" s="61"/>
    </row>
    <row r="52" spans="6:6" x14ac:dyDescent="0.35">
      <c r="F52" s="61"/>
    </row>
    <row r="53" spans="6:6" x14ac:dyDescent="0.35">
      <c r="F53" s="61"/>
    </row>
    <row r="54" spans="6:6" x14ac:dyDescent="0.35">
      <c r="F54" s="61"/>
    </row>
    <row r="55" spans="6:6" x14ac:dyDescent="0.35">
      <c r="F55" s="61"/>
    </row>
    <row r="56" spans="6:6" x14ac:dyDescent="0.35">
      <c r="F56" s="61"/>
    </row>
    <row r="57" spans="6:6" x14ac:dyDescent="0.35">
      <c r="F57" s="61"/>
    </row>
    <row r="58" spans="6:6" x14ac:dyDescent="0.35">
      <c r="F58" s="61"/>
    </row>
    <row r="59" spans="6:6" x14ac:dyDescent="0.35">
      <c r="F59" s="61"/>
    </row>
  </sheetData>
  <autoFilter ref="A5:F39" xr:uid="{00000000-0009-0000-0000-000015000000}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3" width="16.81640625" customWidth="1"/>
    <col min="14" max="17" width="20.7265625" customWidth="1"/>
    <col min="18" max="18" width="17.54296875" style="3" bestFit="1" customWidth="1"/>
    <col min="19" max="19" width="16.54296875" customWidth="1"/>
  </cols>
  <sheetData>
    <row r="1" spans="1:23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3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3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6.5" thickBot="1" x14ac:dyDescent="0.65">
      <c r="A4" s="180" t="s">
        <v>247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</row>
    <row r="5" spans="1:23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3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3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3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3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3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3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3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3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3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3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3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3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3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3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3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3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3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3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3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3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3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3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3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3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3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3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3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3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3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3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3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3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" thickBot="1" x14ac:dyDescent="0.4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" thickTop="1" x14ac:dyDescent="0.35"/>
    <row r="40" spans="1:23" x14ac:dyDescent="0.35">
      <c r="E40" s="2"/>
      <c r="F40" s="2"/>
      <c r="G40" s="2"/>
      <c r="H40" s="2"/>
      <c r="I40" s="2"/>
    </row>
    <row r="41" spans="1:23" x14ac:dyDescent="0.35">
      <c r="M41" s="2"/>
    </row>
  </sheetData>
  <autoFilter ref="A5:R38" xr:uid="{00000000-0009-0000-0000-000016000000}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3" width="16.81640625" customWidth="1"/>
    <col min="14" max="17" width="20.7265625" customWidth="1"/>
    <col min="18" max="18" width="17.54296875" style="3" bestFit="1" customWidth="1"/>
    <col min="19" max="19" width="16.54296875" customWidth="1"/>
  </cols>
  <sheetData>
    <row r="1" spans="1:23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3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3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6.5" thickBot="1" x14ac:dyDescent="0.65">
      <c r="A4" s="180" t="s">
        <v>247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</row>
    <row r="5" spans="1:23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3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3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3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3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3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3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3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3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3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3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3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3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3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3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3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3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3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3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3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3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3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3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3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3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3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3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3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3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3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3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3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3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" thickBot="1" x14ac:dyDescent="0.4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" thickTop="1" x14ac:dyDescent="0.35"/>
    <row r="40" spans="1:23" x14ac:dyDescent="0.35">
      <c r="E40" s="2"/>
      <c r="F40" s="2"/>
      <c r="G40" s="2"/>
      <c r="H40" s="2"/>
      <c r="I40" s="2"/>
    </row>
    <row r="41" spans="1:23" x14ac:dyDescent="0.35">
      <c r="M41" s="2"/>
    </row>
  </sheetData>
  <autoFilter ref="A5:R38" xr:uid="{00000000-0009-0000-0000-000017000000}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26953125" bestFit="1" customWidth="1"/>
    <col min="4" max="4" width="12.81640625" bestFit="1" customWidth="1"/>
    <col min="5" max="5" width="15.26953125" customWidth="1"/>
    <col min="6" max="6" width="23.54296875" style="2" customWidth="1"/>
    <col min="7" max="7" width="21.81640625" bestFit="1" customWidth="1"/>
    <col min="8" max="8" width="20.7265625" customWidth="1"/>
    <col min="9" max="9" width="15" bestFit="1" customWidth="1"/>
    <col min="10" max="10" width="17.54296875" style="3" bestFit="1" customWidth="1"/>
    <col min="11" max="11" width="15.7265625" style="2" customWidth="1"/>
    <col min="12" max="14" width="12.453125" style="2" customWidth="1"/>
    <col min="15" max="15" width="15" style="2" bestFit="1" customWidth="1"/>
    <col min="16" max="16" width="16.81640625" style="2" bestFit="1" customWidth="1"/>
    <col min="17" max="17" width="15" bestFit="1" customWidth="1"/>
    <col min="18" max="18" width="15" customWidth="1"/>
    <col min="19" max="19" width="18.1796875" customWidth="1"/>
    <col min="20" max="20" width="12.54296875" bestFit="1" customWidth="1"/>
    <col min="21" max="22" width="18.1796875" customWidth="1"/>
    <col min="26" max="26" width="12.453125" bestFit="1" customWidth="1"/>
  </cols>
  <sheetData>
    <row r="1" spans="1:16" x14ac:dyDescent="0.3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3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35">
      <c r="A3" s="1" t="s">
        <v>3</v>
      </c>
      <c r="B3" s="5"/>
      <c r="C3" s="5"/>
      <c r="D3" s="5"/>
      <c r="E3" s="1"/>
      <c r="F3" s="5"/>
      <c r="G3" s="1"/>
      <c r="H3" s="1"/>
    </row>
    <row r="4" spans="1:16" ht="26" x14ac:dyDescent="0.6">
      <c r="B4" s="16"/>
      <c r="C4" s="16"/>
      <c r="D4" s="16"/>
      <c r="E4" s="174" t="s">
        <v>258</v>
      </c>
      <c r="F4" s="174"/>
      <c r="G4" s="174"/>
      <c r="H4" s="174"/>
      <c r="I4" s="174"/>
      <c r="J4" s="57"/>
      <c r="K4" s="57"/>
      <c r="L4" s="57"/>
      <c r="M4"/>
      <c r="N4"/>
      <c r="O4"/>
      <c r="P4"/>
    </row>
    <row r="7" spans="1:16" x14ac:dyDescent="0.35">
      <c r="B7" t="s">
        <v>259</v>
      </c>
      <c r="E7" s="5">
        <v>1480000</v>
      </c>
    </row>
    <row r="9" spans="1:16" x14ac:dyDescent="0.35">
      <c r="B9" t="s">
        <v>260</v>
      </c>
      <c r="E9" s="5">
        <v>18</v>
      </c>
    </row>
    <row r="11" spans="1:16" x14ac:dyDescent="0.35">
      <c r="B11" t="s">
        <v>261</v>
      </c>
      <c r="E11" s="5">
        <v>14</v>
      </c>
    </row>
    <row r="13" spans="1:16" x14ac:dyDescent="0.35">
      <c r="F13" s="10" t="s">
        <v>266</v>
      </c>
      <c r="G13" s="10" t="s">
        <v>267</v>
      </c>
      <c r="H13" s="10" t="s">
        <v>57</v>
      </c>
    </row>
    <row r="14" spans="1:16" x14ac:dyDescent="0.35">
      <c r="F14" s="5"/>
      <c r="G14" s="5"/>
      <c r="H14" s="5"/>
    </row>
    <row r="15" spans="1:16" x14ac:dyDescent="0.35">
      <c r="B15" t="s">
        <v>92</v>
      </c>
      <c r="E15" s="5"/>
      <c r="F15" s="5">
        <v>100000</v>
      </c>
      <c r="H15" s="5">
        <v>100000</v>
      </c>
    </row>
    <row r="16" spans="1:16" x14ac:dyDescent="0.35">
      <c r="B16" t="s">
        <v>87</v>
      </c>
      <c r="E16" s="5"/>
      <c r="F16" s="5">
        <v>100000</v>
      </c>
      <c r="H16" s="5">
        <v>100000</v>
      </c>
    </row>
    <row r="17" spans="2:8" x14ac:dyDescent="0.35">
      <c r="B17" t="s">
        <v>127</v>
      </c>
      <c r="E17" s="5"/>
      <c r="F17" s="5">
        <v>100000</v>
      </c>
      <c r="H17" s="5">
        <v>100000</v>
      </c>
    </row>
    <row r="18" spans="2:8" x14ac:dyDescent="0.3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3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3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35">
      <c r="B21" t="s">
        <v>91</v>
      </c>
      <c r="E21" s="5"/>
      <c r="F21" s="5">
        <v>100000</v>
      </c>
      <c r="H21" s="5">
        <v>100000</v>
      </c>
    </row>
    <row r="22" spans="2:8" x14ac:dyDescent="0.35">
      <c r="B22" t="s">
        <v>97</v>
      </c>
      <c r="E22" s="5"/>
      <c r="F22" s="5">
        <v>100000</v>
      </c>
      <c r="H22" s="5">
        <v>100000</v>
      </c>
    </row>
    <row r="23" spans="2:8" x14ac:dyDescent="0.3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35">
      <c r="B24" t="s">
        <v>263</v>
      </c>
      <c r="E24" s="5"/>
      <c r="F24" s="5">
        <v>200000</v>
      </c>
      <c r="H24" s="5">
        <v>200000</v>
      </c>
    </row>
    <row r="25" spans="2:8" x14ac:dyDescent="0.3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35">
      <c r="B26" t="s">
        <v>265</v>
      </c>
      <c r="E26" s="5"/>
      <c r="F26" s="5">
        <v>100000</v>
      </c>
      <c r="H26" s="5">
        <v>100000</v>
      </c>
    </row>
    <row r="27" spans="2:8" x14ac:dyDescent="0.35">
      <c r="B27" t="s">
        <v>268</v>
      </c>
      <c r="G27" s="5">
        <v>11000</v>
      </c>
      <c r="H27" s="5">
        <v>11000</v>
      </c>
    </row>
    <row r="28" spans="2:8" x14ac:dyDescent="0.35">
      <c r="B28" t="s">
        <v>104</v>
      </c>
      <c r="G28" s="5">
        <v>11000</v>
      </c>
      <c r="H28" s="5">
        <v>11000</v>
      </c>
    </row>
    <row r="30" spans="2:8" x14ac:dyDescent="0.3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G40"/>
  <sheetViews>
    <sheetView topLeftCell="A4" workbookViewId="0">
      <selection activeCell="G14" sqref="G14"/>
    </sheetView>
  </sheetViews>
  <sheetFormatPr baseColWidth="10" defaultRowHeight="14.5" x14ac:dyDescent="0.35"/>
  <cols>
    <col min="2" max="2" width="16.1796875" bestFit="1" customWidth="1"/>
    <col min="3" max="3" width="16.1796875" customWidth="1"/>
    <col min="4" max="4" width="17.1796875" bestFit="1" customWidth="1"/>
  </cols>
  <sheetData>
    <row r="2" spans="1:4" x14ac:dyDescent="0.35">
      <c r="B2" t="s">
        <v>158</v>
      </c>
    </row>
    <row r="4" spans="1:4" x14ac:dyDescent="0.35">
      <c r="A4" t="s">
        <v>161</v>
      </c>
      <c r="B4" t="s">
        <v>159</v>
      </c>
      <c r="C4" t="s">
        <v>314</v>
      </c>
      <c r="D4" t="s">
        <v>160</v>
      </c>
    </row>
    <row r="6" spans="1:4" x14ac:dyDescent="0.35">
      <c r="B6" s="6">
        <v>763899.37129714503</v>
      </c>
      <c r="C6" s="6">
        <v>193000</v>
      </c>
      <c r="D6" s="6"/>
    </row>
    <row r="7" spans="1:4" x14ac:dyDescent="0.35">
      <c r="A7" s="62">
        <v>43770</v>
      </c>
      <c r="B7" s="6"/>
      <c r="C7" s="6"/>
      <c r="D7" s="6">
        <v>50000</v>
      </c>
    </row>
    <row r="8" spans="1:4" x14ac:dyDescent="0.35">
      <c r="A8" s="58">
        <v>44031</v>
      </c>
      <c r="B8" s="6"/>
      <c r="C8" s="6"/>
      <c r="D8" s="6">
        <v>75000</v>
      </c>
    </row>
    <row r="9" spans="1:4" x14ac:dyDescent="0.35">
      <c r="A9" s="58">
        <v>44216</v>
      </c>
      <c r="B9" s="6"/>
      <c r="C9" s="6"/>
      <c r="D9" s="6">
        <v>35000</v>
      </c>
    </row>
    <row r="10" spans="1:4" x14ac:dyDescent="0.35">
      <c r="A10" s="58">
        <v>44275</v>
      </c>
      <c r="B10" s="6"/>
      <c r="C10" s="6"/>
      <c r="D10" s="6">
        <v>35000</v>
      </c>
    </row>
    <row r="11" spans="1:4" x14ac:dyDescent="0.35">
      <c r="A11" s="58">
        <v>44304</v>
      </c>
      <c r="B11" s="6"/>
      <c r="C11" s="6"/>
      <c r="D11" s="6">
        <v>35000</v>
      </c>
    </row>
    <row r="12" spans="1:4" x14ac:dyDescent="0.35">
      <c r="A12" s="58">
        <v>44332</v>
      </c>
      <c r="B12" s="6"/>
      <c r="C12" s="6"/>
      <c r="D12" s="6">
        <v>35000</v>
      </c>
    </row>
    <row r="13" spans="1:4" x14ac:dyDescent="0.35">
      <c r="A13" s="58">
        <v>44367</v>
      </c>
      <c r="B13" s="6"/>
      <c r="C13" s="6"/>
      <c r="D13" s="6">
        <v>35000</v>
      </c>
    </row>
    <row r="14" spans="1:4" x14ac:dyDescent="0.35">
      <c r="A14" s="58">
        <v>44397</v>
      </c>
      <c r="B14" s="6"/>
      <c r="C14" s="6"/>
      <c r="D14" s="6">
        <v>35000</v>
      </c>
    </row>
    <row r="15" spans="1:4" x14ac:dyDescent="0.35">
      <c r="A15" s="58"/>
      <c r="B15" s="6"/>
      <c r="C15" s="6"/>
      <c r="D15" s="6"/>
    </row>
    <row r="16" spans="1:4" x14ac:dyDescent="0.35">
      <c r="A16" s="58"/>
      <c r="B16" s="6"/>
      <c r="C16" s="6"/>
      <c r="D16" s="6"/>
    </row>
    <row r="17" spans="1:7" x14ac:dyDescent="0.35">
      <c r="A17" s="58"/>
      <c r="B17" s="6"/>
      <c r="C17" s="6"/>
      <c r="D17" s="6"/>
    </row>
    <row r="18" spans="1:7" x14ac:dyDescent="0.35">
      <c r="A18" s="58"/>
      <c r="B18" s="6"/>
      <c r="C18" s="6"/>
      <c r="D18" s="6"/>
    </row>
    <row r="19" spans="1:7" x14ac:dyDescent="0.35">
      <c r="B19" s="6"/>
      <c r="C19" s="6"/>
      <c r="D19" s="6"/>
    </row>
    <row r="20" spans="1:7" ht="18.5" x14ac:dyDescent="0.45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35">
      <c r="B21" s="6"/>
      <c r="C21" s="6"/>
      <c r="D21" s="6"/>
    </row>
    <row r="22" spans="1:7" x14ac:dyDescent="0.35">
      <c r="B22" s="6"/>
      <c r="C22" s="6"/>
      <c r="D22" s="6"/>
    </row>
    <row r="23" spans="1:7" x14ac:dyDescent="0.35">
      <c r="B23" s="6"/>
      <c r="C23" s="6"/>
      <c r="D23" s="6"/>
    </row>
    <row r="24" spans="1:7" x14ac:dyDescent="0.35">
      <c r="B24" s="6"/>
      <c r="C24" s="6"/>
      <c r="D24" s="6"/>
    </row>
    <row r="25" spans="1:7" x14ac:dyDescent="0.35">
      <c r="B25" s="6"/>
      <c r="C25" s="6"/>
      <c r="D25" s="6"/>
    </row>
    <row r="26" spans="1:7" x14ac:dyDescent="0.35">
      <c r="B26" s="6"/>
      <c r="C26" s="6"/>
      <c r="D26" s="6"/>
    </row>
    <row r="27" spans="1:7" x14ac:dyDescent="0.35">
      <c r="B27" s="6"/>
      <c r="C27" s="6"/>
      <c r="D27" s="6"/>
    </row>
    <row r="28" spans="1:7" x14ac:dyDescent="0.35">
      <c r="B28" s="6"/>
      <c r="C28" s="6"/>
      <c r="D28" s="6"/>
    </row>
    <row r="29" spans="1:7" x14ac:dyDescent="0.35">
      <c r="B29" s="6"/>
      <c r="C29" s="6"/>
      <c r="D29" s="6"/>
    </row>
    <row r="30" spans="1:7" x14ac:dyDescent="0.35">
      <c r="B30" s="6"/>
      <c r="C30" s="6"/>
      <c r="D30" s="6"/>
    </row>
    <row r="31" spans="1:7" x14ac:dyDescent="0.35">
      <c r="B31" s="6"/>
      <c r="C31" s="6"/>
      <c r="D31" s="6"/>
    </row>
    <row r="32" spans="1:7" x14ac:dyDescent="0.35">
      <c r="B32" s="6"/>
      <c r="C32" s="6"/>
      <c r="D32" s="6"/>
    </row>
    <row r="33" spans="4:4" x14ac:dyDescent="0.35">
      <c r="D33" s="6"/>
    </row>
    <row r="34" spans="4:4" x14ac:dyDescent="0.35">
      <c r="D34" s="6"/>
    </row>
    <row r="35" spans="4:4" x14ac:dyDescent="0.35">
      <c r="D35" s="6"/>
    </row>
    <row r="36" spans="4:4" x14ac:dyDescent="0.35">
      <c r="D36" s="6"/>
    </row>
    <row r="37" spans="4:4" x14ac:dyDescent="0.35">
      <c r="D37" s="6"/>
    </row>
    <row r="38" spans="4:4" x14ac:dyDescent="0.35">
      <c r="D38" s="6"/>
    </row>
    <row r="39" spans="4:4" x14ac:dyDescent="0.35">
      <c r="D39" s="6"/>
    </row>
    <row r="40" spans="4:4" x14ac:dyDescent="0.35">
      <c r="D40" s="6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G47"/>
  <sheetViews>
    <sheetView topLeftCell="A16" workbookViewId="0">
      <selection activeCell="F24" sqref="F24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7" x14ac:dyDescent="0.35">
      <c r="B2" t="s">
        <v>235</v>
      </c>
    </row>
    <row r="3" spans="1:7" x14ac:dyDescent="0.35">
      <c r="G3">
        <v>1328500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B6" s="6">
        <f>1155000+88000+1275500</f>
        <v>2518500</v>
      </c>
      <c r="C6" s="6"/>
    </row>
    <row r="7" spans="1:7" x14ac:dyDescent="0.35">
      <c r="A7" s="58">
        <v>44250</v>
      </c>
      <c r="B7" s="6"/>
      <c r="C7" s="6">
        <v>30000</v>
      </c>
    </row>
    <row r="8" spans="1:7" x14ac:dyDescent="0.35">
      <c r="A8" s="58">
        <v>44273</v>
      </c>
      <c r="B8" s="6"/>
      <c r="C8" s="6">
        <v>30000</v>
      </c>
    </row>
    <row r="9" spans="1:7" x14ac:dyDescent="0.35">
      <c r="A9" s="58">
        <v>44275</v>
      </c>
      <c r="B9" s="6"/>
      <c r="C9" s="6">
        <v>30000</v>
      </c>
    </row>
    <row r="10" spans="1:7" x14ac:dyDescent="0.35">
      <c r="A10" s="58">
        <v>44302</v>
      </c>
      <c r="B10" s="6"/>
      <c r="C10" s="6">
        <v>30000</v>
      </c>
    </row>
    <row r="11" spans="1:7" x14ac:dyDescent="0.35">
      <c r="A11" s="58">
        <v>44333</v>
      </c>
      <c r="B11" s="6"/>
      <c r="C11" s="6">
        <v>30000</v>
      </c>
    </row>
    <row r="12" spans="1:7" x14ac:dyDescent="0.35">
      <c r="A12" s="58">
        <v>44363</v>
      </c>
      <c r="B12" s="6"/>
      <c r="C12" s="6">
        <v>30000</v>
      </c>
    </row>
    <row r="13" spans="1:7" x14ac:dyDescent="0.35">
      <c r="A13" s="58">
        <v>44394</v>
      </c>
      <c r="B13" s="6"/>
      <c r="C13" s="6">
        <v>30000</v>
      </c>
    </row>
    <row r="14" spans="1:7" x14ac:dyDescent="0.35">
      <c r="A14" s="58">
        <v>44423</v>
      </c>
      <c r="B14" s="6"/>
      <c r="C14" s="6">
        <v>30000</v>
      </c>
    </row>
    <row r="15" spans="1:7" x14ac:dyDescent="0.35">
      <c r="A15" s="58">
        <v>44454</v>
      </c>
      <c r="B15" s="6"/>
      <c r="C15" s="6">
        <v>20000</v>
      </c>
    </row>
    <row r="16" spans="1:7" x14ac:dyDescent="0.35">
      <c r="A16" s="58">
        <v>44484</v>
      </c>
      <c r="B16" s="6"/>
      <c r="C16" s="6">
        <v>30000</v>
      </c>
    </row>
    <row r="17" spans="1:4" x14ac:dyDescent="0.35">
      <c r="A17" s="58">
        <v>44519</v>
      </c>
      <c r="B17" s="6"/>
      <c r="C17" s="6">
        <v>30000</v>
      </c>
    </row>
    <row r="18" spans="1:4" x14ac:dyDescent="0.35">
      <c r="A18" s="58">
        <v>44549</v>
      </c>
      <c r="B18" s="6"/>
      <c r="C18" s="6">
        <v>700000</v>
      </c>
    </row>
    <row r="19" spans="1:4" x14ac:dyDescent="0.35">
      <c r="A19" s="58">
        <v>44577</v>
      </c>
      <c r="B19" s="6"/>
      <c r="C19" s="6">
        <v>30000</v>
      </c>
    </row>
    <row r="20" spans="1:4" x14ac:dyDescent="0.35">
      <c r="A20" s="58">
        <v>44609</v>
      </c>
      <c r="B20" s="6"/>
      <c r="C20" s="6">
        <v>30000</v>
      </c>
    </row>
    <row r="21" spans="1:4" x14ac:dyDescent="0.35">
      <c r="A21" s="58">
        <v>44637</v>
      </c>
      <c r="B21" s="6"/>
      <c r="C21" s="6">
        <v>0</v>
      </c>
    </row>
    <row r="22" spans="1:4" x14ac:dyDescent="0.35">
      <c r="A22" s="58">
        <v>44668</v>
      </c>
      <c r="B22" s="6"/>
      <c r="C22" s="6">
        <v>30000</v>
      </c>
    </row>
    <row r="23" spans="1:4" x14ac:dyDescent="0.35">
      <c r="A23" s="58">
        <v>44699</v>
      </c>
      <c r="B23" s="6"/>
      <c r="C23" s="6">
        <v>20000</v>
      </c>
    </row>
    <row r="24" spans="1:4" x14ac:dyDescent="0.35">
      <c r="A24" s="58">
        <v>44731</v>
      </c>
      <c r="B24" s="6"/>
      <c r="C24" s="6">
        <v>20000</v>
      </c>
    </row>
    <row r="25" spans="1:4" x14ac:dyDescent="0.35">
      <c r="A25" s="58">
        <v>44759</v>
      </c>
      <c r="B25" s="6"/>
      <c r="C25" s="6">
        <v>20000</v>
      </c>
    </row>
    <row r="26" spans="1:4" x14ac:dyDescent="0.35">
      <c r="A26" s="58">
        <v>44792</v>
      </c>
      <c r="B26" s="6"/>
      <c r="C26" s="6">
        <v>20000</v>
      </c>
    </row>
    <row r="27" spans="1:4" x14ac:dyDescent="0.35">
      <c r="A27" s="58">
        <v>44824</v>
      </c>
      <c r="B27" s="6"/>
      <c r="C27" s="6">
        <v>20000</v>
      </c>
    </row>
    <row r="28" spans="1:4" x14ac:dyDescent="0.35">
      <c r="A28" s="58">
        <v>44915</v>
      </c>
      <c r="B28" s="6"/>
      <c r="C28" s="6">
        <v>520000</v>
      </c>
    </row>
    <row r="29" spans="1:4" x14ac:dyDescent="0.35">
      <c r="A29" s="58">
        <v>45004</v>
      </c>
      <c r="B29" s="6" t="s">
        <v>68</v>
      </c>
      <c r="C29" s="6">
        <v>536842</v>
      </c>
    </row>
    <row r="30" spans="1:4" x14ac:dyDescent="0.35">
      <c r="A30" s="58"/>
      <c r="B30" s="6"/>
      <c r="C30" s="6">
        <v>251658</v>
      </c>
    </row>
    <row r="31" spans="1:4" ht="21" x14ac:dyDescent="0.5">
      <c r="B31" s="6"/>
      <c r="C31" s="97">
        <f>SUM(C7:C30)</f>
        <v>2518500</v>
      </c>
      <c r="D31" s="100">
        <f>B6-C31</f>
        <v>0</v>
      </c>
    </row>
    <row r="32" spans="1:4" x14ac:dyDescent="0.35">
      <c r="B32" s="6"/>
      <c r="C32" s="6"/>
    </row>
    <row r="33" spans="2:3" x14ac:dyDescent="0.35">
      <c r="B33" s="6"/>
      <c r="C33" s="6"/>
    </row>
    <row r="34" spans="2:3" x14ac:dyDescent="0.35">
      <c r="B34" s="6"/>
      <c r="C34" s="6"/>
    </row>
    <row r="35" spans="2:3" x14ac:dyDescent="0.35">
      <c r="B35" s="6"/>
      <c r="C35" s="6"/>
    </row>
    <row r="36" spans="2:3" x14ac:dyDescent="0.35">
      <c r="B36" s="6"/>
      <c r="C36" s="6"/>
    </row>
    <row r="37" spans="2:3" x14ac:dyDescent="0.35">
      <c r="B37" s="6"/>
      <c r="C37" s="6"/>
    </row>
    <row r="38" spans="2:3" x14ac:dyDescent="0.35">
      <c r="B38" s="6"/>
      <c r="C38" s="6"/>
    </row>
    <row r="39" spans="2:3" x14ac:dyDescent="0.35">
      <c r="B39" s="6"/>
      <c r="C39" s="6"/>
    </row>
    <row r="40" spans="2:3" x14ac:dyDescent="0.35">
      <c r="C40" s="6"/>
    </row>
    <row r="41" spans="2:3" x14ac:dyDescent="0.35">
      <c r="C41" s="6"/>
    </row>
    <row r="42" spans="2:3" x14ac:dyDescent="0.35">
      <c r="C42" s="6"/>
    </row>
    <row r="43" spans="2:3" x14ac:dyDescent="0.35">
      <c r="C43" s="6"/>
    </row>
    <row r="44" spans="2:3" x14ac:dyDescent="0.35">
      <c r="C44" s="6"/>
    </row>
    <row r="45" spans="2:3" x14ac:dyDescent="0.35">
      <c r="C45" s="6"/>
    </row>
    <row r="46" spans="2:3" x14ac:dyDescent="0.35">
      <c r="C46" s="6"/>
    </row>
    <row r="47" spans="2:3" x14ac:dyDescent="0.35">
      <c r="C47" s="6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D34"/>
  <sheetViews>
    <sheetView workbookViewId="0">
      <selection activeCell="E11" sqref="E11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4" x14ac:dyDescent="0.35">
      <c r="B2" t="s">
        <v>236</v>
      </c>
    </row>
    <row r="4" spans="1:4" x14ac:dyDescent="0.35">
      <c r="A4" t="s">
        <v>161</v>
      </c>
      <c r="B4" t="s">
        <v>159</v>
      </c>
      <c r="C4" t="s">
        <v>160</v>
      </c>
    </row>
    <row r="6" spans="1:4" x14ac:dyDescent="0.35">
      <c r="B6" s="6">
        <v>484041.967178263</v>
      </c>
      <c r="C6" s="6"/>
    </row>
    <row r="7" spans="1:4" x14ac:dyDescent="0.35">
      <c r="A7" s="58">
        <v>44278</v>
      </c>
      <c r="B7" s="6"/>
      <c r="C7" s="6">
        <v>484000</v>
      </c>
      <c r="D7" t="s">
        <v>240</v>
      </c>
    </row>
    <row r="8" spans="1:4" x14ac:dyDescent="0.35">
      <c r="A8" s="58"/>
      <c r="B8" s="6"/>
      <c r="C8" s="6"/>
    </row>
    <row r="9" spans="1:4" x14ac:dyDescent="0.35">
      <c r="A9" s="58"/>
      <c r="B9" s="6"/>
      <c r="C9" s="6"/>
    </row>
    <row r="10" spans="1:4" x14ac:dyDescent="0.35">
      <c r="B10" s="6"/>
      <c r="C10" s="6"/>
    </row>
    <row r="11" spans="1:4" x14ac:dyDescent="0.35">
      <c r="B11" s="6"/>
      <c r="C11" s="6"/>
    </row>
    <row r="12" spans="1:4" x14ac:dyDescent="0.35">
      <c r="B12" s="6"/>
      <c r="C12" s="6"/>
    </row>
    <row r="13" spans="1:4" x14ac:dyDescent="0.35">
      <c r="B13" s="6"/>
      <c r="C13" s="6"/>
    </row>
    <row r="14" spans="1:4" x14ac:dyDescent="0.35">
      <c r="B14" s="6"/>
      <c r="C14" s="6"/>
    </row>
    <row r="15" spans="1:4" x14ac:dyDescent="0.35">
      <c r="B15" s="6"/>
      <c r="C15" s="6"/>
    </row>
    <row r="16" spans="1:4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G35"/>
  <sheetViews>
    <sheetView workbookViewId="0">
      <selection activeCell="G13" sqref="G13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233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A6" t="s">
        <v>257</v>
      </c>
      <c r="B6" s="6">
        <v>319855</v>
      </c>
      <c r="C6" s="6"/>
    </row>
    <row r="7" spans="1:7" x14ac:dyDescent="0.35">
      <c r="A7" s="62"/>
      <c r="B7" s="6"/>
      <c r="C7" s="6"/>
      <c r="G7" s="14">
        <v>131750</v>
      </c>
    </row>
    <row r="8" spans="1:7" x14ac:dyDescent="0.35">
      <c r="A8" s="58"/>
      <c r="B8" s="6"/>
      <c r="C8" s="6">
        <v>76050</v>
      </c>
      <c r="G8" s="11">
        <v>54400</v>
      </c>
    </row>
    <row r="9" spans="1:7" x14ac:dyDescent="0.35">
      <c r="A9" s="58"/>
      <c r="B9" s="6"/>
      <c r="C9" s="6"/>
    </row>
    <row r="10" spans="1:7" x14ac:dyDescent="0.35">
      <c r="B10" s="6"/>
      <c r="C10" s="6"/>
    </row>
    <row r="11" spans="1:7" x14ac:dyDescent="0.35">
      <c r="A11" t="s">
        <v>57</v>
      </c>
      <c r="B11" s="6"/>
      <c r="C11" s="6">
        <f>SUM(C8:C10)</f>
        <v>76050</v>
      </c>
    </row>
    <row r="12" spans="1:7" ht="21" x14ac:dyDescent="0.5">
      <c r="B12" s="6"/>
      <c r="C12" s="6"/>
      <c r="D12" s="99">
        <f>B6-C11</f>
        <v>243805</v>
      </c>
      <c r="E12" t="s">
        <v>249</v>
      </c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G35"/>
  <sheetViews>
    <sheetView workbookViewId="0">
      <selection activeCell="F5" sqref="F5:G8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232</v>
      </c>
    </row>
    <row r="4" spans="1:7" x14ac:dyDescent="0.35">
      <c r="A4" t="s">
        <v>161</v>
      </c>
      <c r="B4" t="s">
        <v>159</v>
      </c>
      <c r="C4" t="s">
        <v>160</v>
      </c>
    </row>
    <row r="5" spans="1:7" x14ac:dyDescent="0.35">
      <c r="F5" s="11"/>
      <c r="G5" s="11"/>
    </row>
    <row r="6" spans="1:7" x14ac:dyDescent="0.35">
      <c r="B6" s="6">
        <v>996118</v>
      </c>
      <c r="C6" s="6"/>
    </row>
    <row r="7" spans="1:7" x14ac:dyDescent="0.35">
      <c r="A7" s="62" t="s">
        <v>256</v>
      </c>
      <c r="B7" s="6"/>
      <c r="C7" s="6">
        <v>500000</v>
      </c>
    </row>
    <row r="8" spans="1:7" x14ac:dyDescent="0.35">
      <c r="A8" s="58"/>
      <c r="B8" s="6"/>
      <c r="C8" s="6"/>
      <c r="F8" s="11"/>
    </row>
    <row r="9" spans="1:7" x14ac:dyDescent="0.35">
      <c r="A9" s="58"/>
      <c r="B9" s="6"/>
      <c r="C9" s="6"/>
    </row>
    <row r="10" spans="1:7" x14ac:dyDescent="0.35">
      <c r="B10" s="6"/>
      <c r="C10" s="6"/>
    </row>
    <row r="11" spans="1:7" ht="21" x14ac:dyDescent="0.5">
      <c r="A11" t="s">
        <v>57</v>
      </c>
      <c r="B11" s="6"/>
      <c r="C11" s="6">
        <f>SUM(C7:C10)</f>
        <v>500000</v>
      </c>
      <c r="D11" s="101">
        <f>B6-C11</f>
        <v>496118</v>
      </c>
      <c r="E11" t="s">
        <v>249</v>
      </c>
    </row>
    <row r="12" spans="1:7" x14ac:dyDescent="0.35">
      <c r="B12" s="6"/>
      <c r="C12" s="6"/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E35"/>
  <sheetViews>
    <sheetView workbookViewId="0">
      <selection activeCell="E12" sqref="E12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5" x14ac:dyDescent="0.35">
      <c r="B2" t="s">
        <v>231</v>
      </c>
    </row>
    <row r="4" spans="1:5" x14ac:dyDescent="0.35">
      <c r="A4" t="s">
        <v>161</v>
      </c>
      <c r="B4" t="s">
        <v>159</v>
      </c>
      <c r="C4" t="s">
        <v>160</v>
      </c>
    </row>
    <row r="6" spans="1:5" x14ac:dyDescent="0.35">
      <c r="B6" s="6">
        <v>51453.696796924203</v>
      </c>
      <c r="C6" s="6"/>
    </row>
    <row r="7" spans="1:5" x14ac:dyDescent="0.35">
      <c r="A7" s="62"/>
      <c r="B7" s="6"/>
      <c r="C7" s="6">
        <f>51454+76000</f>
        <v>127454</v>
      </c>
    </row>
    <row r="8" spans="1:5" x14ac:dyDescent="0.35">
      <c r="A8" s="58"/>
      <c r="B8" s="6"/>
      <c r="C8" s="6"/>
    </row>
    <row r="9" spans="1:5" x14ac:dyDescent="0.35">
      <c r="A9" s="58"/>
      <c r="B9" s="6"/>
      <c r="C9" s="6"/>
    </row>
    <row r="10" spans="1:5" x14ac:dyDescent="0.35">
      <c r="B10" s="6"/>
      <c r="C10" s="6"/>
    </row>
    <row r="11" spans="1:5" x14ac:dyDescent="0.35">
      <c r="B11" s="6"/>
      <c r="C11" s="6"/>
    </row>
    <row r="12" spans="1:5" ht="21" x14ac:dyDescent="0.5">
      <c r="A12" t="s">
        <v>57</v>
      </c>
      <c r="B12" s="6"/>
      <c r="C12" s="6">
        <f>SUM(C7:C11)</f>
        <v>127454</v>
      </c>
      <c r="D12" s="151">
        <f>-B6+C12</f>
        <v>76000.303203075804</v>
      </c>
      <c r="E12" t="s">
        <v>326</v>
      </c>
    </row>
    <row r="13" spans="1:5" x14ac:dyDescent="0.35">
      <c r="B13" s="6"/>
      <c r="C13" s="6"/>
    </row>
    <row r="14" spans="1:5" x14ac:dyDescent="0.35">
      <c r="B14" s="6"/>
      <c r="C14" s="6"/>
    </row>
    <row r="15" spans="1:5" x14ac:dyDescent="0.35">
      <c r="B15" s="6"/>
      <c r="C15" s="6"/>
    </row>
    <row r="16" spans="1:5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73"/>
  <sheetViews>
    <sheetView workbookViewId="0">
      <pane xSplit="2" ySplit="5" topLeftCell="G6" activePane="bottomRight" state="frozen"/>
      <selection pane="topRight" activeCell="C1" sqref="C1"/>
      <selection pane="bottomLeft" activeCell="A5" sqref="A5"/>
      <selection pane="bottomRight" activeCell="A17" sqref="A17:XFD17"/>
    </sheetView>
  </sheetViews>
  <sheetFormatPr baseColWidth="10" defaultColWidth="11" defaultRowHeight="14.5" x14ac:dyDescent="0.35"/>
  <cols>
    <col min="1" max="1" width="13.81640625" customWidth="1"/>
    <col min="2" max="3" width="29.54296875" customWidth="1"/>
    <col min="4" max="4" width="15.26953125" customWidth="1"/>
    <col min="5" max="5" width="20.26953125" customWidth="1"/>
    <col min="6" max="6" width="16.81640625" customWidth="1"/>
    <col min="7" max="7" width="15" customWidth="1"/>
    <col min="8" max="8" width="17.54296875" style="3" customWidth="1"/>
    <col min="9" max="9" width="15.7265625" style="2" customWidth="1"/>
    <col min="10" max="10" width="15" style="2" bestFit="1" customWidth="1"/>
    <col min="11" max="12" width="12.453125" style="2" customWidth="1"/>
    <col min="13" max="13" width="13.453125" style="2" bestFit="1" customWidth="1"/>
    <col min="14" max="15" width="17.54296875" style="2" customWidth="1"/>
    <col min="16" max="16" width="14.81640625" customWidth="1"/>
    <col min="17" max="17" width="20.453125" bestFit="1" customWidth="1"/>
    <col min="18" max="18" width="16.54296875" customWidth="1"/>
    <col min="20" max="21" width="16.81640625" bestFit="1" customWidth="1"/>
    <col min="22" max="26" width="16.81640625" customWidth="1"/>
    <col min="27" max="27" width="28.7265625" bestFit="1" customWidth="1"/>
  </cols>
  <sheetData>
    <row r="1" spans="1:36" x14ac:dyDescent="0.35">
      <c r="A1" s="1" t="s">
        <v>0</v>
      </c>
      <c r="B1" s="1" t="s">
        <v>1</v>
      </c>
      <c r="C1" s="1"/>
      <c r="D1" s="1"/>
      <c r="E1" s="1"/>
      <c r="F1" s="1"/>
    </row>
    <row r="2" spans="1:36" x14ac:dyDescent="0.35">
      <c r="A2" s="1" t="s">
        <v>2</v>
      </c>
      <c r="B2" s="1" t="s">
        <v>82</v>
      </c>
      <c r="C2" s="1"/>
      <c r="D2" s="1"/>
      <c r="E2" s="1"/>
      <c r="F2" s="1"/>
      <c r="AA2">
        <f>284000+40000+16008</f>
        <v>340008</v>
      </c>
    </row>
    <row r="3" spans="1:36" x14ac:dyDescent="0.35">
      <c r="A3" s="1" t="s">
        <v>3</v>
      </c>
      <c r="B3" s="5"/>
      <c r="C3" s="5" t="s">
        <v>157</v>
      </c>
      <c r="D3" s="1"/>
      <c r="E3" s="1"/>
      <c r="F3" s="1"/>
    </row>
    <row r="4" spans="1:36" x14ac:dyDescent="0.35">
      <c r="A4" s="1"/>
      <c r="B4" s="5"/>
      <c r="C4" s="5"/>
      <c r="D4" s="1"/>
      <c r="E4" s="1"/>
      <c r="F4" s="1"/>
    </row>
    <row r="5" spans="1:36" ht="42.5" x14ac:dyDescent="0.35">
      <c r="A5" s="1" t="s">
        <v>4</v>
      </c>
      <c r="B5" s="1" t="s">
        <v>5</v>
      </c>
      <c r="C5" s="1" t="s">
        <v>68</v>
      </c>
      <c r="D5" s="4" t="s">
        <v>6</v>
      </c>
      <c r="E5" s="1" t="s">
        <v>69</v>
      </c>
      <c r="F5" s="1" t="s">
        <v>8</v>
      </c>
      <c r="G5" s="1" t="s">
        <v>9</v>
      </c>
      <c r="H5" s="4" t="s">
        <v>10</v>
      </c>
      <c r="I5" s="4" t="s">
        <v>11</v>
      </c>
      <c r="J5" s="4" t="s">
        <v>12</v>
      </c>
      <c r="K5" s="4" t="s">
        <v>72</v>
      </c>
      <c r="L5" s="4" t="s">
        <v>71</v>
      </c>
      <c r="M5" s="4" t="s">
        <v>13</v>
      </c>
      <c r="N5" s="4" t="s">
        <v>61</v>
      </c>
      <c r="O5" s="4" t="s">
        <v>152</v>
      </c>
      <c r="P5" s="4" t="s">
        <v>63</v>
      </c>
      <c r="Q5" s="4" t="s">
        <v>64</v>
      </c>
      <c r="R5" s="4" t="s">
        <v>65</v>
      </c>
      <c r="S5" s="4" t="s">
        <v>14</v>
      </c>
      <c r="T5" s="4" t="s">
        <v>88</v>
      </c>
      <c r="U5" s="4" t="s">
        <v>86</v>
      </c>
      <c r="V5" s="4" t="s">
        <v>135</v>
      </c>
      <c r="W5" s="4" t="s">
        <v>138</v>
      </c>
      <c r="X5" s="4" t="s">
        <v>137</v>
      </c>
      <c r="Y5" s="4" t="s">
        <v>136</v>
      </c>
      <c r="Z5" s="4" t="s">
        <v>69</v>
      </c>
      <c r="AA5" s="4" t="s">
        <v>15</v>
      </c>
      <c r="AC5" s="4" t="s">
        <v>134</v>
      </c>
      <c r="AD5" s="4" t="s">
        <v>9</v>
      </c>
      <c r="AE5" s="4" t="s">
        <v>131</v>
      </c>
      <c r="AF5" s="4" t="s">
        <v>132</v>
      </c>
      <c r="AG5" s="4" t="s">
        <v>139</v>
      </c>
      <c r="AH5" s="4" t="s">
        <v>133</v>
      </c>
      <c r="AI5" s="4" t="s">
        <v>168</v>
      </c>
      <c r="AJ5" s="4" t="s">
        <v>161</v>
      </c>
    </row>
    <row r="6" spans="1:36" ht="15.75" customHeight="1" x14ac:dyDescent="0.35">
      <c r="A6" s="1" t="s">
        <v>16</v>
      </c>
      <c r="B6" s="1" t="s">
        <v>1</v>
      </c>
      <c r="C6" s="5">
        <v>394081.01108374598</v>
      </c>
      <c r="D6" s="5">
        <v>62668.935014227369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62668.935014227369</v>
      </c>
      <c r="V6" s="5">
        <v>0</v>
      </c>
      <c r="W6" s="5"/>
      <c r="X6" s="5"/>
      <c r="Y6" s="5">
        <f>U6-W6</f>
        <v>62668.935014227369</v>
      </c>
      <c r="Z6" s="5">
        <f>Y6-V6</f>
        <v>62668.935014227369</v>
      </c>
    </row>
    <row r="7" spans="1:36" s="14" customFormat="1" x14ac:dyDescent="0.35">
      <c r="A7" s="12" t="s">
        <v>17</v>
      </c>
      <c r="B7" s="12" t="s">
        <v>101</v>
      </c>
      <c r="C7" s="13">
        <v>480000</v>
      </c>
      <c r="D7" s="5">
        <v>0</v>
      </c>
      <c r="E7" s="5">
        <v>0.49369671277236193</v>
      </c>
      <c r="F7" s="13">
        <v>0</v>
      </c>
      <c r="G7" s="5">
        <v>2000</v>
      </c>
      <c r="H7" s="13">
        <v>1000</v>
      </c>
      <c r="I7" s="13">
        <v>2000</v>
      </c>
      <c r="J7" s="13">
        <v>5000</v>
      </c>
      <c r="K7" s="13">
        <v>1000</v>
      </c>
      <c r="L7" s="13">
        <v>0</v>
      </c>
      <c r="M7" s="13">
        <v>0</v>
      </c>
      <c r="N7" s="13">
        <v>500000</v>
      </c>
      <c r="O7" s="5">
        <v>0</v>
      </c>
      <c r="P7" s="5">
        <v>0</v>
      </c>
      <c r="Q7" s="13">
        <v>588000</v>
      </c>
      <c r="R7" s="13">
        <v>88000</v>
      </c>
      <c r="S7" s="13">
        <v>0</v>
      </c>
      <c r="T7" s="13">
        <v>0</v>
      </c>
      <c r="U7" s="13">
        <v>2000.4936967127724</v>
      </c>
      <c r="V7" s="13">
        <v>2000</v>
      </c>
      <c r="W7" s="36"/>
      <c r="X7" s="13"/>
      <c r="Y7" s="5">
        <f t="shared" ref="Y7:Y49" si="0">U7-W7</f>
        <v>2000.4936967127724</v>
      </c>
      <c r="Z7" s="5">
        <f t="shared" ref="Z7:Z49" si="1">Y7-V7</f>
        <v>0.49369671277236193</v>
      </c>
      <c r="AA7" s="35" t="s">
        <v>89</v>
      </c>
      <c r="AB7" s="14" t="s">
        <v>129</v>
      </c>
      <c r="AD7" s="11">
        <v>2000</v>
      </c>
      <c r="AE7" s="11">
        <v>-14000</v>
      </c>
      <c r="AF7" s="11">
        <v>336000</v>
      </c>
      <c r="AG7" s="11"/>
      <c r="AH7" s="7">
        <v>216000.49369671277</v>
      </c>
    </row>
    <row r="8" spans="1:36" x14ac:dyDescent="0.35">
      <c r="A8" s="1" t="s">
        <v>19</v>
      </c>
      <c r="B8" s="1" t="s">
        <v>102</v>
      </c>
      <c r="C8" s="5">
        <v>480000</v>
      </c>
      <c r="D8" s="5">
        <v>79945.737949015122</v>
      </c>
      <c r="E8" s="5">
        <v>1331.2797186755051</v>
      </c>
      <c r="F8" s="5">
        <v>0</v>
      </c>
      <c r="G8" s="5">
        <v>82000</v>
      </c>
      <c r="H8" s="5">
        <v>7000</v>
      </c>
      <c r="I8" s="5">
        <v>14000</v>
      </c>
      <c r="J8" s="5">
        <v>35000</v>
      </c>
      <c r="K8" s="5">
        <v>9000</v>
      </c>
      <c r="L8" s="5">
        <v>0</v>
      </c>
      <c r="M8" s="5">
        <v>0</v>
      </c>
      <c r="N8" s="5">
        <v>1000000</v>
      </c>
      <c r="O8" s="5">
        <v>30000</v>
      </c>
      <c r="P8" s="5">
        <v>0</v>
      </c>
      <c r="Q8" s="5">
        <v>1000000</v>
      </c>
      <c r="R8" s="5">
        <v>0</v>
      </c>
      <c r="S8" s="5">
        <v>0</v>
      </c>
      <c r="T8" s="5">
        <v>0</v>
      </c>
      <c r="U8" s="5">
        <v>163277.01766769064</v>
      </c>
      <c r="V8" s="5">
        <v>130000</v>
      </c>
      <c r="W8" s="36">
        <v>30000</v>
      </c>
      <c r="X8" s="5"/>
      <c r="Y8" s="5">
        <f t="shared" si="0"/>
        <v>133277.01766769064</v>
      </c>
      <c r="Z8" s="5">
        <f t="shared" si="1"/>
        <v>3277.0176676906412</v>
      </c>
      <c r="AA8" s="17"/>
      <c r="AD8" s="11">
        <v>161945.73794901511</v>
      </c>
    </row>
    <row r="9" spans="1:36" s="14" customFormat="1" x14ac:dyDescent="0.35">
      <c r="A9" s="12" t="s">
        <v>21</v>
      </c>
      <c r="B9" s="12" t="s">
        <v>103</v>
      </c>
      <c r="C9" s="13">
        <v>480000</v>
      </c>
      <c r="D9" s="5">
        <v>79896.677076385677</v>
      </c>
      <c r="E9" s="5">
        <v>3703.9516264695849</v>
      </c>
      <c r="F9" s="13">
        <v>0</v>
      </c>
      <c r="G9" s="5">
        <v>54000</v>
      </c>
      <c r="H9" s="13">
        <v>4500</v>
      </c>
      <c r="I9" s="13">
        <v>9000</v>
      </c>
      <c r="J9" s="13">
        <v>22500</v>
      </c>
      <c r="K9" s="13">
        <v>7000</v>
      </c>
      <c r="L9" s="13">
        <v>0</v>
      </c>
      <c r="M9" s="13">
        <v>0</v>
      </c>
      <c r="N9" s="13">
        <v>700000</v>
      </c>
      <c r="O9" s="5">
        <v>84000</v>
      </c>
      <c r="P9" s="5">
        <v>0</v>
      </c>
      <c r="Q9" s="13">
        <v>0</v>
      </c>
      <c r="R9" s="13">
        <v>108500</v>
      </c>
      <c r="S9" s="13">
        <v>0</v>
      </c>
      <c r="T9" s="13">
        <v>808500</v>
      </c>
      <c r="U9" s="13">
        <v>137600.62870285526</v>
      </c>
      <c r="V9" s="13">
        <v>107601</v>
      </c>
      <c r="W9" s="36">
        <v>30000</v>
      </c>
      <c r="X9" s="13"/>
      <c r="Y9" s="5">
        <f t="shared" si="0"/>
        <v>107600.62870285526</v>
      </c>
      <c r="Z9" s="5">
        <f t="shared" si="1"/>
        <v>-0.37129714473849162</v>
      </c>
      <c r="AA9" s="35" t="s">
        <v>94</v>
      </c>
      <c r="AB9" s="14" t="s">
        <v>129</v>
      </c>
      <c r="AC9" s="11">
        <v>108500</v>
      </c>
      <c r="AD9" s="11">
        <v>133896.67707638568</v>
      </c>
      <c r="AE9" s="11">
        <v>-147000</v>
      </c>
      <c r="AF9" s="11">
        <v>-426000</v>
      </c>
      <c r="AG9" s="11"/>
      <c r="AH9" s="7">
        <v>-763899.3712971448</v>
      </c>
      <c r="AI9" s="7">
        <f>50000+75000</f>
        <v>125000</v>
      </c>
      <c r="AJ9" s="60">
        <v>43770</v>
      </c>
    </row>
    <row r="10" spans="1:36" x14ac:dyDescent="0.35">
      <c r="A10" s="1" t="s">
        <v>77</v>
      </c>
      <c r="B10" s="1" t="s">
        <v>78</v>
      </c>
      <c r="C10" s="5">
        <v>0</v>
      </c>
      <c r="D10" s="5">
        <v>1764.4540515245424</v>
      </c>
      <c r="E10" s="5">
        <v>2994.5270055831024</v>
      </c>
      <c r="F10" s="5">
        <v>0</v>
      </c>
      <c r="G10" s="5">
        <v>12000</v>
      </c>
      <c r="H10" s="5">
        <v>1000</v>
      </c>
      <c r="I10" s="5">
        <v>2000</v>
      </c>
      <c r="J10" s="5">
        <v>5000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16758.981057107645</v>
      </c>
      <c r="V10" s="5">
        <v>16759</v>
      </c>
      <c r="W10" s="36"/>
      <c r="X10" s="5"/>
      <c r="Y10" s="5">
        <f t="shared" si="0"/>
        <v>16758.981057107645</v>
      </c>
      <c r="Z10" s="5">
        <f t="shared" si="1"/>
        <v>-1.8942892354971264E-2</v>
      </c>
      <c r="AA10" s="17"/>
      <c r="AD10" s="11">
        <v>13764.454051524543</v>
      </c>
    </row>
    <row r="11" spans="1:36" x14ac:dyDescent="0.35">
      <c r="A11" s="1" t="s">
        <v>23</v>
      </c>
      <c r="B11" s="1" t="s">
        <v>93</v>
      </c>
      <c r="C11" s="5">
        <v>480000</v>
      </c>
      <c r="D11" s="5">
        <v>81380.868527515064</v>
      </c>
      <c r="E11" s="5">
        <v>404.48981912998715</v>
      </c>
      <c r="F11" s="5">
        <v>0</v>
      </c>
      <c r="G11" s="5">
        <v>97500</v>
      </c>
      <c r="H11" s="5">
        <v>7000</v>
      </c>
      <c r="I11" s="5">
        <v>14000</v>
      </c>
      <c r="J11" s="5">
        <v>35000</v>
      </c>
      <c r="K11" s="5">
        <v>6000</v>
      </c>
      <c r="L11" s="5">
        <v>0</v>
      </c>
      <c r="M11" s="5">
        <v>0</v>
      </c>
      <c r="N11" s="5">
        <v>2800000</v>
      </c>
      <c r="O11" s="5">
        <v>218000</v>
      </c>
      <c r="P11" s="5">
        <v>110000</v>
      </c>
      <c r="Q11" s="5">
        <v>1800000</v>
      </c>
      <c r="R11" s="5">
        <v>50000</v>
      </c>
      <c r="S11" s="5">
        <v>0</v>
      </c>
      <c r="T11" s="5">
        <v>1050000</v>
      </c>
      <c r="U11" s="5">
        <v>179285.35834664505</v>
      </c>
      <c r="V11" s="5">
        <v>146000</v>
      </c>
      <c r="W11" s="36">
        <v>30000</v>
      </c>
      <c r="X11" s="5"/>
      <c r="Y11" s="5">
        <f t="shared" si="0"/>
        <v>149285.35834664505</v>
      </c>
      <c r="Z11" s="5">
        <f t="shared" si="1"/>
        <v>3285.3583466450509</v>
      </c>
      <c r="AA11" s="17" t="s">
        <v>90</v>
      </c>
      <c r="AB11" t="s">
        <v>129</v>
      </c>
      <c r="AC11" s="2">
        <v>155000</v>
      </c>
      <c r="AD11" s="11">
        <v>178880.86852751506</v>
      </c>
    </row>
    <row r="12" spans="1:36" x14ac:dyDescent="0.35">
      <c r="A12" s="1" t="s">
        <v>154</v>
      </c>
      <c r="B12" s="1" t="str">
        <f>VLOOKUP(A12,[25]LISTADHERENT!A$5:H$60,3,0)</f>
        <v>DJOMOU TCHANDA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36"/>
      <c r="X12" s="5"/>
      <c r="Y12" s="5"/>
      <c r="Z12" s="5"/>
      <c r="AA12" s="17"/>
      <c r="AD12" s="11"/>
    </row>
    <row r="13" spans="1:36" x14ac:dyDescent="0.35">
      <c r="A13" s="1" t="s">
        <v>24</v>
      </c>
      <c r="B13" s="1" t="s">
        <v>104</v>
      </c>
      <c r="C13" s="5">
        <v>480000</v>
      </c>
      <c r="D13" s="5">
        <v>79798.878874522779</v>
      </c>
      <c r="E13" s="5">
        <v>32.581814608536661</v>
      </c>
      <c r="F13" s="5">
        <v>0</v>
      </c>
      <c r="G13" s="5">
        <v>84000</v>
      </c>
      <c r="H13" s="5">
        <v>7000</v>
      </c>
      <c r="I13" s="5">
        <v>14000</v>
      </c>
      <c r="J13" s="5">
        <v>35000</v>
      </c>
      <c r="K13" s="5">
        <v>7000</v>
      </c>
      <c r="L13" s="5">
        <v>0</v>
      </c>
      <c r="M13" s="5">
        <v>0</v>
      </c>
      <c r="N13" s="5">
        <v>1800000</v>
      </c>
      <c r="O13" s="5">
        <v>160000</v>
      </c>
      <c r="P13" s="5">
        <v>40000</v>
      </c>
      <c r="Q13" s="5">
        <v>1000000</v>
      </c>
      <c r="R13" s="5">
        <v>0</v>
      </c>
      <c r="S13" s="5">
        <v>0</v>
      </c>
      <c r="T13" s="5">
        <v>800000</v>
      </c>
      <c r="U13" s="5">
        <v>163831.46068913132</v>
      </c>
      <c r="V13" s="5">
        <v>35000</v>
      </c>
      <c r="W13" s="36">
        <v>30000</v>
      </c>
      <c r="X13" s="5"/>
      <c r="Y13" s="5">
        <f t="shared" si="0"/>
        <v>133831.46068913132</v>
      </c>
      <c r="Z13" s="5">
        <f t="shared" si="1"/>
        <v>98831.460689131316</v>
      </c>
      <c r="AA13" s="17" t="s">
        <v>91</v>
      </c>
      <c r="AD13" s="11">
        <v>163798.87887452278</v>
      </c>
    </row>
    <row r="14" spans="1:36" x14ac:dyDescent="0.35">
      <c r="A14" s="1" t="s">
        <v>25</v>
      </c>
      <c r="B14" s="1" t="s">
        <v>89</v>
      </c>
      <c r="C14" s="5">
        <v>480000</v>
      </c>
      <c r="D14" s="5">
        <v>79954.051721931959</v>
      </c>
      <c r="E14" s="5">
        <v>8.234061673283577E-2</v>
      </c>
      <c r="F14" s="5">
        <v>0</v>
      </c>
      <c r="G14" s="5">
        <v>93500</v>
      </c>
      <c r="H14" s="5">
        <v>7000</v>
      </c>
      <c r="I14" s="5">
        <v>14000</v>
      </c>
      <c r="J14" s="5">
        <v>35000</v>
      </c>
      <c r="K14" s="5">
        <v>1000</v>
      </c>
      <c r="L14" s="5">
        <v>0</v>
      </c>
      <c r="M14" s="5">
        <v>0</v>
      </c>
      <c r="N14" s="5">
        <v>3000000</v>
      </c>
      <c r="O14" s="5">
        <v>160000</v>
      </c>
      <c r="P14" s="5">
        <v>50000</v>
      </c>
      <c r="Q14" s="5">
        <v>2000000</v>
      </c>
      <c r="R14" s="5">
        <v>0</v>
      </c>
      <c r="S14" s="5">
        <v>0</v>
      </c>
      <c r="T14" s="5">
        <v>1000000</v>
      </c>
      <c r="U14" s="5">
        <v>173454.13406254869</v>
      </c>
      <c r="V14" s="5">
        <v>140000</v>
      </c>
      <c r="W14" s="36">
        <v>30000</v>
      </c>
      <c r="X14" s="5"/>
      <c r="Y14" s="5">
        <f t="shared" si="0"/>
        <v>143454.13406254869</v>
      </c>
      <c r="Z14" s="5">
        <f t="shared" si="1"/>
        <v>3454.1340625486919</v>
      </c>
      <c r="AA14" s="17" t="s">
        <v>92</v>
      </c>
      <c r="AD14" s="11">
        <v>173454.05172193196</v>
      </c>
    </row>
    <row r="15" spans="1:36" x14ac:dyDescent="0.35">
      <c r="A15" s="1" t="s">
        <v>79</v>
      </c>
      <c r="B15" s="1" t="s">
        <v>70</v>
      </c>
      <c r="C15" s="5">
        <v>441596</v>
      </c>
      <c r="D15" s="5">
        <v>73699.144246646392</v>
      </c>
      <c r="E15" s="5">
        <v>0.16900408919900656</v>
      </c>
      <c r="F15" s="5">
        <v>0</v>
      </c>
      <c r="G15" s="5">
        <v>84000</v>
      </c>
      <c r="H15" s="5">
        <v>7000</v>
      </c>
      <c r="I15" s="5">
        <v>14000</v>
      </c>
      <c r="J15" s="5">
        <v>35000</v>
      </c>
      <c r="K15" s="5">
        <v>2000</v>
      </c>
      <c r="L15" s="5">
        <v>0</v>
      </c>
      <c r="M15" s="5">
        <v>0</v>
      </c>
      <c r="N15" s="5">
        <v>2000000</v>
      </c>
      <c r="O15" s="5">
        <v>160000</v>
      </c>
      <c r="P15" s="5">
        <v>50000</v>
      </c>
      <c r="Q15" s="5">
        <v>1000000</v>
      </c>
      <c r="R15" s="5">
        <v>0</v>
      </c>
      <c r="S15" s="5">
        <v>0</v>
      </c>
      <c r="T15" s="5">
        <v>1000000</v>
      </c>
      <c r="U15" s="5">
        <v>157699.31325073558</v>
      </c>
      <c r="V15" s="5">
        <v>86000</v>
      </c>
      <c r="W15" s="36">
        <f>30000+48406</f>
        <v>78406</v>
      </c>
      <c r="X15" s="5"/>
      <c r="Y15" s="5">
        <f t="shared" si="0"/>
        <v>79293.313250735577</v>
      </c>
      <c r="Z15" s="5">
        <f>Y15-V15+6707</f>
        <v>0.31325073557673022</v>
      </c>
      <c r="AA15" s="17"/>
      <c r="AD15" s="11">
        <v>157699.14424664638</v>
      </c>
    </row>
    <row r="16" spans="1:36" x14ac:dyDescent="0.35">
      <c r="A16" s="1" t="s">
        <v>26</v>
      </c>
      <c r="B16" s="1" t="s">
        <v>105</v>
      </c>
      <c r="C16" s="5">
        <v>480000</v>
      </c>
      <c r="D16" s="5">
        <v>97864.943592884913</v>
      </c>
      <c r="E16" s="5">
        <v>113997.13327318276</v>
      </c>
      <c r="F16" s="5">
        <v>0</v>
      </c>
      <c r="G16" s="5">
        <v>84000</v>
      </c>
      <c r="H16" s="5">
        <v>7000</v>
      </c>
      <c r="I16" s="5">
        <v>14000</v>
      </c>
      <c r="J16" s="5">
        <v>35000</v>
      </c>
      <c r="K16" s="5">
        <v>14000</v>
      </c>
      <c r="L16" s="5">
        <v>0</v>
      </c>
      <c r="M16" s="5">
        <v>0</v>
      </c>
      <c r="N16" s="5">
        <v>700000</v>
      </c>
      <c r="O16" s="5">
        <v>108500</v>
      </c>
      <c r="P16" s="5">
        <v>0</v>
      </c>
      <c r="Q16" s="5">
        <v>808500</v>
      </c>
      <c r="R16" s="5">
        <v>108500</v>
      </c>
      <c r="S16" s="5">
        <v>0</v>
      </c>
      <c r="T16" s="5">
        <v>0</v>
      </c>
      <c r="U16" s="5">
        <v>295862.07686606765</v>
      </c>
      <c r="V16" s="5">
        <v>28500</v>
      </c>
      <c r="W16" s="36">
        <v>30000</v>
      </c>
      <c r="X16" s="5"/>
      <c r="Y16" s="5">
        <f t="shared" si="0"/>
        <v>265862.07686606765</v>
      </c>
      <c r="Z16" s="5">
        <f t="shared" si="1"/>
        <v>237362.07686606765</v>
      </c>
      <c r="AA16" s="17"/>
      <c r="AD16" s="11">
        <v>181864.94359288493</v>
      </c>
    </row>
    <row r="17" spans="1:35" x14ac:dyDescent="0.35">
      <c r="A17" s="1" t="s">
        <v>27</v>
      </c>
      <c r="B17" s="1" t="s">
        <v>99</v>
      </c>
      <c r="C17" s="5">
        <v>480000</v>
      </c>
      <c r="D17" s="5">
        <v>80086.550029503749</v>
      </c>
      <c r="E17" s="5">
        <v>2219.5520592769026</v>
      </c>
      <c r="F17" s="5">
        <v>0</v>
      </c>
      <c r="G17" s="5">
        <v>82000</v>
      </c>
      <c r="H17" s="5">
        <v>7000</v>
      </c>
      <c r="I17" s="5">
        <v>14000</v>
      </c>
      <c r="J17" s="5">
        <v>35000</v>
      </c>
      <c r="K17" s="5">
        <v>21000</v>
      </c>
      <c r="L17" s="5">
        <v>0</v>
      </c>
      <c r="M17" s="5">
        <v>0</v>
      </c>
      <c r="N17" s="5">
        <v>2000000</v>
      </c>
      <c r="O17" s="5">
        <v>150000</v>
      </c>
      <c r="P17" s="5">
        <v>30000</v>
      </c>
      <c r="Q17" s="5">
        <v>1000000</v>
      </c>
      <c r="R17" s="5">
        <v>0</v>
      </c>
      <c r="S17" s="5">
        <v>0</v>
      </c>
      <c r="T17" s="5">
        <v>1000000</v>
      </c>
      <c r="U17" s="5">
        <v>164306.10208878067</v>
      </c>
      <c r="V17" s="5">
        <v>130000</v>
      </c>
      <c r="W17" s="36">
        <v>30000</v>
      </c>
      <c r="X17" s="5"/>
      <c r="Y17" s="5">
        <f t="shared" si="0"/>
        <v>134306.10208878067</v>
      </c>
      <c r="Z17" s="5">
        <f t="shared" si="1"/>
        <v>4306.1020887806662</v>
      </c>
      <c r="AA17" s="17" t="s">
        <v>91</v>
      </c>
      <c r="AD17" s="11">
        <v>162086.55002950376</v>
      </c>
    </row>
    <row r="18" spans="1:35" x14ac:dyDescent="0.35">
      <c r="A18" s="1" t="s">
        <v>28</v>
      </c>
      <c r="B18" s="1" t="s">
        <v>106</v>
      </c>
      <c r="C18" s="5">
        <v>480000</v>
      </c>
      <c r="D18" s="5">
        <v>80427.583632271897</v>
      </c>
      <c r="E18" s="5">
        <v>3998.5841971817717</v>
      </c>
      <c r="F18" s="5">
        <v>0</v>
      </c>
      <c r="G18" s="5">
        <v>84000</v>
      </c>
      <c r="H18" s="5">
        <v>7000</v>
      </c>
      <c r="I18" s="5">
        <v>14000</v>
      </c>
      <c r="J18" s="5">
        <v>35000</v>
      </c>
      <c r="K18" s="5">
        <v>1000</v>
      </c>
      <c r="L18" s="5">
        <v>0</v>
      </c>
      <c r="M18" s="5">
        <v>0</v>
      </c>
      <c r="N18" s="5">
        <v>1000000</v>
      </c>
      <c r="O18" s="5">
        <v>120000</v>
      </c>
      <c r="P18" s="5">
        <v>120000</v>
      </c>
      <c r="Q18" s="5">
        <v>0</v>
      </c>
      <c r="R18" s="5">
        <v>0</v>
      </c>
      <c r="S18" s="5">
        <v>0</v>
      </c>
      <c r="T18" s="5">
        <v>1000000</v>
      </c>
      <c r="U18" s="5">
        <v>168426.16782945365</v>
      </c>
      <c r="V18" s="5">
        <v>35000</v>
      </c>
      <c r="W18" s="36">
        <v>30000</v>
      </c>
      <c r="X18" s="5"/>
      <c r="Y18" s="5">
        <f t="shared" si="0"/>
        <v>138426.16782945365</v>
      </c>
      <c r="Z18" s="5">
        <f t="shared" si="1"/>
        <v>103426.16782945365</v>
      </c>
      <c r="AA18" s="17"/>
      <c r="AD18" s="11">
        <v>164427.58363227191</v>
      </c>
    </row>
    <row r="19" spans="1:35" x14ac:dyDescent="0.35">
      <c r="A19" s="1" t="s">
        <v>29</v>
      </c>
      <c r="B19" s="1" t="s">
        <v>92</v>
      </c>
      <c r="C19" s="5">
        <v>480000</v>
      </c>
      <c r="D19" s="5">
        <v>84433.275952127617</v>
      </c>
      <c r="E19" s="5">
        <v>0.44251227390486747</v>
      </c>
      <c r="F19" s="5">
        <v>0</v>
      </c>
      <c r="G19" s="5">
        <v>258500</v>
      </c>
      <c r="H19" s="5">
        <v>7000</v>
      </c>
      <c r="I19" s="5">
        <v>14000</v>
      </c>
      <c r="J19" s="5">
        <v>35000</v>
      </c>
      <c r="K19" s="5">
        <v>2000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342933.71846440155</v>
      </c>
      <c r="V19" s="5">
        <v>250000</v>
      </c>
      <c r="W19" s="36">
        <v>30000</v>
      </c>
      <c r="X19" s="5"/>
      <c r="Y19" s="5">
        <f t="shared" si="0"/>
        <v>312933.71846440155</v>
      </c>
      <c r="Z19" s="5">
        <f t="shared" si="1"/>
        <v>62933.718464401551</v>
      </c>
      <c r="AA19" s="17"/>
      <c r="AD19" s="11">
        <v>342933.27595212765</v>
      </c>
    </row>
    <row r="20" spans="1:35" x14ac:dyDescent="0.35">
      <c r="A20" s="1" t="s">
        <v>31</v>
      </c>
      <c r="B20" s="1" t="s">
        <v>107</v>
      </c>
      <c r="C20" s="5">
        <v>480000</v>
      </c>
      <c r="D20" s="5">
        <v>607034.07913233258</v>
      </c>
      <c r="E20" s="5">
        <v>2903898.728295486</v>
      </c>
      <c r="F20" s="5">
        <v>0</v>
      </c>
      <c r="G20" s="5">
        <v>1296000</v>
      </c>
      <c r="H20" s="5">
        <v>7000</v>
      </c>
      <c r="I20" s="5">
        <v>14000</v>
      </c>
      <c r="J20" s="5">
        <v>35000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4806932.807427818</v>
      </c>
      <c r="V20" s="5">
        <v>0</v>
      </c>
      <c r="W20" s="36">
        <v>30000</v>
      </c>
      <c r="X20" s="5"/>
      <c r="Y20" s="5">
        <f t="shared" si="0"/>
        <v>4776932.807427818</v>
      </c>
      <c r="Z20" s="5">
        <f t="shared" si="1"/>
        <v>4776932.807427818</v>
      </c>
      <c r="AA20" s="17"/>
      <c r="AD20" s="11">
        <v>1903034.0791323325</v>
      </c>
    </row>
    <row r="21" spans="1:35" x14ac:dyDescent="0.35">
      <c r="A21" s="1" t="s">
        <v>34</v>
      </c>
      <c r="B21" s="1" t="s">
        <v>90</v>
      </c>
      <c r="C21" s="5">
        <v>480000</v>
      </c>
      <c r="D21" s="5">
        <v>79661.668675915658</v>
      </c>
      <c r="E21" s="5">
        <v>-0.26072546625800896</v>
      </c>
      <c r="F21" s="5">
        <v>0</v>
      </c>
      <c r="G21" s="5">
        <v>81000</v>
      </c>
      <c r="H21" s="5">
        <v>7000</v>
      </c>
      <c r="I21" s="5">
        <v>14000</v>
      </c>
      <c r="J21" s="5">
        <v>35000</v>
      </c>
      <c r="K21" s="5">
        <v>7000</v>
      </c>
      <c r="L21" s="5">
        <v>0</v>
      </c>
      <c r="M21" s="5">
        <v>0</v>
      </c>
      <c r="N21" s="5">
        <v>1900000</v>
      </c>
      <c r="O21" s="5">
        <v>159000</v>
      </c>
      <c r="P21" s="5">
        <v>60000</v>
      </c>
      <c r="Q21" s="5">
        <v>900000</v>
      </c>
      <c r="R21" s="5">
        <v>139500</v>
      </c>
      <c r="S21" s="5">
        <v>0</v>
      </c>
      <c r="T21" s="5">
        <v>1139500</v>
      </c>
      <c r="U21" s="5">
        <v>160661.40795044939</v>
      </c>
      <c r="V21" s="5">
        <v>0</v>
      </c>
      <c r="W21" s="36">
        <v>30000</v>
      </c>
      <c r="X21" s="5"/>
      <c r="Y21" s="5">
        <f t="shared" si="0"/>
        <v>130661.40795044939</v>
      </c>
      <c r="Z21" s="5">
        <f>Y21-V21-80000</f>
        <v>50661.407950449386</v>
      </c>
      <c r="AA21" s="17" t="s">
        <v>155</v>
      </c>
      <c r="AB21" t="s">
        <v>129</v>
      </c>
      <c r="AC21" s="2">
        <v>139500</v>
      </c>
      <c r="AD21" s="11">
        <v>160661.66867591566</v>
      </c>
      <c r="AH21" s="2">
        <v>139500</v>
      </c>
      <c r="AI21" t="s">
        <v>169</v>
      </c>
    </row>
    <row r="22" spans="1:35" s="14" customFormat="1" x14ac:dyDescent="0.35">
      <c r="A22" s="12" t="s">
        <v>32</v>
      </c>
      <c r="B22" s="12" t="s">
        <v>108</v>
      </c>
      <c r="C22" s="13">
        <v>480000</v>
      </c>
      <c r="D22" s="5">
        <v>78414.920478625208</v>
      </c>
      <c r="E22" s="5">
        <v>643.11234311138105</v>
      </c>
      <c r="F22" s="13">
        <v>0</v>
      </c>
      <c r="G22" s="5">
        <v>30000</v>
      </c>
      <c r="H22" s="13">
        <v>2500</v>
      </c>
      <c r="I22" s="13">
        <v>5000</v>
      </c>
      <c r="J22" s="13">
        <v>12500</v>
      </c>
      <c r="K22" s="13">
        <v>4000</v>
      </c>
      <c r="L22" s="13">
        <v>0</v>
      </c>
      <c r="M22" s="13">
        <v>0</v>
      </c>
      <c r="N22" s="13">
        <v>700000</v>
      </c>
      <c r="O22" s="5">
        <v>77000</v>
      </c>
      <c r="P22" s="5">
        <v>0</v>
      </c>
      <c r="Q22" s="13">
        <v>0</v>
      </c>
      <c r="R22" s="13">
        <v>108500</v>
      </c>
      <c r="S22" s="13">
        <v>0</v>
      </c>
      <c r="T22" s="13">
        <v>808500</v>
      </c>
      <c r="U22" s="13">
        <v>109058.03282173659</v>
      </c>
      <c r="V22" s="13">
        <v>109058</v>
      </c>
      <c r="W22" s="36"/>
      <c r="X22" s="13"/>
      <c r="Y22" s="5">
        <f t="shared" si="0"/>
        <v>109058.03282173659</v>
      </c>
      <c r="Z22" s="5">
        <f t="shared" si="1"/>
        <v>3.2821736589539796E-2</v>
      </c>
      <c r="AA22" s="35" t="s">
        <v>95</v>
      </c>
      <c r="AB22" s="14" t="s">
        <v>129</v>
      </c>
      <c r="AC22" s="11">
        <v>108500</v>
      </c>
      <c r="AD22" s="11">
        <v>108414.92047862521</v>
      </c>
      <c r="AE22" s="11">
        <v>-264600</v>
      </c>
      <c r="AH22" s="7">
        <v>-484041.96717826341</v>
      </c>
      <c r="AI22" s="14">
        <v>484042</v>
      </c>
    </row>
    <row r="23" spans="1:35" x14ac:dyDescent="0.35">
      <c r="A23" s="1" t="s">
        <v>33</v>
      </c>
      <c r="B23" s="1" t="s">
        <v>109</v>
      </c>
      <c r="C23" s="5">
        <v>480000</v>
      </c>
      <c r="D23" s="5">
        <v>80181.060176583385</v>
      </c>
      <c r="E23" s="5">
        <v>2611.7018854503112</v>
      </c>
      <c r="F23" s="5">
        <v>0</v>
      </c>
      <c r="G23" s="5">
        <v>84000</v>
      </c>
      <c r="H23" s="5">
        <v>7000</v>
      </c>
      <c r="I23" s="5">
        <v>14000</v>
      </c>
      <c r="J23" s="5">
        <v>35000</v>
      </c>
      <c r="K23" s="5">
        <v>1000</v>
      </c>
      <c r="L23" s="5">
        <v>0</v>
      </c>
      <c r="M23" s="5">
        <v>0</v>
      </c>
      <c r="N23" s="5">
        <v>1500000</v>
      </c>
      <c r="O23" s="5">
        <v>135000</v>
      </c>
      <c r="P23" s="5">
        <v>25000</v>
      </c>
      <c r="Q23" s="5">
        <v>1000000</v>
      </c>
      <c r="R23" s="5">
        <v>0</v>
      </c>
      <c r="S23" s="5">
        <v>0</v>
      </c>
      <c r="T23" s="5">
        <v>500000</v>
      </c>
      <c r="U23" s="5">
        <v>166792.7620620337</v>
      </c>
      <c r="V23" s="5">
        <v>130000</v>
      </c>
      <c r="W23" s="36">
        <v>30000</v>
      </c>
      <c r="X23" s="5"/>
      <c r="Y23" s="5">
        <f t="shared" si="0"/>
        <v>136792.7620620337</v>
      </c>
      <c r="Z23" s="5">
        <f t="shared" si="1"/>
        <v>6792.7620620336966</v>
      </c>
      <c r="AA23" s="17" t="s">
        <v>96</v>
      </c>
      <c r="AD23" s="11">
        <v>164181.06017658339</v>
      </c>
    </row>
    <row r="24" spans="1:35" x14ac:dyDescent="0.35">
      <c r="A24" s="1" t="s">
        <v>35</v>
      </c>
      <c r="B24" s="1" t="s">
        <v>91</v>
      </c>
      <c r="C24" s="5">
        <v>480000</v>
      </c>
      <c r="D24" s="5">
        <v>79889.68496817023</v>
      </c>
      <c r="E24" s="5">
        <v>605.40582988600363</v>
      </c>
      <c r="F24" s="5">
        <v>0</v>
      </c>
      <c r="G24" s="5">
        <v>84000</v>
      </c>
      <c r="H24" s="5">
        <v>7000</v>
      </c>
      <c r="I24" s="5">
        <v>14000</v>
      </c>
      <c r="J24" s="5">
        <v>35000</v>
      </c>
      <c r="K24" s="5">
        <v>7000</v>
      </c>
      <c r="L24" s="5">
        <v>0</v>
      </c>
      <c r="M24" s="5">
        <v>0</v>
      </c>
      <c r="N24" s="5">
        <v>2000000</v>
      </c>
      <c r="O24" s="5">
        <v>150000</v>
      </c>
      <c r="P24" s="5">
        <v>40000</v>
      </c>
      <c r="Q24" s="5">
        <v>1000000</v>
      </c>
      <c r="R24" s="5">
        <v>0</v>
      </c>
      <c r="S24" s="5">
        <v>0</v>
      </c>
      <c r="T24" s="5">
        <v>1000000</v>
      </c>
      <c r="U24" s="5">
        <v>164495.09079805622</v>
      </c>
      <c r="V24" s="5">
        <v>120000</v>
      </c>
      <c r="W24" s="36">
        <v>30000</v>
      </c>
      <c r="X24" s="5"/>
      <c r="Y24" s="5">
        <f t="shared" si="0"/>
        <v>134495.09079805622</v>
      </c>
      <c r="Z24" s="5">
        <f t="shared" si="1"/>
        <v>14495.090798056219</v>
      </c>
      <c r="AA24" s="17" t="s">
        <v>87</v>
      </c>
      <c r="AD24" s="11">
        <v>163889.68496817024</v>
      </c>
    </row>
    <row r="25" spans="1:35" x14ac:dyDescent="0.35">
      <c r="A25" s="1" t="s">
        <v>36</v>
      </c>
      <c r="B25" s="1" t="s">
        <v>110</v>
      </c>
      <c r="C25" s="5">
        <v>480000</v>
      </c>
      <c r="D25" s="5">
        <v>79644.731049764974</v>
      </c>
      <c r="E25" s="5">
        <v>-0.14820683863945305</v>
      </c>
      <c r="F25" s="5">
        <v>0</v>
      </c>
      <c r="G25" s="5">
        <v>82000</v>
      </c>
      <c r="H25" s="5">
        <v>7000</v>
      </c>
      <c r="I25" s="5">
        <v>14000</v>
      </c>
      <c r="J25" s="5">
        <v>35000</v>
      </c>
      <c r="K25" s="5">
        <v>9000</v>
      </c>
      <c r="L25" s="5">
        <v>0</v>
      </c>
      <c r="M25" s="5">
        <v>0</v>
      </c>
      <c r="N25" s="5">
        <v>260000</v>
      </c>
      <c r="O25" s="5">
        <v>10400</v>
      </c>
      <c r="P25" s="5">
        <v>7800</v>
      </c>
      <c r="Q25" s="5">
        <v>130000</v>
      </c>
      <c r="R25" s="5">
        <v>0</v>
      </c>
      <c r="S25" s="5">
        <v>0</v>
      </c>
      <c r="T25" s="5">
        <v>130000</v>
      </c>
      <c r="U25" s="5">
        <v>161644.58284292632</v>
      </c>
      <c r="V25" s="5">
        <v>128000</v>
      </c>
      <c r="W25" s="36">
        <v>30000</v>
      </c>
      <c r="X25" s="5"/>
      <c r="Y25" s="5">
        <f t="shared" si="0"/>
        <v>131644.58284292632</v>
      </c>
      <c r="Z25" s="5">
        <f t="shared" si="1"/>
        <v>3644.5828429263202</v>
      </c>
      <c r="AA25" s="17" t="s">
        <v>94</v>
      </c>
      <c r="AD25" s="11">
        <v>161644.73104976496</v>
      </c>
    </row>
    <row r="26" spans="1:35" x14ac:dyDescent="0.35">
      <c r="A26" s="1" t="s">
        <v>75</v>
      </c>
      <c r="B26" s="1" t="s">
        <v>76</v>
      </c>
      <c r="C26" s="5">
        <v>30000</v>
      </c>
      <c r="D26" s="5">
        <v>12025.274783900029</v>
      </c>
      <c r="E26" s="5">
        <v>2994.5270055830988</v>
      </c>
      <c r="F26" s="5">
        <v>0</v>
      </c>
      <c r="G26" s="5">
        <v>104000</v>
      </c>
      <c r="H26" s="5">
        <v>7000</v>
      </c>
      <c r="I26" s="5">
        <v>14000</v>
      </c>
      <c r="J26" s="5">
        <v>35000</v>
      </c>
      <c r="K26" s="5">
        <v>0</v>
      </c>
      <c r="L26" s="5">
        <v>0</v>
      </c>
      <c r="M26" s="5">
        <v>0</v>
      </c>
      <c r="N26" s="5">
        <v>900000</v>
      </c>
      <c r="O26" s="5">
        <v>108000</v>
      </c>
      <c r="P26" s="5">
        <v>0</v>
      </c>
      <c r="Q26" s="5">
        <v>900000</v>
      </c>
      <c r="R26" s="5">
        <v>0</v>
      </c>
      <c r="S26" s="5">
        <v>0</v>
      </c>
      <c r="T26" s="5">
        <v>0</v>
      </c>
      <c r="U26" s="5">
        <v>119019.80178948313</v>
      </c>
      <c r="V26" s="5">
        <v>88500</v>
      </c>
      <c r="W26" s="36">
        <v>30000</v>
      </c>
      <c r="X26" s="5"/>
      <c r="Y26" s="5">
        <f t="shared" si="0"/>
        <v>89019.801789483128</v>
      </c>
      <c r="Z26" s="5">
        <f t="shared" si="1"/>
        <v>519.80178948312823</v>
      </c>
      <c r="AA26" s="17" t="s">
        <v>91</v>
      </c>
      <c r="AD26" s="11">
        <v>116025.27478390004</v>
      </c>
    </row>
    <row r="27" spans="1:35" x14ac:dyDescent="0.35">
      <c r="A27" s="1" t="s">
        <v>50</v>
      </c>
      <c r="B27" s="1" t="s">
        <v>97</v>
      </c>
      <c r="C27" s="5">
        <v>450000</v>
      </c>
      <c r="D27" s="5">
        <v>81837.118573991771</v>
      </c>
      <c r="E27" s="5">
        <v>12890.22827698091</v>
      </c>
      <c r="F27" s="5">
        <v>0</v>
      </c>
      <c r="G27" s="5">
        <v>94000</v>
      </c>
      <c r="H27" s="5">
        <v>7000</v>
      </c>
      <c r="I27" s="5">
        <v>14000</v>
      </c>
      <c r="J27" s="5">
        <v>35000</v>
      </c>
      <c r="K27" s="5">
        <v>0</v>
      </c>
      <c r="L27" s="5">
        <v>0</v>
      </c>
      <c r="M27" s="5">
        <v>0</v>
      </c>
      <c r="N27" s="5">
        <v>100000</v>
      </c>
      <c r="O27" s="5">
        <v>5000</v>
      </c>
      <c r="P27" s="5">
        <v>0</v>
      </c>
      <c r="Q27" s="5">
        <v>100000</v>
      </c>
      <c r="R27" s="5">
        <v>0</v>
      </c>
      <c r="S27" s="5">
        <v>0</v>
      </c>
      <c r="T27" s="5">
        <v>0</v>
      </c>
      <c r="U27" s="5">
        <v>188727.34685097268</v>
      </c>
      <c r="V27" s="5">
        <v>95000</v>
      </c>
      <c r="W27" s="36">
        <f>30000+30000</f>
        <v>60000</v>
      </c>
      <c r="X27" s="5"/>
      <c r="Y27" s="5">
        <f t="shared" si="0"/>
        <v>128727.34685097268</v>
      </c>
      <c r="Z27" s="5">
        <f t="shared" si="1"/>
        <v>33727.346850972681</v>
      </c>
      <c r="AA27" s="17" t="s">
        <v>94</v>
      </c>
      <c r="AD27" s="11">
        <v>175837.11857399176</v>
      </c>
    </row>
    <row r="28" spans="1:35" x14ac:dyDescent="0.35">
      <c r="A28" s="1" t="s">
        <v>37</v>
      </c>
      <c r="B28" s="1" t="s">
        <v>111</v>
      </c>
      <c r="C28" s="5">
        <v>480000</v>
      </c>
      <c r="D28" s="5">
        <v>80008.312869354428</v>
      </c>
      <c r="E28" s="5">
        <v>1353.7356825511233</v>
      </c>
      <c r="F28" s="5">
        <v>0</v>
      </c>
      <c r="G28" s="5">
        <v>84000</v>
      </c>
      <c r="H28" s="5">
        <v>7000</v>
      </c>
      <c r="I28" s="5">
        <v>14000</v>
      </c>
      <c r="J28" s="5">
        <v>35000</v>
      </c>
      <c r="K28" s="5">
        <v>5000</v>
      </c>
      <c r="L28" s="5">
        <v>0</v>
      </c>
      <c r="M28" s="5">
        <v>0</v>
      </c>
      <c r="N28" s="5">
        <v>2000000</v>
      </c>
      <c r="O28" s="5">
        <v>230000</v>
      </c>
      <c r="P28" s="5">
        <v>120000</v>
      </c>
      <c r="Q28" s="5">
        <v>1000000</v>
      </c>
      <c r="R28" s="5">
        <v>0</v>
      </c>
      <c r="S28" s="5">
        <v>0</v>
      </c>
      <c r="T28" s="5">
        <v>1000000</v>
      </c>
      <c r="U28" s="5">
        <v>165362.04855190555</v>
      </c>
      <c r="V28" s="5">
        <v>130000</v>
      </c>
      <c r="W28" s="36">
        <v>30000</v>
      </c>
      <c r="X28" s="5"/>
      <c r="Y28" s="5">
        <f t="shared" si="0"/>
        <v>135362.04855190555</v>
      </c>
      <c r="Z28" s="5">
        <f t="shared" si="1"/>
        <v>5362.048551905551</v>
      </c>
      <c r="AA28" s="17"/>
      <c r="AD28" s="11">
        <v>164008.31286935444</v>
      </c>
    </row>
    <row r="29" spans="1:35" x14ac:dyDescent="0.35">
      <c r="A29" s="1" t="s">
        <v>38</v>
      </c>
      <c r="B29" s="1" t="s">
        <v>98</v>
      </c>
      <c r="C29" s="5">
        <v>480000</v>
      </c>
      <c r="D29" s="5">
        <v>91731.680250305682</v>
      </c>
      <c r="E29" s="5">
        <v>57225.614111341449</v>
      </c>
      <c r="F29" s="5">
        <v>0</v>
      </c>
      <c r="G29" s="5">
        <v>151000</v>
      </c>
      <c r="H29" s="5">
        <v>7000</v>
      </c>
      <c r="I29" s="5">
        <v>14000</v>
      </c>
      <c r="J29" s="5">
        <v>35000</v>
      </c>
      <c r="K29" s="5">
        <v>0</v>
      </c>
      <c r="L29" s="5">
        <v>0</v>
      </c>
      <c r="M29" s="5">
        <v>0</v>
      </c>
      <c r="N29" s="5">
        <v>500000</v>
      </c>
      <c r="O29" s="5">
        <v>50000</v>
      </c>
      <c r="P29" s="5">
        <v>0</v>
      </c>
      <c r="Q29" s="5">
        <v>500000</v>
      </c>
      <c r="R29" s="5">
        <v>0</v>
      </c>
      <c r="S29" s="5">
        <v>0</v>
      </c>
      <c r="T29" s="5">
        <v>0</v>
      </c>
      <c r="U29" s="5">
        <v>299957.2943616471</v>
      </c>
      <c r="V29" s="5">
        <v>240000</v>
      </c>
      <c r="W29" s="36">
        <v>30000</v>
      </c>
      <c r="X29" s="5"/>
      <c r="Y29" s="5">
        <f t="shared" si="0"/>
        <v>269957.2943616471</v>
      </c>
      <c r="Z29" s="5">
        <f t="shared" si="1"/>
        <v>29957.294361647102</v>
      </c>
      <c r="AA29" s="17"/>
      <c r="AD29" s="11">
        <v>242731.68025030568</v>
      </c>
    </row>
    <row r="30" spans="1:35" x14ac:dyDescent="0.35">
      <c r="A30" s="1" t="s">
        <v>80</v>
      </c>
      <c r="B30" s="1" t="s">
        <v>112</v>
      </c>
      <c r="C30" s="5">
        <v>0</v>
      </c>
      <c r="D30" s="5">
        <v>2138.4782390296004</v>
      </c>
      <c r="E30" s="5">
        <v>0.16900408919900656</v>
      </c>
      <c r="F30" s="5">
        <v>0</v>
      </c>
      <c r="G30" s="5">
        <v>30000</v>
      </c>
      <c r="H30" s="5">
        <v>2500</v>
      </c>
      <c r="I30" s="5">
        <v>5000</v>
      </c>
      <c r="J30" s="5">
        <v>12500</v>
      </c>
      <c r="K30" s="5">
        <v>2000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32138.647243118801</v>
      </c>
      <c r="V30" s="5">
        <v>2139</v>
      </c>
      <c r="W30" s="36">
        <v>30000</v>
      </c>
      <c r="X30" s="5"/>
      <c r="Y30" s="5">
        <f t="shared" si="0"/>
        <v>2138.6472431188013</v>
      </c>
      <c r="Z30" s="5">
        <f t="shared" si="1"/>
        <v>-0.35275688119872939</v>
      </c>
      <c r="AA30" s="17"/>
      <c r="AD30" s="11">
        <v>32138.478239029602</v>
      </c>
    </row>
    <row r="31" spans="1:35" s="14" customFormat="1" x14ac:dyDescent="0.35">
      <c r="A31" s="12" t="s">
        <v>39</v>
      </c>
      <c r="B31" s="12" t="s">
        <v>113</v>
      </c>
      <c r="C31" s="13">
        <v>480000</v>
      </c>
      <c r="D31" s="5">
        <v>0</v>
      </c>
      <c r="E31" s="5">
        <v>0.28740352351451293</v>
      </c>
      <c r="F31" s="13">
        <v>0</v>
      </c>
      <c r="G31" s="5">
        <v>100000</v>
      </c>
      <c r="H31" s="13">
        <v>7000</v>
      </c>
      <c r="I31" s="13">
        <v>14000</v>
      </c>
      <c r="J31" s="13">
        <v>35000</v>
      </c>
      <c r="K31" s="13">
        <v>6000</v>
      </c>
      <c r="L31" s="13">
        <v>0</v>
      </c>
      <c r="M31" s="13">
        <v>0</v>
      </c>
      <c r="N31" s="13">
        <v>1176000</v>
      </c>
      <c r="O31" s="5">
        <v>0</v>
      </c>
      <c r="P31" s="5">
        <v>0</v>
      </c>
      <c r="Q31" s="13">
        <v>1305360</v>
      </c>
      <c r="R31" s="13">
        <v>129360</v>
      </c>
      <c r="S31" s="13">
        <v>0</v>
      </c>
      <c r="T31" s="13">
        <v>0</v>
      </c>
      <c r="U31" s="13">
        <v>100000.28740352351</v>
      </c>
      <c r="V31" s="13">
        <v>60000</v>
      </c>
      <c r="W31" s="36">
        <v>30000</v>
      </c>
      <c r="X31" s="13"/>
      <c r="Y31" s="5">
        <f t="shared" si="0"/>
        <v>70000.287403523515</v>
      </c>
      <c r="Z31" s="5">
        <f t="shared" si="1"/>
        <v>10000.287403523515</v>
      </c>
      <c r="AA31" s="35"/>
      <c r="AB31" s="14" t="s">
        <v>129</v>
      </c>
      <c r="AD31" s="11">
        <v>100000</v>
      </c>
    </row>
    <row r="32" spans="1:35" s="14" customFormat="1" x14ac:dyDescent="0.35">
      <c r="A32" s="12" t="s">
        <v>40</v>
      </c>
      <c r="B32" s="12" t="s">
        <v>114</v>
      </c>
      <c r="C32" s="13">
        <v>117045</v>
      </c>
      <c r="D32" s="5">
        <v>0</v>
      </c>
      <c r="E32" s="5">
        <v>22.240996590782743</v>
      </c>
      <c r="F32" s="13">
        <v>0</v>
      </c>
      <c r="G32" s="5">
        <v>84000</v>
      </c>
      <c r="H32" s="13">
        <v>7000</v>
      </c>
      <c r="I32" s="13">
        <v>14000</v>
      </c>
      <c r="J32" s="13">
        <v>35000</v>
      </c>
      <c r="K32" s="13">
        <v>3000</v>
      </c>
      <c r="L32" s="13">
        <v>0</v>
      </c>
      <c r="M32" s="13">
        <v>0</v>
      </c>
      <c r="N32" s="13">
        <v>0</v>
      </c>
      <c r="O32" s="5">
        <v>0</v>
      </c>
      <c r="P32" s="5">
        <v>0</v>
      </c>
      <c r="Q32" s="13">
        <v>0</v>
      </c>
      <c r="R32" s="13">
        <v>0</v>
      </c>
      <c r="S32" s="13">
        <v>0</v>
      </c>
      <c r="T32" s="13">
        <v>0</v>
      </c>
      <c r="U32" s="13">
        <v>84022.240996590786</v>
      </c>
      <c r="V32" s="13">
        <v>54022</v>
      </c>
      <c r="W32" s="36">
        <v>30000</v>
      </c>
      <c r="X32" s="13"/>
      <c r="Y32" s="5">
        <f t="shared" si="0"/>
        <v>54022.240996590786</v>
      </c>
      <c r="Z32" s="5">
        <f t="shared" si="1"/>
        <v>0.24099659078638069</v>
      </c>
      <c r="AA32" s="35"/>
      <c r="AD32" s="11">
        <v>84000</v>
      </c>
      <c r="AE32" s="11">
        <v>80000</v>
      </c>
      <c r="AH32" s="7">
        <v>281067.24099659082</v>
      </c>
    </row>
    <row r="33" spans="1:36" x14ac:dyDescent="0.35">
      <c r="A33" s="1" t="s">
        <v>41</v>
      </c>
      <c r="B33" s="1" t="s">
        <v>96</v>
      </c>
      <c r="C33" s="5">
        <v>480000</v>
      </c>
      <c r="D33" s="5">
        <v>91170.310621746714</v>
      </c>
      <c r="E33" s="5">
        <v>72138.254558185639</v>
      </c>
      <c r="F33" s="5">
        <v>0</v>
      </c>
      <c r="G33" s="5">
        <v>82000</v>
      </c>
      <c r="H33" s="5">
        <v>7000</v>
      </c>
      <c r="I33" s="5">
        <v>14000</v>
      </c>
      <c r="J33" s="5">
        <v>35000</v>
      </c>
      <c r="K33" s="5">
        <v>4000</v>
      </c>
      <c r="L33" s="5">
        <v>0</v>
      </c>
      <c r="M33" s="5">
        <v>0</v>
      </c>
      <c r="N33" s="5">
        <v>1150000</v>
      </c>
      <c r="O33" s="5">
        <v>114500</v>
      </c>
      <c r="P33" s="5">
        <v>4500</v>
      </c>
      <c r="Q33" s="5">
        <v>1000000</v>
      </c>
      <c r="R33" s="5">
        <v>0</v>
      </c>
      <c r="S33" s="5">
        <v>0</v>
      </c>
      <c r="T33" s="5">
        <v>150000</v>
      </c>
      <c r="U33" s="5">
        <v>245308.56517993234</v>
      </c>
      <c r="V33" s="5">
        <v>200000</v>
      </c>
      <c r="W33" s="36">
        <v>30000</v>
      </c>
      <c r="X33" s="5"/>
      <c r="Y33" s="5">
        <f t="shared" si="0"/>
        <v>215308.56517993234</v>
      </c>
      <c r="Z33" s="5">
        <f t="shared" si="1"/>
        <v>15308.565179932339</v>
      </c>
      <c r="AA33" s="17" t="s">
        <v>97</v>
      </c>
      <c r="AD33" s="11">
        <v>173170.3106217467</v>
      </c>
    </row>
    <row r="34" spans="1:36" s="14" customFormat="1" x14ac:dyDescent="0.35">
      <c r="A34" s="12" t="s">
        <v>42</v>
      </c>
      <c r="B34" s="12" t="s">
        <v>95</v>
      </c>
      <c r="C34" s="13">
        <v>480000</v>
      </c>
      <c r="D34" s="5">
        <v>78422.245259251824</v>
      </c>
      <c r="E34" s="5">
        <v>689.31860616087215</v>
      </c>
      <c r="F34" s="13">
        <v>0</v>
      </c>
      <c r="G34" s="5">
        <v>30000</v>
      </c>
      <c r="H34" s="13">
        <v>2500</v>
      </c>
      <c r="I34" s="13">
        <v>5000</v>
      </c>
      <c r="J34" s="13">
        <v>12500</v>
      </c>
      <c r="K34" s="13">
        <v>5000</v>
      </c>
      <c r="L34" s="13">
        <v>0</v>
      </c>
      <c r="M34" s="13">
        <v>0</v>
      </c>
      <c r="N34" s="13">
        <v>700000</v>
      </c>
      <c r="O34" s="5">
        <v>84000</v>
      </c>
      <c r="P34" s="5">
        <v>0</v>
      </c>
      <c r="Q34" s="13">
        <v>0</v>
      </c>
      <c r="R34" s="13">
        <v>108500</v>
      </c>
      <c r="S34" s="13">
        <v>0</v>
      </c>
      <c r="T34" s="13">
        <v>808500</v>
      </c>
      <c r="U34" s="13">
        <v>109111.5638654127</v>
      </c>
      <c r="V34" s="13">
        <v>79112</v>
      </c>
      <c r="W34" s="36">
        <v>30000</v>
      </c>
      <c r="X34" s="13"/>
      <c r="Y34" s="5">
        <f t="shared" si="0"/>
        <v>79111.563865412696</v>
      </c>
      <c r="Z34" s="5">
        <f t="shared" si="1"/>
        <v>-0.43613458730396815</v>
      </c>
      <c r="AA34" s="35" t="s">
        <v>94</v>
      </c>
      <c r="AB34" s="14" t="s">
        <v>129</v>
      </c>
      <c r="AC34" s="11">
        <v>108500</v>
      </c>
      <c r="AD34" s="11">
        <v>108422.24525925182</v>
      </c>
      <c r="AE34" s="11">
        <v>-285600</v>
      </c>
      <c r="AF34" s="11">
        <v>-488000</v>
      </c>
      <c r="AG34" s="11"/>
      <c r="AH34" s="7">
        <v>-992988.43613458727</v>
      </c>
    </row>
    <row r="35" spans="1:36" s="8" customFormat="1" x14ac:dyDescent="0.35">
      <c r="A35" s="1" t="s">
        <v>43</v>
      </c>
      <c r="B35" s="1" t="s">
        <v>100</v>
      </c>
      <c r="C35" s="5">
        <v>480000</v>
      </c>
      <c r="D35" s="5">
        <v>80425.990897485564</v>
      </c>
      <c r="E35" s="5">
        <v>36.350487807299942</v>
      </c>
      <c r="F35" s="5">
        <v>0</v>
      </c>
      <c r="G35" s="5">
        <v>144000</v>
      </c>
      <c r="H35" s="5">
        <v>7000</v>
      </c>
      <c r="I35" s="5">
        <v>14000</v>
      </c>
      <c r="J35" s="5">
        <v>35000</v>
      </c>
      <c r="K35" s="5">
        <v>23000</v>
      </c>
      <c r="L35" s="5">
        <v>0</v>
      </c>
      <c r="M35" s="5">
        <v>0</v>
      </c>
      <c r="N35" s="5">
        <v>3000000</v>
      </c>
      <c r="O35" s="5">
        <v>170000</v>
      </c>
      <c r="P35" s="5">
        <v>50000</v>
      </c>
      <c r="Q35" s="5">
        <v>2000000</v>
      </c>
      <c r="R35" s="5">
        <v>0</v>
      </c>
      <c r="S35" s="5">
        <v>0</v>
      </c>
      <c r="T35" s="5">
        <v>1000000</v>
      </c>
      <c r="U35" s="5">
        <v>224462.34138529288</v>
      </c>
      <c r="V35" s="5">
        <v>120000</v>
      </c>
      <c r="W35" s="36">
        <v>30000</v>
      </c>
      <c r="X35" s="5"/>
      <c r="Y35" s="5">
        <f t="shared" si="0"/>
        <v>194462.34138529288</v>
      </c>
      <c r="Z35" s="5">
        <f t="shared" si="1"/>
        <v>74462.341385292879</v>
      </c>
      <c r="AA35" s="17" t="s">
        <v>76</v>
      </c>
      <c r="AD35" s="11">
        <v>224425.99089748558</v>
      </c>
    </row>
    <row r="36" spans="1:36" x14ac:dyDescent="0.35">
      <c r="A36" s="1" t="s">
        <v>30</v>
      </c>
      <c r="B36" s="1" t="s">
        <v>115</v>
      </c>
      <c r="C36" s="5">
        <v>480000</v>
      </c>
      <c r="D36" s="5">
        <v>79900.26982663176</v>
      </c>
      <c r="E36" s="5">
        <v>0.30040658926009201</v>
      </c>
      <c r="F36" s="5">
        <v>0</v>
      </c>
      <c r="G36" s="5">
        <v>86500</v>
      </c>
      <c r="H36" s="5">
        <v>7000</v>
      </c>
      <c r="I36" s="5">
        <v>14000</v>
      </c>
      <c r="J36" s="5">
        <v>35000</v>
      </c>
      <c r="K36" s="5">
        <v>11000</v>
      </c>
      <c r="L36" s="5">
        <v>0</v>
      </c>
      <c r="M36" s="5">
        <v>0</v>
      </c>
      <c r="N36" s="5">
        <v>2000000</v>
      </c>
      <c r="O36" s="5">
        <v>240000</v>
      </c>
      <c r="P36" s="5">
        <v>120000</v>
      </c>
      <c r="Q36" s="5">
        <v>1000000</v>
      </c>
      <c r="R36" s="5">
        <v>0</v>
      </c>
      <c r="S36" s="5">
        <v>0</v>
      </c>
      <c r="T36" s="5">
        <v>1000000</v>
      </c>
      <c r="U36" s="5">
        <v>166400.57023322102</v>
      </c>
      <c r="V36" s="5">
        <v>133000</v>
      </c>
      <c r="W36" s="36">
        <v>30000</v>
      </c>
      <c r="X36" s="5"/>
      <c r="Y36" s="5">
        <f t="shared" si="0"/>
        <v>136400.57023322102</v>
      </c>
      <c r="Z36" s="5">
        <f t="shared" si="1"/>
        <v>3400.5702332210203</v>
      </c>
      <c r="AA36" s="17" t="s">
        <v>87</v>
      </c>
      <c r="AD36" s="11">
        <v>166400.26982663176</v>
      </c>
    </row>
    <row r="37" spans="1:36" x14ac:dyDescent="0.35">
      <c r="A37" s="1" t="s">
        <v>44</v>
      </c>
      <c r="B37" s="1" t="s">
        <v>87</v>
      </c>
      <c r="C37" s="5">
        <v>480000</v>
      </c>
      <c r="D37" s="5">
        <v>80218.625624560562</v>
      </c>
      <c r="E37" s="5">
        <v>109.79976263979916</v>
      </c>
      <c r="F37" s="5">
        <v>0</v>
      </c>
      <c r="G37" s="5">
        <v>94000</v>
      </c>
      <c r="H37" s="5">
        <v>7000</v>
      </c>
      <c r="I37" s="5">
        <v>14000</v>
      </c>
      <c r="J37" s="5">
        <v>35000</v>
      </c>
      <c r="K37" s="5">
        <v>7000</v>
      </c>
      <c r="L37" s="5">
        <v>0</v>
      </c>
      <c r="M37" s="5">
        <v>0</v>
      </c>
      <c r="N37" s="5">
        <v>2000000</v>
      </c>
      <c r="O37" s="5">
        <v>230000</v>
      </c>
      <c r="P37" s="5">
        <v>120000</v>
      </c>
      <c r="Q37" s="5">
        <v>1000000</v>
      </c>
      <c r="R37" s="5">
        <v>0</v>
      </c>
      <c r="S37" s="5">
        <v>0</v>
      </c>
      <c r="T37" s="5">
        <v>1000000</v>
      </c>
      <c r="U37" s="5">
        <v>174328.42538720038</v>
      </c>
      <c r="V37" s="5">
        <v>140000</v>
      </c>
      <c r="W37" s="36">
        <v>30000</v>
      </c>
      <c r="X37" s="5"/>
      <c r="Y37" s="5">
        <f t="shared" si="0"/>
        <v>144328.42538720038</v>
      </c>
      <c r="Z37" s="5">
        <f t="shared" si="1"/>
        <v>4328.4253872003756</v>
      </c>
      <c r="AA37" s="17" t="s">
        <v>98</v>
      </c>
      <c r="AD37" s="11">
        <v>174218.62562456058</v>
      </c>
    </row>
    <row r="38" spans="1:36" x14ac:dyDescent="0.35">
      <c r="A38" s="1" t="s">
        <v>45</v>
      </c>
      <c r="B38" s="1" t="s">
        <v>116</v>
      </c>
      <c r="C38" s="5">
        <v>480000</v>
      </c>
      <c r="D38" s="5">
        <v>82325.064676950074</v>
      </c>
      <c r="E38" s="5">
        <v>15968.295339537319</v>
      </c>
      <c r="F38" s="5">
        <v>0</v>
      </c>
      <c r="G38" s="5">
        <v>84000</v>
      </c>
      <c r="H38" s="5">
        <v>7000</v>
      </c>
      <c r="I38" s="5">
        <v>14000</v>
      </c>
      <c r="J38" s="5">
        <v>35000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182293.36001648739</v>
      </c>
      <c r="V38" s="5">
        <v>3500</v>
      </c>
      <c r="W38" s="36">
        <v>30000</v>
      </c>
      <c r="X38" s="5"/>
      <c r="Y38" s="5">
        <f t="shared" si="0"/>
        <v>152293.36001648739</v>
      </c>
      <c r="Z38" s="5">
        <f t="shared" si="1"/>
        <v>148793.36001648739</v>
      </c>
      <c r="AA38" s="17"/>
      <c r="AD38" s="11">
        <v>166325.06467695007</v>
      </c>
    </row>
    <row r="39" spans="1:36" x14ac:dyDescent="0.35">
      <c r="A39" s="1" t="s">
        <v>46</v>
      </c>
      <c r="B39" s="1" t="s">
        <v>117</v>
      </c>
      <c r="C39" s="5">
        <v>480000</v>
      </c>
      <c r="D39" s="5">
        <v>79309.541006732557</v>
      </c>
      <c r="E39" s="5">
        <v>0.17330693561234511</v>
      </c>
      <c r="F39" s="5">
        <v>0</v>
      </c>
      <c r="G39" s="5">
        <v>54000</v>
      </c>
      <c r="H39" s="5">
        <v>4500</v>
      </c>
      <c r="I39" s="5">
        <v>9000</v>
      </c>
      <c r="J39" s="5">
        <v>22500</v>
      </c>
      <c r="K39" s="5">
        <v>15000</v>
      </c>
      <c r="L39" s="5">
        <v>0</v>
      </c>
      <c r="M39" s="5">
        <v>0</v>
      </c>
      <c r="N39" s="5">
        <v>1000000</v>
      </c>
      <c r="O39" s="5">
        <v>40000</v>
      </c>
      <c r="P39" s="5">
        <v>0</v>
      </c>
      <c r="Q39" s="5">
        <v>1155000</v>
      </c>
      <c r="R39" s="5">
        <v>155000</v>
      </c>
      <c r="S39" s="5">
        <v>0</v>
      </c>
      <c r="T39" s="5">
        <v>0</v>
      </c>
      <c r="U39" s="5">
        <v>133309.71431366817</v>
      </c>
      <c r="V39" s="5">
        <v>103310</v>
      </c>
      <c r="W39" s="36">
        <v>30000</v>
      </c>
      <c r="X39" s="5"/>
      <c r="Y39" s="5">
        <f t="shared" si="0"/>
        <v>103309.71431366817</v>
      </c>
      <c r="Z39" s="5">
        <f t="shared" si="1"/>
        <v>-0.2856863318302203</v>
      </c>
      <c r="AA39" s="17"/>
      <c r="AD39" s="11">
        <v>133309.54100673256</v>
      </c>
    </row>
    <row r="40" spans="1:36" x14ac:dyDescent="0.35">
      <c r="A40" s="1" t="s">
        <v>81</v>
      </c>
      <c r="B40" s="1" t="s">
        <v>118</v>
      </c>
      <c r="C40" s="5">
        <v>0</v>
      </c>
      <c r="D40" s="5">
        <v>3376.913330814542</v>
      </c>
      <c r="E40" s="5">
        <v>0</v>
      </c>
      <c r="F40" s="5">
        <v>0</v>
      </c>
      <c r="G40" s="5">
        <v>104000</v>
      </c>
      <c r="H40" s="5">
        <v>7000</v>
      </c>
      <c r="I40" s="5">
        <v>14000</v>
      </c>
      <c r="J40" s="5">
        <v>35000</v>
      </c>
      <c r="K40" s="5">
        <v>3000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107376.91333081454</v>
      </c>
      <c r="V40" s="5">
        <v>0</v>
      </c>
      <c r="W40" s="36">
        <f>30000+77377</f>
        <v>107377</v>
      </c>
      <c r="X40" s="5"/>
      <c r="Y40" s="5">
        <f t="shared" si="0"/>
        <v>-8.6669185460777953E-2</v>
      </c>
      <c r="Z40" s="5">
        <f t="shared" si="1"/>
        <v>-8.6669185460777953E-2</v>
      </c>
      <c r="AA40" s="17"/>
      <c r="AD40" s="11">
        <v>107376.91333081454</v>
      </c>
    </row>
    <row r="41" spans="1:36" s="14" customFormat="1" x14ac:dyDescent="0.35">
      <c r="A41" s="12" t="s">
        <v>47</v>
      </c>
      <c r="B41" s="12" t="s">
        <v>143</v>
      </c>
      <c r="C41" s="13">
        <v>480000</v>
      </c>
      <c r="D41" s="5">
        <v>80174.992283614876</v>
      </c>
      <c r="E41" s="5">
        <v>2777.4644755606423</v>
      </c>
      <c r="F41" s="13">
        <v>0</v>
      </c>
      <c r="G41" s="5">
        <v>82000</v>
      </c>
      <c r="H41" s="13">
        <v>7000</v>
      </c>
      <c r="I41" s="13">
        <v>14000</v>
      </c>
      <c r="J41" s="13">
        <v>35000</v>
      </c>
      <c r="K41" s="13">
        <v>13000</v>
      </c>
      <c r="L41" s="13">
        <v>0</v>
      </c>
      <c r="M41" s="13">
        <v>0</v>
      </c>
      <c r="N41" s="13">
        <v>1000000</v>
      </c>
      <c r="O41" s="5">
        <v>90000</v>
      </c>
      <c r="P41" s="5">
        <v>0</v>
      </c>
      <c r="Q41" s="13">
        <v>400000</v>
      </c>
      <c r="R41" s="13">
        <v>155000</v>
      </c>
      <c r="S41" s="13">
        <v>0</v>
      </c>
      <c r="T41" s="13">
        <v>755000</v>
      </c>
      <c r="U41" s="13">
        <v>164952.45675917552</v>
      </c>
      <c r="V41" s="13">
        <v>130000</v>
      </c>
      <c r="W41" s="36">
        <v>30000</v>
      </c>
      <c r="X41" s="13"/>
      <c r="Y41" s="5">
        <f t="shared" si="0"/>
        <v>134952.45675917552</v>
      </c>
      <c r="Z41" s="5">
        <f t="shared" si="1"/>
        <v>4952.4567591755185</v>
      </c>
      <c r="AA41" s="35" t="s">
        <v>99</v>
      </c>
      <c r="AB41" s="14" t="s">
        <v>129</v>
      </c>
      <c r="AC41" s="11">
        <v>155000</v>
      </c>
      <c r="AD41" s="11">
        <v>162174.99228361488</v>
      </c>
    </row>
    <row r="42" spans="1:36" x14ac:dyDescent="0.35">
      <c r="A42" s="1" t="s">
        <v>48</v>
      </c>
      <c r="B42" s="1" t="s">
        <v>120</v>
      </c>
      <c r="C42" s="5">
        <v>480000</v>
      </c>
      <c r="D42" s="5">
        <v>79793.71388976372</v>
      </c>
      <c r="E42" s="5">
        <v>0</v>
      </c>
      <c r="F42" s="5">
        <v>0</v>
      </c>
      <c r="G42" s="5">
        <v>84000</v>
      </c>
      <c r="H42" s="5">
        <v>7000</v>
      </c>
      <c r="I42" s="5">
        <v>14000</v>
      </c>
      <c r="J42" s="5">
        <v>35000</v>
      </c>
      <c r="K42" s="5">
        <v>0</v>
      </c>
      <c r="L42" s="5">
        <v>0</v>
      </c>
      <c r="M42" s="5">
        <v>0</v>
      </c>
      <c r="N42" s="5">
        <v>184035</v>
      </c>
      <c r="O42" s="5">
        <v>20243.849999999999</v>
      </c>
      <c r="P42" s="5">
        <v>0</v>
      </c>
      <c r="Q42" s="5">
        <v>184035</v>
      </c>
      <c r="R42" s="5">
        <v>0</v>
      </c>
      <c r="S42" s="5">
        <v>0</v>
      </c>
      <c r="T42" s="5">
        <v>0</v>
      </c>
      <c r="U42" s="5">
        <v>163793.71388976372</v>
      </c>
      <c r="V42" s="5">
        <v>0</v>
      </c>
      <c r="W42" s="36">
        <v>30000</v>
      </c>
      <c r="X42" s="5"/>
      <c r="Y42" s="5">
        <f t="shared" si="0"/>
        <v>133793.71388976372</v>
      </c>
      <c r="Z42" s="5">
        <f t="shared" si="1"/>
        <v>133793.71388976372</v>
      </c>
      <c r="AA42" s="17"/>
      <c r="AD42" s="11">
        <v>163793.71388976372</v>
      </c>
    </row>
    <row r="43" spans="1:36" x14ac:dyDescent="0.35">
      <c r="A43" s="1" t="s">
        <v>49</v>
      </c>
      <c r="B43" s="1" t="s">
        <v>121</v>
      </c>
      <c r="C43" s="5">
        <v>480000</v>
      </c>
      <c r="D43" s="5">
        <v>84611.13302311454</v>
      </c>
      <c r="E43" s="5">
        <v>-0.39887899404857308</v>
      </c>
      <c r="F43" s="5">
        <v>0</v>
      </c>
      <c r="G43" s="5">
        <v>174000</v>
      </c>
      <c r="H43" s="5">
        <v>7000</v>
      </c>
      <c r="I43" s="5">
        <v>14000</v>
      </c>
      <c r="J43" s="5">
        <v>35000</v>
      </c>
      <c r="K43" s="5">
        <v>2000</v>
      </c>
      <c r="L43" s="5">
        <v>0</v>
      </c>
      <c r="M43" s="5">
        <v>0</v>
      </c>
      <c r="N43" s="5">
        <v>1000000</v>
      </c>
      <c r="O43" s="5">
        <v>110000</v>
      </c>
      <c r="P43" s="5">
        <v>60000</v>
      </c>
      <c r="Q43" s="5">
        <v>500000</v>
      </c>
      <c r="R43" s="5">
        <v>0</v>
      </c>
      <c r="S43" s="5">
        <v>0</v>
      </c>
      <c r="T43" s="5">
        <v>500000</v>
      </c>
      <c r="U43" s="5">
        <v>258610.73414412048</v>
      </c>
      <c r="V43" s="5">
        <v>200000</v>
      </c>
      <c r="W43" s="36">
        <v>30000</v>
      </c>
      <c r="X43" s="5"/>
      <c r="Y43" s="5">
        <f t="shared" si="0"/>
        <v>228610.73414412048</v>
      </c>
      <c r="Z43" s="5">
        <f t="shared" si="1"/>
        <v>28610.734144120477</v>
      </c>
      <c r="AA43" s="17"/>
      <c r="AB43" t="s">
        <v>59</v>
      </c>
      <c r="AD43" s="11">
        <v>258611.13302311453</v>
      </c>
    </row>
    <row r="44" spans="1:36" x14ac:dyDescent="0.35">
      <c r="A44" s="1" t="s">
        <v>51</v>
      </c>
      <c r="B44" s="1" t="s">
        <v>122</v>
      </c>
      <c r="C44" s="5">
        <v>480000</v>
      </c>
      <c r="D44" s="5">
        <v>95391.522236883728</v>
      </c>
      <c r="E44" s="5">
        <v>1360.775029899698</v>
      </c>
      <c r="F44" s="5">
        <v>0</v>
      </c>
      <c r="G44" s="5">
        <v>84000</v>
      </c>
      <c r="H44" s="5">
        <v>7000</v>
      </c>
      <c r="I44" s="5">
        <v>14000</v>
      </c>
      <c r="J44" s="5">
        <v>35000</v>
      </c>
      <c r="K44" s="5">
        <v>0</v>
      </c>
      <c r="L44" s="5">
        <v>0</v>
      </c>
      <c r="M44" s="5">
        <v>0</v>
      </c>
      <c r="N44" s="5">
        <v>2000000</v>
      </c>
      <c r="O44" s="5">
        <v>200000</v>
      </c>
      <c r="P44" s="5">
        <v>110000</v>
      </c>
      <c r="Q44" s="5">
        <v>1000000</v>
      </c>
      <c r="R44" s="5">
        <v>0</v>
      </c>
      <c r="S44" s="5">
        <v>0</v>
      </c>
      <c r="T44" s="5">
        <v>1000000</v>
      </c>
      <c r="U44" s="5">
        <v>180752.29726678343</v>
      </c>
      <c r="V44" s="5">
        <v>0</v>
      </c>
      <c r="W44" s="36">
        <v>30000</v>
      </c>
      <c r="X44" s="5"/>
      <c r="Y44" s="5">
        <f t="shared" si="0"/>
        <v>150752.29726678343</v>
      </c>
      <c r="Z44" s="5">
        <f t="shared" si="1"/>
        <v>150752.29726678343</v>
      </c>
      <c r="AA44" s="17" t="s">
        <v>91</v>
      </c>
      <c r="AB44" t="s">
        <v>9</v>
      </c>
      <c r="AD44" s="11">
        <v>179391.52223688373</v>
      </c>
    </row>
    <row r="45" spans="1:36" s="14" customFormat="1" x14ac:dyDescent="0.35">
      <c r="A45" s="12" t="s">
        <v>52</v>
      </c>
      <c r="B45" s="12" t="s">
        <v>123</v>
      </c>
      <c r="C45" s="13">
        <v>480000</v>
      </c>
      <c r="D45" s="5">
        <v>78500.211202080493</v>
      </c>
      <c r="E45" s="5">
        <v>1225.3544029653422</v>
      </c>
      <c r="F45" s="13">
        <v>0</v>
      </c>
      <c r="G45" s="5">
        <v>30000</v>
      </c>
      <c r="H45" s="13">
        <v>2500</v>
      </c>
      <c r="I45" s="13">
        <v>5000</v>
      </c>
      <c r="J45" s="13">
        <v>12500</v>
      </c>
      <c r="K45" s="13">
        <v>4000</v>
      </c>
      <c r="L45" s="13">
        <v>0</v>
      </c>
      <c r="M45" s="13">
        <v>0</v>
      </c>
      <c r="N45" s="13">
        <v>850000</v>
      </c>
      <c r="O45" s="5">
        <v>95000</v>
      </c>
      <c r="P45" s="5">
        <v>0</v>
      </c>
      <c r="Q45" s="13">
        <v>0</v>
      </c>
      <c r="R45" s="13">
        <v>131750</v>
      </c>
      <c r="S45" s="13">
        <v>0</v>
      </c>
      <c r="T45" s="13">
        <v>981750</v>
      </c>
      <c r="U45" s="13">
        <v>109725.56560504583</v>
      </c>
      <c r="V45" s="13">
        <v>109726</v>
      </c>
      <c r="W45" s="36"/>
      <c r="X45" s="13"/>
      <c r="Y45" s="5">
        <f t="shared" si="0"/>
        <v>109725.56560504583</v>
      </c>
      <c r="Z45" s="5">
        <f t="shared" si="1"/>
        <v>-0.43439495416532736</v>
      </c>
      <c r="AA45" s="35" t="s">
        <v>98</v>
      </c>
      <c r="AB45" s="14" t="s">
        <v>129</v>
      </c>
      <c r="AC45" s="14">
        <v>131750</v>
      </c>
      <c r="AD45" s="11">
        <v>108500.21120208049</v>
      </c>
      <c r="AE45" s="11">
        <v>54400</v>
      </c>
      <c r="AH45" s="7">
        <v>-337624.43439495418</v>
      </c>
      <c r="AI45" s="14">
        <v>76650</v>
      </c>
      <c r="AJ45" s="14" t="s">
        <v>171</v>
      </c>
    </row>
    <row r="46" spans="1:36" s="14" customFormat="1" x14ac:dyDescent="0.35">
      <c r="A46" s="12" t="s">
        <v>53</v>
      </c>
      <c r="B46" s="12" t="s">
        <v>124</v>
      </c>
      <c r="C46" s="13">
        <v>30000</v>
      </c>
      <c r="D46" s="5">
        <v>0</v>
      </c>
      <c r="E46" s="5">
        <v>21.303203075842248</v>
      </c>
      <c r="F46" s="13">
        <v>0</v>
      </c>
      <c r="G46" s="5">
        <v>30000</v>
      </c>
      <c r="H46" s="13">
        <v>2500</v>
      </c>
      <c r="I46" s="13">
        <v>5000</v>
      </c>
      <c r="J46" s="13">
        <v>12500</v>
      </c>
      <c r="K46" s="13">
        <v>5500</v>
      </c>
      <c r="L46" s="13">
        <v>0</v>
      </c>
      <c r="M46" s="13">
        <v>0</v>
      </c>
      <c r="N46" s="13">
        <v>0</v>
      </c>
      <c r="O46" s="5">
        <v>0</v>
      </c>
      <c r="P46" s="5">
        <v>0</v>
      </c>
      <c r="Q46" s="13">
        <v>0</v>
      </c>
      <c r="R46" s="13">
        <v>0</v>
      </c>
      <c r="S46" s="13">
        <v>0</v>
      </c>
      <c r="T46" s="13">
        <v>0</v>
      </c>
      <c r="U46" s="13">
        <v>30021.30320307584</v>
      </c>
      <c r="V46" s="13">
        <v>30021</v>
      </c>
      <c r="W46" s="36"/>
      <c r="X46" s="13"/>
      <c r="Y46" s="5">
        <f t="shared" si="0"/>
        <v>30021.30320307584</v>
      </c>
      <c r="Z46" s="5">
        <f t="shared" si="1"/>
        <v>0.30320307584042894</v>
      </c>
      <c r="AA46" s="35"/>
      <c r="AB46" s="14" t="s">
        <v>129</v>
      </c>
      <c r="AD46" s="11">
        <v>30000</v>
      </c>
      <c r="AE46" s="11">
        <v>100000</v>
      </c>
      <c r="AH46" s="7">
        <v>-51453.696796924167</v>
      </c>
    </row>
    <row r="47" spans="1:36" s="14" customFormat="1" x14ac:dyDescent="0.35">
      <c r="A47" s="12" t="s">
        <v>54</v>
      </c>
      <c r="B47" s="12" t="s">
        <v>125</v>
      </c>
      <c r="C47" s="13">
        <v>480000</v>
      </c>
      <c r="D47" s="5">
        <v>77674.987774544497</v>
      </c>
      <c r="E47" s="5">
        <v>0.15040472695545759</v>
      </c>
      <c r="F47" s="13">
        <v>0</v>
      </c>
      <c r="G47" s="5">
        <v>22000</v>
      </c>
      <c r="H47" s="13">
        <v>2000</v>
      </c>
      <c r="I47" s="13">
        <v>4000</v>
      </c>
      <c r="J47" s="13">
        <v>10000</v>
      </c>
      <c r="K47" s="13">
        <v>11000</v>
      </c>
      <c r="L47" s="13">
        <v>0</v>
      </c>
      <c r="M47" s="13">
        <v>0</v>
      </c>
      <c r="N47" s="13">
        <v>2000000</v>
      </c>
      <c r="O47" s="5">
        <v>30000</v>
      </c>
      <c r="P47" s="5">
        <v>0</v>
      </c>
      <c r="Q47" s="13">
        <v>1000000</v>
      </c>
      <c r="R47" s="13">
        <v>155000</v>
      </c>
      <c r="S47" s="13">
        <v>0</v>
      </c>
      <c r="T47" s="13">
        <v>1155000</v>
      </c>
      <c r="U47" s="13">
        <v>99675.138179271453</v>
      </c>
      <c r="V47" s="13">
        <v>69675</v>
      </c>
      <c r="W47" s="36">
        <v>30000</v>
      </c>
      <c r="X47" s="13"/>
      <c r="Y47" s="5">
        <f t="shared" si="0"/>
        <v>69675.138179271453</v>
      </c>
      <c r="Z47" s="5">
        <f t="shared" si="1"/>
        <v>0.13817927145282738</v>
      </c>
      <c r="AA47" s="35" t="s">
        <v>91</v>
      </c>
      <c r="AB47" s="14" t="s">
        <v>129</v>
      </c>
      <c r="AD47" s="11">
        <v>99674.987774544497</v>
      </c>
      <c r="AE47" s="11">
        <v>-7500</v>
      </c>
      <c r="AF47" s="11">
        <v>16000</v>
      </c>
      <c r="AG47" s="11">
        <v>416500</v>
      </c>
      <c r="AH47" s="7">
        <v>-150324.86182072852</v>
      </c>
      <c r="AI47" s="14">
        <v>150325</v>
      </c>
    </row>
    <row r="48" spans="1:36" x14ac:dyDescent="0.35">
      <c r="A48" s="1" t="s">
        <v>55</v>
      </c>
      <c r="B48" s="1" t="s">
        <v>126</v>
      </c>
      <c r="C48" s="5">
        <v>480000</v>
      </c>
      <c r="D48" s="5">
        <v>149658.23869144428</v>
      </c>
      <c r="E48" s="5">
        <v>440720.17653060926</v>
      </c>
      <c r="F48" s="5">
        <v>0</v>
      </c>
      <c r="G48" s="5">
        <v>84000</v>
      </c>
      <c r="H48" s="5">
        <v>7000</v>
      </c>
      <c r="I48" s="5">
        <v>14000</v>
      </c>
      <c r="J48" s="5">
        <v>35000</v>
      </c>
      <c r="K48" s="5">
        <v>17000</v>
      </c>
      <c r="L48" s="5">
        <v>0</v>
      </c>
      <c r="M48" s="5">
        <v>0</v>
      </c>
      <c r="N48" s="5">
        <v>2700000</v>
      </c>
      <c r="O48" s="5">
        <v>151500</v>
      </c>
      <c r="P48" s="5">
        <v>35000</v>
      </c>
      <c r="Q48" s="5">
        <v>2037500</v>
      </c>
      <c r="R48" s="5">
        <v>37500</v>
      </c>
      <c r="S48" s="5">
        <v>0</v>
      </c>
      <c r="T48" s="5">
        <v>700000</v>
      </c>
      <c r="U48" s="5">
        <v>674378.41522205353</v>
      </c>
      <c r="V48" s="5">
        <v>0</v>
      </c>
      <c r="W48" s="36">
        <v>30000</v>
      </c>
      <c r="X48" s="5"/>
      <c r="Y48" s="5">
        <f t="shared" si="0"/>
        <v>644378.41522205353</v>
      </c>
      <c r="Z48" s="5">
        <f t="shared" si="1"/>
        <v>644378.41522205353</v>
      </c>
      <c r="AA48" s="17" t="s">
        <v>100</v>
      </c>
      <c r="AD48" s="11">
        <v>233658.23869144428</v>
      </c>
    </row>
    <row r="49" spans="1:30" x14ac:dyDescent="0.35">
      <c r="A49" s="1" t="s">
        <v>56</v>
      </c>
      <c r="B49" s="1" t="s">
        <v>127</v>
      </c>
      <c r="C49" s="5">
        <v>480000</v>
      </c>
      <c r="D49" s="5">
        <v>317201.9797878497</v>
      </c>
      <c r="E49" s="5">
        <v>1198154.6510912008</v>
      </c>
      <c r="F49" s="5">
        <v>0</v>
      </c>
      <c r="G49" s="5">
        <v>1024000</v>
      </c>
      <c r="H49" s="5">
        <v>7000</v>
      </c>
      <c r="I49" s="5">
        <v>14000</v>
      </c>
      <c r="J49" s="5">
        <v>35000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2539356.6308790506</v>
      </c>
      <c r="V49" s="5">
        <v>0</v>
      </c>
      <c r="W49" s="36">
        <v>30000</v>
      </c>
      <c r="X49" s="5"/>
      <c r="Y49" s="5">
        <f t="shared" si="0"/>
        <v>2509356.6308790506</v>
      </c>
      <c r="Z49" s="5">
        <f t="shared" si="1"/>
        <v>2509356.6308790506</v>
      </c>
      <c r="AA49" s="17"/>
      <c r="AD49" s="11">
        <v>1341201.9797878498</v>
      </c>
    </row>
    <row r="50" spans="1:30" x14ac:dyDescent="0.35">
      <c r="A50" s="1" t="s">
        <v>172</v>
      </c>
      <c r="B50" s="1"/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30" x14ac:dyDescent="0.35">
      <c r="A51" s="1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30" x14ac:dyDescent="0.35">
      <c r="A52" s="1"/>
      <c r="B52" s="1"/>
      <c r="C52" s="1"/>
      <c r="D52" s="5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30" ht="17.5" x14ac:dyDescent="0.35">
      <c r="A53" s="1"/>
      <c r="B53" s="1"/>
      <c r="C53" s="1"/>
      <c r="D53" s="5"/>
      <c r="E53" s="9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5"/>
      <c r="S53" s="5"/>
    </row>
    <row r="54" spans="1:30" ht="17.5" x14ac:dyDescent="0.35">
      <c r="A54" s="1" t="s">
        <v>57</v>
      </c>
      <c r="B54" s="1"/>
      <c r="C54" s="9">
        <f>SUM(C6:C53)</f>
        <v>17782722.011083744</v>
      </c>
      <c r="D54" s="9">
        <f>SUM(D6:D53)</f>
        <v>3692643.8500000006</v>
      </c>
      <c r="E54" s="9">
        <f t="shared" ref="E54:Z54" si="2">SUM(E6:E49)</f>
        <v>4844130.5976969898</v>
      </c>
      <c r="F54" s="9">
        <f t="shared" si="2"/>
        <v>0</v>
      </c>
      <c r="G54" s="9">
        <f t="shared" si="2"/>
        <v>5614000</v>
      </c>
      <c r="H54" s="9">
        <f t="shared" si="2"/>
        <v>249500</v>
      </c>
      <c r="I54" s="9">
        <f t="shared" si="2"/>
        <v>499000</v>
      </c>
      <c r="J54" s="9">
        <f t="shared" si="2"/>
        <v>1247500</v>
      </c>
      <c r="K54" s="9">
        <f t="shared" si="2"/>
        <v>235500</v>
      </c>
      <c r="L54" s="9">
        <f t="shared" si="2"/>
        <v>0</v>
      </c>
      <c r="M54" s="9">
        <f t="shared" si="2"/>
        <v>0</v>
      </c>
      <c r="N54" s="9">
        <f t="shared" si="2"/>
        <v>46120035</v>
      </c>
      <c r="O54" s="9">
        <f t="shared" si="2"/>
        <v>3690143.85</v>
      </c>
      <c r="P54" s="9">
        <f t="shared" si="2"/>
        <v>1152300</v>
      </c>
      <c r="Q54" s="9">
        <f t="shared" si="2"/>
        <v>27308395</v>
      </c>
      <c r="R54" s="9">
        <f t="shared" si="2"/>
        <v>1475110</v>
      </c>
      <c r="S54" s="9">
        <f t="shared" si="2"/>
        <v>0</v>
      </c>
      <c r="T54" s="9">
        <f t="shared" si="2"/>
        <v>20286750</v>
      </c>
      <c r="U54" s="9">
        <f t="shared" si="2"/>
        <v>14150774.447696989</v>
      </c>
      <c r="V54" s="9">
        <f t="shared" si="2"/>
        <v>3581923</v>
      </c>
      <c r="W54" s="9">
        <f t="shared" si="2"/>
        <v>1265783</v>
      </c>
      <c r="X54" s="9"/>
      <c r="Y54" s="9">
        <f t="shared" si="2"/>
        <v>12884991.447696989</v>
      </c>
      <c r="Z54" s="9">
        <f t="shared" si="2"/>
        <v>9229775.4476969913</v>
      </c>
    </row>
    <row r="56" spans="1:30" ht="17.5" x14ac:dyDescent="0.35">
      <c r="K56" s="11"/>
      <c r="U56" s="9">
        <f>E54+G54+O54</f>
        <v>14148274.447696989</v>
      </c>
      <c r="V56" s="9"/>
      <c r="W56" s="9"/>
      <c r="X56" s="9"/>
      <c r="Y56" s="9"/>
      <c r="Z56" s="9"/>
    </row>
    <row r="57" spans="1:30" ht="17.5" x14ac:dyDescent="0.35">
      <c r="F57" s="9"/>
    </row>
    <row r="58" spans="1:30" ht="17.5" x14ac:dyDescent="0.35">
      <c r="F58" s="9"/>
      <c r="U58" s="9">
        <f>U56-U54</f>
        <v>-2500</v>
      </c>
      <c r="V58" s="9"/>
      <c r="W58" s="9"/>
      <c r="X58" s="9"/>
      <c r="Y58" s="9"/>
      <c r="Z58" s="9"/>
    </row>
    <row r="59" spans="1:30" ht="17.5" x14ac:dyDescent="0.35">
      <c r="F59" s="9"/>
    </row>
    <row r="60" spans="1:30" ht="17.5" x14ac:dyDescent="0.35">
      <c r="F60" s="9"/>
    </row>
    <row r="61" spans="1:30" ht="17.5" x14ac:dyDescent="0.35">
      <c r="F61" s="9"/>
    </row>
    <row r="62" spans="1:30" ht="17.5" x14ac:dyDescent="0.35">
      <c r="F62" s="9"/>
    </row>
    <row r="63" spans="1:30" ht="17.5" x14ac:dyDescent="0.35">
      <c r="F63" s="9"/>
    </row>
    <row r="64" spans="1:30" ht="17.5" x14ac:dyDescent="0.35">
      <c r="F64" s="9"/>
    </row>
    <row r="65" spans="6:6" ht="17.5" x14ac:dyDescent="0.35">
      <c r="F65" s="9"/>
    </row>
    <row r="66" spans="6:6" ht="17.5" x14ac:dyDescent="0.35">
      <c r="F66" s="9"/>
    </row>
    <row r="67" spans="6:6" ht="17.5" x14ac:dyDescent="0.35">
      <c r="F67" s="9"/>
    </row>
    <row r="69" spans="6:6" ht="17.5" x14ac:dyDescent="0.35">
      <c r="F69" s="9"/>
    </row>
    <row r="70" spans="6:6" ht="17.5" x14ac:dyDescent="0.35">
      <c r="F70" s="9"/>
    </row>
    <row r="71" spans="6:6" ht="17.5" x14ac:dyDescent="0.35">
      <c r="F71" s="9"/>
    </row>
    <row r="72" spans="6:6" ht="17.5" x14ac:dyDescent="0.35">
      <c r="F72" s="9"/>
    </row>
    <row r="73" spans="6:6" ht="17.5" x14ac:dyDescent="0.35">
      <c r="F73" s="9"/>
    </row>
  </sheetData>
  <autoFilter ref="A5:Q49" xr:uid="{00000000-0009-0000-0000-00001F000000}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I45"/>
  <sheetViews>
    <sheetView topLeftCell="A13" workbookViewId="0">
      <selection activeCell="E26" sqref="E26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9" x14ac:dyDescent="0.35">
      <c r="B2" t="s">
        <v>230</v>
      </c>
    </row>
    <row r="4" spans="1:9" x14ac:dyDescent="0.35">
      <c r="A4" t="s">
        <v>161</v>
      </c>
      <c r="B4" t="s">
        <v>159</v>
      </c>
      <c r="C4" t="s">
        <v>160</v>
      </c>
    </row>
    <row r="5" spans="1:9" x14ac:dyDescent="0.35">
      <c r="C5" s="6"/>
      <c r="G5" s="11">
        <v>-7500</v>
      </c>
      <c r="H5" s="11">
        <v>16000</v>
      </c>
      <c r="I5" s="11">
        <v>416500</v>
      </c>
    </row>
    <row r="6" spans="1:9" x14ac:dyDescent="0.35">
      <c r="B6" s="6">
        <f>554500+1155000-42500</f>
        <v>1667000</v>
      </c>
      <c r="C6" s="6"/>
    </row>
    <row r="7" spans="1:9" x14ac:dyDescent="0.35">
      <c r="A7" s="62" t="s">
        <v>229</v>
      </c>
      <c r="B7" s="6"/>
      <c r="C7" s="6">
        <v>30000</v>
      </c>
    </row>
    <row r="8" spans="1:9" x14ac:dyDescent="0.35">
      <c r="A8" s="58" t="s">
        <v>198</v>
      </c>
      <c r="B8" s="6"/>
      <c r="C8" s="6">
        <v>30000</v>
      </c>
    </row>
    <row r="9" spans="1:9" x14ac:dyDescent="0.35">
      <c r="A9" s="58" t="s">
        <v>200</v>
      </c>
      <c r="B9" s="6"/>
      <c r="C9" s="6">
        <v>30000</v>
      </c>
    </row>
    <row r="10" spans="1:9" x14ac:dyDescent="0.35">
      <c r="A10" t="s">
        <v>201</v>
      </c>
      <c r="B10" s="6"/>
      <c r="C10" s="6">
        <v>30000</v>
      </c>
      <c r="G10" s="2"/>
    </row>
    <row r="11" spans="1:9" x14ac:dyDescent="0.35">
      <c r="A11" t="s">
        <v>202</v>
      </c>
      <c r="B11" s="6"/>
      <c r="C11" s="6">
        <v>30000</v>
      </c>
    </row>
    <row r="12" spans="1:9" x14ac:dyDescent="0.35">
      <c r="A12" t="s">
        <v>239</v>
      </c>
      <c r="B12" s="6"/>
      <c r="C12" s="6"/>
    </row>
    <row r="13" spans="1:9" x14ac:dyDescent="0.35">
      <c r="A13" t="s">
        <v>241</v>
      </c>
      <c r="B13" s="6"/>
      <c r="C13" s="6">
        <v>30000</v>
      </c>
    </row>
    <row r="14" spans="1:9" x14ac:dyDescent="0.35">
      <c r="A14" t="s">
        <v>243</v>
      </c>
      <c r="B14" s="6"/>
      <c r="C14" s="6">
        <v>120000</v>
      </c>
      <c r="D14" t="s">
        <v>246</v>
      </c>
    </row>
    <row r="15" spans="1:9" x14ac:dyDescent="0.35">
      <c r="A15" t="s">
        <v>245</v>
      </c>
      <c r="B15" s="6"/>
      <c r="C15" s="6">
        <v>60000</v>
      </c>
    </row>
    <row r="16" spans="1:9" x14ac:dyDescent="0.35">
      <c r="A16" t="s">
        <v>250</v>
      </c>
      <c r="B16" s="6"/>
      <c r="C16" s="6">
        <v>30000</v>
      </c>
    </row>
    <row r="17" spans="1:4" x14ac:dyDescent="0.35">
      <c r="A17" s="62">
        <v>44562</v>
      </c>
      <c r="B17" s="6"/>
      <c r="C17" s="6">
        <v>30000</v>
      </c>
    </row>
    <row r="18" spans="1:4" x14ac:dyDescent="0.35">
      <c r="A18" s="62">
        <v>44593</v>
      </c>
      <c r="B18" s="6"/>
      <c r="C18" s="6">
        <v>30000</v>
      </c>
    </row>
    <row r="19" spans="1:4" x14ac:dyDescent="0.35">
      <c r="A19" s="62">
        <v>44621</v>
      </c>
      <c r="B19" s="6"/>
      <c r="C19" s="6">
        <v>30000</v>
      </c>
    </row>
    <row r="20" spans="1:4" x14ac:dyDescent="0.35">
      <c r="A20" s="62">
        <v>44652</v>
      </c>
      <c r="B20" s="6"/>
      <c r="C20" s="6">
        <v>30000</v>
      </c>
    </row>
    <row r="21" spans="1:4" x14ac:dyDescent="0.35">
      <c r="A21" s="62">
        <v>44682</v>
      </c>
      <c r="B21" s="6"/>
      <c r="C21" s="6">
        <v>30000</v>
      </c>
    </row>
    <row r="22" spans="1:4" x14ac:dyDescent="0.35">
      <c r="A22" s="62">
        <v>44713</v>
      </c>
      <c r="B22" s="6"/>
      <c r="C22" s="6">
        <v>30000</v>
      </c>
    </row>
    <row r="23" spans="1:4" x14ac:dyDescent="0.35">
      <c r="A23" s="62">
        <v>44743</v>
      </c>
      <c r="B23" s="6"/>
      <c r="C23" s="6">
        <v>30000</v>
      </c>
    </row>
    <row r="24" spans="1:4" x14ac:dyDescent="0.35">
      <c r="A24" s="62">
        <v>45004</v>
      </c>
      <c r="B24" s="6" t="s">
        <v>68</v>
      </c>
      <c r="C24" s="6">
        <v>537217</v>
      </c>
    </row>
    <row r="25" spans="1:4" x14ac:dyDescent="0.35">
      <c r="A25" s="62"/>
      <c r="B25" s="6"/>
      <c r="C25" s="6"/>
    </row>
    <row r="27" spans="1:4" x14ac:dyDescent="0.35">
      <c r="B27" s="6"/>
      <c r="C27" s="6"/>
    </row>
    <row r="28" spans="1:4" ht="21" x14ac:dyDescent="0.5">
      <c r="A28" t="s">
        <v>57</v>
      </c>
      <c r="B28" s="6"/>
      <c r="C28" s="103">
        <f>SUM(C7:C27)</f>
        <v>1137217</v>
      </c>
      <c r="D28" s="100">
        <f>+B6-C28</f>
        <v>529783</v>
      </c>
    </row>
    <row r="29" spans="1:4" x14ac:dyDescent="0.35">
      <c r="B29" s="6"/>
      <c r="C29" s="6"/>
    </row>
    <row r="30" spans="1:4" x14ac:dyDescent="0.35">
      <c r="B30" s="6"/>
      <c r="C30" s="6"/>
    </row>
    <row r="31" spans="1:4" x14ac:dyDescent="0.35">
      <c r="B31" s="6"/>
      <c r="C31" s="6"/>
    </row>
    <row r="32" spans="1:4" x14ac:dyDescent="0.35">
      <c r="B32" s="6"/>
      <c r="C32" s="6"/>
    </row>
    <row r="33" spans="2:3" x14ac:dyDescent="0.35">
      <c r="B33" s="6"/>
      <c r="C33" s="6"/>
    </row>
    <row r="34" spans="2:3" x14ac:dyDescent="0.35">
      <c r="B34" s="6"/>
      <c r="C34" s="6"/>
    </row>
    <row r="35" spans="2:3" x14ac:dyDescent="0.35">
      <c r="B35" s="6"/>
      <c r="C35" s="6"/>
    </row>
    <row r="36" spans="2:3" x14ac:dyDescent="0.35">
      <c r="B36" s="6"/>
      <c r="C36" s="6"/>
    </row>
    <row r="37" spans="2:3" x14ac:dyDescent="0.35">
      <c r="B37" s="6"/>
      <c r="C37" s="6"/>
    </row>
    <row r="38" spans="2:3" x14ac:dyDescent="0.35">
      <c r="C38" s="6"/>
    </row>
    <row r="39" spans="2:3" x14ac:dyDescent="0.35">
      <c r="C39" s="6"/>
    </row>
    <row r="40" spans="2:3" x14ac:dyDescent="0.35">
      <c r="C40" s="6"/>
    </row>
    <row r="41" spans="2:3" x14ac:dyDescent="0.35">
      <c r="C41" s="6"/>
    </row>
    <row r="42" spans="2:3" x14ac:dyDescent="0.35">
      <c r="C42" s="6"/>
    </row>
    <row r="43" spans="2:3" x14ac:dyDescent="0.35">
      <c r="C43" s="6"/>
    </row>
    <row r="44" spans="2:3" x14ac:dyDescent="0.35">
      <c r="C44" s="6"/>
    </row>
    <row r="45" spans="2:3" x14ac:dyDescent="0.35">
      <c r="C45" s="6"/>
    </row>
  </sheetData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H37"/>
  <sheetViews>
    <sheetView workbookViewId="0">
      <selection activeCell="C14" sqref="C14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8" x14ac:dyDescent="0.35">
      <c r="B2" t="s">
        <v>237</v>
      </c>
    </row>
    <row r="4" spans="1:8" x14ac:dyDescent="0.35">
      <c r="A4" t="s">
        <v>161</v>
      </c>
      <c r="B4" t="s">
        <v>159</v>
      </c>
      <c r="C4" t="s">
        <v>160</v>
      </c>
    </row>
    <row r="6" spans="1:8" x14ac:dyDescent="0.35">
      <c r="A6" t="s">
        <v>160</v>
      </c>
      <c r="B6" s="6">
        <f>1000000+40000+536000-23000+26000-26000</f>
        <v>1553000</v>
      </c>
      <c r="H6" s="2">
        <f>B6-1553000</f>
        <v>0</v>
      </c>
    </row>
    <row r="7" spans="1:8" x14ac:dyDescent="0.35">
      <c r="B7" s="6"/>
      <c r="C7" s="6"/>
    </row>
    <row r="8" spans="1:8" x14ac:dyDescent="0.35">
      <c r="A8" s="62"/>
      <c r="B8" s="6"/>
      <c r="C8" s="6"/>
    </row>
    <row r="9" spans="1:8" x14ac:dyDescent="0.35">
      <c r="A9" s="58"/>
      <c r="B9" s="6"/>
      <c r="C9" s="6"/>
    </row>
    <row r="10" spans="1:8" x14ac:dyDescent="0.35">
      <c r="A10" s="58"/>
      <c r="B10" s="6"/>
      <c r="C10" s="6"/>
    </row>
    <row r="11" spans="1:8" x14ac:dyDescent="0.35">
      <c r="A11" s="58">
        <v>44460</v>
      </c>
      <c r="C11" s="6">
        <v>100000</v>
      </c>
      <c r="D11" t="s">
        <v>244</v>
      </c>
      <c r="G11" s="2"/>
    </row>
    <row r="12" spans="1:8" x14ac:dyDescent="0.35">
      <c r="A12" s="58">
        <v>45123</v>
      </c>
      <c r="C12" s="6">
        <v>1000000</v>
      </c>
      <c r="G12" s="2"/>
    </row>
    <row r="13" spans="1:8" x14ac:dyDescent="0.35">
      <c r="B13" s="6"/>
      <c r="C13" s="6">
        <v>606468</v>
      </c>
      <c r="D13" t="s">
        <v>323</v>
      </c>
    </row>
    <row r="14" spans="1:8" ht="21" x14ac:dyDescent="0.5">
      <c r="A14" t="s">
        <v>57</v>
      </c>
      <c r="B14" s="6"/>
      <c r="C14" s="6">
        <f>SUM(C7:C13)</f>
        <v>1706468</v>
      </c>
      <c r="D14" s="100">
        <f>B6-C14</f>
        <v>-153468</v>
      </c>
    </row>
    <row r="15" spans="1:8" x14ac:dyDescent="0.35">
      <c r="B15" s="6"/>
      <c r="C15" s="6"/>
    </row>
    <row r="16" spans="1:8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B28" s="6"/>
      <c r="C28" s="6"/>
    </row>
    <row r="29" spans="2:3" x14ac:dyDescent="0.35">
      <c r="B29" s="6"/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  <row r="37" spans="3:3" x14ac:dyDescent="0.35">
      <c r="C37" s="6"/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G36"/>
  <sheetViews>
    <sheetView workbookViewId="0">
      <selection activeCell="D11" sqref="D11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238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A6" t="s">
        <v>257</v>
      </c>
      <c r="B6" s="6">
        <f>1000000+80000+98500-46000</f>
        <v>1132500</v>
      </c>
      <c r="D6" t="s">
        <v>249</v>
      </c>
    </row>
    <row r="7" spans="1:7" x14ac:dyDescent="0.35">
      <c r="B7" s="6"/>
      <c r="C7" s="6"/>
    </row>
    <row r="8" spans="1:7" x14ac:dyDescent="0.35">
      <c r="A8" s="62"/>
      <c r="B8" s="6" t="s">
        <v>68</v>
      </c>
      <c r="C8" s="6">
        <v>540421</v>
      </c>
    </row>
    <row r="9" spans="1:7" x14ac:dyDescent="0.35">
      <c r="A9" s="58"/>
      <c r="B9" s="6"/>
      <c r="C9" s="6"/>
    </row>
    <row r="10" spans="1:7" x14ac:dyDescent="0.35">
      <c r="A10" s="58"/>
      <c r="B10" s="6"/>
      <c r="C10" s="6">
        <f>B6-C8</f>
        <v>592079</v>
      </c>
    </row>
    <row r="11" spans="1:7" x14ac:dyDescent="0.35">
      <c r="B11" s="6"/>
      <c r="C11" s="6"/>
      <c r="G11" s="2"/>
    </row>
    <row r="12" spans="1:7" x14ac:dyDescent="0.35">
      <c r="B12" s="6"/>
      <c r="C12" s="6"/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B28" s="6"/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</sheetData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G19"/>
  <sheetViews>
    <sheetView workbookViewId="0">
      <selection activeCell="K9" sqref="K9"/>
    </sheetView>
  </sheetViews>
  <sheetFormatPr baseColWidth="10" defaultRowHeight="14.5" x14ac:dyDescent="0.35"/>
  <cols>
    <col min="3" max="3" width="29.54296875" bestFit="1" customWidth="1"/>
    <col min="4" max="4" width="15.81640625" bestFit="1" customWidth="1"/>
    <col min="5" max="5" width="12.453125" bestFit="1" customWidth="1"/>
    <col min="7" max="7" width="18.81640625" bestFit="1" customWidth="1"/>
  </cols>
  <sheetData>
    <row r="2" spans="1:7" ht="19" thickBot="1" x14ac:dyDescent="0.5">
      <c r="A2" s="84" t="s">
        <v>217</v>
      </c>
    </row>
    <row r="3" spans="1:7" ht="15" thickTop="1" x14ac:dyDescent="0.35">
      <c r="A3" s="85"/>
      <c r="B3" s="86"/>
      <c r="C3" s="86"/>
      <c r="D3" s="86"/>
      <c r="E3" s="86"/>
      <c r="F3" s="86"/>
      <c r="G3" s="87"/>
    </row>
    <row r="4" spans="1:7" x14ac:dyDescent="0.35">
      <c r="A4" s="78"/>
      <c r="B4" s="50" t="s">
        <v>218</v>
      </c>
      <c r="C4" s="50"/>
      <c r="D4" s="50" t="s">
        <v>219</v>
      </c>
      <c r="E4" s="50" t="s">
        <v>220</v>
      </c>
      <c r="F4" s="50"/>
      <c r="G4" s="51" t="s">
        <v>219</v>
      </c>
    </row>
    <row r="5" spans="1:7" x14ac:dyDescent="0.35">
      <c r="A5" s="78"/>
      <c r="B5" s="50"/>
      <c r="C5" s="50" t="s">
        <v>221</v>
      </c>
      <c r="D5" s="67">
        <v>510000</v>
      </c>
      <c r="E5" s="50"/>
      <c r="F5" s="50" t="s">
        <v>222</v>
      </c>
      <c r="G5" s="88">
        <v>1000000</v>
      </c>
    </row>
    <row r="6" spans="1:7" x14ac:dyDescent="0.35">
      <c r="A6" s="78"/>
      <c r="B6" s="50"/>
      <c r="C6" s="50" t="s">
        <v>9</v>
      </c>
      <c r="D6" s="67">
        <v>130661</v>
      </c>
      <c r="E6" s="50"/>
      <c r="F6" s="50" t="s">
        <v>9</v>
      </c>
      <c r="G6" s="88">
        <v>80000</v>
      </c>
    </row>
    <row r="7" spans="1:7" x14ac:dyDescent="0.35">
      <c r="A7" s="78"/>
      <c r="B7" s="50"/>
      <c r="C7" s="50" t="s">
        <v>131</v>
      </c>
      <c r="D7" s="67">
        <v>60000</v>
      </c>
      <c r="E7" s="50"/>
      <c r="F7" s="50" t="s">
        <v>131</v>
      </c>
      <c r="G7" s="88">
        <v>300000</v>
      </c>
    </row>
    <row r="8" spans="1:7" x14ac:dyDescent="0.35">
      <c r="A8" s="78"/>
      <c r="B8" s="50"/>
      <c r="C8" s="50" t="s">
        <v>223</v>
      </c>
      <c r="D8" s="67">
        <v>900000</v>
      </c>
      <c r="E8" s="50"/>
      <c r="F8" s="50" t="s">
        <v>223</v>
      </c>
      <c r="G8" s="88">
        <v>1000000</v>
      </c>
    </row>
    <row r="9" spans="1:7" x14ac:dyDescent="0.35">
      <c r="A9" s="78"/>
      <c r="B9" s="50"/>
      <c r="C9" s="50" t="s">
        <v>224</v>
      </c>
      <c r="D9" s="67">
        <v>15000</v>
      </c>
      <c r="E9" s="50"/>
      <c r="F9" s="50"/>
      <c r="G9" s="51"/>
    </row>
    <row r="10" spans="1:7" x14ac:dyDescent="0.35">
      <c r="A10" s="78"/>
      <c r="B10" s="50"/>
      <c r="C10" s="50" t="s">
        <v>225</v>
      </c>
      <c r="D10" s="67">
        <v>260000</v>
      </c>
      <c r="E10" s="50"/>
      <c r="F10" s="50"/>
      <c r="G10" s="51"/>
    </row>
    <row r="11" spans="1:7" x14ac:dyDescent="0.35">
      <c r="A11" s="78"/>
      <c r="B11" s="50"/>
      <c r="C11" s="50" t="s">
        <v>226</v>
      </c>
      <c r="D11" s="67">
        <v>350000</v>
      </c>
      <c r="E11" s="50"/>
      <c r="F11" s="50"/>
      <c r="G11" s="51"/>
    </row>
    <row r="12" spans="1:7" x14ac:dyDescent="0.35">
      <c r="A12" s="78"/>
      <c r="B12" s="50"/>
      <c r="C12" s="50" t="s">
        <v>227</v>
      </c>
      <c r="D12" s="67">
        <v>100000</v>
      </c>
      <c r="E12" s="50"/>
      <c r="F12" s="50"/>
      <c r="G12" s="51"/>
    </row>
    <row r="13" spans="1:7" x14ac:dyDescent="0.35">
      <c r="A13" s="78"/>
      <c r="B13" s="50"/>
      <c r="C13" s="50"/>
      <c r="D13" s="67"/>
      <c r="E13" s="50"/>
      <c r="F13" s="50"/>
      <c r="G13" s="51"/>
    </row>
    <row r="14" spans="1:7" x14ac:dyDescent="0.35">
      <c r="A14" s="78"/>
      <c r="B14" s="50"/>
      <c r="C14" s="50"/>
      <c r="D14" s="67"/>
      <c r="E14" s="50"/>
      <c r="F14" s="50"/>
      <c r="G14" s="51"/>
    </row>
    <row r="15" spans="1:7" x14ac:dyDescent="0.35">
      <c r="A15" s="78"/>
      <c r="B15" s="50"/>
      <c r="C15" s="50"/>
      <c r="D15" s="67"/>
      <c r="E15" s="50"/>
      <c r="F15" s="50"/>
      <c r="G15" s="51"/>
    </row>
    <row r="16" spans="1:7" ht="21" x14ac:dyDescent="0.5">
      <c r="A16" s="89" t="s">
        <v>57</v>
      </c>
      <c r="B16" s="90"/>
      <c r="C16" s="90"/>
      <c r="D16" s="91">
        <f>SUM(D5:D12)</f>
        <v>2325661</v>
      </c>
      <c r="E16" s="90"/>
      <c r="F16" s="90"/>
      <c r="G16" s="92">
        <f>SUM(G5:G10)</f>
        <v>2380000</v>
      </c>
    </row>
    <row r="17" spans="1:7" x14ac:dyDescent="0.35">
      <c r="A17" s="78"/>
      <c r="B17" s="50"/>
      <c r="C17" s="50"/>
      <c r="D17" s="50"/>
      <c r="E17" s="50"/>
      <c r="F17" s="50"/>
      <c r="G17" s="51"/>
    </row>
    <row r="18" spans="1:7" ht="26.5" thickBot="1" x14ac:dyDescent="0.65">
      <c r="A18" s="80"/>
      <c r="B18" s="96" t="s">
        <v>228</v>
      </c>
      <c r="C18" s="93"/>
      <c r="D18" s="93"/>
      <c r="E18" s="94">
        <f>D16-G16</f>
        <v>-54339</v>
      </c>
      <c r="F18" s="93"/>
      <c r="G18" s="95"/>
    </row>
    <row r="19" spans="1:7" ht="15" thickTop="1" x14ac:dyDescent="0.35"/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C21"/>
  <sheetViews>
    <sheetView topLeftCell="A13" workbookViewId="0">
      <selection activeCell="C7" sqref="C7"/>
    </sheetView>
  </sheetViews>
  <sheetFormatPr baseColWidth="10" defaultRowHeight="14.5" x14ac:dyDescent="0.35"/>
  <cols>
    <col min="2" max="2" width="37" customWidth="1"/>
  </cols>
  <sheetData>
    <row r="1" spans="2:3" ht="26" x14ac:dyDescent="0.6">
      <c r="B1" s="59" t="s">
        <v>167</v>
      </c>
    </row>
    <row r="4" spans="2:3" x14ac:dyDescent="0.35">
      <c r="B4" t="s">
        <v>68</v>
      </c>
      <c r="C4" s="5">
        <v>510000</v>
      </c>
    </row>
    <row r="5" spans="2:3" x14ac:dyDescent="0.35">
      <c r="B5" t="s">
        <v>69</v>
      </c>
      <c r="C5" s="5">
        <v>4776932.807427818</v>
      </c>
    </row>
    <row r="6" spans="2:3" x14ac:dyDescent="0.35">
      <c r="B6" t="s">
        <v>9</v>
      </c>
      <c r="C6" s="5">
        <v>66000</v>
      </c>
    </row>
    <row r="7" spans="2:3" x14ac:dyDescent="0.35">
      <c r="B7" t="s">
        <v>162</v>
      </c>
      <c r="C7" s="5">
        <v>200000</v>
      </c>
    </row>
    <row r="8" spans="2:3" x14ac:dyDescent="0.35">
      <c r="B8" t="s">
        <v>149</v>
      </c>
      <c r="C8" s="5">
        <v>180246.0585920836</v>
      </c>
    </row>
    <row r="10" spans="2:3" x14ac:dyDescent="0.35">
      <c r="C10" s="5">
        <f>SUM(C4:C9)</f>
        <v>5733178.8660199018</v>
      </c>
    </row>
    <row r="11" spans="2:3" x14ac:dyDescent="0.35">
      <c r="C11" s="5"/>
    </row>
    <row r="12" spans="2:3" x14ac:dyDescent="0.35">
      <c r="B12" t="s">
        <v>135</v>
      </c>
      <c r="C12" s="5">
        <v>3500000</v>
      </c>
    </row>
    <row r="14" spans="2:3" x14ac:dyDescent="0.35">
      <c r="B14" t="s">
        <v>60</v>
      </c>
      <c r="C14" s="5">
        <f>C10-C12</f>
        <v>2233178.8660199018</v>
      </c>
    </row>
    <row r="16" spans="2:3" x14ac:dyDescent="0.35">
      <c r="B16" t="s">
        <v>163</v>
      </c>
      <c r="C16" s="5">
        <v>20000</v>
      </c>
    </row>
    <row r="17" spans="2:3" x14ac:dyDescent="0.35">
      <c r="B17" t="s">
        <v>164</v>
      </c>
      <c r="C17" s="5">
        <v>8000</v>
      </c>
    </row>
    <row r="19" spans="2:3" x14ac:dyDescent="0.35">
      <c r="B19" t="s">
        <v>165</v>
      </c>
      <c r="C19" s="5">
        <f>SUM(C16:C18)</f>
        <v>28000</v>
      </c>
    </row>
    <row r="21" spans="2:3" x14ac:dyDescent="0.35">
      <c r="B21" t="s">
        <v>166</v>
      </c>
      <c r="C21" s="5">
        <f>C14-C19</f>
        <v>2205178.8660199018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E22"/>
  <sheetViews>
    <sheetView workbookViewId="0">
      <selection activeCell="A13" sqref="A13"/>
    </sheetView>
  </sheetViews>
  <sheetFormatPr baseColWidth="10" defaultRowHeight="14.5" x14ac:dyDescent="0.35"/>
  <sheetData>
    <row r="2" spans="1:5" x14ac:dyDescent="0.35">
      <c r="A2" t="s">
        <v>195</v>
      </c>
      <c r="B2" t="s">
        <v>192</v>
      </c>
      <c r="C2" t="s">
        <v>193</v>
      </c>
      <c r="D2" t="s">
        <v>234</v>
      </c>
    </row>
    <row r="3" spans="1:5" x14ac:dyDescent="0.35">
      <c r="A3" t="s">
        <v>208</v>
      </c>
      <c r="B3" s="2"/>
      <c r="C3" s="2"/>
      <c r="D3" s="2">
        <v>216000</v>
      </c>
    </row>
    <row r="4" spans="1:5" x14ac:dyDescent="0.35">
      <c r="A4" t="s">
        <v>199</v>
      </c>
      <c r="B4" s="2">
        <v>200000</v>
      </c>
      <c r="C4" s="2"/>
      <c r="D4" s="2">
        <f>D3+B4-C4</f>
        <v>416000</v>
      </c>
    </row>
    <row r="5" spans="1:5" x14ac:dyDescent="0.35">
      <c r="A5" t="s">
        <v>200</v>
      </c>
      <c r="B5" s="2">
        <v>30000</v>
      </c>
      <c r="C5" s="2"/>
      <c r="D5" s="2">
        <f>D4+B5-C5</f>
        <v>446000</v>
      </c>
    </row>
    <row r="6" spans="1:5" x14ac:dyDescent="0.35">
      <c r="A6" t="s">
        <v>201</v>
      </c>
      <c r="B6" s="2">
        <v>30000</v>
      </c>
      <c r="C6" s="2"/>
      <c r="D6" s="2">
        <f t="shared" ref="D6:D9" si="0">D5+B6-C6</f>
        <v>476000</v>
      </c>
    </row>
    <row r="7" spans="1:5" x14ac:dyDescent="0.35">
      <c r="A7" t="s">
        <v>239</v>
      </c>
      <c r="B7" s="2">
        <v>30000</v>
      </c>
      <c r="C7" s="2"/>
      <c r="D7" s="2">
        <f t="shared" si="0"/>
        <v>506000</v>
      </c>
    </row>
    <row r="8" spans="1:5" x14ac:dyDescent="0.35">
      <c r="A8" t="s">
        <v>241</v>
      </c>
      <c r="B8" s="2">
        <v>30000</v>
      </c>
      <c r="C8" s="2"/>
      <c r="D8" s="2">
        <f t="shared" si="0"/>
        <v>536000</v>
      </c>
      <c r="E8" t="s">
        <v>20</v>
      </c>
    </row>
    <row r="9" spans="1:5" x14ac:dyDescent="0.35">
      <c r="A9" s="62">
        <v>44927</v>
      </c>
      <c r="B9" s="2">
        <v>64000</v>
      </c>
      <c r="C9" s="2"/>
      <c r="D9" s="2">
        <f t="shared" si="0"/>
        <v>600000</v>
      </c>
      <c r="E9" t="s">
        <v>20</v>
      </c>
    </row>
    <row r="10" spans="1:5" x14ac:dyDescent="0.35">
      <c r="B10" s="2"/>
      <c r="C10" s="2"/>
      <c r="D10" s="2"/>
    </row>
    <row r="11" spans="1:5" x14ac:dyDescent="0.35">
      <c r="B11" s="2"/>
      <c r="C11" s="2"/>
      <c r="D11" s="2"/>
    </row>
    <row r="12" spans="1:5" x14ac:dyDescent="0.35">
      <c r="B12" s="2"/>
      <c r="C12" s="2"/>
      <c r="D12" s="2"/>
    </row>
    <row r="13" spans="1:5" x14ac:dyDescent="0.35">
      <c r="B13" s="2"/>
      <c r="C13" s="2"/>
      <c r="D13" s="2"/>
    </row>
    <row r="14" spans="1:5" x14ac:dyDescent="0.35">
      <c r="B14" s="2"/>
      <c r="C14" s="2"/>
      <c r="D14" s="2"/>
    </row>
    <row r="15" spans="1:5" x14ac:dyDescent="0.35">
      <c r="B15" s="2"/>
      <c r="C15" s="2"/>
      <c r="D15" s="2"/>
    </row>
    <row r="16" spans="1:5" x14ac:dyDescent="0.35">
      <c r="B16" s="2"/>
      <c r="C16" s="2"/>
      <c r="D16" s="2"/>
    </row>
    <row r="17" spans="2:4" x14ac:dyDescent="0.35">
      <c r="B17" s="2"/>
      <c r="C17" s="2"/>
      <c r="D17" s="2"/>
    </row>
    <row r="18" spans="2:4" x14ac:dyDescent="0.35">
      <c r="B18" s="2"/>
      <c r="C18" s="2"/>
      <c r="D18" s="2"/>
    </row>
    <row r="19" spans="2:4" x14ac:dyDescent="0.35">
      <c r="B19" s="2"/>
      <c r="C19" s="2"/>
      <c r="D19" s="2"/>
    </row>
    <row r="20" spans="2:4" x14ac:dyDescent="0.35">
      <c r="B20" s="2"/>
      <c r="C20" s="2"/>
      <c r="D20" s="2"/>
    </row>
    <row r="21" spans="2:4" x14ac:dyDescent="0.35">
      <c r="B21" s="2"/>
      <c r="C21" s="2"/>
      <c r="D21" s="2"/>
    </row>
    <row r="22" spans="2:4" x14ac:dyDescent="0.35">
      <c r="B22" s="2"/>
      <c r="C22" s="2"/>
      <c r="D22" s="2"/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1"/>
  <sheetViews>
    <sheetView topLeftCell="B1" workbookViewId="0">
      <selection activeCell="A9" sqref="A9:XFD9"/>
    </sheetView>
  </sheetViews>
  <sheetFormatPr baseColWidth="10" defaultRowHeight="14.5" x14ac:dyDescent="0.35"/>
  <cols>
    <col min="1" max="1" width="30" bestFit="1" customWidth="1"/>
    <col min="2" max="2" width="13.81640625" bestFit="1" customWidth="1"/>
    <col min="3" max="3" width="19.26953125" bestFit="1" customWidth="1"/>
    <col min="4" max="4" width="30" customWidth="1"/>
    <col min="5" max="5" width="20.81640625" bestFit="1" customWidth="1"/>
    <col min="6" max="6" width="21" bestFit="1" customWidth="1"/>
    <col min="7" max="7" width="27.81640625" bestFit="1" customWidth="1"/>
  </cols>
  <sheetData>
    <row r="1" spans="1:9" x14ac:dyDescent="0.35">
      <c r="A1" s="17" t="s">
        <v>1</v>
      </c>
    </row>
    <row r="2" spans="1:9" x14ac:dyDescent="0.35">
      <c r="A2" s="17" t="s">
        <v>82</v>
      </c>
    </row>
    <row r="3" spans="1:9" ht="31" x14ac:dyDescent="0.7">
      <c r="B3" s="27" t="s">
        <v>128</v>
      </c>
    </row>
    <row r="4" spans="1:9" ht="15" thickBot="1" x14ac:dyDescent="0.4"/>
    <row r="5" spans="1:9" ht="42.5" thickTop="1" x14ac:dyDescent="0.5">
      <c r="A5" s="28" t="s">
        <v>5</v>
      </c>
      <c r="B5" s="29" t="s">
        <v>61</v>
      </c>
      <c r="C5" s="29" t="s">
        <v>63</v>
      </c>
      <c r="D5" s="29" t="s">
        <v>64</v>
      </c>
      <c r="E5" s="29" t="s">
        <v>65</v>
      </c>
      <c r="F5" s="29" t="s">
        <v>88</v>
      </c>
      <c r="G5" s="30" t="s">
        <v>15</v>
      </c>
      <c r="H5" s="33" t="s">
        <v>20</v>
      </c>
      <c r="I5" s="34" t="s">
        <v>59</v>
      </c>
    </row>
    <row r="6" spans="1:9" ht="18.5" x14ac:dyDescent="0.45">
      <c r="A6" s="24" t="s">
        <v>1</v>
      </c>
      <c r="B6" s="26"/>
      <c r="C6" s="26"/>
      <c r="D6" s="26"/>
      <c r="E6" s="26"/>
      <c r="F6" s="26"/>
      <c r="G6" s="25"/>
    </row>
    <row r="7" spans="1:9" ht="18.5" x14ac:dyDescent="0.45">
      <c r="A7" s="24" t="s">
        <v>101</v>
      </c>
      <c r="B7" s="26">
        <v>500000</v>
      </c>
      <c r="C7" s="26">
        <v>0</v>
      </c>
      <c r="D7" s="26">
        <v>0</v>
      </c>
      <c r="E7" s="26">
        <v>88000</v>
      </c>
      <c r="F7" s="26">
        <v>588000</v>
      </c>
      <c r="G7" s="25" t="s">
        <v>89</v>
      </c>
      <c r="H7" t="s">
        <v>129</v>
      </c>
    </row>
    <row r="8" spans="1:9" ht="18.5" x14ac:dyDescent="0.45">
      <c r="A8" s="24" t="s">
        <v>102</v>
      </c>
      <c r="B8" s="26">
        <v>1000000</v>
      </c>
      <c r="C8" s="26">
        <v>30000</v>
      </c>
      <c r="D8" s="26">
        <v>1000000</v>
      </c>
      <c r="E8" s="26">
        <v>0</v>
      </c>
      <c r="F8" s="26">
        <v>0</v>
      </c>
      <c r="G8" s="25"/>
    </row>
    <row r="9" spans="1:9" ht="18.5" x14ac:dyDescent="0.45">
      <c r="A9" s="24" t="s">
        <v>103</v>
      </c>
      <c r="B9" s="26">
        <v>700000</v>
      </c>
      <c r="C9" s="26">
        <v>84000</v>
      </c>
      <c r="D9" s="26">
        <v>0</v>
      </c>
      <c r="E9" s="26">
        <v>0</v>
      </c>
      <c r="F9" s="26">
        <v>700000</v>
      </c>
      <c r="G9" s="25" t="s">
        <v>94</v>
      </c>
      <c r="H9" t="s">
        <v>129</v>
      </c>
    </row>
    <row r="10" spans="1:9" ht="18.5" x14ac:dyDescent="0.45">
      <c r="A10" s="24" t="s">
        <v>78</v>
      </c>
      <c r="B10" s="26"/>
      <c r="C10" s="26"/>
      <c r="D10" s="26"/>
      <c r="E10" s="26"/>
      <c r="F10" s="26"/>
      <c r="G10" s="25"/>
    </row>
    <row r="11" spans="1:9" ht="18.5" x14ac:dyDescent="0.45">
      <c r="A11" s="24" t="s">
        <v>93</v>
      </c>
      <c r="B11" s="26">
        <v>1800000</v>
      </c>
      <c r="C11" s="26">
        <v>108000</v>
      </c>
      <c r="D11" s="26">
        <v>800000</v>
      </c>
      <c r="E11" s="26">
        <v>0</v>
      </c>
      <c r="F11" s="26">
        <v>1000000</v>
      </c>
      <c r="G11" s="25" t="s">
        <v>90</v>
      </c>
      <c r="H11" t="s">
        <v>129</v>
      </c>
    </row>
    <row r="12" spans="1:9" ht="18.5" x14ac:dyDescent="0.45">
      <c r="A12" s="24" t="s">
        <v>104</v>
      </c>
      <c r="B12" s="26">
        <v>1000000</v>
      </c>
      <c r="C12" s="26">
        <v>120000</v>
      </c>
      <c r="D12" s="26">
        <v>470000</v>
      </c>
      <c r="E12" s="26">
        <v>0</v>
      </c>
      <c r="F12" s="26">
        <v>530000</v>
      </c>
      <c r="G12" s="25" t="s">
        <v>91</v>
      </c>
      <c r="H12" s="31">
        <v>251000</v>
      </c>
      <c r="I12" s="32">
        <v>279000</v>
      </c>
    </row>
    <row r="13" spans="1:9" ht="18.5" x14ac:dyDescent="0.45">
      <c r="A13" s="24" t="s">
        <v>89</v>
      </c>
      <c r="B13" s="26">
        <v>2000000</v>
      </c>
      <c r="C13" s="26">
        <v>110000</v>
      </c>
      <c r="D13" s="26">
        <v>1000000</v>
      </c>
      <c r="E13" s="26">
        <v>0</v>
      </c>
      <c r="F13" s="26">
        <v>1000000</v>
      </c>
      <c r="G13" s="25" t="s">
        <v>92</v>
      </c>
      <c r="H13" t="s">
        <v>130</v>
      </c>
    </row>
    <row r="14" spans="1:9" ht="18.5" x14ac:dyDescent="0.45">
      <c r="A14" s="24" t="s">
        <v>70</v>
      </c>
      <c r="B14" s="26">
        <v>1000000</v>
      </c>
      <c r="C14" s="26">
        <v>110000</v>
      </c>
      <c r="D14" s="26">
        <v>0</v>
      </c>
      <c r="E14" s="26">
        <v>0</v>
      </c>
      <c r="F14" s="26">
        <v>1000000</v>
      </c>
      <c r="G14" s="25"/>
      <c r="H14" t="s">
        <v>130</v>
      </c>
    </row>
    <row r="15" spans="1:9" ht="18.5" x14ac:dyDescent="0.45">
      <c r="A15" s="24" t="s">
        <v>105</v>
      </c>
      <c r="B15" s="26">
        <v>700000</v>
      </c>
      <c r="C15" s="26">
        <v>108500</v>
      </c>
      <c r="D15" s="26">
        <v>808500</v>
      </c>
      <c r="E15" s="26">
        <v>108500</v>
      </c>
      <c r="F15" s="26">
        <v>0</v>
      </c>
      <c r="G15" s="25"/>
    </row>
    <row r="16" spans="1:9" ht="18.5" x14ac:dyDescent="0.45">
      <c r="A16" s="24" t="s">
        <v>99</v>
      </c>
      <c r="B16" s="26">
        <v>1000000</v>
      </c>
      <c r="C16" s="26">
        <v>120000</v>
      </c>
      <c r="D16" s="26">
        <v>0</v>
      </c>
      <c r="E16" s="26">
        <v>0</v>
      </c>
      <c r="F16" s="26">
        <v>1000000</v>
      </c>
      <c r="G16" s="25" t="s">
        <v>91</v>
      </c>
      <c r="H16" t="s">
        <v>130</v>
      </c>
    </row>
    <row r="17" spans="1:8" ht="18.5" x14ac:dyDescent="0.45">
      <c r="A17" s="24" t="s">
        <v>106</v>
      </c>
      <c r="B17" s="26"/>
      <c r="C17" s="26"/>
      <c r="D17" s="26"/>
      <c r="E17" s="26"/>
      <c r="F17" s="26"/>
      <c r="G17" s="25"/>
    </row>
    <row r="18" spans="1:8" ht="18.5" x14ac:dyDescent="0.45">
      <c r="A18" s="24" t="s">
        <v>92</v>
      </c>
      <c r="B18" s="26"/>
      <c r="C18" s="26"/>
      <c r="D18" s="26"/>
      <c r="E18" s="26"/>
      <c r="F18" s="26"/>
      <c r="G18" s="25"/>
    </row>
    <row r="19" spans="1:8" ht="18.5" x14ac:dyDescent="0.45">
      <c r="A19" s="24" t="s">
        <v>107</v>
      </c>
      <c r="B19" s="26"/>
      <c r="C19" s="26"/>
      <c r="D19" s="26"/>
      <c r="E19" s="26"/>
      <c r="F19" s="26"/>
      <c r="G19" s="25"/>
    </row>
    <row r="20" spans="1:8" ht="18.5" x14ac:dyDescent="0.45">
      <c r="A20" s="24" t="s">
        <v>90</v>
      </c>
      <c r="B20" s="26">
        <v>900000</v>
      </c>
      <c r="C20" s="26">
        <v>99000</v>
      </c>
      <c r="D20" s="26">
        <v>0</v>
      </c>
      <c r="E20" s="26">
        <v>0</v>
      </c>
      <c r="F20" s="26">
        <v>900000</v>
      </c>
      <c r="G20" s="25" t="s">
        <v>93</v>
      </c>
      <c r="H20" t="s">
        <v>18</v>
      </c>
    </row>
    <row r="21" spans="1:8" ht="18.5" x14ac:dyDescent="0.45">
      <c r="A21" s="24" t="s">
        <v>108</v>
      </c>
      <c r="B21" s="26">
        <v>700000</v>
      </c>
      <c r="C21" s="26">
        <v>77000</v>
      </c>
      <c r="D21" s="26">
        <v>0</v>
      </c>
      <c r="E21" s="26">
        <v>0</v>
      </c>
      <c r="F21" s="26">
        <v>700000</v>
      </c>
      <c r="G21" s="25" t="s">
        <v>95</v>
      </c>
      <c r="H21" t="s">
        <v>18</v>
      </c>
    </row>
    <row r="22" spans="1:8" ht="18.5" x14ac:dyDescent="0.45">
      <c r="A22" s="24" t="s">
        <v>109</v>
      </c>
      <c r="B22" s="26">
        <v>1000000</v>
      </c>
      <c r="C22" s="26">
        <v>110000</v>
      </c>
      <c r="D22" s="26">
        <v>0</v>
      </c>
      <c r="E22" s="26">
        <v>0</v>
      </c>
      <c r="F22" s="26">
        <v>1000000</v>
      </c>
      <c r="G22" s="25" t="s">
        <v>96</v>
      </c>
      <c r="H22" t="s">
        <v>130</v>
      </c>
    </row>
    <row r="23" spans="1:8" ht="18.5" x14ac:dyDescent="0.45">
      <c r="A23" s="24" t="s">
        <v>91</v>
      </c>
      <c r="B23" s="26">
        <v>1000000</v>
      </c>
      <c r="C23" s="26">
        <v>110000</v>
      </c>
      <c r="D23" s="26">
        <v>0</v>
      </c>
      <c r="E23" s="26">
        <v>0</v>
      </c>
      <c r="F23" s="26">
        <v>1000000</v>
      </c>
      <c r="G23" s="25" t="s">
        <v>87</v>
      </c>
      <c r="H23" t="s">
        <v>130</v>
      </c>
    </row>
    <row r="24" spans="1:8" ht="18.5" x14ac:dyDescent="0.45">
      <c r="A24" s="24" t="s">
        <v>110</v>
      </c>
      <c r="B24" s="26">
        <v>130000</v>
      </c>
      <c r="C24" s="26">
        <v>2600</v>
      </c>
      <c r="D24" s="26">
        <v>0</v>
      </c>
      <c r="E24" s="26">
        <v>0</v>
      </c>
      <c r="F24" s="26">
        <v>130000</v>
      </c>
      <c r="G24" s="25" t="s">
        <v>94</v>
      </c>
      <c r="H24" t="s">
        <v>129</v>
      </c>
    </row>
    <row r="25" spans="1:8" ht="18.5" x14ac:dyDescent="0.45">
      <c r="A25" s="24" t="s">
        <v>76</v>
      </c>
      <c r="B25" s="26">
        <v>900000</v>
      </c>
      <c r="C25" s="26">
        <v>108000</v>
      </c>
      <c r="D25" s="26">
        <v>0</v>
      </c>
      <c r="E25" s="26">
        <v>0</v>
      </c>
      <c r="F25" s="26">
        <v>900000</v>
      </c>
      <c r="G25" s="25" t="s">
        <v>91</v>
      </c>
      <c r="H25" t="s">
        <v>130</v>
      </c>
    </row>
    <row r="26" spans="1:8" ht="18.5" x14ac:dyDescent="0.45">
      <c r="A26" s="24" t="s">
        <v>97</v>
      </c>
      <c r="B26" s="26">
        <v>100000</v>
      </c>
      <c r="C26" s="26">
        <v>5000</v>
      </c>
      <c r="D26" s="26">
        <v>0</v>
      </c>
      <c r="E26" s="26">
        <v>0</v>
      </c>
      <c r="F26" s="26">
        <v>100000</v>
      </c>
      <c r="G26" s="25" t="s">
        <v>94</v>
      </c>
      <c r="H26" t="s">
        <v>130</v>
      </c>
    </row>
    <row r="27" spans="1:8" ht="18.5" x14ac:dyDescent="0.45">
      <c r="A27" s="24" t="s">
        <v>111</v>
      </c>
      <c r="B27" s="26">
        <v>1000000</v>
      </c>
      <c r="C27" s="26">
        <v>110000</v>
      </c>
      <c r="D27" s="26">
        <v>1000000</v>
      </c>
      <c r="E27" s="26">
        <v>0</v>
      </c>
      <c r="F27" s="26">
        <v>0</v>
      </c>
      <c r="G27" s="25"/>
    </row>
    <row r="28" spans="1:8" ht="18.5" x14ac:dyDescent="0.45">
      <c r="A28" s="24" t="s">
        <v>98</v>
      </c>
      <c r="B28" s="26">
        <v>500000</v>
      </c>
      <c r="C28" s="26">
        <v>50000</v>
      </c>
      <c r="D28" s="26">
        <v>500000</v>
      </c>
      <c r="E28" s="26">
        <v>0</v>
      </c>
      <c r="F28" s="26">
        <v>0</v>
      </c>
      <c r="G28" s="25"/>
    </row>
    <row r="29" spans="1:8" ht="18.5" x14ac:dyDescent="0.45">
      <c r="A29" s="24" t="s">
        <v>112</v>
      </c>
      <c r="B29" s="26"/>
      <c r="C29" s="26"/>
      <c r="D29" s="26"/>
      <c r="E29" s="26"/>
      <c r="F29" s="26"/>
      <c r="G29" s="25"/>
    </row>
    <row r="30" spans="1:8" ht="18.5" x14ac:dyDescent="0.45">
      <c r="A30" s="24" t="s">
        <v>113</v>
      </c>
      <c r="B30" s="26">
        <v>1176000</v>
      </c>
      <c r="C30" s="26">
        <v>0</v>
      </c>
      <c r="D30" s="26">
        <v>250000</v>
      </c>
      <c r="E30" s="26">
        <v>129360</v>
      </c>
      <c r="F30" s="26">
        <v>1055360</v>
      </c>
      <c r="G30" s="25"/>
      <c r="H30" t="s">
        <v>18</v>
      </c>
    </row>
    <row r="31" spans="1:8" ht="18.5" x14ac:dyDescent="0.45">
      <c r="A31" s="24" t="s">
        <v>114</v>
      </c>
      <c r="B31" s="26"/>
      <c r="C31" s="26"/>
      <c r="D31" s="26"/>
      <c r="E31" s="26"/>
      <c r="F31" s="26"/>
      <c r="G31" s="25"/>
    </row>
    <row r="32" spans="1:8" ht="18.5" x14ac:dyDescent="0.45">
      <c r="A32" s="24" t="s">
        <v>96</v>
      </c>
      <c r="B32" s="26">
        <v>1000000</v>
      </c>
      <c r="C32" s="26">
        <v>110000</v>
      </c>
      <c r="D32" s="26">
        <v>0</v>
      </c>
      <c r="E32" s="26">
        <v>0</v>
      </c>
      <c r="F32" s="26">
        <v>1000000</v>
      </c>
      <c r="G32" s="25" t="s">
        <v>97</v>
      </c>
    </row>
    <row r="33" spans="1:8" ht="18.5" x14ac:dyDescent="0.45">
      <c r="A33" s="24" t="s">
        <v>95</v>
      </c>
      <c r="B33" s="26">
        <v>700000</v>
      </c>
      <c r="C33" s="26">
        <v>84000</v>
      </c>
      <c r="D33" s="26">
        <v>0</v>
      </c>
      <c r="E33" s="26">
        <v>0</v>
      </c>
      <c r="F33" s="26">
        <v>700000</v>
      </c>
      <c r="G33" s="25" t="s">
        <v>94</v>
      </c>
      <c r="H33" t="s">
        <v>18</v>
      </c>
    </row>
    <row r="34" spans="1:8" ht="18.5" x14ac:dyDescent="0.45">
      <c r="A34" s="24" t="s">
        <v>100</v>
      </c>
      <c r="B34" s="26">
        <v>2000000</v>
      </c>
      <c r="C34" s="26">
        <v>120000</v>
      </c>
      <c r="D34" s="26">
        <v>1000000</v>
      </c>
      <c r="E34" s="26">
        <v>0</v>
      </c>
      <c r="F34" s="26">
        <v>1000000</v>
      </c>
      <c r="G34" s="25" t="s">
        <v>76</v>
      </c>
      <c r="H34" t="s">
        <v>130</v>
      </c>
    </row>
    <row r="35" spans="1:8" ht="18.5" x14ac:dyDescent="0.45">
      <c r="A35" s="24" t="s">
        <v>115</v>
      </c>
      <c r="B35" s="26">
        <v>1000000</v>
      </c>
      <c r="C35" s="26">
        <v>120000</v>
      </c>
      <c r="D35" s="26">
        <v>0</v>
      </c>
      <c r="E35" s="26">
        <v>0</v>
      </c>
      <c r="F35" s="26">
        <v>1000000</v>
      </c>
      <c r="G35" s="25" t="s">
        <v>87</v>
      </c>
      <c r="H35" t="s">
        <v>130</v>
      </c>
    </row>
    <row r="36" spans="1:8" ht="18.5" x14ac:dyDescent="0.45">
      <c r="A36" s="24" t="s">
        <v>87</v>
      </c>
      <c r="B36" s="26">
        <v>1000000</v>
      </c>
      <c r="C36" s="26">
        <v>110000</v>
      </c>
      <c r="D36" s="26">
        <v>0</v>
      </c>
      <c r="E36" s="26">
        <v>0</v>
      </c>
      <c r="F36" s="26">
        <v>1000000</v>
      </c>
      <c r="G36" s="25" t="s">
        <v>98</v>
      </c>
      <c r="H36" t="s">
        <v>130</v>
      </c>
    </row>
    <row r="37" spans="1:8" ht="18.5" x14ac:dyDescent="0.45">
      <c r="A37" s="24" t="s">
        <v>116</v>
      </c>
      <c r="B37" s="26"/>
      <c r="C37" s="26"/>
      <c r="D37" s="26"/>
      <c r="E37" s="26"/>
      <c r="F37" s="26"/>
      <c r="G37" s="25"/>
    </row>
    <row r="38" spans="1:8" ht="18.5" x14ac:dyDescent="0.45">
      <c r="A38" s="24" t="s">
        <v>117</v>
      </c>
      <c r="B38" s="26">
        <v>1000000</v>
      </c>
      <c r="C38" s="26">
        <v>40000</v>
      </c>
      <c r="D38" s="26">
        <v>1155000</v>
      </c>
      <c r="E38" s="26">
        <v>155000</v>
      </c>
      <c r="F38" s="26">
        <v>0</v>
      </c>
      <c r="G38" s="25"/>
    </row>
    <row r="39" spans="1:8" ht="18.5" x14ac:dyDescent="0.45">
      <c r="A39" s="24" t="s">
        <v>118</v>
      </c>
      <c r="B39" s="26"/>
      <c r="C39" s="26"/>
      <c r="D39" s="26"/>
      <c r="E39" s="26"/>
      <c r="F39" s="26"/>
      <c r="G39" s="25"/>
    </row>
    <row r="40" spans="1:8" ht="18.5" x14ac:dyDescent="0.45">
      <c r="A40" s="24" t="s">
        <v>119</v>
      </c>
      <c r="B40" s="26">
        <v>1000000</v>
      </c>
      <c r="C40" s="26">
        <v>90000</v>
      </c>
      <c r="D40" s="26">
        <v>0</v>
      </c>
      <c r="E40" s="26">
        <v>0</v>
      </c>
      <c r="F40" s="26">
        <v>1000000</v>
      </c>
      <c r="G40" s="25" t="s">
        <v>99</v>
      </c>
      <c r="H40" t="s">
        <v>18</v>
      </c>
    </row>
    <row r="41" spans="1:8" ht="18.5" x14ac:dyDescent="0.45">
      <c r="A41" s="24" t="s">
        <v>120</v>
      </c>
      <c r="B41" s="26">
        <v>184035</v>
      </c>
      <c r="C41" s="26">
        <v>20243.849999999999</v>
      </c>
      <c r="D41" s="26">
        <v>184035</v>
      </c>
      <c r="E41" s="26">
        <v>0</v>
      </c>
      <c r="F41" s="26">
        <v>0</v>
      </c>
      <c r="G41" s="25"/>
    </row>
    <row r="42" spans="1:8" ht="18.5" x14ac:dyDescent="0.45">
      <c r="A42" s="24" t="s">
        <v>121</v>
      </c>
      <c r="B42" s="26">
        <v>500000</v>
      </c>
      <c r="C42" s="26">
        <v>50000</v>
      </c>
      <c r="D42" s="26">
        <v>0</v>
      </c>
      <c r="E42" s="26">
        <v>0</v>
      </c>
      <c r="F42" s="26">
        <v>500000</v>
      </c>
      <c r="G42" s="25" t="s">
        <v>94</v>
      </c>
    </row>
    <row r="43" spans="1:8" ht="18.5" x14ac:dyDescent="0.45">
      <c r="A43" s="24" t="s">
        <v>122</v>
      </c>
      <c r="B43" s="26">
        <v>1000000</v>
      </c>
      <c r="C43" s="26">
        <v>90000</v>
      </c>
      <c r="D43" s="26">
        <v>0</v>
      </c>
      <c r="E43" s="26">
        <v>0</v>
      </c>
      <c r="F43" s="26">
        <v>1000000</v>
      </c>
      <c r="G43" s="25" t="s">
        <v>91</v>
      </c>
      <c r="H43" t="s">
        <v>9</v>
      </c>
    </row>
    <row r="44" spans="1:8" ht="18.5" x14ac:dyDescent="0.45">
      <c r="A44" s="24" t="s">
        <v>123</v>
      </c>
      <c r="B44" s="26">
        <v>850000</v>
      </c>
      <c r="C44" s="26">
        <v>95000</v>
      </c>
      <c r="D44" s="26">
        <v>0</v>
      </c>
      <c r="E44" s="26">
        <v>0</v>
      </c>
      <c r="F44" s="26">
        <v>850000</v>
      </c>
      <c r="G44" s="25" t="s">
        <v>98</v>
      </c>
      <c r="H44" t="s">
        <v>18</v>
      </c>
    </row>
    <row r="45" spans="1:8" ht="18.5" x14ac:dyDescent="0.45">
      <c r="A45" s="24" t="s">
        <v>124</v>
      </c>
      <c r="B45" s="26"/>
      <c r="C45" s="26"/>
      <c r="D45" s="26"/>
      <c r="E45" s="26"/>
      <c r="F45" s="26"/>
      <c r="G45" s="25"/>
    </row>
    <row r="46" spans="1:8" ht="18.5" x14ac:dyDescent="0.45">
      <c r="A46" s="24" t="s">
        <v>125</v>
      </c>
      <c r="B46" s="26">
        <v>2000000</v>
      </c>
      <c r="C46" s="26">
        <v>30000</v>
      </c>
      <c r="D46" s="26">
        <v>1000000</v>
      </c>
      <c r="E46" s="26">
        <v>155000</v>
      </c>
      <c r="F46" s="26">
        <v>1155000</v>
      </c>
      <c r="G46" s="25" t="s">
        <v>91</v>
      </c>
      <c r="H46" t="s">
        <v>18</v>
      </c>
    </row>
    <row r="47" spans="1:8" ht="18.5" x14ac:dyDescent="0.45">
      <c r="A47" s="24" t="s">
        <v>126</v>
      </c>
      <c r="B47" s="26">
        <v>2000000</v>
      </c>
      <c r="C47" s="26">
        <v>119000</v>
      </c>
      <c r="D47" s="26">
        <v>1250000</v>
      </c>
      <c r="E47" s="26">
        <v>37500</v>
      </c>
      <c r="F47" s="26">
        <v>787500</v>
      </c>
      <c r="G47" s="25" t="s">
        <v>100</v>
      </c>
      <c r="H47" t="s">
        <v>130</v>
      </c>
    </row>
    <row r="48" spans="1:8" ht="18.5" x14ac:dyDescent="0.45">
      <c r="A48" s="24" t="s">
        <v>127</v>
      </c>
      <c r="B48" s="26"/>
      <c r="C48" s="26"/>
      <c r="D48" s="26"/>
      <c r="E48" s="26"/>
      <c r="F48" s="26"/>
      <c r="G48" s="25"/>
    </row>
    <row r="49" spans="1:7" x14ac:dyDescent="0.35">
      <c r="A49" s="19"/>
      <c r="B49" s="18"/>
      <c r="C49" s="18"/>
      <c r="D49" s="18"/>
      <c r="E49" s="18"/>
      <c r="F49" s="18"/>
      <c r="G49" s="20"/>
    </row>
    <row r="50" spans="1:7" ht="19" thickBot="1" x14ac:dyDescent="0.5">
      <c r="A50" s="22" t="s">
        <v>57</v>
      </c>
      <c r="B50" s="23">
        <f>SUM(B6:B49)</f>
        <v>31340035</v>
      </c>
      <c r="C50" s="23">
        <f>SUM(C6:C49)</f>
        <v>2540343.85</v>
      </c>
      <c r="D50" s="23">
        <f>SUM(D6:D49)</f>
        <v>10417535</v>
      </c>
      <c r="E50" s="23">
        <f>SUM(E6:E49)</f>
        <v>673360</v>
      </c>
      <c r="F50" s="23">
        <f>SUM(F6:F49)</f>
        <v>21595860</v>
      </c>
      <c r="G50" s="21"/>
    </row>
    <row r="51" spans="1:7" ht="15" thickTop="1" x14ac:dyDescent="0.35"/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1"/>
  <sheetViews>
    <sheetView workbookViewId="0">
      <pane xSplit="1" ySplit="5" topLeftCell="B42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10" defaultColWidth="11" defaultRowHeight="14.5" x14ac:dyDescent="0.35"/>
  <cols>
    <col min="1" max="1" width="23.26953125" customWidth="1"/>
    <col min="2" max="2" width="14.1796875" customWidth="1"/>
    <col min="3" max="3" width="12.81640625" customWidth="1"/>
    <col min="4" max="4" width="12.54296875" customWidth="1"/>
    <col min="5" max="5" width="13" customWidth="1"/>
    <col min="6" max="6" width="12.7265625" customWidth="1"/>
    <col min="7" max="7" width="14.26953125" customWidth="1"/>
    <col min="8" max="8" width="14.81640625" customWidth="1"/>
    <col min="9" max="9" width="13" customWidth="1"/>
    <col min="10" max="10" width="14.26953125" customWidth="1"/>
  </cols>
  <sheetData>
    <row r="1" spans="1:10" x14ac:dyDescent="0.35">
      <c r="A1" s="1" t="s">
        <v>0</v>
      </c>
      <c r="B1" s="1" t="s">
        <v>1</v>
      </c>
      <c r="C1" s="1"/>
      <c r="D1" s="1"/>
      <c r="E1" s="1"/>
    </row>
    <row r="2" spans="1:10" ht="17.5" x14ac:dyDescent="0.35">
      <c r="A2" s="1" t="s">
        <v>2</v>
      </c>
      <c r="B2" s="1" t="s">
        <v>74</v>
      </c>
      <c r="C2" s="37" t="s">
        <v>141</v>
      </c>
      <c r="D2" s="1"/>
      <c r="E2" s="1"/>
    </row>
    <row r="3" spans="1:10" ht="31" x14ac:dyDescent="0.7">
      <c r="A3" s="1"/>
      <c r="B3" s="27" t="s">
        <v>140</v>
      </c>
      <c r="C3" s="5"/>
      <c r="D3" s="1"/>
      <c r="E3" s="1"/>
    </row>
    <row r="4" spans="1:10" ht="15" thickBot="1" x14ac:dyDescent="0.4">
      <c r="A4" s="5"/>
      <c r="B4" s="5"/>
      <c r="C4" s="1"/>
      <c r="D4" s="1"/>
    </row>
    <row r="5" spans="1:10" ht="43" thickTop="1" x14ac:dyDescent="0.35">
      <c r="A5" s="38" t="s">
        <v>5</v>
      </c>
      <c r="B5" s="40" t="s">
        <v>68</v>
      </c>
      <c r="C5" s="40" t="s">
        <v>142</v>
      </c>
      <c r="D5" s="39" t="s">
        <v>69</v>
      </c>
      <c r="E5" s="39" t="s">
        <v>9</v>
      </c>
      <c r="F5" s="40" t="s">
        <v>65</v>
      </c>
      <c r="G5" s="40" t="s">
        <v>88</v>
      </c>
      <c r="H5" s="40" t="s">
        <v>86</v>
      </c>
      <c r="I5" s="40" t="s">
        <v>138</v>
      </c>
      <c r="J5" s="41" t="s">
        <v>136</v>
      </c>
    </row>
    <row r="6" spans="1:10" ht="15.75" customHeight="1" x14ac:dyDescent="0.35">
      <c r="A6" s="42" t="s">
        <v>1</v>
      </c>
      <c r="B6" s="43">
        <f>MVTRESUME2019!C6</f>
        <v>394081.01108374598</v>
      </c>
      <c r="C6" s="43">
        <f>MVTRESUME2019!D6</f>
        <v>62668.935014227369</v>
      </c>
      <c r="D6" s="43">
        <f>MVTRESUME2019!E6</f>
        <v>0</v>
      </c>
      <c r="E6" s="43">
        <f>MVTRESUME2019!G6</f>
        <v>0</v>
      </c>
      <c r="F6" s="43">
        <v>0</v>
      </c>
      <c r="G6" s="43">
        <v>0</v>
      </c>
      <c r="H6" s="5">
        <f>C6+D6+E6</f>
        <v>62668.935014227369</v>
      </c>
      <c r="I6" s="43"/>
      <c r="J6" s="44">
        <f>H6-I6</f>
        <v>62668.935014227369</v>
      </c>
    </row>
    <row r="7" spans="1:10" s="14" customFormat="1" x14ac:dyDescent="0.35">
      <c r="A7" s="45" t="s">
        <v>101</v>
      </c>
      <c r="B7" s="43">
        <f>MVTRESUME2019!C7</f>
        <v>480000</v>
      </c>
      <c r="C7" s="43">
        <f>MVTRESUME2019!D7</f>
        <v>0</v>
      </c>
      <c r="D7" s="43">
        <f>MVTRESUME2019!E7</f>
        <v>0.49369671277236193</v>
      </c>
      <c r="E7" s="43">
        <f>MVTRESUME2019!G7</f>
        <v>2000</v>
      </c>
      <c r="F7" s="46">
        <v>88000</v>
      </c>
      <c r="G7" s="46">
        <v>0</v>
      </c>
      <c r="H7" s="5">
        <f t="shared" ref="H7:H48" si="0">C7+D7+E7</f>
        <v>2000.4936967127724</v>
      </c>
      <c r="I7" s="43"/>
      <c r="J7" s="44">
        <f t="shared" ref="J7:J48" si="1">H7-I7</f>
        <v>2000.4936967127724</v>
      </c>
    </row>
    <row r="8" spans="1:10" x14ac:dyDescent="0.35">
      <c r="A8" s="42" t="s">
        <v>102</v>
      </c>
      <c r="B8" s="43">
        <f>MVTRESUME2019!C8</f>
        <v>480000</v>
      </c>
      <c r="C8" s="43">
        <f>MVTRESUME2019!D8</f>
        <v>79945.737949015122</v>
      </c>
      <c r="D8" s="43">
        <f>MVTRESUME2019!E8</f>
        <v>1331.2797186755051</v>
      </c>
      <c r="E8" s="43">
        <f>MVTRESUME2019!G8</f>
        <v>82000</v>
      </c>
      <c r="F8" s="43">
        <v>0</v>
      </c>
      <c r="G8" s="43">
        <v>0</v>
      </c>
      <c r="H8" s="5">
        <f t="shared" si="0"/>
        <v>163277.01766769064</v>
      </c>
      <c r="I8" s="43">
        <v>30000</v>
      </c>
      <c r="J8" s="44">
        <f t="shared" si="1"/>
        <v>133277.01766769064</v>
      </c>
    </row>
    <row r="9" spans="1:10" s="14" customFormat="1" x14ac:dyDescent="0.35">
      <c r="A9" s="45" t="s">
        <v>103</v>
      </c>
      <c r="B9" s="43">
        <f>MVTRESUME2019!C9</f>
        <v>480000</v>
      </c>
      <c r="C9" s="43">
        <f>MVTRESUME2019!D9</f>
        <v>79896.677076385677</v>
      </c>
      <c r="D9" s="43">
        <f>MVTRESUME2019!E9</f>
        <v>3703.9516264695849</v>
      </c>
      <c r="E9" s="43">
        <f>MVTRESUME2019!G9</f>
        <v>54000</v>
      </c>
      <c r="F9" s="46">
        <v>108500</v>
      </c>
      <c r="G9" s="46">
        <v>808500</v>
      </c>
      <c r="H9" s="5">
        <f t="shared" si="0"/>
        <v>137600.62870285526</v>
      </c>
      <c r="I9" s="43"/>
      <c r="J9" s="44">
        <f t="shared" si="1"/>
        <v>137600.62870285526</v>
      </c>
    </row>
    <row r="10" spans="1:10" x14ac:dyDescent="0.35">
      <c r="A10" s="42" t="s">
        <v>78</v>
      </c>
      <c r="B10" s="43">
        <f>MVTRESUME2019!C10</f>
        <v>0</v>
      </c>
      <c r="C10" s="43">
        <f>MVTRESUME2019!D10</f>
        <v>1764.4540515245424</v>
      </c>
      <c r="D10" s="43">
        <f>MVTRESUME2019!E10</f>
        <v>2994.5270055831024</v>
      </c>
      <c r="E10" s="43">
        <f>MVTRESUME2019!G10</f>
        <v>12000</v>
      </c>
      <c r="F10" s="43">
        <v>0</v>
      </c>
      <c r="G10" s="43">
        <v>0</v>
      </c>
      <c r="H10" s="5">
        <f t="shared" si="0"/>
        <v>16758.981057107645</v>
      </c>
      <c r="I10" s="43"/>
      <c r="J10" s="44">
        <f t="shared" si="1"/>
        <v>16758.981057107645</v>
      </c>
    </row>
    <row r="11" spans="1:10" x14ac:dyDescent="0.35">
      <c r="A11" s="42" t="s">
        <v>93</v>
      </c>
      <c r="B11" s="43">
        <f>MVTRESUME2019!C11</f>
        <v>480000</v>
      </c>
      <c r="C11" s="43">
        <f>MVTRESUME2019!D11</f>
        <v>81380.868527515064</v>
      </c>
      <c r="D11" s="43">
        <f>MVTRESUME2019!E11</f>
        <v>404.48981912998715</v>
      </c>
      <c r="E11" s="43">
        <f>MVTRESUME2019!G11</f>
        <v>97500</v>
      </c>
      <c r="F11" s="43">
        <v>50000</v>
      </c>
      <c r="G11" s="43">
        <v>1050000</v>
      </c>
      <c r="H11" s="5">
        <f t="shared" si="0"/>
        <v>179285.35834664505</v>
      </c>
      <c r="I11" s="43">
        <v>30000</v>
      </c>
      <c r="J11" s="44">
        <f t="shared" si="1"/>
        <v>149285.35834664505</v>
      </c>
    </row>
    <row r="12" spans="1:10" x14ac:dyDescent="0.35">
      <c r="A12" s="42" t="s">
        <v>104</v>
      </c>
      <c r="B12" s="43">
        <f>MVTRESUME2019!C13</f>
        <v>480000</v>
      </c>
      <c r="C12" s="43">
        <f>MVTRESUME2019!D13</f>
        <v>79798.878874522779</v>
      </c>
      <c r="D12" s="43">
        <f>MVTRESUME2019!E13</f>
        <v>32.581814608536661</v>
      </c>
      <c r="E12" s="43">
        <f>MVTRESUME2019!G13</f>
        <v>84000</v>
      </c>
      <c r="F12" s="43">
        <v>0</v>
      </c>
      <c r="G12" s="43">
        <v>800000</v>
      </c>
      <c r="H12" s="5">
        <f t="shared" si="0"/>
        <v>163831.46068913132</v>
      </c>
      <c r="I12" s="43">
        <v>30000</v>
      </c>
      <c r="J12" s="44">
        <f t="shared" si="1"/>
        <v>133831.46068913132</v>
      </c>
    </row>
    <row r="13" spans="1:10" x14ac:dyDescent="0.35">
      <c r="A13" s="42" t="s">
        <v>89</v>
      </c>
      <c r="B13" s="43">
        <f>MVTRESUME2019!C14</f>
        <v>480000</v>
      </c>
      <c r="C13" s="43">
        <f>MVTRESUME2019!D14</f>
        <v>79954.051721931959</v>
      </c>
      <c r="D13" s="43">
        <f>MVTRESUME2019!E14</f>
        <v>8.234061673283577E-2</v>
      </c>
      <c r="E13" s="43">
        <f>MVTRESUME2019!G14</f>
        <v>93500</v>
      </c>
      <c r="F13" s="43">
        <v>0</v>
      </c>
      <c r="G13" s="43">
        <v>1000000</v>
      </c>
      <c r="H13" s="5">
        <f t="shared" si="0"/>
        <v>173454.13406254869</v>
      </c>
      <c r="I13" s="43">
        <v>30000</v>
      </c>
      <c r="J13" s="44">
        <f t="shared" si="1"/>
        <v>143454.13406254869</v>
      </c>
    </row>
    <row r="14" spans="1:10" x14ac:dyDescent="0.35">
      <c r="A14" s="42" t="s">
        <v>70</v>
      </c>
      <c r="B14" s="43">
        <f>MVTRESUME2019!C15</f>
        <v>441596</v>
      </c>
      <c r="C14" s="43">
        <f>MVTRESUME2019!D15</f>
        <v>73699.144246646392</v>
      </c>
      <c r="D14" s="43">
        <f>MVTRESUME2019!E15</f>
        <v>0.16900408919900656</v>
      </c>
      <c r="E14" s="43">
        <f>MVTRESUME2019!G15</f>
        <v>84000</v>
      </c>
      <c r="F14" s="43">
        <v>0</v>
      </c>
      <c r="G14" s="43">
        <v>1000000</v>
      </c>
      <c r="H14" s="5">
        <f t="shared" si="0"/>
        <v>157699.31325073558</v>
      </c>
      <c r="I14" s="43">
        <v>30000</v>
      </c>
      <c r="J14" s="44">
        <f t="shared" si="1"/>
        <v>127699.31325073558</v>
      </c>
    </row>
    <row r="15" spans="1:10" x14ac:dyDescent="0.35">
      <c r="A15" s="42" t="s">
        <v>105</v>
      </c>
      <c r="B15" s="43">
        <f>MVTRESUME2019!C16</f>
        <v>480000</v>
      </c>
      <c r="C15" s="43">
        <f>MVTRESUME2019!D16</f>
        <v>97864.943592884913</v>
      </c>
      <c r="D15" s="43">
        <f>MVTRESUME2019!E16</f>
        <v>113997.13327318276</v>
      </c>
      <c r="E15" s="43">
        <f>MVTRESUME2019!G16</f>
        <v>84000</v>
      </c>
      <c r="F15" s="43">
        <v>108500</v>
      </c>
      <c r="G15" s="43">
        <v>0</v>
      </c>
      <c r="H15" s="5">
        <f t="shared" si="0"/>
        <v>295862.07686606765</v>
      </c>
      <c r="I15" s="43">
        <v>30000</v>
      </c>
      <c r="J15" s="44">
        <f t="shared" si="1"/>
        <v>265862.07686606765</v>
      </c>
    </row>
    <row r="16" spans="1:10" x14ac:dyDescent="0.35">
      <c r="A16" s="42" t="s">
        <v>99</v>
      </c>
      <c r="B16" s="43">
        <f>MVTRESUME2019!C17</f>
        <v>480000</v>
      </c>
      <c r="C16" s="43">
        <f>MVTRESUME2019!D17</f>
        <v>80086.550029503749</v>
      </c>
      <c r="D16" s="43">
        <f>MVTRESUME2019!E17</f>
        <v>2219.5520592769026</v>
      </c>
      <c r="E16" s="43">
        <f>MVTRESUME2019!G17</f>
        <v>82000</v>
      </c>
      <c r="F16" s="43">
        <v>0</v>
      </c>
      <c r="G16" s="43">
        <v>1000000</v>
      </c>
      <c r="H16" s="5">
        <f t="shared" si="0"/>
        <v>164306.10208878067</v>
      </c>
      <c r="I16" s="43">
        <v>30000</v>
      </c>
      <c r="J16" s="44">
        <f t="shared" si="1"/>
        <v>134306.10208878067</v>
      </c>
    </row>
    <row r="17" spans="1:10" x14ac:dyDescent="0.35">
      <c r="A17" s="42" t="s">
        <v>106</v>
      </c>
      <c r="B17" s="43">
        <f>MVTRESUME2019!C18</f>
        <v>480000</v>
      </c>
      <c r="C17" s="43">
        <f>MVTRESUME2019!D18</f>
        <v>80427.583632271897</v>
      </c>
      <c r="D17" s="43">
        <f>MVTRESUME2019!E18</f>
        <v>3998.5841971817717</v>
      </c>
      <c r="E17" s="43">
        <f>MVTRESUME2019!G18</f>
        <v>84000</v>
      </c>
      <c r="F17" s="43">
        <v>0</v>
      </c>
      <c r="G17" s="43">
        <v>1000000</v>
      </c>
      <c r="H17" s="5">
        <f t="shared" si="0"/>
        <v>168426.16782945365</v>
      </c>
      <c r="I17" s="43">
        <v>30000</v>
      </c>
      <c r="J17" s="44">
        <f t="shared" si="1"/>
        <v>138426.16782945365</v>
      </c>
    </row>
    <row r="18" spans="1:10" x14ac:dyDescent="0.35">
      <c r="A18" s="42" t="s">
        <v>92</v>
      </c>
      <c r="B18" s="43">
        <f>MVTRESUME2019!C19</f>
        <v>480000</v>
      </c>
      <c r="C18" s="43">
        <f>MVTRESUME2019!D19</f>
        <v>84433.275952127617</v>
      </c>
      <c r="D18" s="43">
        <f>MVTRESUME2019!E19</f>
        <v>0.44251227390486747</v>
      </c>
      <c r="E18" s="43">
        <f>MVTRESUME2019!G19</f>
        <v>258500</v>
      </c>
      <c r="F18" s="43">
        <v>0</v>
      </c>
      <c r="G18" s="43">
        <v>0</v>
      </c>
      <c r="H18" s="5">
        <f t="shared" si="0"/>
        <v>342933.71846440155</v>
      </c>
      <c r="I18" s="43">
        <v>30000</v>
      </c>
      <c r="J18" s="44">
        <f t="shared" si="1"/>
        <v>312933.71846440155</v>
      </c>
    </row>
    <row r="19" spans="1:10" x14ac:dyDescent="0.35">
      <c r="A19" s="42" t="s">
        <v>107</v>
      </c>
      <c r="B19" s="43">
        <f>MVTRESUME2019!C20</f>
        <v>480000</v>
      </c>
      <c r="C19" s="43">
        <f>MVTRESUME2019!D20</f>
        <v>607034.07913233258</v>
      </c>
      <c r="D19" s="43">
        <f>MVTRESUME2019!E20</f>
        <v>2903898.728295486</v>
      </c>
      <c r="E19" s="43">
        <f>MVTRESUME2019!G20</f>
        <v>1296000</v>
      </c>
      <c r="F19" s="43">
        <v>0</v>
      </c>
      <c r="G19" s="43">
        <v>0</v>
      </c>
      <c r="H19" s="5">
        <f t="shared" si="0"/>
        <v>4806932.807427818</v>
      </c>
      <c r="I19" s="43">
        <v>30000</v>
      </c>
      <c r="J19" s="44">
        <f t="shared" si="1"/>
        <v>4776932.807427818</v>
      </c>
    </row>
    <row r="20" spans="1:10" x14ac:dyDescent="0.35">
      <c r="A20" s="42" t="s">
        <v>90</v>
      </c>
      <c r="B20" s="43">
        <f>MVTRESUME2019!C21</f>
        <v>480000</v>
      </c>
      <c r="C20" s="43">
        <f>MVTRESUME2019!D21</f>
        <v>79661.668675915658</v>
      </c>
      <c r="D20" s="43">
        <f>MVTRESUME2019!E21</f>
        <v>-0.26072546625800896</v>
      </c>
      <c r="E20" s="43">
        <f>MVTRESUME2019!G21</f>
        <v>81000</v>
      </c>
      <c r="F20" s="43">
        <v>139500</v>
      </c>
      <c r="G20" s="43">
        <v>1139500</v>
      </c>
      <c r="H20" s="5">
        <f t="shared" si="0"/>
        <v>160661.40795044939</v>
      </c>
      <c r="I20" s="43">
        <v>30000</v>
      </c>
      <c r="J20" s="44">
        <f t="shared" si="1"/>
        <v>130661.40795044939</v>
      </c>
    </row>
    <row r="21" spans="1:10" s="14" customFormat="1" x14ac:dyDescent="0.35">
      <c r="A21" s="45" t="s">
        <v>108</v>
      </c>
      <c r="B21" s="43">
        <f>MVTRESUME2019!C22</f>
        <v>480000</v>
      </c>
      <c r="C21" s="43">
        <f>MVTRESUME2019!D22</f>
        <v>78414.920478625208</v>
      </c>
      <c r="D21" s="43">
        <f>MVTRESUME2019!E22</f>
        <v>643.11234311138105</v>
      </c>
      <c r="E21" s="43">
        <f>MVTRESUME2019!G22</f>
        <v>30000</v>
      </c>
      <c r="F21" s="46">
        <v>108500</v>
      </c>
      <c r="G21" s="46">
        <v>808500</v>
      </c>
      <c r="H21" s="5">
        <f t="shared" si="0"/>
        <v>109058.03282173659</v>
      </c>
      <c r="I21" s="43"/>
      <c r="J21" s="44">
        <f t="shared" si="1"/>
        <v>109058.03282173659</v>
      </c>
    </row>
    <row r="22" spans="1:10" x14ac:dyDescent="0.35">
      <c r="A22" s="42" t="s">
        <v>109</v>
      </c>
      <c r="B22" s="43">
        <f>MVTRESUME2019!C23</f>
        <v>480000</v>
      </c>
      <c r="C22" s="43">
        <f>MVTRESUME2019!D23</f>
        <v>80181.060176583385</v>
      </c>
      <c r="D22" s="43">
        <f>MVTRESUME2019!E23</f>
        <v>2611.7018854503112</v>
      </c>
      <c r="E22" s="43">
        <f>MVTRESUME2019!G23</f>
        <v>84000</v>
      </c>
      <c r="F22" s="43">
        <v>0</v>
      </c>
      <c r="G22" s="43">
        <v>500000</v>
      </c>
      <c r="H22" s="5">
        <f t="shared" si="0"/>
        <v>166792.7620620337</v>
      </c>
      <c r="I22" s="43">
        <v>30000</v>
      </c>
      <c r="J22" s="44">
        <f t="shared" si="1"/>
        <v>136792.7620620337</v>
      </c>
    </row>
    <row r="23" spans="1:10" x14ac:dyDescent="0.35">
      <c r="A23" s="42" t="s">
        <v>91</v>
      </c>
      <c r="B23" s="43">
        <f>MVTRESUME2019!C24</f>
        <v>480000</v>
      </c>
      <c r="C23" s="43">
        <f>MVTRESUME2019!D24</f>
        <v>79889.68496817023</v>
      </c>
      <c r="D23" s="43">
        <f>MVTRESUME2019!E24</f>
        <v>605.40582988600363</v>
      </c>
      <c r="E23" s="43">
        <f>MVTRESUME2019!G24</f>
        <v>84000</v>
      </c>
      <c r="F23" s="43">
        <v>0</v>
      </c>
      <c r="G23" s="43">
        <v>1000000</v>
      </c>
      <c r="H23" s="5">
        <f t="shared" si="0"/>
        <v>164495.09079805622</v>
      </c>
      <c r="I23" s="43">
        <v>30000</v>
      </c>
      <c r="J23" s="44">
        <f t="shared" si="1"/>
        <v>134495.09079805622</v>
      </c>
    </row>
    <row r="24" spans="1:10" x14ac:dyDescent="0.35">
      <c r="A24" s="42" t="s">
        <v>110</v>
      </c>
      <c r="B24" s="43">
        <f>MVTRESUME2019!C25</f>
        <v>480000</v>
      </c>
      <c r="C24" s="43">
        <f>MVTRESUME2019!D25</f>
        <v>79644.731049764974</v>
      </c>
      <c r="D24" s="43">
        <f>MVTRESUME2019!E25</f>
        <v>-0.14820683863945305</v>
      </c>
      <c r="E24" s="43">
        <f>MVTRESUME2019!G25</f>
        <v>82000</v>
      </c>
      <c r="F24" s="43">
        <v>0</v>
      </c>
      <c r="G24" s="43">
        <v>130000</v>
      </c>
      <c r="H24" s="5">
        <f t="shared" si="0"/>
        <v>161644.58284292632</v>
      </c>
      <c r="I24" s="43">
        <v>30000</v>
      </c>
      <c r="J24" s="44">
        <f t="shared" si="1"/>
        <v>131644.58284292632</v>
      </c>
    </row>
    <row r="25" spans="1:10" x14ac:dyDescent="0.35">
      <c r="A25" s="42" t="s">
        <v>76</v>
      </c>
      <c r="B25" s="43">
        <f>MVTRESUME2019!C26</f>
        <v>30000</v>
      </c>
      <c r="C25" s="43">
        <f>MVTRESUME2019!D26</f>
        <v>12025.274783900029</v>
      </c>
      <c r="D25" s="43">
        <f>MVTRESUME2019!E26</f>
        <v>2994.5270055830988</v>
      </c>
      <c r="E25" s="43">
        <f>MVTRESUME2019!G26</f>
        <v>104000</v>
      </c>
      <c r="F25" s="43">
        <v>0</v>
      </c>
      <c r="G25" s="43">
        <v>0</v>
      </c>
      <c r="H25" s="5">
        <f t="shared" si="0"/>
        <v>119019.80178948313</v>
      </c>
      <c r="I25" s="43">
        <v>30000</v>
      </c>
      <c r="J25" s="44">
        <f t="shared" si="1"/>
        <v>89019.801789483128</v>
      </c>
    </row>
    <row r="26" spans="1:10" x14ac:dyDescent="0.35">
      <c r="A26" s="42" t="s">
        <v>97</v>
      </c>
      <c r="B26" s="43">
        <f>MVTRESUME2019!C27</f>
        <v>450000</v>
      </c>
      <c r="C26" s="43">
        <f>MVTRESUME2019!D27</f>
        <v>81837.118573991771</v>
      </c>
      <c r="D26" s="43">
        <f>MVTRESUME2019!E27</f>
        <v>12890.22827698091</v>
      </c>
      <c r="E26" s="43">
        <f>MVTRESUME2019!G27</f>
        <v>94000</v>
      </c>
      <c r="F26" s="43">
        <v>0</v>
      </c>
      <c r="G26" s="43">
        <v>0</v>
      </c>
      <c r="H26" s="5">
        <f t="shared" si="0"/>
        <v>188727.34685097268</v>
      </c>
      <c r="I26" s="43">
        <v>30000</v>
      </c>
      <c r="J26" s="44">
        <f t="shared" si="1"/>
        <v>158727.34685097268</v>
      </c>
    </row>
    <row r="27" spans="1:10" x14ac:dyDescent="0.35">
      <c r="A27" s="42" t="s">
        <v>111</v>
      </c>
      <c r="B27" s="43">
        <f>MVTRESUME2019!C28</f>
        <v>480000</v>
      </c>
      <c r="C27" s="43">
        <f>MVTRESUME2019!D28</f>
        <v>80008.312869354428</v>
      </c>
      <c r="D27" s="43">
        <f>MVTRESUME2019!E28</f>
        <v>1353.7356825511233</v>
      </c>
      <c r="E27" s="43">
        <f>MVTRESUME2019!G28</f>
        <v>84000</v>
      </c>
      <c r="F27" s="43">
        <v>0</v>
      </c>
      <c r="G27" s="43">
        <v>1000000</v>
      </c>
      <c r="H27" s="5">
        <f t="shared" si="0"/>
        <v>165362.04855190555</v>
      </c>
      <c r="I27" s="43">
        <v>30000</v>
      </c>
      <c r="J27" s="44">
        <f t="shared" si="1"/>
        <v>135362.04855190555</v>
      </c>
    </row>
    <row r="28" spans="1:10" x14ac:dyDescent="0.35">
      <c r="A28" s="42" t="s">
        <v>98</v>
      </c>
      <c r="B28" s="43">
        <f>MVTRESUME2019!C29</f>
        <v>480000</v>
      </c>
      <c r="C28" s="43">
        <f>MVTRESUME2019!D29</f>
        <v>91731.680250305682</v>
      </c>
      <c r="D28" s="43">
        <f>MVTRESUME2019!E29</f>
        <v>57225.614111341449</v>
      </c>
      <c r="E28" s="43">
        <f>MVTRESUME2019!G29</f>
        <v>151000</v>
      </c>
      <c r="F28" s="43">
        <v>0</v>
      </c>
      <c r="G28" s="43">
        <v>0</v>
      </c>
      <c r="H28" s="5">
        <f t="shared" si="0"/>
        <v>299957.2943616471</v>
      </c>
      <c r="I28" s="43">
        <v>30000</v>
      </c>
      <c r="J28" s="44">
        <f t="shared" si="1"/>
        <v>269957.2943616471</v>
      </c>
    </row>
    <row r="29" spans="1:10" x14ac:dyDescent="0.35">
      <c r="A29" s="42" t="s">
        <v>112</v>
      </c>
      <c r="B29" s="43">
        <f>MVTRESUME2019!C30</f>
        <v>0</v>
      </c>
      <c r="C29" s="43">
        <f>MVTRESUME2019!D30</f>
        <v>2138.4782390296004</v>
      </c>
      <c r="D29" s="43">
        <f>MVTRESUME2019!E30</f>
        <v>0.16900408919900656</v>
      </c>
      <c r="E29" s="43">
        <f>MVTRESUME2019!G30</f>
        <v>30000</v>
      </c>
      <c r="F29" s="43">
        <v>0</v>
      </c>
      <c r="G29" s="43">
        <v>0</v>
      </c>
      <c r="H29" s="5">
        <f t="shared" si="0"/>
        <v>32138.647243118801</v>
      </c>
      <c r="I29" s="43"/>
      <c r="J29" s="44">
        <f t="shared" si="1"/>
        <v>32138.647243118801</v>
      </c>
    </row>
    <row r="30" spans="1:10" s="8" customFormat="1" x14ac:dyDescent="0.35">
      <c r="A30" s="47" t="s">
        <v>113</v>
      </c>
      <c r="B30" s="43">
        <f>MVTRESUME2019!C31</f>
        <v>480000</v>
      </c>
      <c r="C30" s="43">
        <f>MVTRESUME2019!D31</f>
        <v>0</v>
      </c>
      <c r="D30" s="43">
        <f>MVTRESUME2019!E31</f>
        <v>0.28740352351451293</v>
      </c>
      <c r="E30" s="43">
        <f>MVTRESUME2019!G31</f>
        <v>100000</v>
      </c>
      <c r="F30" s="48">
        <v>129360</v>
      </c>
      <c r="G30" s="48">
        <v>0</v>
      </c>
      <c r="H30" s="5">
        <f t="shared" si="0"/>
        <v>100000.28740352351</v>
      </c>
      <c r="I30" s="43">
        <v>30000</v>
      </c>
      <c r="J30" s="44">
        <f t="shared" si="1"/>
        <v>70000.287403523515</v>
      </c>
    </row>
    <row r="31" spans="1:10" s="8" customFormat="1" x14ac:dyDescent="0.35">
      <c r="A31" s="47" t="s">
        <v>114</v>
      </c>
      <c r="B31" s="43">
        <f>MVTRESUME2019!C32</f>
        <v>117045</v>
      </c>
      <c r="C31" s="43">
        <f>MVTRESUME2019!D32</f>
        <v>0</v>
      </c>
      <c r="D31" s="43">
        <f>MVTRESUME2019!E32</f>
        <v>22.240996590782743</v>
      </c>
      <c r="E31" s="43">
        <f>MVTRESUME2019!G32</f>
        <v>84000</v>
      </c>
      <c r="F31" s="48">
        <v>0</v>
      </c>
      <c r="G31" s="48">
        <v>0</v>
      </c>
      <c r="H31" s="5">
        <f t="shared" si="0"/>
        <v>84022.240996590786</v>
      </c>
      <c r="I31" s="43">
        <v>30000</v>
      </c>
      <c r="J31" s="44">
        <f t="shared" si="1"/>
        <v>54022.240996590786</v>
      </c>
    </row>
    <row r="32" spans="1:10" x14ac:dyDescent="0.35">
      <c r="A32" s="42" t="s">
        <v>96</v>
      </c>
      <c r="B32" s="43">
        <f>MVTRESUME2019!C33</f>
        <v>480000</v>
      </c>
      <c r="C32" s="43">
        <f>MVTRESUME2019!D33</f>
        <v>91170.310621746714</v>
      </c>
      <c r="D32" s="43">
        <f>MVTRESUME2019!E33</f>
        <v>72138.254558185639</v>
      </c>
      <c r="E32" s="43">
        <f>MVTRESUME2019!G33</f>
        <v>82000</v>
      </c>
      <c r="F32" s="43">
        <v>0</v>
      </c>
      <c r="G32" s="43">
        <v>150000</v>
      </c>
      <c r="H32" s="5">
        <f t="shared" si="0"/>
        <v>245308.56517993234</v>
      </c>
      <c r="I32" s="43">
        <v>30000</v>
      </c>
      <c r="J32" s="44">
        <f t="shared" si="1"/>
        <v>215308.56517993234</v>
      </c>
    </row>
    <row r="33" spans="1:10" s="14" customFormat="1" x14ac:dyDescent="0.35">
      <c r="A33" s="45" t="s">
        <v>95</v>
      </c>
      <c r="B33" s="43">
        <f>MVTRESUME2019!C34</f>
        <v>480000</v>
      </c>
      <c r="C33" s="43">
        <f>MVTRESUME2019!D34</f>
        <v>78422.245259251824</v>
      </c>
      <c r="D33" s="43">
        <f>MVTRESUME2019!E34</f>
        <v>689.31860616087215</v>
      </c>
      <c r="E33" s="43">
        <f>MVTRESUME2019!G34</f>
        <v>30000</v>
      </c>
      <c r="F33" s="46">
        <v>108500</v>
      </c>
      <c r="G33" s="46">
        <v>808500</v>
      </c>
      <c r="H33" s="5">
        <f t="shared" si="0"/>
        <v>109111.5638654127</v>
      </c>
      <c r="I33" s="43"/>
      <c r="J33" s="44">
        <f t="shared" si="1"/>
        <v>109111.5638654127</v>
      </c>
    </row>
    <row r="34" spans="1:10" s="8" customFormat="1" x14ac:dyDescent="0.35">
      <c r="A34" s="42" t="s">
        <v>100</v>
      </c>
      <c r="B34" s="43">
        <f>MVTRESUME2019!C35</f>
        <v>480000</v>
      </c>
      <c r="C34" s="43">
        <f>MVTRESUME2019!D35</f>
        <v>80425.990897485564</v>
      </c>
      <c r="D34" s="43">
        <f>MVTRESUME2019!E35</f>
        <v>36.350487807299942</v>
      </c>
      <c r="E34" s="43">
        <f>MVTRESUME2019!G35</f>
        <v>144000</v>
      </c>
      <c r="F34" s="43">
        <v>0</v>
      </c>
      <c r="G34" s="43">
        <v>1000000</v>
      </c>
      <c r="H34" s="5">
        <f t="shared" si="0"/>
        <v>224462.34138529288</v>
      </c>
      <c r="I34" s="43">
        <v>30000</v>
      </c>
      <c r="J34" s="44">
        <f t="shared" si="1"/>
        <v>194462.34138529288</v>
      </c>
    </row>
    <row r="35" spans="1:10" x14ac:dyDescent="0.35">
      <c r="A35" s="42" t="s">
        <v>115</v>
      </c>
      <c r="B35" s="43">
        <f>MVTRESUME2019!C36</f>
        <v>480000</v>
      </c>
      <c r="C35" s="43">
        <f>MVTRESUME2019!D36</f>
        <v>79900.26982663176</v>
      </c>
      <c r="D35" s="43">
        <f>MVTRESUME2019!E36</f>
        <v>0.30040658926009201</v>
      </c>
      <c r="E35" s="43">
        <f>MVTRESUME2019!G36</f>
        <v>86500</v>
      </c>
      <c r="F35" s="43">
        <v>0</v>
      </c>
      <c r="G35" s="43">
        <v>1000000</v>
      </c>
      <c r="H35" s="5">
        <f t="shared" si="0"/>
        <v>166400.57023322102</v>
      </c>
      <c r="I35" s="43">
        <v>30000</v>
      </c>
      <c r="J35" s="44">
        <f t="shared" si="1"/>
        <v>136400.57023322102</v>
      </c>
    </row>
    <row r="36" spans="1:10" x14ac:dyDescent="0.35">
      <c r="A36" s="42" t="s">
        <v>87</v>
      </c>
      <c r="B36" s="43">
        <f>MVTRESUME2019!C37</f>
        <v>480000</v>
      </c>
      <c r="C36" s="43">
        <f>MVTRESUME2019!D37</f>
        <v>80218.625624560562</v>
      </c>
      <c r="D36" s="43">
        <f>MVTRESUME2019!E37</f>
        <v>109.79976263979916</v>
      </c>
      <c r="E36" s="43">
        <f>MVTRESUME2019!G37</f>
        <v>94000</v>
      </c>
      <c r="F36" s="43">
        <v>0</v>
      </c>
      <c r="G36" s="43">
        <v>1000000</v>
      </c>
      <c r="H36" s="5">
        <f t="shared" si="0"/>
        <v>174328.42538720038</v>
      </c>
      <c r="I36" s="43">
        <v>30000</v>
      </c>
      <c r="J36" s="44">
        <f t="shared" si="1"/>
        <v>144328.42538720038</v>
      </c>
    </row>
    <row r="37" spans="1:10" x14ac:dyDescent="0.35">
      <c r="A37" s="42" t="s">
        <v>116</v>
      </c>
      <c r="B37" s="43">
        <f>MVTRESUME2019!C38</f>
        <v>480000</v>
      </c>
      <c r="C37" s="43">
        <f>MVTRESUME2019!D38</f>
        <v>82325.064676950074</v>
      </c>
      <c r="D37" s="43">
        <f>MVTRESUME2019!E38</f>
        <v>15968.295339537319</v>
      </c>
      <c r="E37" s="43">
        <f>MVTRESUME2019!G38</f>
        <v>84000</v>
      </c>
      <c r="F37" s="43">
        <v>0</v>
      </c>
      <c r="G37" s="43">
        <v>0</v>
      </c>
      <c r="H37" s="5">
        <f t="shared" si="0"/>
        <v>182293.36001648739</v>
      </c>
      <c r="I37" s="43">
        <v>30000</v>
      </c>
      <c r="J37" s="44">
        <f t="shared" si="1"/>
        <v>152293.36001648739</v>
      </c>
    </row>
    <row r="38" spans="1:10" x14ac:dyDescent="0.35">
      <c r="A38" s="42" t="s">
        <v>117</v>
      </c>
      <c r="B38" s="43">
        <f>MVTRESUME2019!C39</f>
        <v>480000</v>
      </c>
      <c r="C38" s="43">
        <f>MVTRESUME2019!D39</f>
        <v>79309.541006732557</v>
      </c>
      <c r="D38" s="43">
        <f>MVTRESUME2019!E39</f>
        <v>0.17330693561234511</v>
      </c>
      <c r="E38" s="43">
        <f>MVTRESUME2019!G39</f>
        <v>54000</v>
      </c>
      <c r="F38" s="43">
        <v>155000</v>
      </c>
      <c r="G38" s="43">
        <v>0</v>
      </c>
      <c r="H38" s="5">
        <f t="shared" si="0"/>
        <v>133309.71431366817</v>
      </c>
      <c r="I38" s="43">
        <v>30000</v>
      </c>
      <c r="J38" s="44">
        <f t="shared" si="1"/>
        <v>103309.71431366817</v>
      </c>
    </row>
    <row r="39" spans="1:10" x14ac:dyDescent="0.35">
      <c r="A39" s="42" t="s">
        <v>118</v>
      </c>
      <c r="B39" s="43">
        <f>MVTRESUME2019!C40</f>
        <v>0</v>
      </c>
      <c r="C39" s="43">
        <f>MVTRESUME2019!D40</f>
        <v>3376.913330814542</v>
      </c>
      <c r="D39" s="43">
        <f>MVTRESUME2019!E40</f>
        <v>0</v>
      </c>
      <c r="E39" s="43">
        <f>MVTRESUME2019!G40</f>
        <v>104000</v>
      </c>
      <c r="F39" s="43">
        <v>0</v>
      </c>
      <c r="G39" s="43">
        <v>0</v>
      </c>
      <c r="H39" s="5">
        <f t="shared" si="0"/>
        <v>107376.91333081454</v>
      </c>
      <c r="I39" s="43">
        <v>30000</v>
      </c>
      <c r="J39" s="44">
        <f t="shared" si="1"/>
        <v>77376.913330814539</v>
      </c>
    </row>
    <row r="40" spans="1:10" s="8" customFormat="1" x14ac:dyDescent="0.35">
      <c r="A40" s="47" t="s">
        <v>143</v>
      </c>
      <c r="B40" s="43">
        <f>MVTRESUME2019!C41</f>
        <v>480000</v>
      </c>
      <c r="C40" s="43">
        <f>MVTRESUME2019!D41</f>
        <v>80174.992283614876</v>
      </c>
      <c r="D40" s="43">
        <f>MVTRESUME2019!E41</f>
        <v>2777.4644755606423</v>
      </c>
      <c r="E40" s="43">
        <f>MVTRESUME2019!G41</f>
        <v>82000</v>
      </c>
      <c r="F40" s="48">
        <v>155000</v>
      </c>
      <c r="G40" s="48">
        <v>755000</v>
      </c>
      <c r="H40" s="5">
        <f t="shared" si="0"/>
        <v>164952.45675917552</v>
      </c>
      <c r="I40" s="43">
        <v>30000</v>
      </c>
      <c r="J40" s="44">
        <f t="shared" si="1"/>
        <v>134952.45675917552</v>
      </c>
    </row>
    <row r="41" spans="1:10" x14ac:dyDescent="0.35">
      <c r="A41" s="42" t="s">
        <v>120</v>
      </c>
      <c r="B41" s="43">
        <f>MVTRESUME2019!C42</f>
        <v>480000</v>
      </c>
      <c r="C41" s="43">
        <f>MVTRESUME2019!D42</f>
        <v>79793.71388976372</v>
      </c>
      <c r="D41" s="43">
        <f>MVTRESUME2019!E42</f>
        <v>0</v>
      </c>
      <c r="E41" s="43">
        <f>MVTRESUME2019!G42</f>
        <v>84000</v>
      </c>
      <c r="F41" s="43">
        <v>0</v>
      </c>
      <c r="G41" s="43">
        <v>0</v>
      </c>
      <c r="H41" s="5">
        <f t="shared" si="0"/>
        <v>163793.71388976372</v>
      </c>
      <c r="I41" s="43">
        <v>30000</v>
      </c>
      <c r="J41" s="44">
        <f t="shared" si="1"/>
        <v>133793.71388976372</v>
      </c>
    </row>
    <row r="42" spans="1:10" x14ac:dyDescent="0.35">
      <c r="A42" s="42" t="s">
        <v>121</v>
      </c>
      <c r="B42" s="43">
        <f>MVTRESUME2019!C43</f>
        <v>480000</v>
      </c>
      <c r="C42" s="43">
        <f>MVTRESUME2019!D43</f>
        <v>84611.13302311454</v>
      </c>
      <c r="D42" s="43">
        <f>MVTRESUME2019!E43</f>
        <v>-0.39887899404857308</v>
      </c>
      <c r="E42" s="43">
        <f>MVTRESUME2019!G43</f>
        <v>174000</v>
      </c>
      <c r="F42" s="43">
        <v>0</v>
      </c>
      <c r="G42" s="43">
        <v>500000</v>
      </c>
      <c r="H42" s="5">
        <f t="shared" si="0"/>
        <v>258610.73414412048</v>
      </c>
      <c r="I42" s="43">
        <v>30000</v>
      </c>
      <c r="J42" s="44">
        <f t="shared" si="1"/>
        <v>228610.73414412048</v>
      </c>
    </row>
    <row r="43" spans="1:10" x14ac:dyDescent="0.35">
      <c r="A43" s="42" t="s">
        <v>122</v>
      </c>
      <c r="B43" s="43">
        <f>MVTRESUME2019!C44</f>
        <v>480000</v>
      </c>
      <c r="C43" s="43">
        <f>MVTRESUME2019!D44</f>
        <v>95391.522236883728</v>
      </c>
      <c r="D43" s="43">
        <f>MVTRESUME2019!E44</f>
        <v>1360.775029899698</v>
      </c>
      <c r="E43" s="43">
        <f>MVTRESUME2019!G44</f>
        <v>84000</v>
      </c>
      <c r="F43" s="43">
        <v>0</v>
      </c>
      <c r="G43" s="43">
        <v>1000000</v>
      </c>
      <c r="H43" s="5">
        <f t="shared" si="0"/>
        <v>180752.29726678343</v>
      </c>
      <c r="I43" s="43">
        <v>30000</v>
      </c>
      <c r="J43" s="44">
        <f t="shared" si="1"/>
        <v>150752.29726678343</v>
      </c>
    </row>
    <row r="44" spans="1:10" s="14" customFormat="1" x14ac:dyDescent="0.35">
      <c r="A44" s="45" t="s">
        <v>123</v>
      </c>
      <c r="B44" s="43">
        <f>MVTRESUME2019!C45</f>
        <v>480000</v>
      </c>
      <c r="C44" s="43">
        <f>MVTRESUME2019!D45</f>
        <v>78500.211202080493</v>
      </c>
      <c r="D44" s="43">
        <f>MVTRESUME2019!E45</f>
        <v>1225.3544029653422</v>
      </c>
      <c r="E44" s="43">
        <f>MVTRESUME2019!G45</f>
        <v>30000</v>
      </c>
      <c r="F44" s="46">
        <v>131750</v>
      </c>
      <c r="G44" s="46">
        <v>981750</v>
      </c>
      <c r="H44" s="5">
        <f t="shared" si="0"/>
        <v>109725.56560504583</v>
      </c>
      <c r="I44" s="43"/>
      <c r="J44" s="44">
        <f t="shared" si="1"/>
        <v>109725.56560504583</v>
      </c>
    </row>
    <row r="45" spans="1:10" s="14" customFormat="1" x14ac:dyDescent="0.35">
      <c r="A45" s="45" t="s">
        <v>124</v>
      </c>
      <c r="B45" s="43">
        <f>MVTRESUME2019!C46</f>
        <v>30000</v>
      </c>
      <c r="C45" s="43">
        <f>MVTRESUME2019!D46</f>
        <v>0</v>
      </c>
      <c r="D45" s="43">
        <f>MVTRESUME2019!E46</f>
        <v>21.303203075842248</v>
      </c>
      <c r="E45" s="43">
        <f>MVTRESUME2019!G46</f>
        <v>30000</v>
      </c>
      <c r="F45" s="46">
        <v>0</v>
      </c>
      <c r="G45" s="46">
        <v>0</v>
      </c>
      <c r="H45" s="5">
        <f t="shared" si="0"/>
        <v>30021.30320307584</v>
      </c>
      <c r="I45" s="43"/>
      <c r="J45" s="44">
        <f t="shared" si="1"/>
        <v>30021.30320307584</v>
      </c>
    </row>
    <row r="46" spans="1:10" s="14" customFormat="1" x14ac:dyDescent="0.35">
      <c r="A46" s="45" t="s">
        <v>125</v>
      </c>
      <c r="B46" s="43">
        <f>MVTRESUME2019!C47</f>
        <v>480000</v>
      </c>
      <c r="C46" s="43">
        <f>MVTRESUME2019!D47</f>
        <v>77674.987774544497</v>
      </c>
      <c r="D46" s="43">
        <f>MVTRESUME2019!E47</f>
        <v>0.15040472695545759</v>
      </c>
      <c r="E46" s="43">
        <f>MVTRESUME2019!G47</f>
        <v>22000</v>
      </c>
      <c r="F46" s="46">
        <v>155000</v>
      </c>
      <c r="G46" s="46">
        <v>1155000</v>
      </c>
      <c r="H46" s="5">
        <f t="shared" si="0"/>
        <v>99675.138179271453</v>
      </c>
      <c r="I46" s="43">
        <v>30000</v>
      </c>
      <c r="J46" s="44">
        <f t="shared" si="1"/>
        <v>69675.138179271453</v>
      </c>
    </row>
    <row r="47" spans="1:10" x14ac:dyDescent="0.35">
      <c r="A47" s="42" t="s">
        <v>126</v>
      </c>
      <c r="B47" s="43">
        <f>MVTRESUME2019!C48</f>
        <v>480000</v>
      </c>
      <c r="C47" s="43">
        <f>MVTRESUME2019!D48</f>
        <v>149658.23869144428</v>
      </c>
      <c r="D47" s="43">
        <f>MVTRESUME2019!E48</f>
        <v>440720.17653060926</v>
      </c>
      <c r="E47" s="43">
        <f>MVTRESUME2019!G48</f>
        <v>84000</v>
      </c>
      <c r="F47" s="43">
        <v>37500</v>
      </c>
      <c r="G47" s="43">
        <v>700000</v>
      </c>
      <c r="H47" s="5">
        <f t="shared" si="0"/>
        <v>674378.41522205353</v>
      </c>
      <c r="I47" s="43">
        <v>30000</v>
      </c>
      <c r="J47" s="44">
        <f t="shared" si="1"/>
        <v>644378.41522205353</v>
      </c>
    </row>
    <row r="48" spans="1:10" x14ac:dyDescent="0.35">
      <c r="A48" s="42" t="s">
        <v>127</v>
      </c>
      <c r="B48" s="43">
        <f>MVTRESUME2019!C49</f>
        <v>480000</v>
      </c>
      <c r="C48" s="43">
        <f>MVTRESUME2019!D49</f>
        <v>317201.9797878497</v>
      </c>
      <c r="D48" s="43">
        <f>MVTRESUME2019!E49</f>
        <v>1198154.6510912008</v>
      </c>
      <c r="E48" s="43">
        <f>MVTRESUME2019!G49</f>
        <v>1024000</v>
      </c>
      <c r="F48" s="43">
        <v>0</v>
      </c>
      <c r="G48" s="43">
        <v>0</v>
      </c>
      <c r="H48" s="5">
        <f t="shared" si="0"/>
        <v>2539356.6308790506</v>
      </c>
      <c r="I48" s="43">
        <v>30000</v>
      </c>
      <c r="J48" s="44">
        <f t="shared" si="1"/>
        <v>2509356.6308790506</v>
      </c>
    </row>
    <row r="49" spans="1:10" ht="17.5" x14ac:dyDescent="0.35">
      <c r="A49" s="42"/>
      <c r="B49" s="49"/>
      <c r="C49" s="43"/>
      <c r="D49" s="52"/>
      <c r="E49" s="43"/>
      <c r="F49" s="43"/>
      <c r="G49" s="50"/>
      <c r="H49" s="50"/>
      <c r="I49" s="50"/>
      <c r="J49" s="51"/>
    </row>
    <row r="50" spans="1:10" ht="16" thickBot="1" x14ac:dyDescent="0.4">
      <c r="A50" s="53"/>
      <c r="B50" s="54">
        <f t="shared" ref="B50:J50" si="2">SUM(B6:B49)</f>
        <v>17782722.011083744</v>
      </c>
      <c r="C50" s="54">
        <f t="shared" si="2"/>
        <v>3692643.8500000006</v>
      </c>
      <c r="D50" s="54">
        <f t="shared" si="2"/>
        <v>4844130.5976969898</v>
      </c>
      <c r="E50" s="54">
        <f t="shared" si="2"/>
        <v>5614000</v>
      </c>
      <c r="F50" s="54">
        <f t="shared" si="2"/>
        <v>1475110</v>
      </c>
      <c r="G50" s="54">
        <f t="shared" si="2"/>
        <v>20286750</v>
      </c>
      <c r="H50" s="54">
        <f t="shared" si="2"/>
        <v>14150774.447696989</v>
      </c>
      <c r="I50" s="54">
        <f t="shared" si="2"/>
        <v>1020000</v>
      </c>
      <c r="J50" s="55">
        <f t="shared" si="2"/>
        <v>13130774.447696989</v>
      </c>
    </row>
    <row r="51" spans="1:10" ht="15" thickTop="1" x14ac:dyDescent="0.35"/>
  </sheetData>
  <autoFilter ref="A5:E48" xr:uid="{00000000-0009-0000-0000-000027000000}">
    <sortState ref="A5:L48">
      <sortCondition ref="A5:A48"/>
    </sortState>
  </autoFilter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H45"/>
  <sheetViews>
    <sheetView workbookViewId="0">
      <pane xSplit="2" ySplit="1" topLeftCell="W27" activePane="bottomRight" state="frozen"/>
      <selection pane="topRight" activeCell="C1" sqref="C1"/>
      <selection pane="bottomLeft" activeCell="A5" sqref="A5"/>
      <selection pane="bottomRight" activeCell="D45" sqref="D45"/>
    </sheetView>
  </sheetViews>
  <sheetFormatPr baseColWidth="10" defaultColWidth="11" defaultRowHeight="14.5" x14ac:dyDescent="0.35"/>
  <cols>
    <col min="1" max="1" width="13.81640625" customWidth="1"/>
    <col min="2" max="3" width="29.54296875" customWidth="1"/>
    <col min="4" max="4" width="15.26953125" customWidth="1"/>
    <col min="5" max="5" width="20.26953125" customWidth="1"/>
    <col min="6" max="6" width="16.81640625" customWidth="1"/>
    <col min="7" max="7" width="15" customWidth="1"/>
    <col min="8" max="8" width="17.54296875" style="3" customWidth="1"/>
    <col min="9" max="9" width="15.7265625" style="2" customWidth="1"/>
    <col min="10" max="10" width="15" style="2" bestFit="1" customWidth="1"/>
    <col min="11" max="12" width="12.453125" style="2" customWidth="1"/>
    <col min="13" max="13" width="13.453125" style="2" bestFit="1" customWidth="1"/>
    <col min="14" max="15" width="17.54296875" style="2" customWidth="1"/>
    <col min="16" max="16" width="14.81640625" customWidth="1"/>
    <col min="17" max="17" width="20.453125" bestFit="1" customWidth="1"/>
    <col min="18" max="18" width="16.54296875" customWidth="1"/>
    <col min="20" max="21" width="16.81640625" bestFit="1" customWidth="1"/>
    <col min="22" max="25" width="16.81640625" customWidth="1"/>
    <col min="26" max="26" width="28.7265625" bestFit="1" customWidth="1"/>
  </cols>
  <sheetData>
    <row r="1" spans="1:34" ht="43.5" x14ac:dyDescent="0.45">
      <c r="A1" s="1" t="s">
        <v>4</v>
      </c>
      <c r="B1" s="56" t="s">
        <v>144</v>
      </c>
      <c r="C1" t="s">
        <v>145</v>
      </c>
      <c r="D1" t="s">
        <v>149</v>
      </c>
      <c r="E1" s="1" t="s">
        <v>69</v>
      </c>
      <c r="F1" s="1" t="s">
        <v>8</v>
      </c>
      <c r="G1" s="1" t="s">
        <v>9</v>
      </c>
      <c r="H1" s="4" t="s">
        <v>10</v>
      </c>
      <c r="I1" s="4" t="s">
        <v>11</v>
      </c>
      <c r="J1" s="4" t="s">
        <v>12</v>
      </c>
      <c r="K1" s="4" t="s">
        <v>72</v>
      </c>
      <c r="L1" s="4" t="s">
        <v>71</v>
      </c>
      <c r="M1" s="4" t="s">
        <v>13</v>
      </c>
      <c r="N1" t="s">
        <v>146</v>
      </c>
      <c r="O1"/>
      <c r="P1" s="4" t="s">
        <v>63</v>
      </c>
      <c r="Q1" s="4" t="s">
        <v>64</v>
      </c>
      <c r="R1" t="s">
        <v>147</v>
      </c>
      <c r="S1" s="4" t="s">
        <v>14</v>
      </c>
      <c r="T1" t="s">
        <v>151</v>
      </c>
      <c r="U1" s="4" t="s">
        <v>86</v>
      </c>
      <c r="V1" s="4" t="s">
        <v>135</v>
      </c>
      <c r="W1" t="s">
        <v>148</v>
      </c>
      <c r="X1" s="4" t="s">
        <v>137</v>
      </c>
      <c r="Y1" s="4" t="s">
        <v>150</v>
      </c>
      <c r="Z1" s="4" t="s">
        <v>15</v>
      </c>
      <c r="AB1" s="4" t="s">
        <v>134</v>
      </c>
      <c r="AC1" s="4" t="s">
        <v>9</v>
      </c>
      <c r="AD1" s="4" t="s">
        <v>131</v>
      </c>
      <c r="AE1" s="4" t="s">
        <v>132</v>
      </c>
      <c r="AF1" s="4" t="s">
        <v>139</v>
      </c>
      <c r="AG1" s="4" t="s">
        <v>133</v>
      </c>
      <c r="AH1" s="4" t="s">
        <v>9</v>
      </c>
    </row>
    <row r="2" spans="1:34" ht="15.75" customHeight="1" x14ac:dyDescent="0.35">
      <c r="A2" s="1" t="s">
        <v>16</v>
      </c>
      <c r="B2" s="1" t="str">
        <f>VLOOKUP(A2,[25]LISTADHERENT!A$5:H$57,3,0)</f>
        <v>ASELBY</v>
      </c>
      <c r="C2" s="5">
        <f>MVTRESUME2019!C6</f>
        <v>394081.01108374598</v>
      </c>
      <c r="D2" s="5">
        <f>MVTRESUME2019!D6</f>
        <v>62668.935014227369</v>
      </c>
      <c r="E2" s="5">
        <f>MVTRESUME2019!E6</f>
        <v>0</v>
      </c>
      <c r="F2" s="5">
        <f>MVTRESUME2019!F6</f>
        <v>0</v>
      </c>
      <c r="G2" s="5">
        <f>MVTRESUME2019!G6</f>
        <v>0</v>
      </c>
      <c r="H2" s="5">
        <f>MVTRESUME2019!H6</f>
        <v>0</v>
      </c>
      <c r="I2" s="5">
        <f>MVTRESUME2019!I6</f>
        <v>0</v>
      </c>
      <c r="J2" s="5">
        <f>MVTRESUME2019!J6</f>
        <v>0</v>
      </c>
      <c r="K2" s="5">
        <f>MVTRESUME2019!K6</f>
        <v>0</v>
      </c>
      <c r="L2" s="5">
        <f>MVTRESUME2019!L6</f>
        <v>0</v>
      </c>
      <c r="M2" s="5">
        <f>MVTRESUME2019!M6</f>
        <v>0</v>
      </c>
      <c r="N2" s="5">
        <f>MVTRESUME2019!N6</f>
        <v>0</v>
      </c>
      <c r="O2" s="5">
        <f>MVTRESUME2019!O6</f>
        <v>0</v>
      </c>
      <c r="P2" s="5">
        <f>MVTRESUME2019!P6</f>
        <v>0</v>
      </c>
      <c r="Q2" s="5">
        <f>MVTRESUME2019!Q6</f>
        <v>0</v>
      </c>
      <c r="R2" s="5">
        <f>MVTRESUME2019!R6</f>
        <v>0</v>
      </c>
      <c r="S2" s="5">
        <f>MVTRESUME2019!S6</f>
        <v>0</v>
      </c>
      <c r="T2" s="5">
        <f>MVTRESUME2019!T6</f>
        <v>0</v>
      </c>
      <c r="U2" s="5">
        <f>MVTRESUME2019!U6</f>
        <v>62668.935014227369</v>
      </c>
      <c r="V2" s="5">
        <f>MVTRESUME2019!V6</f>
        <v>0</v>
      </c>
      <c r="W2" s="5">
        <f>MVTRESUME2019!W6</f>
        <v>0</v>
      </c>
      <c r="X2" s="5">
        <f>MVTRESUME2019!X6</f>
        <v>0</v>
      </c>
      <c r="Y2" s="5">
        <f>MVTRESUME2019!Y6</f>
        <v>62668.935014227369</v>
      </c>
      <c r="Z2" s="5">
        <f>MVTRESUME2019!Y6</f>
        <v>62668.935014227369</v>
      </c>
      <c r="AA2" s="5">
        <f>MVTRESUME2019!AA6</f>
        <v>0</v>
      </c>
      <c r="AB2" s="5">
        <f>MVTRESUME2019!AB6</f>
        <v>0</v>
      </c>
      <c r="AC2" s="5">
        <f>MVTRESUME2019!AC6</f>
        <v>0</v>
      </c>
      <c r="AD2" s="5">
        <f>MVTRESUME2019!AD6</f>
        <v>0</v>
      </c>
      <c r="AE2" s="5">
        <f>MVTRESUME2019!AE6</f>
        <v>0</v>
      </c>
      <c r="AF2" s="5">
        <f>MVTRESUME2019!AF6</f>
        <v>0</v>
      </c>
      <c r="AG2" s="5">
        <f>MVTRESUME2019!AG6</f>
        <v>0</v>
      </c>
    </row>
    <row r="3" spans="1:34" s="14" customFormat="1" x14ac:dyDescent="0.35">
      <c r="A3" s="12" t="s">
        <v>17</v>
      </c>
      <c r="B3" s="1" t="str">
        <f>VLOOKUP(A3,[25]LISTADHERENT!A$5:H$57,3,0)</f>
        <v>BAKOP ACHILLE</v>
      </c>
      <c r="C3" s="5">
        <f>MVTRESUME2019!C7</f>
        <v>480000</v>
      </c>
      <c r="D3" s="5">
        <f>MVTRESUME2019!D7</f>
        <v>0</v>
      </c>
      <c r="E3" s="5">
        <f>MVTRESUME2019!E7</f>
        <v>0.49369671277236193</v>
      </c>
      <c r="F3" s="5">
        <f>MVTRESUME2019!F7</f>
        <v>0</v>
      </c>
      <c r="G3" s="5">
        <f>MVTRESUME2019!G7</f>
        <v>2000</v>
      </c>
      <c r="H3" s="5">
        <f>MVTRESUME2019!H7</f>
        <v>1000</v>
      </c>
      <c r="I3" s="5">
        <f>MVTRESUME2019!I7</f>
        <v>2000</v>
      </c>
      <c r="J3" s="5">
        <f>MVTRESUME2019!J7</f>
        <v>5000</v>
      </c>
      <c r="K3" s="5">
        <f>MVTRESUME2019!K7</f>
        <v>1000</v>
      </c>
      <c r="L3" s="5">
        <f>MVTRESUME2019!L7</f>
        <v>0</v>
      </c>
      <c r="M3" s="5">
        <f>MVTRESUME2019!M7</f>
        <v>0</v>
      </c>
      <c r="N3" s="5">
        <f>MVTRESUME2019!N7</f>
        <v>500000</v>
      </c>
      <c r="O3" s="5">
        <f>MVTRESUME2019!O7</f>
        <v>0</v>
      </c>
      <c r="P3" s="5">
        <f>MVTRESUME2019!P7</f>
        <v>0</v>
      </c>
      <c r="Q3" s="5">
        <f>MVTRESUME2019!Q7</f>
        <v>588000</v>
      </c>
      <c r="R3" s="5">
        <f>MVTRESUME2019!R7</f>
        <v>88000</v>
      </c>
      <c r="S3" s="5">
        <f>MVTRESUME2019!S7</f>
        <v>0</v>
      </c>
      <c r="T3" s="5">
        <f>MVTRESUME2019!T7</f>
        <v>0</v>
      </c>
      <c r="U3" s="5">
        <f>MVTRESUME2019!U7</f>
        <v>2000.4936967127724</v>
      </c>
      <c r="V3" s="5">
        <f>MVTRESUME2019!V7</f>
        <v>2000</v>
      </c>
      <c r="W3" s="5">
        <f>MVTRESUME2019!W7</f>
        <v>0</v>
      </c>
      <c r="X3" s="5">
        <f>MVTRESUME2019!X7</f>
        <v>0</v>
      </c>
      <c r="Y3" s="5">
        <f>MVTRESUME2019!Y7</f>
        <v>2000.4936967127724</v>
      </c>
      <c r="Z3" s="35" t="s">
        <v>89</v>
      </c>
      <c r="AA3" s="14" t="s">
        <v>129</v>
      </c>
      <c r="AC3" s="11">
        <f>G3+D3</f>
        <v>2000</v>
      </c>
      <c r="AD3" s="11">
        <v>-14000</v>
      </c>
      <c r="AE3" s="11">
        <f>[26]TONTRESUME!$M$6</f>
        <v>336000</v>
      </c>
      <c r="AF3" s="11"/>
      <c r="AG3" s="7">
        <f>C3-T3+U3+AD3+AE3-Q3</f>
        <v>216000.49369671277</v>
      </c>
    </row>
    <row r="4" spans="1:34" x14ac:dyDescent="0.35">
      <c r="A4" s="1" t="s">
        <v>19</v>
      </c>
      <c r="B4" s="1" t="str">
        <f>VLOOKUP(A4,[25]LISTADHERENT!A$5:H$57,3,0)</f>
        <v>BOUTCHOUANG WILLIAM</v>
      </c>
      <c r="C4" s="5">
        <f>MVTRESUME2019!C8</f>
        <v>480000</v>
      </c>
      <c r="D4" s="5">
        <f>MVTRESUME2019!D8</f>
        <v>79945.737949015122</v>
      </c>
      <c r="E4" s="5">
        <f>MVTRESUME2019!E8</f>
        <v>1331.2797186755051</v>
      </c>
      <c r="F4" s="5">
        <f>MVTRESUME2019!F8</f>
        <v>0</v>
      </c>
      <c r="G4" s="5">
        <f>MVTRESUME2019!G8</f>
        <v>82000</v>
      </c>
      <c r="H4" s="5">
        <f>MVTRESUME2019!H8</f>
        <v>7000</v>
      </c>
      <c r="I4" s="5">
        <f>MVTRESUME2019!I8</f>
        <v>14000</v>
      </c>
      <c r="J4" s="5">
        <f>MVTRESUME2019!J8</f>
        <v>35000</v>
      </c>
      <c r="K4" s="5">
        <f>MVTRESUME2019!K8</f>
        <v>9000</v>
      </c>
      <c r="L4" s="5">
        <f>MVTRESUME2019!L8</f>
        <v>0</v>
      </c>
      <c r="M4" s="5">
        <f>MVTRESUME2019!M8</f>
        <v>0</v>
      </c>
      <c r="N4" s="5">
        <f>MVTRESUME2019!N8</f>
        <v>1000000</v>
      </c>
      <c r="O4" s="5">
        <f>MVTRESUME2019!O8</f>
        <v>30000</v>
      </c>
      <c r="P4" s="5">
        <f>MVTRESUME2019!P8</f>
        <v>0</v>
      </c>
      <c r="Q4" s="5">
        <f>MVTRESUME2019!Q8</f>
        <v>1000000</v>
      </c>
      <c r="R4" s="5">
        <f>MVTRESUME2019!R8</f>
        <v>0</v>
      </c>
      <c r="S4" s="5">
        <f>MVTRESUME2019!S8</f>
        <v>0</v>
      </c>
      <c r="T4" s="5">
        <f>MVTRESUME2019!T8</f>
        <v>0</v>
      </c>
      <c r="U4" s="5">
        <f>MVTRESUME2019!U8</f>
        <v>163277.01766769064</v>
      </c>
      <c r="V4" s="5">
        <f>MVTRESUME2019!V8</f>
        <v>130000</v>
      </c>
      <c r="W4" s="5">
        <f>MVTRESUME2019!W8</f>
        <v>30000</v>
      </c>
      <c r="X4" s="5">
        <f>MVTRESUME2019!X8</f>
        <v>0</v>
      </c>
      <c r="Y4" s="5">
        <f>MVTRESUME2019!Y8</f>
        <v>133277.01766769064</v>
      </c>
      <c r="Z4" s="17"/>
      <c r="AC4" s="11">
        <f t="shared" ref="AC4:AC44" si="0">G4+D4</f>
        <v>161945.73794901511</v>
      </c>
    </row>
    <row r="5" spans="1:34" s="14" customFormat="1" x14ac:dyDescent="0.35">
      <c r="A5" s="12" t="s">
        <v>21</v>
      </c>
      <c r="B5" s="1" t="str">
        <f>VLOOKUP(A5,[25]LISTADHERENT!A$5:H$57,3,0)</f>
        <v>CHINGUE FABRICE</v>
      </c>
      <c r="C5" s="5">
        <f>MVTRESUME2019!C9</f>
        <v>480000</v>
      </c>
      <c r="D5" s="5">
        <f>MVTRESUME2019!D9</f>
        <v>79896.677076385677</v>
      </c>
      <c r="E5" s="5">
        <f>MVTRESUME2019!E9</f>
        <v>3703.9516264695849</v>
      </c>
      <c r="F5" s="5">
        <f>MVTRESUME2019!F9</f>
        <v>0</v>
      </c>
      <c r="G5" s="5">
        <f>MVTRESUME2019!G9</f>
        <v>54000</v>
      </c>
      <c r="H5" s="5">
        <f>MVTRESUME2019!H9</f>
        <v>4500</v>
      </c>
      <c r="I5" s="5">
        <f>MVTRESUME2019!I9</f>
        <v>9000</v>
      </c>
      <c r="J5" s="5">
        <f>MVTRESUME2019!J9</f>
        <v>22500</v>
      </c>
      <c r="K5" s="5">
        <f>MVTRESUME2019!K9</f>
        <v>7000</v>
      </c>
      <c r="L5" s="5">
        <f>MVTRESUME2019!L9</f>
        <v>0</v>
      </c>
      <c r="M5" s="5">
        <f>MVTRESUME2019!M9</f>
        <v>0</v>
      </c>
      <c r="N5" s="5">
        <f>MVTRESUME2019!N9</f>
        <v>700000</v>
      </c>
      <c r="O5" s="5">
        <f>MVTRESUME2019!O9</f>
        <v>84000</v>
      </c>
      <c r="P5" s="5">
        <f>MVTRESUME2019!P9</f>
        <v>0</v>
      </c>
      <c r="Q5" s="5">
        <f>MVTRESUME2019!Q9</f>
        <v>0</v>
      </c>
      <c r="R5" s="5">
        <f>MVTRESUME2019!R9</f>
        <v>108500</v>
      </c>
      <c r="S5" s="5">
        <f>MVTRESUME2019!S9</f>
        <v>0</v>
      </c>
      <c r="T5" s="5">
        <f>MVTRESUME2019!T9</f>
        <v>808500</v>
      </c>
      <c r="U5" s="5">
        <f>MVTRESUME2019!U9</f>
        <v>137600.62870285526</v>
      </c>
      <c r="V5" s="5">
        <f>MVTRESUME2019!V9</f>
        <v>107601</v>
      </c>
      <c r="W5" s="5">
        <f>MVTRESUME2019!W9</f>
        <v>30000</v>
      </c>
      <c r="X5" s="5">
        <f>MVTRESUME2019!X9</f>
        <v>0</v>
      </c>
      <c r="Y5" s="5">
        <f>MVTRESUME2019!Y9</f>
        <v>107600.62870285526</v>
      </c>
      <c r="Z5" s="35" t="s">
        <v>94</v>
      </c>
      <c r="AA5" s="14" t="s">
        <v>129</v>
      </c>
      <c r="AB5" s="11">
        <f>35000+73500</f>
        <v>108500</v>
      </c>
      <c r="AC5" s="11">
        <f t="shared" si="0"/>
        <v>133896.67707638568</v>
      </c>
      <c r="AD5" s="11" t="e">
        <f>#REF!</f>
        <v>#REF!</v>
      </c>
      <c r="AE5" s="11">
        <v>-426000</v>
      </c>
      <c r="AF5" s="11"/>
      <c r="AG5" s="7" t="e">
        <f>C5-T5+U5+AD5+AE5</f>
        <v>#REF!</v>
      </c>
    </row>
    <row r="6" spans="1:34" x14ac:dyDescent="0.35">
      <c r="A6" s="1" t="s">
        <v>77</v>
      </c>
      <c r="B6" s="1" t="str">
        <f>VLOOKUP(A6,[25]LISTADHERENT!A$5:H$57,3,0)</f>
        <v>DJOMO DOMO</v>
      </c>
      <c r="C6" s="5">
        <f>MVTRESUME2019!C10</f>
        <v>0</v>
      </c>
      <c r="D6" s="5">
        <f>MVTRESUME2019!D10</f>
        <v>1764.4540515245424</v>
      </c>
      <c r="E6" s="5">
        <f>MVTRESUME2019!E10</f>
        <v>2994.5270055831024</v>
      </c>
      <c r="F6" s="5">
        <f>MVTRESUME2019!F10</f>
        <v>0</v>
      </c>
      <c r="G6" s="5">
        <f>MVTRESUME2019!G10</f>
        <v>12000</v>
      </c>
      <c r="H6" s="5">
        <f>MVTRESUME2019!H10</f>
        <v>1000</v>
      </c>
      <c r="I6" s="5">
        <f>MVTRESUME2019!I10</f>
        <v>2000</v>
      </c>
      <c r="J6" s="5">
        <f>MVTRESUME2019!J10</f>
        <v>5000</v>
      </c>
      <c r="K6" s="5">
        <f>MVTRESUME2019!K10</f>
        <v>0</v>
      </c>
      <c r="L6" s="5">
        <f>MVTRESUME2019!L10</f>
        <v>0</v>
      </c>
      <c r="M6" s="5">
        <f>MVTRESUME2019!M10</f>
        <v>0</v>
      </c>
      <c r="N6" s="5">
        <f>MVTRESUME2019!N10</f>
        <v>0</v>
      </c>
      <c r="O6" s="5">
        <f>MVTRESUME2019!O10</f>
        <v>0</v>
      </c>
      <c r="P6" s="5">
        <f>MVTRESUME2019!P10</f>
        <v>0</v>
      </c>
      <c r="Q6" s="5">
        <f>MVTRESUME2019!Q10</f>
        <v>0</v>
      </c>
      <c r="R6" s="5">
        <f>MVTRESUME2019!R10</f>
        <v>0</v>
      </c>
      <c r="S6" s="5">
        <f>MVTRESUME2019!S10</f>
        <v>0</v>
      </c>
      <c r="T6" s="5">
        <f>MVTRESUME2019!T10</f>
        <v>0</v>
      </c>
      <c r="U6" s="5">
        <f>MVTRESUME2019!U10</f>
        <v>16758.981057107645</v>
      </c>
      <c r="V6" s="5">
        <f>MVTRESUME2019!V10</f>
        <v>16759</v>
      </c>
      <c r="W6" s="5">
        <f>MVTRESUME2019!W10</f>
        <v>0</v>
      </c>
      <c r="X6" s="5">
        <f>MVTRESUME2019!X10</f>
        <v>0</v>
      </c>
      <c r="Y6" s="5">
        <f>MVTRESUME2019!Y10</f>
        <v>16758.981057107645</v>
      </c>
      <c r="Z6" s="17"/>
      <c r="AC6" s="11">
        <f t="shared" si="0"/>
        <v>13764.454051524543</v>
      </c>
    </row>
    <row r="7" spans="1:34" x14ac:dyDescent="0.35">
      <c r="A7" s="1" t="s">
        <v>23</v>
      </c>
      <c r="B7" s="1" t="str">
        <f>VLOOKUP(A7,[25]LISTADHERENT!A$5:H$57,3,0)</f>
        <v xml:space="preserve">DJOMO JEAN PAUL </v>
      </c>
      <c r="C7" s="5">
        <f>MVTRESUME2019!C11</f>
        <v>480000</v>
      </c>
      <c r="D7" s="5">
        <f>MVTRESUME2019!D11</f>
        <v>81380.868527515064</v>
      </c>
      <c r="E7" s="5">
        <f>MVTRESUME2019!E11</f>
        <v>404.48981912998715</v>
      </c>
      <c r="F7" s="5">
        <f>MVTRESUME2019!F11</f>
        <v>0</v>
      </c>
      <c r="G7" s="5">
        <f>MVTRESUME2019!G11</f>
        <v>97500</v>
      </c>
      <c r="H7" s="5">
        <f>MVTRESUME2019!H11</f>
        <v>7000</v>
      </c>
      <c r="I7" s="5">
        <f>MVTRESUME2019!I11</f>
        <v>14000</v>
      </c>
      <c r="J7" s="5">
        <f>MVTRESUME2019!J11</f>
        <v>35000</v>
      </c>
      <c r="K7" s="5">
        <f>MVTRESUME2019!K11</f>
        <v>6000</v>
      </c>
      <c r="L7" s="5">
        <f>MVTRESUME2019!L11</f>
        <v>0</v>
      </c>
      <c r="M7" s="5">
        <f>MVTRESUME2019!M11</f>
        <v>0</v>
      </c>
      <c r="N7" s="5">
        <f>MVTRESUME2019!N11</f>
        <v>2800000</v>
      </c>
      <c r="O7" s="5">
        <f>MVTRESUME2019!O11</f>
        <v>218000</v>
      </c>
      <c r="P7" s="5">
        <f>MVTRESUME2019!P11</f>
        <v>110000</v>
      </c>
      <c r="Q7" s="5">
        <f>MVTRESUME2019!Q11</f>
        <v>1800000</v>
      </c>
      <c r="R7" s="5">
        <f>MVTRESUME2019!R11</f>
        <v>50000</v>
      </c>
      <c r="S7" s="5">
        <f>MVTRESUME2019!S11</f>
        <v>0</v>
      </c>
      <c r="T7" s="5">
        <f>MVTRESUME2019!T11</f>
        <v>1050000</v>
      </c>
      <c r="U7" s="5">
        <f>MVTRESUME2019!U11</f>
        <v>179285.35834664505</v>
      </c>
      <c r="V7" s="5">
        <f>MVTRESUME2019!V11</f>
        <v>146000</v>
      </c>
      <c r="W7" s="5">
        <f>MVTRESUME2019!W11</f>
        <v>30000</v>
      </c>
      <c r="X7" s="5">
        <f>MVTRESUME2019!X11</f>
        <v>0</v>
      </c>
      <c r="Y7" s="5">
        <f>MVTRESUME2019!Y11</f>
        <v>149285.35834664505</v>
      </c>
      <c r="Z7" s="17" t="s">
        <v>90</v>
      </c>
      <c r="AA7" t="s">
        <v>129</v>
      </c>
      <c r="AB7" s="2">
        <f>50000+105000</f>
        <v>155000</v>
      </c>
      <c r="AC7" s="11">
        <f t="shared" si="0"/>
        <v>178880.86852751506</v>
      </c>
    </row>
    <row r="8" spans="1:34" x14ac:dyDescent="0.35">
      <c r="A8" s="1" t="s">
        <v>24</v>
      </c>
      <c r="B8" s="1" t="str">
        <f>VLOOKUP(A8,[25]LISTADHERENT!A$5:H$57,3,0)</f>
        <v>DJOUKWE NANGUEN GUY BLAISE</v>
      </c>
      <c r="C8" s="5">
        <f>MVTRESUME2019!C13</f>
        <v>480000</v>
      </c>
      <c r="D8" s="5">
        <f>MVTRESUME2019!D13</f>
        <v>79798.878874522779</v>
      </c>
      <c r="E8" s="5">
        <f>MVTRESUME2019!E13</f>
        <v>32.581814608536661</v>
      </c>
      <c r="F8" s="5">
        <f>MVTRESUME2019!F13</f>
        <v>0</v>
      </c>
      <c r="G8" s="5">
        <f>MVTRESUME2019!G13</f>
        <v>84000</v>
      </c>
      <c r="H8" s="5">
        <f>MVTRESUME2019!H13</f>
        <v>7000</v>
      </c>
      <c r="I8" s="5">
        <f>MVTRESUME2019!I13</f>
        <v>14000</v>
      </c>
      <c r="J8" s="5">
        <f>MVTRESUME2019!J13</f>
        <v>35000</v>
      </c>
      <c r="K8" s="5">
        <f>MVTRESUME2019!K13</f>
        <v>7000</v>
      </c>
      <c r="L8" s="5">
        <f>MVTRESUME2019!L13</f>
        <v>0</v>
      </c>
      <c r="M8" s="5">
        <f>MVTRESUME2019!M13</f>
        <v>0</v>
      </c>
      <c r="N8" s="5">
        <f>MVTRESUME2019!N13</f>
        <v>1800000</v>
      </c>
      <c r="O8" s="5">
        <f>MVTRESUME2019!O13</f>
        <v>160000</v>
      </c>
      <c r="P8" s="5">
        <f>MVTRESUME2019!P13</f>
        <v>40000</v>
      </c>
      <c r="Q8" s="5">
        <f>MVTRESUME2019!Q13</f>
        <v>1000000</v>
      </c>
      <c r="R8" s="5">
        <f>MVTRESUME2019!R13</f>
        <v>0</v>
      </c>
      <c r="S8" s="5">
        <f>MVTRESUME2019!S13</f>
        <v>0</v>
      </c>
      <c r="T8" s="5">
        <f>MVTRESUME2019!T13</f>
        <v>800000</v>
      </c>
      <c r="U8" s="5">
        <f>MVTRESUME2019!U13</f>
        <v>163831.46068913132</v>
      </c>
      <c r="V8" s="5">
        <f>MVTRESUME2019!V13</f>
        <v>35000</v>
      </c>
      <c r="W8" s="5">
        <f>MVTRESUME2019!W13</f>
        <v>30000</v>
      </c>
      <c r="X8" s="5">
        <f>MVTRESUME2019!X13</f>
        <v>0</v>
      </c>
      <c r="Y8" s="5">
        <f>MVTRESUME2019!Y13</f>
        <v>133831.46068913132</v>
      </c>
      <c r="Z8" s="17" t="s">
        <v>91</v>
      </c>
      <c r="AC8" s="11">
        <f t="shared" si="0"/>
        <v>163798.87887452278</v>
      </c>
    </row>
    <row r="9" spans="1:34" x14ac:dyDescent="0.35">
      <c r="A9" s="1" t="s">
        <v>25</v>
      </c>
      <c r="B9" s="1" t="str">
        <f>VLOOKUP(A9,[25]LISTADHERENT!A$5:H$57,3,0)</f>
        <v>DJUOMBESSY ANTOINE</v>
      </c>
      <c r="C9" s="5">
        <f>MVTRESUME2019!C14</f>
        <v>480000</v>
      </c>
      <c r="D9" s="5">
        <f>MVTRESUME2019!D14</f>
        <v>79954.051721931959</v>
      </c>
      <c r="E9" s="5">
        <f>MVTRESUME2019!E14</f>
        <v>8.234061673283577E-2</v>
      </c>
      <c r="F9" s="5">
        <f>MVTRESUME2019!F14</f>
        <v>0</v>
      </c>
      <c r="G9" s="5">
        <f>MVTRESUME2019!G14</f>
        <v>93500</v>
      </c>
      <c r="H9" s="5">
        <f>MVTRESUME2019!H14</f>
        <v>7000</v>
      </c>
      <c r="I9" s="5">
        <f>MVTRESUME2019!I14</f>
        <v>14000</v>
      </c>
      <c r="J9" s="5">
        <f>MVTRESUME2019!J14</f>
        <v>35000</v>
      </c>
      <c r="K9" s="5">
        <f>MVTRESUME2019!K14</f>
        <v>1000</v>
      </c>
      <c r="L9" s="5">
        <f>MVTRESUME2019!L14</f>
        <v>0</v>
      </c>
      <c r="M9" s="5">
        <f>MVTRESUME2019!M14</f>
        <v>0</v>
      </c>
      <c r="N9" s="5">
        <f>MVTRESUME2019!N14</f>
        <v>3000000</v>
      </c>
      <c r="O9" s="5">
        <f>MVTRESUME2019!O14</f>
        <v>160000</v>
      </c>
      <c r="P9" s="5">
        <f>MVTRESUME2019!P14</f>
        <v>50000</v>
      </c>
      <c r="Q9" s="5">
        <f>MVTRESUME2019!Q14</f>
        <v>2000000</v>
      </c>
      <c r="R9" s="5">
        <f>MVTRESUME2019!R14</f>
        <v>0</v>
      </c>
      <c r="S9" s="5">
        <f>MVTRESUME2019!S14</f>
        <v>0</v>
      </c>
      <c r="T9" s="5">
        <f>MVTRESUME2019!T14</f>
        <v>1000000</v>
      </c>
      <c r="U9" s="5">
        <f>MVTRESUME2019!U14</f>
        <v>173454.13406254869</v>
      </c>
      <c r="V9" s="5">
        <f>MVTRESUME2019!V14</f>
        <v>140000</v>
      </c>
      <c r="W9" s="5">
        <f>MVTRESUME2019!W14</f>
        <v>30000</v>
      </c>
      <c r="X9" s="5">
        <f>MVTRESUME2019!X14</f>
        <v>0</v>
      </c>
      <c r="Y9" s="5">
        <f>MVTRESUME2019!Y14</f>
        <v>143454.13406254869</v>
      </c>
      <c r="Z9" s="17" t="s">
        <v>92</v>
      </c>
      <c r="AC9" s="11">
        <f t="shared" si="0"/>
        <v>173454.05172193196</v>
      </c>
    </row>
    <row r="10" spans="1:34" x14ac:dyDescent="0.35">
      <c r="A10" s="1" t="s">
        <v>79</v>
      </c>
      <c r="B10" s="1" t="str">
        <f>VLOOKUP(A10,[25]LISTADHERENT!A$5:H$57,3,0)</f>
        <v>DOMOU FABIEN</v>
      </c>
      <c r="C10" s="5">
        <f>MVTRESUME2019!C15</f>
        <v>441596</v>
      </c>
      <c r="D10" s="5">
        <f>MVTRESUME2019!D15</f>
        <v>73699.144246646392</v>
      </c>
      <c r="E10" s="5">
        <f>MVTRESUME2019!E15</f>
        <v>0.16900408919900656</v>
      </c>
      <c r="F10" s="5">
        <f>MVTRESUME2019!F15</f>
        <v>0</v>
      </c>
      <c r="G10" s="5">
        <f>MVTRESUME2019!G15</f>
        <v>84000</v>
      </c>
      <c r="H10" s="5">
        <f>MVTRESUME2019!H15</f>
        <v>7000</v>
      </c>
      <c r="I10" s="5">
        <f>MVTRESUME2019!I15</f>
        <v>14000</v>
      </c>
      <c r="J10" s="5">
        <f>MVTRESUME2019!J15</f>
        <v>35000</v>
      </c>
      <c r="K10" s="5">
        <f>MVTRESUME2019!K15</f>
        <v>2000</v>
      </c>
      <c r="L10" s="5">
        <f>MVTRESUME2019!L15</f>
        <v>0</v>
      </c>
      <c r="M10" s="5">
        <f>MVTRESUME2019!M15</f>
        <v>0</v>
      </c>
      <c r="N10" s="5">
        <f>MVTRESUME2019!N15</f>
        <v>2000000</v>
      </c>
      <c r="O10" s="5">
        <f>MVTRESUME2019!O15</f>
        <v>160000</v>
      </c>
      <c r="P10" s="5">
        <f>MVTRESUME2019!P15</f>
        <v>50000</v>
      </c>
      <c r="Q10" s="5">
        <f>MVTRESUME2019!Q15</f>
        <v>1000000</v>
      </c>
      <c r="R10" s="5">
        <f>MVTRESUME2019!R15</f>
        <v>0</v>
      </c>
      <c r="S10" s="5">
        <f>MVTRESUME2019!S15</f>
        <v>0</v>
      </c>
      <c r="T10" s="5">
        <f>MVTRESUME2019!T15</f>
        <v>1000000</v>
      </c>
      <c r="U10" s="5">
        <f>MVTRESUME2019!U15</f>
        <v>157699.31325073558</v>
      </c>
      <c r="V10" s="5">
        <f>MVTRESUME2019!V15</f>
        <v>86000</v>
      </c>
      <c r="W10" s="5">
        <f>MVTRESUME2019!W15</f>
        <v>78406</v>
      </c>
      <c r="X10" s="5">
        <f>MVTRESUME2019!X15</f>
        <v>0</v>
      </c>
      <c r="Y10" s="5">
        <f>MVTRESUME2019!Y15</f>
        <v>79293.313250735577</v>
      </c>
      <c r="Z10" s="17"/>
      <c r="AC10" s="11">
        <f t="shared" si="0"/>
        <v>157699.14424664638</v>
      </c>
    </row>
    <row r="11" spans="1:34" x14ac:dyDescent="0.35">
      <c r="A11" s="1" t="s">
        <v>26</v>
      </c>
      <c r="B11" s="1" t="str">
        <f>VLOOKUP(A11,[25]LISTADHERENT!A$5:H$57,3,0)</f>
        <v>DONHOU DAVID</v>
      </c>
      <c r="C11" s="5">
        <f>MVTRESUME2019!C16</f>
        <v>480000</v>
      </c>
      <c r="D11" s="5">
        <f>MVTRESUME2019!D16</f>
        <v>97864.943592884913</v>
      </c>
      <c r="E11" s="5">
        <f>MVTRESUME2019!E16</f>
        <v>113997.13327318276</v>
      </c>
      <c r="F11" s="5">
        <f>MVTRESUME2019!F16</f>
        <v>0</v>
      </c>
      <c r="G11" s="5">
        <f>MVTRESUME2019!G16</f>
        <v>84000</v>
      </c>
      <c r="H11" s="5">
        <f>MVTRESUME2019!H16</f>
        <v>7000</v>
      </c>
      <c r="I11" s="5">
        <f>MVTRESUME2019!I16</f>
        <v>14000</v>
      </c>
      <c r="J11" s="5">
        <f>MVTRESUME2019!J16</f>
        <v>35000</v>
      </c>
      <c r="K11" s="5">
        <f>MVTRESUME2019!K16</f>
        <v>14000</v>
      </c>
      <c r="L11" s="5">
        <f>MVTRESUME2019!L16</f>
        <v>0</v>
      </c>
      <c r="M11" s="5">
        <f>MVTRESUME2019!M16</f>
        <v>0</v>
      </c>
      <c r="N11" s="5">
        <f>MVTRESUME2019!N16</f>
        <v>700000</v>
      </c>
      <c r="O11" s="5">
        <f>MVTRESUME2019!O16</f>
        <v>108500</v>
      </c>
      <c r="P11" s="5">
        <f>MVTRESUME2019!P16</f>
        <v>0</v>
      </c>
      <c r="Q11" s="5">
        <f>MVTRESUME2019!Q16</f>
        <v>808500</v>
      </c>
      <c r="R11" s="5">
        <f>MVTRESUME2019!R16</f>
        <v>108500</v>
      </c>
      <c r="S11" s="5">
        <f>MVTRESUME2019!S16</f>
        <v>0</v>
      </c>
      <c r="T11" s="5">
        <f>MVTRESUME2019!T16</f>
        <v>0</v>
      </c>
      <c r="U11" s="5">
        <f>MVTRESUME2019!U16</f>
        <v>295862.07686606765</v>
      </c>
      <c r="V11" s="5">
        <f>MVTRESUME2019!V16</f>
        <v>28500</v>
      </c>
      <c r="W11" s="5">
        <f>MVTRESUME2019!W16</f>
        <v>30000</v>
      </c>
      <c r="X11" s="5">
        <f>MVTRESUME2019!X16</f>
        <v>0</v>
      </c>
      <c r="Y11" s="5">
        <f>MVTRESUME2019!Y16</f>
        <v>265862.07686606765</v>
      </c>
      <c r="Z11" s="17"/>
      <c r="AC11" s="11">
        <f t="shared" si="0"/>
        <v>181864.94359288493</v>
      </c>
    </row>
    <row r="12" spans="1:34" x14ac:dyDescent="0.35">
      <c r="A12" s="1" t="s">
        <v>27</v>
      </c>
      <c r="B12" s="1" t="str">
        <f>VLOOKUP(A12,[25]LISTADHERENT!A$5:H$57,3,0)</f>
        <v>FOTSO THOMAS</v>
      </c>
      <c r="C12" s="5">
        <f>MVTRESUME2019!C17</f>
        <v>480000</v>
      </c>
      <c r="D12" s="5">
        <f>MVTRESUME2019!D17</f>
        <v>80086.550029503749</v>
      </c>
      <c r="E12" s="5">
        <f>MVTRESUME2019!E17</f>
        <v>2219.5520592769026</v>
      </c>
      <c r="F12" s="5">
        <f>MVTRESUME2019!F17</f>
        <v>0</v>
      </c>
      <c r="G12" s="5">
        <f>MVTRESUME2019!G17</f>
        <v>82000</v>
      </c>
      <c r="H12" s="5">
        <f>MVTRESUME2019!H17</f>
        <v>7000</v>
      </c>
      <c r="I12" s="5">
        <f>MVTRESUME2019!I17</f>
        <v>14000</v>
      </c>
      <c r="J12" s="5">
        <f>MVTRESUME2019!J17</f>
        <v>35000</v>
      </c>
      <c r="K12" s="5">
        <f>MVTRESUME2019!K17</f>
        <v>21000</v>
      </c>
      <c r="L12" s="5">
        <f>MVTRESUME2019!L17</f>
        <v>0</v>
      </c>
      <c r="M12" s="5">
        <f>MVTRESUME2019!M17</f>
        <v>0</v>
      </c>
      <c r="N12" s="5">
        <f>MVTRESUME2019!N17</f>
        <v>2000000</v>
      </c>
      <c r="O12" s="5">
        <f>MVTRESUME2019!O17</f>
        <v>150000</v>
      </c>
      <c r="P12" s="5">
        <f>MVTRESUME2019!P17</f>
        <v>30000</v>
      </c>
      <c r="Q12" s="5">
        <f>MVTRESUME2019!Q17</f>
        <v>1000000</v>
      </c>
      <c r="R12" s="5">
        <f>MVTRESUME2019!R17</f>
        <v>0</v>
      </c>
      <c r="S12" s="5">
        <f>MVTRESUME2019!S17</f>
        <v>0</v>
      </c>
      <c r="T12" s="5">
        <f>MVTRESUME2019!T17</f>
        <v>1000000</v>
      </c>
      <c r="U12" s="5">
        <f>MVTRESUME2019!U17</f>
        <v>164306.10208878067</v>
      </c>
      <c r="V12" s="5">
        <f>MVTRESUME2019!V17</f>
        <v>130000</v>
      </c>
      <c r="W12" s="5">
        <f>MVTRESUME2019!W17</f>
        <v>30000</v>
      </c>
      <c r="X12" s="5">
        <f>MVTRESUME2019!X17</f>
        <v>0</v>
      </c>
      <c r="Y12" s="5">
        <f>MVTRESUME2019!Y17</f>
        <v>134306.10208878067</v>
      </c>
      <c r="Z12" s="17" t="s">
        <v>91</v>
      </c>
      <c r="AC12" s="11">
        <f t="shared" si="0"/>
        <v>162086.55002950376</v>
      </c>
    </row>
    <row r="13" spans="1:34" x14ac:dyDescent="0.35">
      <c r="A13" s="1" t="s">
        <v>28</v>
      </c>
      <c r="B13" s="1" t="str">
        <f>VLOOKUP(A13,[25]LISTADHERENT!A$5:H$57,3,0)</f>
        <v>HENGUE PAUL OMER</v>
      </c>
      <c r="C13" s="5">
        <f>MVTRESUME2019!C18</f>
        <v>480000</v>
      </c>
      <c r="D13" s="5">
        <f>MVTRESUME2019!D18</f>
        <v>80427.583632271897</v>
      </c>
      <c r="E13" s="5">
        <f>MVTRESUME2019!E18</f>
        <v>3998.5841971817717</v>
      </c>
      <c r="F13" s="5">
        <f>MVTRESUME2019!F18</f>
        <v>0</v>
      </c>
      <c r="G13" s="5">
        <f>MVTRESUME2019!G18</f>
        <v>84000</v>
      </c>
      <c r="H13" s="5">
        <f>MVTRESUME2019!H18</f>
        <v>7000</v>
      </c>
      <c r="I13" s="5">
        <f>MVTRESUME2019!I18</f>
        <v>14000</v>
      </c>
      <c r="J13" s="5">
        <f>MVTRESUME2019!J18</f>
        <v>35000</v>
      </c>
      <c r="K13" s="5">
        <f>MVTRESUME2019!K18</f>
        <v>1000</v>
      </c>
      <c r="L13" s="5">
        <f>MVTRESUME2019!L18</f>
        <v>0</v>
      </c>
      <c r="M13" s="5">
        <f>MVTRESUME2019!M18</f>
        <v>0</v>
      </c>
      <c r="N13" s="5">
        <f>MVTRESUME2019!N18</f>
        <v>1000000</v>
      </c>
      <c r="O13" s="5">
        <f>MVTRESUME2019!O18</f>
        <v>120000</v>
      </c>
      <c r="P13" s="5">
        <f>MVTRESUME2019!P18</f>
        <v>120000</v>
      </c>
      <c r="Q13" s="5">
        <f>MVTRESUME2019!Q18</f>
        <v>0</v>
      </c>
      <c r="R13" s="5">
        <f>MVTRESUME2019!R18</f>
        <v>0</v>
      </c>
      <c r="S13" s="5">
        <f>MVTRESUME2019!S18</f>
        <v>0</v>
      </c>
      <c r="T13" s="5">
        <f>MVTRESUME2019!T18</f>
        <v>1000000</v>
      </c>
      <c r="U13" s="5">
        <f>MVTRESUME2019!U18</f>
        <v>168426.16782945365</v>
      </c>
      <c r="V13" s="5">
        <f>MVTRESUME2019!V18</f>
        <v>35000</v>
      </c>
      <c r="W13" s="5">
        <f>MVTRESUME2019!W18</f>
        <v>30000</v>
      </c>
      <c r="X13" s="5">
        <f>MVTRESUME2019!X18</f>
        <v>0</v>
      </c>
      <c r="Y13" s="5">
        <f>MVTRESUME2019!Y18</f>
        <v>138426.16782945365</v>
      </c>
      <c r="Z13" s="17"/>
      <c r="AC13" s="11">
        <f t="shared" si="0"/>
        <v>164427.58363227191</v>
      </c>
    </row>
    <row r="14" spans="1:34" x14ac:dyDescent="0.35">
      <c r="A14" s="1" t="s">
        <v>29</v>
      </c>
      <c r="B14" s="1" t="str">
        <f>VLOOKUP(A14,[25]LISTADHERENT!A$5:H$57,3,0)</f>
        <v>HOTCHO BENJAMIN</v>
      </c>
      <c r="C14" s="5">
        <f>MVTRESUME2019!C19</f>
        <v>480000</v>
      </c>
      <c r="D14" s="5">
        <f>MVTRESUME2019!D19</f>
        <v>84433.275952127617</v>
      </c>
      <c r="E14" s="5">
        <f>MVTRESUME2019!E19</f>
        <v>0.44251227390486747</v>
      </c>
      <c r="F14" s="5">
        <f>MVTRESUME2019!F19</f>
        <v>0</v>
      </c>
      <c r="G14" s="5">
        <f>MVTRESUME2019!G19</f>
        <v>258500</v>
      </c>
      <c r="H14" s="5">
        <f>MVTRESUME2019!H19</f>
        <v>7000</v>
      </c>
      <c r="I14" s="5">
        <f>MVTRESUME2019!I19</f>
        <v>14000</v>
      </c>
      <c r="J14" s="5">
        <f>MVTRESUME2019!J19</f>
        <v>35000</v>
      </c>
      <c r="K14" s="5">
        <f>MVTRESUME2019!K19</f>
        <v>2000</v>
      </c>
      <c r="L14" s="5">
        <f>MVTRESUME2019!L19</f>
        <v>0</v>
      </c>
      <c r="M14" s="5">
        <f>MVTRESUME2019!M19</f>
        <v>0</v>
      </c>
      <c r="N14" s="5">
        <f>MVTRESUME2019!N19</f>
        <v>0</v>
      </c>
      <c r="O14" s="5">
        <f>MVTRESUME2019!O19</f>
        <v>0</v>
      </c>
      <c r="P14" s="5">
        <f>MVTRESUME2019!P19</f>
        <v>0</v>
      </c>
      <c r="Q14" s="5">
        <f>MVTRESUME2019!Q19</f>
        <v>0</v>
      </c>
      <c r="R14" s="5">
        <f>MVTRESUME2019!R19</f>
        <v>0</v>
      </c>
      <c r="S14" s="5">
        <f>MVTRESUME2019!S19</f>
        <v>0</v>
      </c>
      <c r="T14" s="5">
        <f>MVTRESUME2019!T19</f>
        <v>0</v>
      </c>
      <c r="U14" s="5">
        <f>MVTRESUME2019!U19</f>
        <v>342933.71846440155</v>
      </c>
      <c r="V14" s="5">
        <f>MVTRESUME2019!V19</f>
        <v>250000</v>
      </c>
      <c r="W14" s="5">
        <f>MVTRESUME2019!W19</f>
        <v>30000</v>
      </c>
      <c r="X14" s="5">
        <f>MVTRESUME2019!X19</f>
        <v>0</v>
      </c>
      <c r="Y14" s="5">
        <f>MVTRESUME2019!Y19</f>
        <v>312933.71846440155</v>
      </c>
      <c r="Z14" s="17"/>
      <c r="AC14" s="11">
        <f t="shared" si="0"/>
        <v>342933.27595212765</v>
      </c>
    </row>
    <row r="15" spans="1:34" x14ac:dyDescent="0.35">
      <c r="A15" s="1" t="s">
        <v>31</v>
      </c>
      <c r="B15" s="1" t="str">
        <f>VLOOKUP(A15,[25]LISTADHERENT!A$5:H$57,3,0)</f>
        <v>KEPSEU FRANCIS</v>
      </c>
      <c r="C15" s="5">
        <f>MVTRESUME2019!C20</f>
        <v>480000</v>
      </c>
      <c r="D15" s="5">
        <f>MVTRESUME2019!D20</f>
        <v>607034.07913233258</v>
      </c>
      <c r="E15" s="5">
        <f>MVTRESUME2019!E20</f>
        <v>2903898.728295486</v>
      </c>
      <c r="F15" s="5">
        <f>MVTRESUME2019!F20</f>
        <v>0</v>
      </c>
      <c r="G15" s="5">
        <f>MVTRESUME2019!G20</f>
        <v>1296000</v>
      </c>
      <c r="H15" s="5">
        <f>MVTRESUME2019!H20</f>
        <v>7000</v>
      </c>
      <c r="I15" s="5">
        <f>MVTRESUME2019!I20</f>
        <v>14000</v>
      </c>
      <c r="J15" s="5">
        <f>MVTRESUME2019!J20</f>
        <v>35000</v>
      </c>
      <c r="K15" s="5">
        <f>MVTRESUME2019!K20</f>
        <v>0</v>
      </c>
      <c r="L15" s="5">
        <f>MVTRESUME2019!L20</f>
        <v>0</v>
      </c>
      <c r="M15" s="5">
        <f>MVTRESUME2019!M20</f>
        <v>0</v>
      </c>
      <c r="N15" s="5">
        <f>MVTRESUME2019!N20</f>
        <v>0</v>
      </c>
      <c r="O15" s="5">
        <f>MVTRESUME2019!O20</f>
        <v>0</v>
      </c>
      <c r="P15" s="5">
        <f>MVTRESUME2019!P20</f>
        <v>0</v>
      </c>
      <c r="Q15" s="5">
        <f>MVTRESUME2019!Q20</f>
        <v>0</v>
      </c>
      <c r="R15" s="5">
        <f>MVTRESUME2019!R20</f>
        <v>0</v>
      </c>
      <c r="S15" s="5">
        <f>MVTRESUME2019!S20</f>
        <v>0</v>
      </c>
      <c r="T15" s="5">
        <f>MVTRESUME2019!T20</f>
        <v>0</v>
      </c>
      <c r="U15" s="5">
        <f>MVTRESUME2019!U20</f>
        <v>4806932.807427818</v>
      </c>
      <c r="V15" s="5">
        <f>MVTRESUME2019!V20</f>
        <v>0</v>
      </c>
      <c r="W15" s="5">
        <f>MVTRESUME2019!W20</f>
        <v>30000</v>
      </c>
      <c r="X15" s="5">
        <f>MVTRESUME2019!X20</f>
        <v>0</v>
      </c>
      <c r="Y15" s="5">
        <f>MVTRESUME2019!Y20</f>
        <v>4776932.807427818</v>
      </c>
      <c r="Z15" s="17"/>
      <c r="AC15" s="11">
        <f t="shared" si="0"/>
        <v>1903034.0791323325</v>
      </c>
    </row>
    <row r="16" spans="1:34" x14ac:dyDescent="0.35">
      <c r="A16" s="1" t="s">
        <v>34</v>
      </c>
      <c r="B16" s="1" t="str">
        <f>VLOOKUP(A16,[25]LISTADHERENT!A$5:H$57,3,0)</f>
        <v>KOUAMO VICTOR PEGUY</v>
      </c>
      <c r="C16" s="5">
        <f>MVTRESUME2019!C21</f>
        <v>480000</v>
      </c>
      <c r="D16" s="5">
        <f>MVTRESUME2019!D21</f>
        <v>79661.668675915658</v>
      </c>
      <c r="E16" s="5">
        <f>MVTRESUME2019!E21</f>
        <v>-0.26072546625800896</v>
      </c>
      <c r="F16" s="5">
        <f>MVTRESUME2019!F21</f>
        <v>0</v>
      </c>
      <c r="G16" s="5">
        <f>MVTRESUME2019!G21</f>
        <v>81000</v>
      </c>
      <c r="H16" s="5">
        <f>MVTRESUME2019!H21</f>
        <v>7000</v>
      </c>
      <c r="I16" s="5">
        <f>MVTRESUME2019!I21</f>
        <v>14000</v>
      </c>
      <c r="J16" s="5">
        <f>MVTRESUME2019!J21</f>
        <v>35000</v>
      </c>
      <c r="K16" s="5">
        <f>MVTRESUME2019!K21</f>
        <v>7000</v>
      </c>
      <c r="L16" s="5">
        <f>MVTRESUME2019!L21</f>
        <v>0</v>
      </c>
      <c r="M16" s="5">
        <f>MVTRESUME2019!M21</f>
        <v>0</v>
      </c>
      <c r="N16" s="5">
        <f>MVTRESUME2019!N21</f>
        <v>1900000</v>
      </c>
      <c r="O16" s="5">
        <f>MVTRESUME2019!O21</f>
        <v>159000</v>
      </c>
      <c r="P16" s="5">
        <f>MVTRESUME2019!P21</f>
        <v>60000</v>
      </c>
      <c r="Q16" s="5">
        <f>MVTRESUME2019!Q21</f>
        <v>900000</v>
      </c>
      <c r="R16" s="5">
        <f>MVTRESUME2019!R21</f>
        <v>139500</v>
      </c>
      <c r="S16" s="5">
        <f>MVTRESUME2019!S21</f>
        <v>0</v>
      </c>
      <c r="T16" s="5">
        <f>MVTRESUME2019!T21</f>
        <v>1139500</v>
      </c>
      <c r="U16" s="5">
        <f>MVTRESUME2019!U21</f>
        <v>160661.40795044939</v>
      </c>
      <c r="V16" s="5">
        <f>MVTRESUME2019!V21</f>
        <v>0</v>
      </c>
      <c r="W16" s="5">
        <f>MVTRESUME2019!W21</f>
        <v>30000</v>
      </c>
      <c r="X16" s="5">
        <f>MVTRESUME2019!X21</f>
        <v>0</v>
      </c>
      <c r="Y16" s="5">
        <f>MVTRESUME2019!Y21</f>
        <v>130661.40795044939</v>
      </c>
      <c r="Z16" s="17" t="s">
        <v>93</v>
      </c>
      <c r="AA16" t="s">
        <v>129</v>
      </c>
      <c r="AB16" s="2">
        <f>45000+94500</f>
        <v>139500</v>
      </c>
      <c r="AC16" s="11">
        <f t="shared" si="0"/>
        <v>160661.66867591566</v>
      </c>
      <c r="AG16" s="2">
        <f>AB16</f>
        <v>139500</v>
      </c>
    </row>
    <row r="17" spans="1:33" s="14" customFormat="1" x14ac:dyDescent="0.35">
      <c r="A17" s="12" t="s">
        <v>32</v>
      </c>
      <c r="B17" s="1" t="str">
        <f>VLOOKUP(A17,[25]LISTADHERENT!A$5:H$57,3,0)</f>
        <v>KOUAMOU EMMANUEL</v>
      </c>
      <c r="C17" s="5">
        <f>MVTRESUME2019!C22</f>
        <v>480000</v>
      </c>
      <c r="D17" s="5">
        <f>MVTRESUME2019!D22</f>
        <v>78414.920478625208</v>
      </c>
      <c r="E17" s="5">
        <f>MVTRESUME2019!E22</f>
        <v>643.11234311138105</v>
      </c>
      <c r="F17" s="5">
        <f>MVTRESUME2019!F22</f>
        <v>0</v>
      </c>
      <c r="G17" s="5">
        <f>MVTRESUME2019!G22</f>
        <v>30000</v>
      </c>
      <c r="H17" s="5">
        <f>MVTRESUME2019!H22</f>
        <v>2500</v>
      </c>
      <c r="I17" s="5">
        <f>MVTRESUME2019!I22</f>
        <v>5000</v>
      </c>
      <c r="J17" s="5">
        <f>MVTRESUME2019!J22</f>
        <v>12500</v>
      </c>
      <c r="K17" s="5">
        <f>MVTRESUME2019!K22</f>
        <v>4000</v>
      </c>
      <c r="L17" s="5">
        <f>MVTRESUME2019!L22</f>
        <v>0</v>
      </c>
      <c r="M17" s="5">
        <f>MVTRESUME2019!M22</f>
        <v>0</v>
      </c>
      <c r="N17" s="5">
        <f>MVTRESUME2019!N22</f>
        <v>700000</v>
      </c>
      <c r="O17" s="5">
        <f>MVTRESUME2019!O22</f>
        <v>77000</v>
      </c>
      <c r="P17" s="5">
        <f>MVTRESUME2019!P22</f>
        <v>0</v>
      </c>
      <c r="Q17" s="5">
        <f>MVTRESUME2019!Q22</f>
        <v>0</v>
      </c>
      <c r="R17" s="5">
        <f>MVTRESUME2019!R22</f>
        <v>108500</v>
      </c>
      <c r="S17" s="5">
        <f>MVTRESUME2019!S22</f>
        <v>0</v>
      </c>
      <c r="T17" s="5">
        <f>MVTRESUME2019!T22</f>
        <v>808500</v>
      </c>
      <c r="U17" s="5">
        <f>MVTRESUME2019!U22</f>
        <v>109058.03282173659</v>
      </c>
      <c r="V17" s="5">
        <f>MVTRESUME2019!V22</f>
        <v>109058</v>
      </c>
      <c r="W17" s="5">
        <f>MVTRESUME2019!W22</f>
        <v>0</v>
      </c>
      <c r="X17" s="5">
        <f>MVTRESUME2019!X22</f>
        <v>0</v>
      </c>
      <c r="Y17" s="5">
        <f>MVTRESUME2019!Y22</f>
        <v>109058.03282173659</v>
      </c>
      <c r="Z17" s="35" t="s">
        <v>95</v>
      </c>
      <c r="AA17" s="14" t="s">
        <v>129</v>
      </c>
      <c r="AB17" s="11">
        <f>35000+73500</f>
        <v>108500</v>
      </c>
      <c r="AC17" s="11">
        <f t="shared" si="0"/>
        <v>108414.92047862521</v>
      </c>
      <c r="AD17" s="11" t="e">
        <f>#REF!</f>
        <v>#REF!</v>
      </c>
      <c r="AG17" s="7" t="e">
        <f>C17-T17+U17+AD17+AE17</f>
        <v>#REF!</v>
      </c>
    </row>
    <row r="18" spans="1:33" x14ac:dyDescent="0.35">
      <c r="A18" s="1" t="s">
        <v>33</v>
      </c>
      <c r="B18" s="1" t="str">
        <f>VLOOKUP(A18,[25]LISTADHERENT!A$5:H$57,3,0)</f>
        <v>KOUAMOU MOISE</v>
      </c>
      <c r="C18" s="5">
        <f>MVTRESUME2019!C23</f>
        <v>480000</v>
      </c>
      <c r="D18" s="5">
        <f>MVTRESUME2019!D23</f>
        <v>80181.060176583385</v>
      </c>
      <c r="E18" s="5">
        <f>MVTRESUME2019!E23</f>
        <v>2611.7018854503112</v>
      </c>
      <c r="F18" s="5">
        <f>MVTRESUME2019!F23</f>
        <v>0</v>
      </c>
      <c r="G18" s="5">
        <f>MVTRESUME2019!G23</f>
        <v>84000</v>
      </c>
      <c r="H18" s="5">
        <f>MVTRESUME2019!H23</f>
        <v>7000</v>
      </c>
      <c r="I18" s="5">
        <f>MVTRESUME2019!I23</f>
        <v>14000</v>
      </c>
      <c r="J18" s="5">
        <f>MVTRESUME2019!J23</f>
        <v>35000</v>
      </c>
      <c r="K18" s="5">
        <f>MVTRESUME2019!K23</f>
        <v>1000</v>
      </c>
      <c r="L18" s="5">
        <f>MVTRESUME2019!L23</f>
        <v>0</v>
      </c>
      <c r="M18" s="5">
        <f>MVTRESUME2019!M23</f>
        <v>0</v>
      </c>
      <c r="N18" s="5">
        <f>MVTRESUME2019!N23</f>
        <v>1500000</v>
      </c>
      <c r="O18" s="5">
        <f>MVTRESUME2019!O23</f>
        <v>135000</v>
      </c>
      <c r="P18" s="5">
        <f>MVTRESUME2019!P23</f>
        <v>25000</v>
      </c>
      <c r="Q18" s="5">
        <f>MVTRESUME2019!Q23</f>
        <v>1000000</v>
      </c>
      <c r="R18" s="5">
        <f>MVTRESUME2019!R23</f>
        <v>0</v>
      </c>
      <c r="S18" s="5">
        <f>MVTRESUME2019!S23</f>
        <v>0</v>
      </c>
      <c r="T18" s="5">
        <f>MVTRESUME2019!T23</f>
        <v>500000</v>
      </c>
      <c r="U18" s="5">
        <f>MVTRESUME2019!U23</f>
        <v>166792.7620620337</v>
      </c>
      <c r="V18" s="5">
        <f>MVTRESUME2019!V23</f>
        <v>130000</v>
      </c>
      <c r="W18" s="5">
        <f>MVTRESUME2019!W23</f>
        <v>30000</v>
      </c>
      <c r="X18" s="5">
        <f>MVTRESUME2019!X23</f>
        <v>0</v>
      </c>
      <c r="Y18" s="5">
        <f>MVTRESUME2019!Y23</f>
        <v>136792.7620620337</v>
      </c>
      <c r="Z18" s="17" t="s">
        <v>96</v>
      </c>
      <c r="AC18" s="11">
        <f t="shared" si="0"/>
        <v>164181.06017658339</v>
      </c>
    </row>
    <row r="19" spans="1:33" x14ac:dyDescent="0.35">
      <c r="A19" s="1" t="s">
        <v>35</v>
      </c>
      <c r="B19" s="1" t="str">
        <f>VLOOKUP(A19,[25]LISTADHERENT!A$5:H$57,3,0)</f>
        <v>KOUATCHO MESSACK</v>
      </c>
      <c r="C19" s="5">
        <f>MVTRESUME2019!C24</f>
        <v>480000</v>
      </c>
      <c r="D19" s="5">
        <f>MVTRESUME2019!D24</f>
        <v>79889.68496817023</v>
      </c>
      <c r="E19" s="5">
        <f>MVTRESUME2019!E24</f>
        <v>605.40582988600363</v>
      </c>
      <c r="F19" s="5">
        <f>MVTRESUME2019!F24</f>
        <v>0</v>
      </c>
      <c r="G19" s="5">
        <f>MVTRESUME2019!G24</f>
        <v>84000</v>
      </c>
      <c r="H19" s="5">
        <f>MVTRESUME2019!H24</f>
        <v>7000</v>
      </c>
      <c r="I19" s="5">
        <f>MVTRESUME2019!I24</f>
        <v>14000</v>
      </c>
      <c r="J19" s="5">
        <f>MVTRESUME2019!J24</f>
        <v>35000</v>
      </c>
      <c r="K19" s="5">
        <f>MVTRESUME2019!K24</f>
        <v>7000</v>
      </c>
      <c r="L19" s="5">
        <f>MVTRESUME2019!L24</f>
        <v>0</v>
      </c>
      <c r="M19" s="5">
        <f>MVTRESUME2019!M24</f>
        <v>0</v>
      </c>
      <c r="N19" s="5">
        <f>MVTRESUME2019!N24</f>
        <v>2000000</v>
      </c>
      <c r="O19" s="5">
        <f>MVTRESUME2019!O24</f>
        <v>150000</v>
      </c>
      <c r="P19" s="5">
        <f>MVTRESUME2019!P24</f>
        <v>40000</v>
      </c>
      <c r="Q19" s="5">
        <f>MVTRESUME2019!Q24</f>
        <v>1000000</v>
      </c>
      <c r="R19" s="5">
        <f>MVTRESUME2019!R24</f>
        <v>0</v>
      </c>
      <c r="S19" s="5">
        <f>MVTRESUME2019!S24</f>
        <v>0</v>
      </c>
      <c r="T19" s="5">
        <f>MVTRESUME2019!T24</f>
        <v>1000000</v>
      </c>
      <c r="U19" s="5">
        <f>MVTRESUME2019!U24</f>
        <v>164495.09079805622</v>
      </c>
      <c r="V19" s="5">
        <f>MVTRESUME2019!V24</f>
        <v>120000</v>
      </c>
      <c r="W19" s="5">
        <f>MVTRESUME2019!W24</f>
        <v>30000</v>
      </c>
      <c r="X19" s="5">
        <f>MVTRESUME2019!X24</f>
        <v>0</v>
      </c>
      <c r="Y19" s="5">
        <f>MVTRESUME2019!Y24</f>
        <v>134495.09079805622</v>
      </c>
      <c r="Z19" s="17" t="s">
        <v>87</v>
      </c>
      <c r="AC19" s="11">
        <f t="shared" si="0"/>
        <v>163889.68496817024</v>
      </c>
    </row>
    <row r="20" spans="1:33" x14ac:dyDescent="0.35">
      <c r="A20" s="1" t="s">
        <v>36</v>
      </c>
      <c r="B20" s="1" t="str">
        <f>VLOOKUP(A20,[25]LISTADHERENT!A$5:H$57,3,0)</f>
        <v>LOWE JEAN</v>
      </c>
      <c r="C20" s="5">
        <f>MVTRESUME2019!C25</f>
        <v>480000</v>
      </c>
      <c r="D20" s="5">
        <f>MVTRESUME2019!D25</f>
        <v>79644.731049764974</v>
      </c>
      <c r="E20" s="5">
        <f>MVTRESUME2019!E25</f>
        <v>-0.14820683863945305</v>
      </c>
      <c r="F20" s="5">
        <f>MVTRESUME2019!F25</f>
        <v>0</v>
      </c>
      <c r="G20" s="5">
        <f>MVTRESUME2019!G25</f>
        <v>82000</v>
      </c>
      <c r="H20" s="5">
        <f>MVTRESUME2019!H25</f>
        <v>7000</v>
      </c>
      <c r="I20" s="5">
        <f>MVTRESUME2019!I25</f>
        <v>14000</v>
      </c>
      <c r="J20" s="5">
        <f>MVTRESUME2019!J25</f>
        <v>35000</v>
      </c>
      <c r="K20" s="5">
        <f>MVTRESUME2019!K25</f>
        <v>9000</v>
      </c>
      <c r="L20" s="5">
        <f>MVTRESUME2019!L25</f>
        <v>0</v>
      </c>
      <c r="M20" s="5">
        <f>MVTRESUME2019!M25</f>
        <v>0</v>
      </c>
      <c r="N20" s="5">
        <f>MVTRESUME2019!N25</f>
        <v>260000</v>
      </c>
      <c r="O20" s="5">
        <f>MVTRESUME2019!O25</f>
        <v>10400</v>
      </c>
      <c r="P20" s="5">
        <f>MVTRESUME2019!P25</f>
        <v>7800</v>
      </c>
      <c r="Q20" s="5">
        <f>MVTRESUME2019!Q25</f>
        <v>130000</v>
      </c>
      <c r="R20" s="5">
        <f>MVTRESUME2019!R25</f>
        <v>0</v>
      </c>
      <c r="S20" s="5">
        <f>MVTRESUME2019!S25</f>
        <v>0</v>
      </c>
      <c r="T20" s="5">
        <f>MVTRESUME2019!T25</f>
        <v>130000</v>
      </c>
      <c r="U20" s="5">
        <f>MVTRESUME2019!U25</f>
        <v>161644.58284292632</v>
      </c>
      <c r="V20" s="5">
        <f>MVTRESUME2019!V25</f>
        <v>128000</v>
      </c>
      <c r="W20" s="5">
        <f>MVTRESUME2019!W25</f>
        <v>30000</v>
      </c>
      <c r="X20" s="5">
        <f>MVTRESUME2019!X25</f>
        <v>0</v>
      </c>
      <c r="Y20" s="5">
        <f>MVTRESUME2019!Y25</f>
        <v>131644.58284292632</v>
      </c>
      <c r="Z20" s="17" t="s">
        <v>94</v>
      </c>
      <c r="AC20" s="11">
        <f t="shared" si="0"/>
        <v>161644.73104976496</v>
      </c>
    </row>
    <row r="21" spans="1:33" x14ac:dyDescent="0.35">
      <c r="A21" s="1" t="s">
        <v>75</v>
      </c>
      <c r="B21" s="1" t="str">
        <f>VLOOKUP(A21,[25]LISTADHERENT!A$5:H$57,3,0)</f>
        <v>MBOGNING TUGMA GUY</v>
      </c>
      <c r="C21" s="5">
        <f>MVTRESUME2019!C26</f>
        <v>30000</v>
      </c>
      <c r="D21" s="5">
        <f>MVTRESUME2019!D26</f>
        <v>12025.274783900029</v>
      </c>
      <c r="E21" s="5">
        <f>MVTRESUME2019!E26</f>
        <v>2994.5270055830988</v>
      </c>
      <c r="F21" s="5">
        <f>MVTRESUME2019!F26</f>
        <v>0</v>
      </c>
      <c r="G21" s="5">
        <f>MVTRESUME2019!G26</f>
        <v>104000</v>
      </c>
      <c r="H21" s="5">
        <f>MVTRESUME2019!H26</f>
        <v>7000</v>
      </c>
      <c r="I21" s="5">
        <f>MVTRESUME2019!I26</f>
        <v>14000</v>
      </c>
      <c r="J21" s="5">
        <f>MVTRESUME2019!J26</f>
        <v>35000</v>
      </c>
      <c r="K21" s="5">
        <f>MVTRESUME2019!K26</f>
        <v>0</v>
      </c>
      <c r="L21" s="5">
        <f>MVTRESUME2019!L26</f>
        <v>0</v>
      </c>
      <c r="M21" s="5">
        <f>MVTRESUME2019!M26</f>
        <v>0</v>
      </c>
      <c r="N21" s="5">
        <f>MVTRESUME2019!N26</f>
        <v>900000</v>
      </c>
      <c r="O21" s="5">
        <f>MVTRESUME2019!O26</f>
        <v>108000</v>
      </c>
      <c r="P21" s="5">
        <f>MVTRESUME2019!P26</f>
        <v>0</v>
      </c>
      <c r="Q21" s="5">
        <f>MVTRESUME2019!Q26</f>
        <v>900000</v>
      </c>
      <c r="R21" s="5">
        <f>MVTRESUME2019!R26</f>
        <v>0</v>
      </c>
      <c r="S21" s="5">
        <f>MVTRESUME2019!S26</f>
        <v>0</v>
      </c>
      <c r="T21" s="5">
        <f>MVTRESUME2019!T26</f>
        <v>0</v>
      </c>
      <c r="U21" s="5">
        <f>MVTRESUME2019!U26</f>
        <v>119019.80178948313</v>
      </c>
      <c r="V21" s="5">
        <f>MVTRESUME2019!V26</f>
        <v>88500</v>
      </c>
      <c r="W21" s="5">
        <f>MVTRESUME2019!W26</f>
        <v>30000</v>
      </c>
      <c r="X21" s="5">
        <f>MVTRESUME2019!X26</f>
        <v>0</v>
      </c>
      <c r="Y21" s="5">
        <f>MVTRESUME2019!Y26</f>
        <v>89019.801789483128</v>
      </c>
      <c r="Z21" s="17" t="s">
        <v>91</v>
      </c>
      <c r="AC21" s="11">
        <f t="shared" si="0"/>
        <v>116025.27478390004</v>
      </c>
    </row>
    <row r="22" spans="1:33" x14ac:dyDescent="0.35">
      <c r="A22" s="1" t="s">
        <v>50</v>
      </c>
      <c r="B22" s="1" t="str">
        <f>VLOOKUP(A22,[25]LISTADHERENT!A$5:H$57,3,0)</f>
        <v>NANGUEN MARTIN</v>
      </c>
      <c r="C22" s="5">
        <f>MVTRESUME2019!C27</f>
        <v>450000</v>
      </c>
      <c r="D22" s="5">
        <f>MVTRESUME2019!D27</f>
        <v>81837.118573991771</v>
      </c>
      <c r="E22" s="5">
        <f>MVTRESUME2019!E27</f>
        <v>12890.22827698091</v>
      </c>
      <c r="F22" s="5">
        <f>MVTRESUME2019!F27</f>
        <v>0</v>
      </c>
      <c r="G22" s="5">
        <f>MVTRESUME2019!G27</f>
        <v>94000</v>
      </c>
      <c r="H22" s="5">
        <f>MVTRESUME2019!H27</f>
        <v>7000</v>
      </c>
      <c r="I22" s="5">
        <f>MVTRESUME2019!I27</f>
        <v>14000</v>
      </c>
      <c r="J22" s="5">
        <f>MVTRESUME2019!J27</f>
        <v>35000</v>
      </c>
      <c r="K22" s="5">
        <f>MVTRESUME2019!K27</f>
        <v>0</v>
      </c>
      <c r="L22" s="5">
        <f>MVTRESUME2019!L27</f>
        <v>0</v>
      </c>
      <c r="M22" s="5">
        <f>MVTRESUME2019!M27</f>
        <v>0</v>
      </c>
      <c r="N22" s="5">
        <f>MVTRESUME2019!N27</f>
        <v>100000</v>
      </c>
      <c r="O22" s="5">
        <f>MVTRESUME2019!O27</f>
        <v>5000</v>
      </c>
      <c r="P22" s="5">
        <f>MVTRESUME2019!P27</f>
        <v>0</v>
      </c>
      <c r="Q22" s="5">
        <f>MVTRESUME2019!Q27</f>
        <v>100000</v>
      </c>
      <c r="R22" s="5">
        <f>MVTRESUME2019!R27</f>
        <v>0</v>
      </c>
      <c r="S22" s="5">
        <f>MVTRESUME2019!S27</f>
        <v>0</v>
      </c>
      <c r="T22" s="5">
        <f>MVTRESUME2019!T27</f>
        <v>0</v>
      </c>
      <c r="U22" s="5">
        <f>MVTRESUME2019!U27</f>
        <v>188727.34685097268</v>
      </c>
      <c r="V22" s="5">
        <f>MVTRESUME2019!V27</f>
        <v>95000</v>
      </c>
      <c r="W22" s="5">
        <f>MVTRESUME2019!W27</f>
        <v>60000</v>
      </c>
      <c r="X22" s="5">
        <f>MVTRESUME2019!X27</f>
        <v>0</v>
      </c>
      <c r="Y22" s="5">
        <f>MVTRESUME2019!Y27</f>
        <v>128727.34685097268</v>
      </c>
      <c r="Z22" s="17" t="s">
        <v>94</v>
      </c>
      <c r="AC22" s="11">
        <f t="shared" si="0"/>
        <v>175837.11857399176</v>
      </c>
    </row>
    <row r="23" spans="1:33" x14ac:dyDescent="0.35">
      <c r="A23" s="1" t="s">
        <v>37</v>
      </c>
      <c r="B23" s="1" t="str">
        <f>VLOOKUP(A23,[25]LISTADHERENT!A$5:H$57,3,0)</f>
        <v>NANKAM APPOLINAIRE</v>
      </c>
      <c r="C23" s="5">
        <f>MVTRESUME2019!C28</f>
        <v>480000</v>
      </c>
      <c r="D23" s="5">
        <f>MVTRESUME2019!D28</f>
        <v>80008.312869354428</v>
      </c>
      <c r="E23" s="5">
        <f>MVTRESUME2019!E28</f>
        <v>1353.7356825511233</v>
      </c>
      <c r="F23" s="5">
        <f>MVTRESUME2019!F28</f>
        <v>0</v>
      </c>
      <c r="G23" s="5">
        <f>MVTRESUME2019!G28</f>
        <v>84000</v>
      </c>
      <c r="H23" s="5">
        <f>MVTRESUME2019!H28</f>
        <v>7000</v>
      </c>
      <c r="I23" s="5">
        <f>MVTRESUME2019!I28</f>
        <v>14000</v>
      </c>
      <c r="J23" s="5">
        <f>MVTRESUME2019!J28</f>
        <v>35000</v>
      </c>
      <c r="K23" s="5">
        <f>MVTRESUME2019!K28</f>
        <v>5000</v>
      </c>
      <c r="L23" s="5">
        <f>MVTRESUME2019!L28</f>
        <v>0</v>
      </c>
      <c r="M23" s="5">
        <f>MVTRESUME2019!M28</f>
        <v>0</v>
      </c>
      <c r="N23" s="5">
        <f>MVTRESUME2019!N28</f>
        <v>2000000</v>
      </c>
      <c r="O23" s="5">
        <f>MVTRESUME2019!O28</f>
        <v>230000</v>
      </c>
      <c r="P23" s="5">
        <f>MVTRESUME2019!P28</f>
        <v>120000</v>
      </c>
      <c r="Q23" s="5">
        <f>MVTRESUME2019!Q28</f>
        <v>1000000</v>
      </c>
      <c r="R23" s="5">
        <f>MVTRESUME2019!R28</f>
        <v>0</v>
      </c>
      <c r="S23" s="5">
        <f>MVTRESUME2019!S28</f>
        <v>0</v>
      </c>
      <c r="T23" s="5">
        <f>MVTRESUME2019!T28</f>
        <v>1000000</v>
      </c>
      <c r="U23" s="5">
        <f>MVTRESUME2019!U28</f>
        <v>165362.04855190555</v>
      </c>
      <c r="V23" s="5">
        <f>MVTRESUME2019!V28</f>
        <v>130000</v>
      </c>
      <c r="W23" s="5">
        <f>MVTRESUME2019!W28</f>
        <v>30000</v>
      </c>
      <c r="X23" s="5">
        <f>MVTRESUME2019!X28</f>
        <v>0</v>
      </c>
      <c r="Y23" s="5">
        <f>MVTRESUME2019!Y28</f>
        <v>135362.04855190555</v>
      </c>
      <c r="Z23" s="17"/>
      <c r="AC23" s="11">
        <f t="shared" si="0"/>
        <v>164008.31286935444</v>
      </c>
    </row>
    <row r="24" spans="1:33" x14ac:dyDescent="0.35">
      <c r="A24" s="1" t="s">
        <v>38</v>
      </c>
      <c r="B24" s="1" t="str">
        <f>VLOOKUP(A24,[25]LISTADHERENT!A$5:H$57,3,0)</f>
        <v>NDJOMO ETIENNE</v>
      </c>
      <c r="C24" s="5">
        <f>MVTRESUME2019!C29</f>
        <v>480000</v>
      </c>
      <c r="D24" s="5">
        <f>MVTRESUME2019!D29</f>
        <v>91731.680250305682</v>
      </c>
      <c r="E24" s="5">
        <f>MVTRESUME2019!E29</f>
        <v>57225.614111341449</v>
      </c>
      <c r="F24" s="5">
        <f>MVTRESUME2019!F29</f>
        <v>0</v>
      </c>
      <c r="G24" s="5">
        <f>MVTRESUME2019!G29</f>
        <v>151000</v>
      </c>
      <c r="H24" s="5">
        <f>MVTRESUME2019!H29</f>
        <v>7000</v>
      </c>
      <c r="I24" s="5">
        <f>MVTRESUME2019!I29</f>
        <v>14000</v>
      </c>
      <c r="J24" s="5">
        <f>MVTRESUME2019!J29</f>
        <v>35000</v>
      </c>
      <c r="K24" s="5">
        <f>MVTRESUME2019!K29</f>
        <v>0</v>
      </c>
      <c r="L24" s="5">
        <f>MVTRESUME2019!L29</f>
        <v>0</v>
      </c>
      <c r="M24" s="5">
        <f>MVTRESUME2019!M29</f>
        <v>0</v>
      </c>
      <c r="N24" s="5">
        <f>MVTRESUME2019!N29</f>
        <v>500000</v>
      </c>
      <c r="O24" s="5">
        <f>MVTRESUME2019!O29</f>
        <v>50000</v>
      </c>
      <c r="P24" s="5">
        <f>MVTRESUME2019!P29</f>
        <v>0</v>
      </c>
      <c r="Q24" s="5">
        <f>MVTRESUME2019!Q29</f>
        <v>500000</v>
      </c>
      <c r="R24" s="5">
        <f>MVTRESUME2019!R29</f>
        <v>0</v>
      </c>
      <c r="S24" s="5">
        <f>MVTRESUME2019!S29</f>
        <v>0</v>
      </c>
      <c r="T24" s="5">
        <f>MVTRESUME2019!T29</f>
        <v>0</v>
      </c>
      <c r="U24" s="5">
        <f>MVTRESUME2019!U29</f>
        <v>299957.2943616471</v>
      </c>
      <c r="V24" s="5">
        <f>MVTRESUME2019!V29</f>
        <v>240000</v>
      </c>
      <c r="W24" s="5">
        <f>MVTRESUME2019!W29</f>
        <v>30000</v>
      </c>
      <c r="X24" s="5">
        <f>MVTRESUME2019!X29</f>
        <v>0</v>
      </c>
      <c r="Y24" s="5">
        <f>MVTRESUME2019!Y29</f>
        <v>269957.2943616471</v>
      </c>
      <c r="Z24" s="17"/>
      <c r="AC24" s="11">
        <f t="shared" si="0"/>
        <v>242731.68025030568</v>
      </c>
    </row>
    <row r="25" spans="1:33" x14ac:dyDescent="0.35">
      <c r="A25" s="1" t="s">
        <v>80</v>
      </c>
      <c r="B25" s="1" t="str">
        <f>VLOOKUP(A25,[25]LISTADHERENT!A$5:H$57,3,0)</f>
        <v>NGANHOU JEAN</v>
      </c>
      <c r="C25" s="5">
        <f>MVTRESUME2019!C30</f>
        <v>0</v>
      </c>
      <c r="D25" s="5">
        <f>MVTRESUME2019!D30</f>
        <v>2138.4782390296004</v>
      </c>
      <c r="E25" s="5">
        <f>MVTRESUME2019!E30</f>
        <v>0.16900408919900656</v>
      </c>
      <c r="F25" s="5">
        <f>MVTRESUME2019!F30</f>
        <v>0</v>
      </c>
      <c r="G25" s="5">
        <f>MVTRESUME2019!G30</f>
        <v>30000</v>
      </c>
      <c r="H25" s="5">
        <f>MVTRESUME2019!H30</f>
        <v>2500</v>
      </c>
      <c r="I25" s="5">
        <f>MVTRESUME2019!I30</f>
        <v>5000</v>
      </c>
      <c r="J25" s="5">
        <f>MVTRESUME2019!J30</f>
        <v>12500</v>
      </c>
      <c r="K25" s="5">
        <f>MVTRESUME2019!K30</f>
        <v>2000</v>
      </c>
      <c r="L25" s="5">
        <f>MVTRESUME2019!L30</f>
        <v>0</v>
      </c>
      <c r="M25" s="5">
        <f>MVTRESUME2019!M30</f>
        <v>0</v>
      </c>
      <c r="N25" s="5">
        <f>MVTRESUME2019!N30</f>
        <v>0</v>
      </c>
      <c r="O25" s="5">
        <f>MVTRESUME2019!O30</f>
        <v>0</v>
      </c>
      <c r="P25" s="5">
        <f>MVTRESUME2019!P30</f>
        <v>0</v>
      </c>
      <c r="Q25" s="5">
        <f>MVTRESUME2019!Q30</f>
        <v>0</v>
      </c>
      <c r="R25" s="5">
        <f>MVTRESUME2019!R30</f>
        <v>0</v>
      </c>
      <c r="S25" s="5">
        <f>MVTRESUME2019!S30</f>
        <v>0</v>
      </c>
      <c r="T25" s="5">
        <f>MVTRESUME2019!T30</f>
        <v>0</v>
      </c>
      <c r="U25" s="5">
        <f>MVTRESUME2019!U30</f>
        <v>32138.647243118801</v>
      </c>
      <c r="V25" s="5">
        <f>MVTRESUME2019!V30</f>
        <v>2139</v>
      </c>
      <c r="W25" s="5">
        <f>MVTRESUME2019!W30</f>
        <v>30000</v>
      </c>
      <c r="X25" s="5">
        <f>MVTRESUME2019!X30</f>
        <v>0</v>
      </c>
      <c r="Y25" s="5">
        <f>MVTRESUME2019!Y30</f>
        <v>2138.6472431188013</v>
      </c>
      <c r="Z25" s="17"/>
      <c r="AC25" s="11">
        <f t="shared" si="0"/>
        <v>32138.478239029602</v>
      </c>
    </row>
    <row r="26" spans="1:33" s="14" customFormat="1" x14ac:dyDescent="0.35">
      <c r="A26" s="12" t="s">
        <v>39</v>
      </c>
      <c r="B26" s="1" t="str">
        <f>VLOOKUP(A26,[25]LISTADHERENT!A$5:H$57,3,0)</f>
        <v>NGONDIEP CLAUDE</v>
      </c>
      <c r="C26" s="5">
        <f>MVTRESUME2019!C31</f>
        <v>480000</v>
      </c>
      <c r="D26" s="5">
        <f>MVTRESUME2019!D31</f>
        <v>0</v>
      </c>
      <c r="E26" s="5">
        <f>MVTRESUME2019!E31</f>
        <v>0.28740352351451293</v>
      </c>
      <c r="F26" s="5">
        <f>MVTRESUME2019!F31</f>
        <v>0</v>
      </c>
      <c r="G26" s="5">
        <f>MVTRESUME2019!G31</f>
        <v>100000</v>
      </c>
      <c r="H26" s="5">
        <f>MVTRESUME2019!H31</f>
        <v>7000</v>
      </c>
      <c r="I26" s="5">
        <f>MVTRESUME2019!I31</f>
        <v>14000</v>
      </c>
      <c r="J26" s="5">
        <f>MVTRESUME2019!J31</f>
        <v>35000</v>
      </c>
      <c r="K26" s="5">
        <f>MVTRESUME2019!K31</f>
        <v>6000</v>
      </c>
      <c r="L26" s="5">
        <f>MVTRESUME2019!L31</f>
        <v>0</v>
      </c>
      <c r="M26" s="5">
        <f>MVTRESUME2019!M31</f>
        <v>0</v>
      </c>
      <c r="N26" s="5">
        <f>MVTRESUME2019!N31</f>
        <v>1176000</v>
      </c>
      <c r="O26" s="5">
        <f>MVTRESUME2019!O31</f>
        <v>0</v>
      </c>
      <c r="P26" s="5">
        <f>MVTRESUME2019!P31</f>
        <v>0</v>
      </c>
      <c r="Q26" s="5">
        <f>MVTRESUME2019!Q31</f>
        <v>1305360</v>
      </c>
      <c r="R26" s="5">
        <f>MVTRESUME2019!R31</f>
        <v>129360</v>
      </c>
      <c r="S26" s="5">
        <f>MVTRESUME2019!S31</f>
        <v>0</v>
      </c>
      <c r="T26" s="5">
        <f>MVTRESUME2019!T31</f>
        <v>0</v>
      </c>
      <c r="U26" s="5">
        <f>MVTRESUME2019!U31</f>
        <v>100000.28740352351</v>
      </c>
      <c r="V26" s="5">
        <f>MVTRESUME2019!V31</f>
        <v>60000</v>
      </c>
      <c r="W26" s="5">
        <f>MVTRESUME2019!W31</f>
        <v>30000</v>
      </c>
      <c r="X26" s="5">
        <f>MVTRESUME2019!X31</f>
        <v>0</v>
      </c>
      <c r="Y26" s="5">
        <f>MVTRESUME2019!Y31</f>
        <v>70000.287403523515</v>
      </c>
      <c r="Z26" s="35"/>
      <c r="AA26" s="14" t="s">
        <v>129</v>
      </c>
      <c r="AC26" s="11">
        <f t="shared" si="0"/>
        <v>100000</v>
      </c>
    </row>
    <row r="27" spans="1:33" s="14" customFormat="1" x14ac:dyDescent="0.35">
      <c r="A27" s="12" t="s">
        <v>40</v>
      </c>
      <c r="B27" s="1" t="str">
        <f>VLOOKUP(A27,[25]LISTADHERENT!A$5:H$57,3,0)</f>
        <v>NGONGANG JEAN THEODORE</v>
      </c>
      <c r="C27" s="5">
        <f>MVTRESUME2019!C32</f>
        <v>117045</v>
      </c>
      <c r="D27" s="5">
        <f>MVTRESUME2019!D32</f>
        <v>0</v>
      </c>
      <c r="E27" s="5">
        <f>MVTRESUME2019!E32</f>
        <v>22.240996590782743</v>
      </c>
      <c r="F27" s="5">
        <f>MVTRESUME2019!F32</f>
        <v>0</v>
      </c>
      <c r="G27" s="5">
        <f>MVTRESUME2019!G32</f>
        <v>84000</v>
      </c>
      <c r="H27" s="5">
        <f>MVTRESUME2019!H32</f>
        <v>7000</v>
      </c>
      <c r="I27" s="5">
        <f>MVTRESUME2019!I32</f>
        <v>14000</v>
      </c>
      <c r="J27" s="5">
        <f>MVTRESUME2019!J32</f>
        <v>35000</v>
      </c>
      <c r="K27" s="5">
        <f>MVTRESUME2019!K32</f>
        <v>3000</v>
      </c>
      <c r="L27" s="5">
        <f>MVTRESUME2019!L32</f>
        <v>0</v>
      </c>
      <c r="M27" s="5">
        <f>MVTRESUME2019!M32</f>
        <v>0</v>
      </c>
      <c r="N27" s="5">
        <f>MVTRESUME2019!N32</f>
        <v>0</v>
      </c>
      <c r="O27" s="5">
        <f>MVTRESUME2019!O32</f>
        <v>0</v>
      </c>
      <c r="P27" s="5">
        <f>MVTRESUME2019!P32</f>
        <v>0</v>
      </c>
      <c r="Q27" s="5">
        <f>MVTRESUME2019!Q32</f>
        <v>0</v>
      </c>
      <c r="R27" s="5">
        <f>MVTRESUME2019!R32</f>
        <v>0</v>
      </c>
      <c r="S27" s="5">
        <f>MVTRESUME2019!S32</f>
        <v>0</v>
      </c>
      <c r="T27" s="5">
        <f>MVTRESUME2019!T32</f>
        <v>0</v>
      </c>
      <c r="U27" s="5">
        <f>MVTRESUME2019!U32</f>
        <v>84022.240996590786</v>
      </c>
      <c r="V27" s="5">
        <f>MVTRESUME2019!V32</f>
        <v>54022</v>
      </c>
      <c r="W27" s="5">
        <f>MVTRESUME2019!W32</f>
        <v>30000</v>
      </c>
      <c r="X27" s="5">
        <f>MVTRESUME2019!X32</f>
        <v>0</v>
      </c>
      <c r="Y27" s="5">
        <f>MVTRESUME2019!Y32</f>
        <v>54022.240996590786</v>
      </c>
      <c r="Z27" s="35"/>
      <c r="AC27" s="11">
        <f t="shared" si="0"/>
        <v>84000</v>
      </c>
      <c r="AD27" s="11">
        <v>80000</v>
      </c>
      <c r="AG27" s="7">
        <f>C27-T27+U27+AD27+AE27</f>
        <v>281067.24099659082</v>
      </c>
    </row>
    <row r="28" spans="1:33" x14ac:dyDescent="0.35">
      <c r="A28" s="1" t="s">
        <v>41</v>
      </c>
      <c r="B28" s="1" t="str">
        <f>VLOOKUP(A28,[25]LISTADHERENT!A$5:H$57,3,0)</f>
        <v>NGUIEMEGNI MATHIEU BLAISE</v>
      </c>
      <c r="C28" s="5">
        <f>MVTRESUME2019!C33</f>
        <v>480000</v>
      </c>
      <c r="D28" s="5">
        <f>MVTRESUME2019!D33</f>
        <v>91170.310621746714</v>
      </c>
      <c r="E28" s="5">
        <f>MVTRESUME2019!E33</f>
        <v>72138.254558185639</v>
      </c>
      <c r="F28" s="5">
        <f>MVTRESUME2019!F33</f>
        <v>0</v>
      </c>
      <c r="G28" s="5">
        <f>MVTRESUME2019!G33</f>
        <v>82000</v>
      </c>
      <c r="H28" s="5">
        <f>MVTRESUME2019!H33</f>
        <v>7000</v>
      </c>
      <c r="I28" s="5">
        <f>MVTRESUME2019!I33</f>
        <v>14000</v>
      </c>
      <c r="J28" s="5">
        <f>MVTRESUME2019!J33</f>
        <v>35000</v>
      </c>
      <c r="K28" s="5">
        <f>MVTRESUME2019!K33</f>
        <v>4000</v>
      </c>
      <c r="L28" s="5">
        <f>MVTRESUME2019!L33</f>
        <v>0</v>
      </c>
      <c r="M28" s="5">
        <f>MVTRESUME2019!M33</f>
        <v>0</v>
      </c>
      <c r="N28" s="5">
        <f>MVTRESUME2019!N33</f>
        <v>1150000</v>
      </c>
      <c r="O28" s="5">
        <f>MVTRESUME2019!O33</f>
        <v>114500</v>
      </c>
      <c r="P28" s="5">
        <f>MVTRESUME2019!P33</f>
        <v>4500</v>
      </c>
      <c r="Q28" s="5">
        <f>MVTRESUME2019!Q33</f>
        <v>1000000</v>
      </c>
      <c r="R28" s="5">
        <f>MVTRESUME2019!R33</f>
        <v>0</v>
      </c>
      <c r="S28" s="5">
        <f>MVTRESUME2019!S33</f>
        <v>0</v>
      </c>
      <c r="T28" s="5">
        <f>MVTRESUME2019!T33</f>
        <v>150000</v>
      </c>
      <c r="U28" s="5">
        <f>MVTRESUME2019!U33</f>
        <v>245308.56517993234</v>
      </c>
      <c r="V28" s="5">
        <f>MVTRESUME2019!V33</f>
        <v>200000</v>
      </c>
      <c r="W28" s="5">
        <f>MVTRESUME2019!W33</f>
        <v>30000</v>
      </c>
      <c r="X28" s="5">
        <f>MVTRESUME2019!X33</f>
        <v>0</v>
      </c>
      <c r="Y28" s="5">
        <f>MVTRESUME2019!Y33</f>
        <v>215308.56517993234</v>
      </c>
      <c r="Z28" s="17" t="s">
        <v>97</v>
      </c>
      <c r="AC28" s="11">
        <f t="shared" si="0"/>
        <v>173170.3106217467</v>
      </c>
    </row>
    <row r="29" spans="1:33" s="14" customFormat="1" x14ac:dyDescent="0.35">
      <c r="A29" s="12" t="s">
        <v>42</v>
      </c>
      <c r="B29" s="1" t="str">
        <f>VLOOKUP(A29,[25]LISTADHERENT!A$5:H$57,3,0)</f>
        <v>NJEPDJIO MBOUKAM DELUXE</v>
      </c>
      <c r="C29" s="5">
        <f>MVTRESUME2019!C34</f>
        <v>480000</v>
      </c>
      <c r="D29" s="5">
        <f>MVTRESUME2019!D34</f>
        <v>78422.245259251824</v>
      </c>
      <c r="E29" s="5">
        <f>MVTRESUME2019!E34</f>
        <v>689.31860616087215</v>
      </c>
      <c r="F29" s="5">
        <f>MVTRESUME2019!F34</f>
        <v>0</v>
      </c>
      <c r="G29" s="5">
        <f>MVTRESUME2019!G34</f>
        <v>30000</v>
      </c>
      <c r="H29" s="5">
        <f>MVTRESUME2019!H34</f>
        <v>2500</v>
      </c>
      <c r="I29" s="5">
        <f>MVTRESUME2019!I34</f>
        <v>5000</v>
      </c>
      <c r="J29" s="5">
        <f>MVTRESUME2019!J34</f>
        <v>12500</v>
      </c>
      <c r="K29" s="5">
        <f>MVTRESUME2019!K34</f>
        <v>5000</v>
      </c>
      <c r="L29" s="5">
        <f>MVTRESUME2019!L34</f>
        <v>0</v>
      </c>
      <c r="M29" s="5">
        <f>MVTRESUME2019!M34</f>
        <v>0</v>
      </c>
      <c r="N29" s="5">
        <f>MVTRESUME2019!N34</f>
        <v>700000</v>
      </c>
      <c r="O29" s="5">
        <f>MVTRESUME2019!O34</f>
        <v>84000</v>
      </c>
      <c r="P29" s="5">
        <f>MVTRESUME2019!P34</f>
        <v>0</v>
      </c>
      <c r="Q29" s="5">
        <f>MVTRESUME2019!Q34</f>
        <v>0</v>
      </c>
      <c r="R29" s="5">
        <f>MVTRESUME2019!R34</f>
        <v>108500</v>
      </c>
      <c r="S29" s="5">
        <f>MVTRESUME2019!S34</f>
        <v>0</v>
      </c>
      <c r="T29" s="5">
        <f>MVTRESUME2019!T34</f>
        <v>808500</v>
      </c>
      <c r="U29" s="5">
        <f>MVTRESUME2019!U34</f>
        <v>109111.5638654127</v>
      </c>
      <c r="V29" s="5">
        <f>MVTRESUME2019!V34</f>
        <v>79112</v>
      </c>
      <c r="W29" s="5">
        <f>MVTRESUME2019!W34</f>
        <v>30000</v>
      </c>
      <c r="X29" s="5">
        <f>MVTRESUME2019!X34</f>
        <v>0</v>
      </c>
      <c r="Y29" s="5">
        <f>MVTRESUME2019!Y34</f>
        <v>79111.563865412696</v>
      </c>
      <c r="Z29" s="35" t="s">
        <v>94</v>
      </c>
      <c r="AA29" s="14" t="s">
        <v>129</v>
      </c>
      <c r="AB29" s="11">
        <f>35000+73500</f>
        <v>108500</v>
      </c>
      <c r="AC29" s="11">
        <f t="shared" si="0"/>
        <v>108422.24525925182</v>
      </c>
      <c r="AD29" s="11" t="e">
        <f>#REF!</f>
        <v>#REF!</v>
      </c>
      <c r="AE29" s="11">
        <v>-488000</v>
      </c>
      <c r="AF29" s="11"/>
      <c r="AG29" s="7" t="e">
        <f>C29-T29+U29+AD29+AE29</f>
        <v>#REF!</v>
      </c>
    </row>
    <row r="30" spans="1:33" s="8" customFormat="1" x14ac:dyDescent="0.35">
      <c r="A30" s="1" t="s">
        <v>43</v>
      </c>
      <c r="B30" s="1" t="str">
        <f>VLOOKUP(A30,[25]LISTADHERENT!A$5:H$57,3,0)</f>
        <v>NKAMGANG JUSTIN DEJOLIE</v>
      </c>
      <c r="C30" s="5">
        <f>MVTRESUME2019!C35</f>
        <v>480000</v>
      </c>
      <c r="D30" s="5">
        <f>MVTRESUME2019!D35</f>
        <v>80425.990897485564</v>
      </c>
      <c r="E30" s="5">
        <f>MVTRESUME2019!E35</f>
        <v>36.350487807299942</v>
      </c>
      <c r="F30" s="5">
        <f>MVTRESUME2019!F35</f>
        <v>0</v>
      </c>
      <c r="G30" s="5">
        <f>MVTRESUME2019!G35</f>
        <v>144000</v>
      </c>
      <c r="H30" s="5">
        <f>MVTRESUME2019!H35</f>
        <v>7000</v>
      </c>
      <c r="I30" s="5">
        <f>MVTRESUME2019!I35</f>
        <v>14000</v>
      </c>
      <c r="J30" s="5">
        <f>MVTRESUME2019!J35</f>
        <v>35000</v>
      </c>
      <c r="K30" s="5">
        <f>MVTRESUME2019!K35</f>
        <v>23000</v>
      </c>
      <c r="L30" s="5">
        <f>MVTRESUME2019!L35</f>
        <v>0</v>
      </c>
      <c r="M30" s="5">
        <f>MVTRESUME2019!M35</f>
        <v>0</v>
      </c>
      <c r="N30" s="5">
        <f>MVTRESUME2019!N35</f>
        <v>3000000</v>
      </c>
      <c r="O30" s="5">
        <f>MVTRESUME2019!O35</f>
        <v>170000</v>
      </c>
      <c r="P30" s="5">
        <f>MVTRESUME2019!P35</f>
        <v>50000</v>
      </c>
      <c r="Q30" s="5">
        <f>MVTRESUME2019!Q35</f>
        <v>2000000</v>
      </c>
      <c r="R30" s="5">
        <f>MVTRESUME2019!R35</f>
        <v>0</v>
      </c>
      <c r="S30" s="5">
        <f>MVTRESUME2019!S35</f>
        <v>0</v>
      </c>
      <c r="T30" s="5">
        <f>MVTRESUME2019!T35</f>
        <v>1000000</v>
      </c>
      <c r="U30" s="5">
        <f>MVTRESUME2019!U35</f>
        <v>224462.34138529288</v>
      </c>
      <c r="V30" s="5">
        <f>MVTRESUME2019!V35</f>
        <v>120000</v>
      </c>
      <c r="W30" s="5">
        <f>MVTRESUME2019!W35</f>
        <v>30000</v>
      </c>
      <c r="X30" s="5">
        <f>MVTRESUME2019!X35</f>
        <v>0</v>
      </c>
      <c r="Y30" s="5">
        <f>MVTRESUME2019!Y35</f>
        <v>194462.34138529288</v>
      </c>
      <c r="Z30" s="17" t="s">
        <v>76</v>
      </c>
      <c r="AC30" s="11">
        <f t="shared" si="0"/>
        <v>224425.99089748558</v>
      </c>
    </row>
    <row r="31" spans="1:33" x14ac:dyDescent="0.35">
      <c r="A31" s="1" t="s">
        <v>30</v>
      </c>
      <c r="B31" s="1" t="str">
        <f>VLOOKUP(A31,[25]LISTADHERENT!A$5:H$57,3,0)</f>
        <v>NKEHE DAVID</v>
      </c>
      <c r="C31" s="5">
        <f>MVTRESUME2019!C36</f>
        <v>480000</v>
      </c>
      <c r="D31" s="5">
        <f>MVTRESUME2019!D36</f>
        <v>79900.26982663176</v>
      </c>
      <c r="E31" s="5">
        <f>MVTRESUME2019!E36</f>
        <v>0.30040658926009201</v>
      </c>
      <c r="F31" s="5">
        <f>MVTRESUME2019!F36</f>
        <v>0</v>
      </c>
      <c r="G31" s="5">
        <f>MVTRESUME2019!G36</f>
        <v>86500</v>
      </c>
      <c r="H31" s="5">
        <f>MVTRESUME2019!H36</f>
        <v>7000</v>
      </c>
      <c r="I31" s="5">
        <f>MVTRESUME2019!I36</f>
        <v>14000</v>
      </c>
      <c r="J31" s="5">
        <f>MVTRESUME2019!J36</f>
        <v>35000</v>
      </c>
      <c r="K31" s="5">
        <f>MVTRESUME2019!K36</f>
        <v>11000</v>
      </c>
      <c r="L31" s="5">
        <f>MVTRESUME2019!L36</f>
        <v>0</v>
      </c>
      <c r="M31" s="5">
        <f>MVTRESUME2019!M36</f>
        <v>0</v>
      </c>
      <c r="N31" s="5">
        <f>MVTRESUME2019!N36</f>
        <v>2000000</v>
      </c>
      <c r="O31" s="5">
        <f>MVTRESUME2019!O36</f>
        <v>240000</v>
      </c>
      <c r="P31" s="5">
        <f>MVTRESUME2019!P36</f>
        <v>120000</v>
      </c>
      <c r="Q31" s="5">
        <f>MVTRESUME2019!Q36</f>
        <v>1000000</v>
      </c>
      <c r="R31" s="5">
        <f>MVTRESUME2019!R36</f>
        <v>0</v>
      </c>
      <c r="S31" s="5">
        <f>MVTRESUME2019!S36</f>
        <v>0</v>
      </c>
      <c r="T31" s="5">
        <f>MVTRESUME2019!T36</f>
        <v>1000000</v>
      </c>
      <c r="U31" s="5">
        <f>MVTRESUME2019!U36</f>
        <v>166400.57023322102</v>
      </c>
      <c r="V31" s="5">
        <f>MVTRESUME2019!V36</f>
        <v>133000</v>
      </c>
      <c r="W31" s="5">
        <f>MVTRESUME2019!W36</f>
        <v>30000</v>
      </c>
      <c r="X31" s="5">
        <f>MVTRESUME2019!X36</f>
        <v>0</v>
      </c>
      <c r="Y31" s="5">
        <f>MVTRESUME2019!Y36</f>
        <v>136400.57023322102</v>
      </c>
      <c r="Z31" s="17" t="s">
        <v>87</v>
      </c>
      <c r="AC31" s="11">
        <f t="shared" si="0"/>
        <v>166400.26982663176</v>
      </c>
    </row>
    <row r="32" spans="1:33" x14ac:dyDescent="0.35">
      <c r="A32" s="1" t="s">
        <v>44</v>
      </c>
      <c r="B32" s="1" t="str">
        <f>VLOOKUP(A32,[25]LISTADHERENT!A$5:H$57,3,0)</f>
        <v>NKEPSEU DIEUDONNE</v>
      </c>
      <c r="C32" s="5">
        <f>MVTRESUME2019!C37</f>
        <v>480000</v>
      </c>
      <c r="D32" s="5">
        <f>MVTRESUME2019!D37</f>
        <v>80218.625624560562</v>
      </c>
      <c r="E32" s="5">
        <f>MVTRESUME2019!E37</f>
        <v>109.79976263979916</v>
      </c>
      <c r="F32" s="5">
        <f>MVTRESUME2019!F37</f>
        <v>0</v>
      </c>
      <c r="G32" s="5">
        <f>MVTRESUME2019!G37</f>
        <v>94000</v>
      </c>
      <c r="H32" s="5">
        <f>MVTRESUME2019!H37</f>
        <v>7000</v>
      </c>
      <c r="I32" s="5">
        <f>MVTRESUME2019!I37</f>
        <v>14000</v>
      </c>
      <c r="J32" s="5">
        <f>MVTRESUME2019!J37</f>
        <v>35000</v>
      </c>
      <c r="K32" s="5">
        <f>MVTRESUME2019!K37</f>
        <v>7000</v>
      </c>
      <c r="L32" s="5">
        <f>MVTRESUME2019!L37</f>
        <v>0</v>
      </c>
      <c r="M32" s="5">
        <f>MVTRESUME2019!M37</f>
        <v>0</v>
      </c>
      <c r="N32" s="5">
        <f>MVTRESUME2019!N37</f>
        <v>2000000</v>
      </c>
      <c r="O32" s="5">
        <f>MVTRESUME2019!O37</f>
        <v>230000</v>
      </c>
      <c r="P32" s="5">
        <f>MVTRESUME2019!P37</f>
        <v>120000</v>
      </c>
      <c r="Q32" s="5">
        <f>MVTRESUME2019!Q37</f>
        <v>1000000</v>
      </c>
      <c r="R32" s="5">
        <f>MVTRESUME2019!R37</f>
        <v>0</v>
      </c>
      <c r="S32" s="5">
        <f>MVTRESUME2019!S37</f>
        <v>0</v>
      </c>
      <c r="T32" s="5">
        <f>MVTRESUME2019!T37</f>
        <v>1000000</v>
      </c>
      <c r="U32" s="5">
        <f>MVTRESUME2019!U37</f>
        <v>174328.42538720038</v>
      </c>
      <c r="V32" s="5">
        <f>MVTRESUME2019!V37</f>
        <v>140000</v>
      </c>
      <c r="W32" s="5">
        <f>MVTRESUME2019!W37</f>
        <v>30000</v>
      </c>
      <c r="X32" s="5">
        <f>MVTRESUME2019!X37</f>
        <v>0</v>
      </c>
      <c r="Y32" s="5">
        <f>MVTRESUME2019!Y37</f>
        <v>144328.42538720038</v>
      </c>
      <c r="Z32" s="17" t="s">
        <v>98</v>
      </c>
      <c r="AC32" s="11">
        <f t="shared" si="0"/>
        <v>174218.62562456058</v>
      </c>
    </row>
    <row r="33" spans="1:33" x14ac:dyDescent="0.35">
      <c r="A33" s="1" t="s">
        <v>45</v>
      </c>
      <c r="B33" s="1" t="str">
        <f>VLOOKUP(A33,[25]LISTADHERENT!A$5:H$57,3,0)</f>
        <v>PATEGO NJOSSU GUSTAVE</v>
      </c>
      <c r="C33" s="5">
        <f>MVTRESUME2019!C38</f>
        <v>480000</v>
      </c>
      <c r="D33" s="5">
        <f>MVTRESUME2019!D38</f>
        <v>82325.064676950074</v>
      </c>
      <c r="E33" s="5">
        <f>MVTRESUME2019!E38</f>
        <v>15968.295339537319</v>
      </c>
      <c r="F33" s="5">
        <f>MVTRESUME2019!F38</f>
        <v>0</v>
      </c>
      <c r="G33" s="5">
        <f>MVTRESUME2019!G38</f>
        <v>84000</v>
      </c>
      <c r="H33" s="5">
        <f>MVTRESUME2019!H38</f>
        <v>7000</v>
      </c>
      <c r="I33" s="5">
        <f>MVTRESUME2019!I38</f>
        <v>14000</v>
      </c>
      <c r="J33" s="5">
        <f>MVTRESUME2019!J38</f>
        <v>35000</v>
      </c>
      <c r="K33" s="5">
        <f>MVTRESUME2019!K38</f>
        <v>0</v>
      </c>
      <c r="L33" s="5">
        <f>MVTRESUME2019!L38</f>
        <v>0</v>
      </c>
      <c r="M33" s="5">
        <f>MVTRESUME2019!M38</f>
        <v>0</v>
      </c>
      <c r="N33" s="5">
        <f>MVTRESUME2019!N38</f>
        <v>0</v>
      </c>
      <c r="O33" s="5">
        <f>MVTRESUME2019!O38</f>
        <v>0</v>
      </c>
      <c r="P33" s="5">
        <f>MVTRESUME2019!P38</f>
        <v>0</v>
      </c>
      <c r="Q33" s="5">
        <f>MVTRESUME2019!Q38</f>
        <v>0</v>
      </c>
      <c r="R33" s="5">
        <f>MVTRESUME2019!R38</f>
        <v>0</v>
      </c>
      <c r="S33" s="5">
        <f>MVTRESUME2019!S38</f>
        <v>0</v>
      </c>
      <c r="T33" s="5">
        <f>MVTRESUME2019!T38</f>
        <v>0</v>
      </c>
      <c r="U33" s="5">
        <f>MVTRESUME2019!U38</f>
        <v>182293.36001648739</v>
      </c>
      <c r="V33" s="5">
        <f>MVTRESUME2019!V38</f>
        <v>3500</v>
      </c>
      <c r="W33" s="5">
        <f>MVTRESUME2019!W38</f>
        <v>30000</v>
      </c>
      <c r="X33" s="5">
        <f>MVTRESUME2019!X38</f>
        <v>0</v>
      </c>
      <c r="Y33" s="5">
        <f>MVTRESUME2019!Y38</f>
        <v>152293.36001648739</v>
      </c>
      <c r="Z33" s="17"/>
      <c r="AC33" s="11">
        <f t="shared" si="0"/>
        <v>166325.06467695007</v>
      </c>
    </row>
    <row r="34" spans="1:33" x14ac:dyDescent="0.35">
      <c r="A34" s="1" t="s">
        <v>46</v>
      </c>
      <c r="B34" s="1" t="str">
        <f>VLOOKUP(A34,[25]LISTADHERENT!A$5:H$57,3,0)</f>
        <v>SEUNOU RICHELOT</v>
      </c>
      <c r="C34" s="5">
        <f>MVTRESUME2019!C39</f>
        <v>480000</v>
      </c>
      <c r="D34" s="5">
        <f>MVTRESUME2019!D39</f>
        <v>79309.541006732557</v>
      </c>
      <c r="E34" s="5">
        <f>MVTRESUME2019!E39</f>
        <v>0.17330693561234511</v>
      </c>
      <c r="F34" s="5">
        <f>MVTRESUME2019!F39</f>
        <v>0</v>
      </c>
      <c r="G34" s="5">
        <f>MVTRESUME2019!G39</f>
        <v>54000</v>
      </c>
      <c r="H34" s="5">
        <f>MVTRESUME2019!H39</f>
        <v>4500</v>
      </c>
      <c r="I34" s="5">
        <f>MVTRESUME2019!I39</f>
        <v>9000</v>
      </c>
      <c r="J34" s="5">
        <f>MVTRESUME2019!J39</f>
        <v>22500</v>
      </c>
      <c r="K34" s="5">
        <f>MVTRESUME2019!K39</f>
        <v>15000</v>
      </c>
      <c r="L34" s="5">
        <f>MVTRESUME2019!L39</f>
        <v>0</v>
      </c>
      <c r="M34" s="5">
        <f>MVTRESUME2019!M39</f>
        <v>0</v>
      </c>
      <c r="N34" s="5">
        <f>MVTRESUME2019!N39</f>
        <v>1000000</v>
      </c>
      <c r="O34" s="5">
        <f>MVTRESUME2019!O39</f>
        <v>40000</v>
      </c>
      <c r="P34" s="5">
        <f>MVTRESUME2019!P39</f>
        <v>0</v>
      </c>
      <c r="Q34" s="5">
        <f>MVTRESUME2019!Q39</f>
        <v>1155000</v>
      </c>
      <c r="R34" s="5">
        <f>MVTRESUME2019!R39</f>
        <v>155000</v>
      </c>
      <c r="S34" s="5">
        <f>MVTRESUME2019!S39</f>
        <v>0</v>
      </c>
      <c r="T34" s="5">
        <f>MVTRESUME2019!T39</f>
        <v>0</v>
      </c>
      <c r="U34" s="5">
        <f>MVTRESUME2019!U39</f>
        <v>133309.71431366817</v>
      </c>
      <c r="V34" s="5">
        <f>MVTRESUME2019!V39</f>
        <v>103310</v>
      </c>
      <c r="W34" s="5">
        <f>MVTRESUME2019!W39</f>
        <v>30000</v>
      </c>
      <c r="X34" s="5">
        <f>MVTRESUME2019!X39</f>
        <v>0</v>
      </c>
      <c r="Y34" s="5">
        <f>MVTRESUME2019!Y39</f>
        <v>103309.71431366817</v>
      </c>
      <c r="Z34" s="17"/>
      <c r="AC34" s="11">
        <f t="shared" si="0"/>
        <v>133309.54100673256</v>
      </c>
    </row>
    <row r="35" spans="1:33" x14ac:dyDescent="0.35">
      <c r="A35" s="1" t="s">
        <v>81</v>
      </c>
      <c r="B35" s="1" t="str">
        <f>VLOOKUP(A35,[25]LISTADHERENT!A$5:H$57,3,0)</f>
        <v>SIME BRICE</v>
      </c>
      <c r="C35" s="5">
        <f>MVTRESUME2019!C40</f>
        <v>0</v>
      </c>
      <c r="D35" s="5">
        <f>MVTRESUME2019!D40</f>
        <v>3376.913330814542</v>
      </c>
      <c r="E35" s="5">
        <f>MVTRESUME2019!E40</f>
        <v>0</v>
      </c>
      <c r="F35" s="5">
        <f>MVTRESUME2019!F40</f>
        <v>0</v>
      </c>
      <c r="G35" s="5">
        <f>MVTRESUME2019!G40</f>
        <v>104000</v>
      </c>
      <c r="H35" s="5">
        <f>MVTRESUME2019!H40</f>
        <v>7000</v>
      </c>
      <c r="I35" s="5">
        <f>MVTRESUME2019!I40</f>
        <v>14000</v>
      </c>
      <c r="J35" s="5">
        <f>MVTRESUME2019!J40</f>
        <v>35000</v>
      </c>
      <c r="K35" s="5">
        <f>MVTRESUME2019!K40</f>
        <v>3000</v>
      </c>
      <c r="L35" s="5">
        <f>MVTRESUME2019!L40</f>
        <v>0</v>
      </c>
      <c r="M35" s="5">
        <f>MVTRESUME2019!M40</f>
        <v>0</v>
      </c>
      <c r="N35" s="5">
        <f>MVTRESUME2019!N40</f>
        <v>0</v>
      </c>
      <c r="O35" s="5">
        <f>MVTRESUME2019!O40</f>
        <v>0</v>
      </c>
      <c r="P35" s="5">
        <f>MVTRESUME2019!P40</f>
        <v>0</v>
      </c>
      <c r="Q35" s="5">
        <f>MVTRESUME2019!Q40</f>
        <v>0</v>
      </c>
      <c r="R35" s="5">
        <f>MVTRESUME2019!R40</f>
        <v>0</v>
      </c>
      <c r="S35" s="5">
        <f>MVTRESUME2019!S40</f>
        <v>0</v>
      </c>
      <c r="T35" s="5">
        <f>MVTRESUME2019!T40</f>
        <v>0</v>
      </c>
      <c r="U35" s="5">
        <f>MVTRESUME2019!U40</f>
        <v>107376.91333081454</v>
      </c>
      <c r="V35" s="5">
        <f>MVTRESUME2019!V40</f>
        <v>0</v>
      </c>
      <c r="W35" s="5">
        <f>MVTRESUME2019!W40</f>
        <v>107377</v>
      </c>
      <c r="X35" s="5">
        <f>MVTRESUME2019!X40</f>
        <v>0</v>
      </c>
      <c r="Y35" s="5">
        <f>MVTRESUME2019!Y40</f>
        <v>-8.6669185460777953E-2</v>
      </c>
      <c r="Z35" s="17"/>
      <c r="AC35" s="11">
        <f t="shared" si="0"/>
        <v>107376.91333081454</v>
      </c>
    </row>
    <row r="36" spans="1:33" s="14" customFormat="1" x14ac:dyDescent="0.35">
      <c r="A36" s="12" t="s">
        <v>47</v>
      </c>
      <c r="B36" s="1" t="str">
        <f>VLOOKUP(A36,[25]LISTADHERENT!A$5:H$57,3,0)</f>
        <v>SIMO FONGANG ERIC</v>
      </c>
      <c r="C36" s="5">
        <f>MVTRESUME2019!C41</f>
        <v>480000</v>
      </c>
      <c r="D36" s="5">
        <f>MVTRESUME2019!D41</f>
        <v>80174.992283614876</v>
      </c>
      <c r="E36" s="5">
        <f>MVTRESUME2019!E41</f>
        <v>2777.4644755606423</v>
      </c>
      <c r="F36" s="5">
        <f>MVTRESUME2019!F41</f>
        <v>0</v>
      </c>
      <c r="G36" s="5">
        <f>MVTRESUME2019!G41</f>
        <v>82000</v>
      </c>
      <c r="H36" s="5">
        <f>MVTRESUME2019!H41</f>
        <v>7000</v>
      </c>
      <c r="I36" s="5">
        <f>MVTRESUME2019!I41</f>
        <v>14000</v>
      </c>
      <c r="J36" s="5">
        <f>MVTRESUME2019!J41</f>
        <v>35000</v>
      </c>
      <c r="K36" s="5">
        <f>MVTRESUME2019!K41</f>
        <v>13000</v>
      </c>
      <c r="L36" s="5">
        <f>MVTRESUME2019!L41</f>
        <v>0</v>
      </c>
      <c r="M36" s="5">
        <f>MVTRESUME2019!M41</f>
        <v>0</v>
      </c>
      <c r="N36" s="5">
        <f>MVTRESUME2019!N41</f>
        <v>1000000</v>
      </c>
      <c r="O36" s="5">
        <f>MVTRESUME2019!O41</f>
        <v>90000</v>
      </c>
      <c r="P36" s="5">
        <f>MVTRESUME2019!P41</f>
        <v>0</v>
      </c>
      <c r="Q36" s="5">
        <f>MVTRESUME2019!Q41</f>
        <v>400000</v>
      </c>
      <c r="R36" s="5">
        <f>MVTRESUME2019!R41</f>
        <v>155000</v>
      </c>
      <c r="S36" s="5">
        <f>MVTRESUME2019!S41</f>
        <v>0</v>
      </c>
      <c r="T36" s="5">
        <f>MVTRESUME2019!T41</f>
        <v>755000</v>
      </c>
      <c r="U36" s="5">
        <f>MVTRESUME2019!U41</f>
        <v>164952.45675917552</v>
      </c>
      <c r="V36" s="5">
        <f>MVTRESUME2019!V41</f>
        <v>130000</v>
      </c>
      <c r="W36" s="5">
        <f>MVTRESUME2019!W41</f>
        <v>30000</v>
      </c>
      <c r="X36" s="5">
        <f>MVTRESUME2019!X41</f>
        <v>0</v>
      </c>
      <c r="Y36" s="5">
        <f>MVTRESUME2019!Y41</f>
        <v>134952.45675917552</v>
      </c>
      <c r="Z36" s="35" t="s">
        <v>99</v>
      </c>
      <c r="AA36" s="14" t="s">
        <v>129</v>
      </c>
      <c r="AB36" s="11">
        <f>50000+105000</f>
        <v>155000</v>
      </c>
      <c r="AC36" s="11">
        <f t="shared" si="0"/>
        <v>162174.99228361488</v>
      </c>
    </row>
    <row r="37" spans="1:33" x14ac:dyDescent="0.35">
      <c r="A37" s="1" t="s">
        <v>48</v>
      </c>
      <c r="B37" s="1" t="str">
        <f>VLOOKUP(A37,[25]LISTADHERENT!A$5:H$57,3,0)</f>
        <v>SIME MATHIEU</v>
      </c>
      <c r="C37" s="5">
        <f>MVTRESUME2019!C42</f>
        <v>480000</v>
      </c>
      <c r="D37" s="5">
        <f>MVTRESUME2019!D42</f>
        <v>79793.71388976372</v>
      </c>
      <c r="E37" s="5">
        <f>MVTRESUME2019!E42</f>
        <v>0</v>
      </c>
      <c r="F37" s="5">
        <f>MVTRESUME2019!F42</f>
        <v>0</v>
      </c>
      <c r="G37" s="5">
        <f>MVTRESUME2019!G42</f>
        <v>84000</v>
      </c>
      <c r="H37" s="5">
        <f>MVTRESUME2019!H42</f>
        <v>7000</v>
      </c>
      <c r="I37" s="5">
        <f>MVTRESUME2019!I42</f>
        <v>14000</v>
      </c>
      <c r="J37" s="5">
        <f>MVTRESUME2019!J42</f>
        <v>35000</v>
      </c>
      <c r="K37" s="5">
        <f>MVTRESUME2019!K42</f>
        <v>0</v>
      </c>
      <c r="L37" s="5">
        <f>MVTRESUME2019!L42</f>
        <v>0</v>
      </c>
      <c r="M37" s="5">
        <f>MVTRESUME2019!M42</f>
        <v>0</v>
      </c>
      <c r="N37" s="5">
        <f>MVTRESUME2019!N42</f>
        <v>184035</v>
      </c>
      <c r="O37" s="5">
        <f>MVTRESUME2019!O42</f>
        <v>20243.849999999999</v>
      </c>
      <c r="P37" s="5">
        <f>MVTRESUME2019!P42</f>
        <v>0</v>
      </c>
      <c r="Q37" s="5">
        <f>MVTRESUME2019!Q42</f>
        <v>184035</v>
      </c>
      <c r="R37" s="5">
        <f>MVTRESUME2019!R42</f>
        <v>0</v>
      </c>
      <c r="S37" s="5">
        <f>MVTRESUME2019!S42</f>
        <v>0</v>
      </c>
      <c r="T37" s="5">
        <f>MVTRESUME2019!T42</f>
        <v>0</v>
      </c>
      <c r="U37" s="5">
        <f>MVTRESUME2019!U42</f>
        <v>163793.71388976372</v>
      </c>
      <c r="V37" s="5">
        <f>MVTRESUME2019!V42</f>
        <v>0</v>
      </c>
      <c r="W37" s="5">
        <f>MVTRESUME2019!W42</f>
        <v>30000</v>
      </c>
      <c r="X37" s="5">
        <f>MVTRESUME2019!X42</f>
        <v>0</v>
      </c>
      <c r="Y37" s="5">
        <f>MVTRESUME2019!Y42</f>
        <v>133793.71388976372</v>
      </c>
      <c r="Z37" s="17"/>
      <c r="AC37" s="11">
        <f t="shared" si="0"/>
        <v>163793.71388976372</v>
      </c>
    </row>
    <row r="38" spans="1:33" x14ac:dyDescent="0.35">
      <c r="A38" s="1" t="s">
        <v>49</v>
      </c>
      <c r="B38" s="1" t="str">
        <f>VLOOKUP(A38,[25]LISTADHERENT!A$5:H$57,3,0)</f>
        <v>SIMO PIERRE</v>
      </c>
      <c r="C38" s="5">
        <f>MVTRESUME2019!C43</f>
        <v>480000</v>
      </c>
      <c r="D38" s="5">
        <f>MVTRESUME2019!D43</f>
        <v>84611.13302311454</v>
      </c>
      <c r="E38" s="5">
        <f>MVTRESUME2019!E43</f>
        <v>-0.39887899404857308</v>
      </c>
      <c r="F38" s="5">
        <f>MVTRESUME2019!F43</f>
        <v>0</v>
      </c>
      <c r="G38" s="5">
        <f>MVTRESUME2019!G43</f>
        <v>174000</v>
      </c>
      <c r="H38" s="5">
        <f>MVTRESUME2019!H43</f>
        <v>7000</v>
      </c>
      <c r="I38" s="5">
        <f>MVTRESUME2019!I43</f>
        <v>14000</v>
      </c>
      <c r="J38" s="5">
        <f>MVTRESUME2019!J43</f>
        <v>35000</v>
      </c>
      <c r="K38" s="5">
        <f>MVTRESUME2019!K43</f>
        <v>2000</v>
      </c>
      <c r="L38" s="5">
        <f>MVTRESUME2019!L43</f>
        <v>0</v>
      </c>
      <c r="M38" s="5">
        <f>MVTRESUME2019!M43</f>
        <v>0</v>
      </c>
      <c r="N38" s="5">
        <f>MVTRESUME2019!N43</f>
        <v>1000000</v>
      </c>
      <c r="O38" s="5">
        <f>MVTRESUME2019!O43</f>
        <v>110000</v>
      </c>
      <c r="P38" s="5">
        <f>MVTRESUME2019!P43</f>
        <v>60000</v>
      </c>
      <c r="Q38" s="5">
        <f>MVTRESUME2019!Q43</f>
        <v>500000</v>
      </c>
      <c r="R38" s="5">
        <f>MVTRESUME2019!R43</f>
        <v>0</v>
      </c>
      <c r="S38" s="5">
        <f>MVTRESUME2019!S43</f>
        <v>0</v>
      </c>
      <c r="T38" s="5">
        <f>MVTRESUME2019!T43</f>
        <v>500000</v>
      </c>
      <c r="U38" s="5">
        <f>MVTRESUME2019!U43</f>
        <v>258610.73414412048</v>
      </c>
      <c r="V38" s="5">
        <f>MVTRESUME2019!V43</f>
        <v>200000</v>
      </c>
      <c r="W38" s="5">
        <f>MVTRESUME2019!W43</f>
        <v>30000</v>
      </c>
      <c r="X38" s="5">
        <f>MVTRESUME2019!X43</f>
        <v>0</v>
      </c>
      <c r="Y38" s="5">
        <f>MVTRESUME2019!Y43</f>
        <v>228610.73414412048</v>
      </c>
      <c r="Z38" s="17"/>
      <c r="AA38" t="s">
        <v>59</v>
      </c>
      <c r="AC38" s="11">
        <f t="shared" si="0"/>
        <v>258611.13302311453</v>
      </c>
    </row>
    <row r="39" spans="1:33" x14ac:dyDescent="0.35">
      <c r="A39" s="1" t="s">
        <v>51</v>
      </c>
      <c r="B39" s="1" t="str">
        <f>VLOOKUP(A39,[25]LISTADHERENT!A$5:H$57,3,0)</f>
        <v>TCHOUAMOU MATHIEU</v>
      </c>
      <c r="C39" s="5">
        <f>MVTRESUME2019!C44</f>
        <v>480000</v>
      </c>
      <c r="D39" s="5">
        <f>MVTRESUME2019!D44</f>
        <v>95391.522236883728</v>
      </c>
      <c r="E39" s="5">
        <f>MVTRESUME2019!E44</f>
        <v>1360.775029899698</v>
      </c>
      <c r="F39" s="5">
        <f>MVTRESUME2019!F44</f>
        <v>0</v>
      </c>
      <c r="G39" s="5">
        <f>MVTRESUME2019!G44</f>
        <v>84000</v>
      </c>
      <c r="H39" s="5">
        <f>MVTRESUME2019!H44</f>
        <v>7000</v>
      </c>
      <c r="I39" s="5">
        <f>MVTRESUME2019!I44</f>
        <v>14000</v>
      </c>
      <c r="J39" s="5">
        <f>MVTRESUME2019!J44</f>
        <v>35000</v>
      </c>
      <c r="K39" s="5">
        <f>MVTRESUME2019!K44</f>
        <v>0</v>
      </c>
      <c r="L39" s="5">
        <f>MVTRESUME2019!L44</f>
        <v>0</v>
      </c>
      <c r="M39" s="5">
        <f>MVTRESUME2019!M44</f>
        <v>0</v>
      </c>
      <c r="N39" s="5">
        <f>MVTRESUME2019!N44</f>
        <v>2000000</v>
      </c>
      <c r="O39" s="5">
        <f>MVTRESUME2019!O44</f>
        <v>200000</v>
      </c>
      <c r="P39" s="5">
        <f>MVTRESUME2019!P44</f>
        <v>110000</v>
      </c>
      <c r="Q39" s="5">
        <f>MVTRESUME2019!Q44</f>
        <v>1000000</v>
      </c>
      <c r="R39" s="5">
        <f>MVTRESUME2019!R44</f>
        <v>0</v>
      </c>
      <c r="S39" s="5">
        <f>MVTRESUME2019!S44</f>
        <v>0</v>
      </c>
      <c r="T39" s="5">
        <f>MVTRESUME2019!T44</f>
        <v>1000000</v>
      </c>
      <c r="U39" s="5">
        <f>MVTRESUME2019!U44</f>
        <v>180752.29726678343</v>
      </c>
      <c r="V39" s="5">
        <f>MVTRESUME2019!V44</f>
        <v>0</v>
      </c>
      <c r="W39" s="5">
        <f>MVTRESUME2019!W44</f>
        <v>30000</v>
      </c>
      <c r="X39" s="5">
        <f>MVTRESUME2019!X44</f>
        <v>0</v>
      </c>
      <c r="Y39" s="5">
        <f>MVTRESUME2019!Y44</f>
        <v>150752.29726678343</v>
      </c>
      <c r="Z39" s="17" t="s">
        <v>91</v>
      </c>
      <c r="AA39" t="s">
        <v>9</v>
      </c>
      <c r="AC39" s="11">
        <f t="shared" si="0"/>
        <v>179391.52223688373</v>
      </c>
    </row>
    <row r="40" spans="1:33" s="14" customFormat="1" x14ac:dyDescent="0.35">
      <c r="A40" s="12" t="s">
        <v>52</v>
      </c>
      <c r="B40" s="1" t="str">
        <f>VLOOKUP(A40,[25]LISTADHERENT!A$5:H$57,3,0)</f>
        <v>TCHOUANTE FRANCOIS</v>
      </c>
      <c r="C40" s="5">
        <f>MVTRESUME2019!C45</f>
        <v>480000</v>
      </c>
      <c r="D40" s="5">
        <f>MVTRESUME2019!D45</f>
        <v>78500.211202080493</v>
      </c>
      <c r="E40" s="5">
        <f>MVTRESUME2019!E45</f>
        <v>1225.3544029653422</v>
      </c>
      <c r="F40" s="5">
        <f>MVTRESUME2019!F45</f>
        <v>0</v>
      </c>
      <c r="G40" s="5">
        <f>MVTRESUME2019!G45</f>
        <v>30000</v>
      </c>
      <c r="H40" s="5">
        <f>MVTRESUME2019!H45</f>
        <v>2500</v>
      </c>
      <c r="I40" s="5">
        <f>MVTRESUME2019!I45</f>
        <v>5000</v>
      </c>
      <c r="J40" s="5">
        <f>MVTRESUME2019!J45</f>
        <v>12500</v>
      </c>
      <c r="K40" s="5">
        <f>MVTRESUME2019!K45</f>
        <v>4000</v>
      </c>
      <c r="L40" s="5">
        <f>MVTRESUME2019!L45</f>
        <v>0</v>
      </c>
      <c r="M40" s="5">
        <f>MVTRESUME2019!M45</f>
        <v>0</v>
      </c>
      <c r="N40" s="5">
        <f>MVTRESUME2019!N45</f>
        <v>850000</v>
      </c>
      <c r="O40" s="5">
        <f>MVTRESUME2019!O45</f>
        <v>95000</v>
      </c>
      <c r="P40" s="5">
        <f>MVTRESUME2019!P45</f>
        <v>0</v>
      </c>
      <c r="Q40" s="5">
        <f>MVTRESUME2019!Q45</f>
        <v>0</v>
      </c>
      <c r="R40" s="5">
        <f>MVTRESUME2019!R45</f>
        <v>131750</v>
      </c>
      <c r="S40" s="5">
        <f>MVTRESUME2019!S45</f>
        <v>0</v>
      </c>
      <c r="T40" s="5">
        <f>MVTRESUME2019!T45</f>
        <v>981750</v>
      </c>
      <c r="U40" s="5">
        <f>MVTRESUME2019!U45</f>
        <v>109725.56560504583</v>
      </c>
      <c r="V40" s="5">
        <f>MVTRESUME2019!V45</f>
        <v>109726</v>
      </c>
      <c r="W40" s="5">
        <f>MVTRESUME2019!W45</f>
        <v>0</v>
      </c>
      <c r="X40" s="5">
        <f>MVTRESUME2019!X45</f>
        <v>0</v>
      </c>
      <c r="Y40" s="5">
        <f>MVTRESUME2019!Y45</f>
        <v>109725.56560504583</v>
      </c>
      <c r="Z40" s="35" t="s">
        <v>98</v>
      </c>
      <c r="AA40" s="14" t="s">
        <v>129</v>
      </c>
      <c r="AB40" s="14">
        <f>42500+89250</f>
        <v>131750</v>
      </c>
      <c r="AC40" s="11">
        <f t="shared" si="0"/>
        <v>108500.21120208049</v>
      </c>
      <c r="AD40" s="11" t="e">
        <f>#REF!</f>
        <v>#REF!</v>
      </c>
      <c r="AG40" s="7" t="e">
        <f>C40-T40+U40+AD40+AE40</f>
        <v>#REF!</v>
      </c>
    </row>
    <row r="41" spans="1:33" s="14" customFormat="1" x14ac:dyDescent="0.35">
      <c r="A41" s="12" t="s">
        <v>53</v>
      </c>
      <c r="B41" s="1" t="str">
        <f>VLOOKUP(A41,[25]LISTADHERENT!A$5:H$57,3,0)</f>
        <v>TCHOUTOU NANA CLAUDE</v>
      </c>
      <c r="C41" s="5">
        <f>MVTRESUME2019!C46</f>
        <v>30000</v>
      </c>
      <c r="D41" s="5">
        <f>MVTRESUME2019!D46</f>
        <v>0</v>
      </c>
      <c r="E41" s="5">
        <f>MVTRESUME2019!E46</f>
        <v>21.303203075842248</v>
      </c>
      <c r="F41" s="5">
        <f>MVTRESUME2019!F46</f>
        <v>0</v>
      </c>
      <c r="G41" s="5">
        <f>MVTRESUME2019!G46</f>
        <v>30000</v>
      </c>
      <c r="H41" s="5">
        <f>MVTRESUME2019!H46</f>
        <v>2500</v>
      </c>
      <c r="I41" s="5">
        <f>MVTRESUME2019!I46</f>
        <v>5000</v>
      </c>
      <c r="J41" s="5">
        <f>MVTRESUME2019!J46</f>
        <v>12500</v>
      </c>
      <c r="K41" s="5">
        <f>MVTRESUME2019!K46</f>
        <v>5500</v>
      </c>
      <c r="L41" s="5">
        <f>MVTRESUME2019!L46</f>
        <v>0</v>
      </c>
      <c r="M41" s="5">
        <f>MVTRESUME2019!M46</f>
        <v>0</v>
      </c>
      <c r="N41" s="5">
        <f>MVTRESUME2019!N46</f>
        <v>0</v>
      </c>
      <c r="O41" s="5">
        <f>MVTRESUME2019!O46</f>
        <v>0</v>
      </c>
      <c r="P41" s="5">
        <f>MVTRESUME2019!P46</f>
        <v>0</v>
      </c>
      <c r="Q41" s="5">
        <f>MVTRESUME2019!Q46</f>
        <v>0</v>
      </c>
      <c r="R41" s="5">
        <f>MVTRESUME2019!R46</f>
        <v>0</v>
      </c>
      <c r="S41" s="5">
        <f>MVTRESUME2019!S46</f>
        <v>0</v>
      </c>
      <c r="T41" s="5">
        <f>MVTRESUME2019!T46</f>
        <v>0</v>
      </c>
      <c r="U41" s="5">
        <f>MVTRESUME2019!U46</f>
        <v>30021.30320307584</v>
      </c>
      <c r="V41" s="5">
        <f>MVTRESUME2019!V46</f>
        <v>30021</v>
      </c>
      <c r="W41" s="5">
        <f>MVTRESUME2019!W46</f>
        <v>0</v>
      </c>
      <c r="X41" s="5">
        <f>MVTRESUME2019!X46</f>
        <v>0</v>
      </c>
      <c r="Y41" s="5">
        <f>MVTRESUME2019!Y46</f>
        <v>30021.30320307584</v>
      </c>
      <c r="Z41" s="35"/>
      <c r="AA41" s="14" t="s">
        <v>129</v>
      </c>
      <c r="AC41" s="11">
        <f t="shared" si="0"/>
        <v>30000</v>
      </c>
      <c r="AD41" s="11" t="e">
        <f>+#REF!</f>
        <v>#REF!</v>
      </c>
      <c r="AG41" s="7" t="e">
        <f>C41-T41+U41+AD41+AE41-211475</f>
        <v>#REF!</v>
      </c>
    </row>
    <row r="42" spans="1:33" s="14" customFormat="1" x14ac:dyDescent="0.35">
      <c r="A42" s="12" t="s">
        <v>54</v>
      </c>
      <c r="B42" s="1" t="str">
        <f>VLOOKUP(A42,[25]LISTADHERENT!A$5:H$57,3,0)</f>
        <v>TIEYAM ERNEST</v>
      </c>
      <c r="C42" s="5">
        <f>MVTRESUME2019!C47</f>
        <v>480000</v>
      </c>
      <c r="D42" s="5">
        <f>MVTRESUME2019!D47</f>
        <v>77674.987774544497</v>
      </c>
      <c r="E42" s="5">
        <f>MVTRESUME2019!E47</f>
        <v>0.15040472695545759</v>
      </c>
      <c r="F42" s="5">
        <f>MVTRESUME2019!F47</f>
        <v>0</v>
      </c>
      <c r="G42" s="5">
        <f>MVTRESUME2019!G47</f>
        <v>22000</v>
      </c>
      <c r="H42" s="5">
        <f>MVTRESUME2019!H47</f>
        <v>2000</v>
      </c>
      <c r="I42" s="5">
        <f>MVTRESUME2019!I47</f>
        <v>4000</v>
      </c>
      <c r="J42" s="5">
        <f>MVTRESUME2019!J47</f>
        <v>10000</v>
      </c>
      <c r="K42" s="5">
        <f>MVTRESUME2019!K47</f>
        <v>11000</v>
      </c>
      <c r="L42" s="5">
        <f>MVTRESUME2019!L47</f>
        <v>0</v>
      </c>
      <c r="M42" s="5">
        <f>MVTRESUME2019!M47</f>
        <v>0</v>
      </c>
      <c r="N42" s="5">
        <f>MVTRESUME2019!N47</f>
        <v>2000000</v>
      </c>
      <c r="O42" s="5">
        <f>MVTRESUME2019!O47</f>
        <v>30000</v>
      </c>
      <c r="P42" s="5">
        <f>MVTRESUME2019!P47</f>
        <v>0</v>
      </c>
      <c r="Q42" s="5">
        <f>MVTRESUME2019!Q47</f>
        <v>1000000</v>
      </c>
      <c r="R42" s="5">
        <f>MVTRESUME2019!R47</f>
        <v>155000</v>
      </c>
      <c r="S42" s="5">
        <f>MVTRESUME2019!S47</f>
        <v>0</v>
      </c>
      <c r="T42" s="5">
        <f>MVTRESUME2019!T47</f>
        <v>1155000</v>
      </c>
      <c r="U42" s="5">
        <f>MVTRESUME2019!U47</f>
        <v>99675.138179271453</v>
      </c>
      <c r="V42" s="5">
        <f>MVTRESUME2019!V47</f>
        <v>69675</v>
      </c>
      <c r="W42" s="5">
        <f>MVTRESUME2019!W47</f>
        <v>30000</v>
      </c>
      <c r="X42" s="5">
        <f>MVTRESUME2019!X47</f>
        <v>0</v>
      </c>
      <c r="Y42" s="5">
        <f>MVTRESUME2019!Y47</f>
        <v>69675.138179271453</v>
      </c>
      <c r="Z42" s="35" t="s">
        <v>91</v>
      </c>
      <c r="AA42" s="14" t="s">
        <v>129</v>
      </c>
      <c r="AC42" s="11">
        <f t="shared" si="0"/>
        <v>99674.987774544497</v>
      </c>
      <c r="AD42" s="11" t="e">
        <f>#REF!</f>
        <v>#REF!</v>
      </c>
      <c r="AE42" s="11">
        <f>[26]TONTRESUME!$M$32</f>
        <v>16000</v>
      </c>
      <c r="AF42" s="11" t="e">
        <f>[14]TONTRESUME!$I$28</f>
        <v>#REF!</v>
      </c>
      <c r="AG42" s="7" t="e">
        <f>C42-T42+U42+AD42+AE42+AF42</f>
        <v>#REF!</v>
      </c>
    </row>
    <row r="43" spans="1:33" x14ac:dyDescent="0.35">
      <c r="A43" s="1" t="s">
        <v>55</v>
      </c>
      <c r="B43" s="1" t="str">
        <f>VLOOKUP(A43,[25]LISTADHERENT!A$5:H$57,3,0)</f>
        <v>YEPMOU JEAN JACQUES</v>
      </c>
      <c r="C43" s="5">
        <f>MVTRESUME2019!C48</f>
        <v>480000</v>
      </c>
      <c r="D43" s="5">
        <f>MVTRESUME2019!D48</f>
        <v>149658.23869144428</v>
      </c>
      <c r="E43" s="5">
        <f>MVTRESUME2019!E48</f>
        <v>440720.17653060926</v>
      </c>
      <c r="F43" s="5">
        <f>MVTRESUME2019!F48</f>
        <v>0</v>
      </c>
      <c r="G43" s="5">
        <f>MVTRESUME2019!G48</f>
        <v>84000</v>
      </c>
      <c r="H43" s="5">
        <f>MVTRESUME2019!H48</f>
        <v>7000</v>
      </c>
      <c r="I43" s="5">
        <f>MVTRESUME2019!I48</f>
        <v>14000</v>
      </c>
      <c r="J43" s="5">
        <f>MVTRESUME2019!J48</f>
        <v>35000</v>
      </c>
      <c r="K43" s="5">
        <f>MVTRESUME2019!K48</f>
        <v>17000</v>
      </c>
      <c r="L43" s="5">
        <f>MVTRESUME2019!L48</f>
        <v>0</v>
      </c>
      <c r="M43" s="5">
        <f>MVTRESUME2019!M48</f>
        <v>0</v>
      </c>
      <c r="N43" s="5">
        <f>MVTRESUME2019!N48</f>
        <v>2700000</v>
      </c>
      <c r="O43" s="5">
        <f>MVTRESUME2019!O48</f>
        <v>151500</v>
      </c>
      <c r="P43" s="5">
        <f>MVTRESUME2019!P48</f>
        <v>35000</v>
      </c>
      <c r="Q43" s="5">
        <f>MVTRESUME2019!Q48</f>
        <v>2037500</v>
      </c>
      <c r="R43" s="5">
        <f>MVTRESUME2019!R48</f>
        <v>37500</v>
      </c>
      <c r="S43" s="5">
        <f>MVTRESUME2019!S48</f>
        <v>0</v>
      </c>
      <c r="T43" s="5">
        <f>MVTRESUME2019!T48</f>
        <v>700000</v>
      </c>
      <c r="U43" s="5">
        <f>MVTRESUME2019!U48</f>
        <v>674378.41522205353</v>
      </c>
      <c r="V43" s="5">
        <f>MVTRESUME2019!V48</f>
        <v>0</v>
      </c>
      <c r="W43" s="5">
        <f>MVTRESUME2019!W48</f>
        <v>30000</v>
      </c>
      <c r="X43" s="5">
        <f>MVTRESUME2019!X48</f>
        <v>0</v>
      </c>
      <c r="Y43" s="5">
        <f>MVTRESUME2019!Y48</f>
        <v>644378.41522205353</v>
      </c>
      <c r="Z43" s="17" t="s">
        <v>100</v>
      </c>
      <c r="AC43" s="11">
        <f t="shared" si="0"/>
        <v>233658.23869144428</v>
      </c>
    </row>
    <row r="44" spans="1:33" x14ac:dyDescent="0.35">
      <c r="A44" s="1" t="s">
        <v>56</v>
      </c>
      <c r="B44" s="1" t="str">
        <f>VLOOKUP(A44,[25]LISTADHERENT!A$5:H$57,3,0)</f>
        <v>YOUMBI EMMANUEL</v>
      </c>
      <c r="C44" s="5">
        <f>MVTRESUME2019!C49</f>
        <v>480000</v>
      </c>
      <c r="D44" s="5">
        <f>MVTRESUME2019!D49</f>
        <v>317201.9797878497</v>
      </c>
      <c r="E44" s="5">
        <f>MVTRESUME2019!E49</f>
        <v>1198154.6510912008</v>
      </c>
      <c r="F44" s="5">
        <f>MVTRESUME2019!F49</f>
        <v>0</v>
      </c>
      <c r="G44" s="5">
        <f>MVTRESUME2019!G49</f>
        <v>1024000</v>
      </c>
      <c r="H44" s="5">
        <f>MVTRESUME2019!H49</f>
        <v>7000</v>
      </c>
      <c r="I44" s="5">
        <f>MVTRESUME2019!I49</f>
        <v>14000</v>
      </c>
      <c r="J44" s="5">
        <f>MVTRESUME2019!J49</f>
        <v>35000</v>
      </c>
      <c r="K44" s="5">
        <f>MVTRESUME2019!K49</f>
        <v>0</v>
      </c>
      <c r="L44" s="5">
        <f>MVTRESUME2019!L49</f>
        <v>0</v>
      </c>
      <c r="M44" s="5">
        <f>MVTRESUME2019!M49</f>
        <v>0</v>
      </c>
      <c r="N44" s="5">
        <f>MVTRESUME2019!N49</f>
        <v>0</v>
      </c>
      <c r="O44" s="5">
        <f>MVTRESUME2019!O49</f>
        <v>0</v>
      </c>
      <c r="P44" s="5">
        <f>MVTRESUME2019!P49</f>
        <v>0</v>
      </c>
      <c r="Q44" s="5">
        <f>MVTRESUME2019!Q49</f>
        <v>0</v>
      </c>
      <c r="R44" s="5">
        <f>MVTRESUME2019!R49</f>
        <v>0</v>
      </c>
      <c r="S44" s="5">
        <f>MVTRESUME2019!S49</f>
        <v>0</v>
      </c>
      <c r="T44" s="5">
        <f>MVTRESUME2019!T49</f>
        <v>0</v>
      </c>
      <c r="U44" s="5">
        <f>MVTRESUME2019!U49</f>
        <v>2539356.6308790506</v>
      </c>
      <c r="V44" s="5">
        <f>MVTRESUME2019!V49</f>
        <v>0</v>
      </c>
      <c r="W44" s="5">
        <f>MVTRESUME2019!W49</f>
        <v>30000</v>
      </c>
      <c r="X44" s="5">
        <f>MVTRESUME2019!X49</f>
        <v>0</v>
      </c>
      <c r="Y44" s="5">
        <f>MVTRESUME2019!Y49</f>
        <v>2509356.6308790506</v>
      </c>
      <c r="Z44" s="17"/>
      <c r="AC44" s="11">
        <f t="shared" si="0"/>
        <v>1341201.9797878498</v>
      </c>
    </row>
    <row r="45" spans="1:33" ht="17.5" x14ac:dyDescent="0.35">
      <c r="A45" s="1" t="s">
        <v>57</v>
      </c>
      <c r="B45" s="1"/>
      <c r="C45" s="9">
        <f>SUM(C2:C44)</f>
        <v>17782722.011083744</v>
      </c>
      <c r="D45" s="9">
        <f>SUM(D2:D44)</f>
        <v>3692643.8500000006</v>
      </c>
      <c r="E45" s="9">
        <f t="shared" ref="E45:Y45" si="1">SUM(E2:E44)</f>
        <v>4844130.5976969898</v>
      </c>
      <c r="F45" s="9">
        <f t="shared" si="1"/>
        <v>0</v>
      </c>
      <c r="G45" s="9">
        <f t="shared" si="1"/>
        <v>5614000</v>
      </c>
      <c r="H45" s="9">
        <f t="shared" si="1"/>
        <v>249500</v>
      </c>
      <c r="I45" s="9">
        <f t="shared" si="1"/>
        <v>499000</v>
      </c>
      <c r="J45" s="9">
        <f t="shared" si="1"/>
        <v>1247500</v>
      </c>
      <c r="K45" s="9">
        <f t="shared" si="1"/>
        <v>235500</v>
      </c>
      <c r="L45" s="9">
        <f t="shared" si="1"/>
        <v>0</v>
      </c>
      <c r="M45" s="9">
        <f t="shared" si="1"/>
        <v>0</v>
      </c>
      <c r="N45" s="9">
        <f t="shared" si="1"/>
        <v>46120035</v>
      </c>
      <c r="O45" s="9">
        <f t="shared" si="1"/>
        <v>3690143.85</v>
      </c>
      <c r="P45" s="9">
        <f t="shared" si="1"/>
        <v>1152300</v>
      </c>
      <c r="Q45" s="9">
        <f t="shared" si="1"/>
        <v>27308395</v>
      </c>
      <c r="R45" s="9">
        <f t="shared" si="1"/>
        <v>1475110</v>
      </c>
      <c r="S45" s="9">
        <f t="shared" si="1"/>
        <v>0</v>
      </c>
      <c r="T45" s="9">
        <f t="shared" si="1"/>
        <v>20286750</v>
      </c>
      <c r="U45" s="9">
        <f t="shared" si="1"/>
        <v>14150774.447696989</v>
      </c>
      <c r="V45" s="9">
        <f t="shared" si="1"/>
        <v>3581923</v>
      </c>
      <c r="W45" s="9">
        <f t="shared" si="1"/>
        <v>1265783</v>
      </c>
      <c r="X45" s="9"/>
      <c r="Y45" s="9">
        <f t="shared" si="1"/>
        <v>12884991.447696989</v>
      </c>
    </row>
  </sheetData>
  <autoFilter ref="A1:Q44" xr:uid="{00000000-0009-0000-0000-000028000000}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44"/>
  <sheetViews>
    <sheetView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F3" sqref="F3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5.26953125" customWidth="1"/>
    <col min="4" max="4" width="16.81640625" customWidth="1"/>
    <col min="5" max="5" width="20.7265625" customWidth="1"/>
    <col min="6" max="6" width="15" bestFit="1" customWidth="1"/>
    <col min="7" max="7" width="17.54296875" style="3" bestFit="1" customWidth="1"/>
    <col min="8" max="8" width="15.7265625" style="2" customWidth="1"/>
    <col min="9" max="11" width="12.453125" style="2" customWidth="1"/>
    <col min="12" max="12" width="12.453125" style="2" bestFit="1" customWidth="1"/>
    <col min="13" max="13" width="16.81640625" style="2" bestFit="1" customWidth="1"/>
    <col min="14" max="14" width="15" bestFit="1" customWidth="1"/>
    <col min="15" max="15" width="15" customWidth="1"/>
    <col min="16" max="16" width="18.1796875" customWidth="1"/>
  </cols>
  <sheetData>
    <row r="1" spans="1:28" x14ac:dyDescent="0.35">
      <c r="A1" s="1" t="s">
        <v>0</v>
      </c>
      <c r="B1" s="1" t="s">
        <v>1</v>
      </c>
      <c r="C1" s="1"/>
      <c r="D1" s="1"/>
      <c r="E1" s="1"/>
    </row>
    <row r="2" spans="1:28" x14ac:dyDescent="0.35">
      <c r="A2" s="1" t="s">
        <v>2</v>
      </c>
      <c r="B2" s="1" t="s">
        <v>153</v>
      </c>
      <c r="C2" s="1"/>
      <c r="D2" s="1"/>
      <c r="E2" s="1"/>
    </row>
    <row r="3" spans="1:28" x14ac:dyDescent="0.35">
      <c r="A3" s="1" t="s">
        <v>3</v>
      </c>
      <c r="B3" s="5">
        <v>30000</v>
      </c>
      <c r="C3" s="1"/>
      <c r="D3" s="1"/>
      <c r="E3" s="1"/>
    </row>
    <row r="4" spans="1:28" ht="26" x14ac:dyDescent="0.6">
      <c r="B4" s="16"/>
      <c r="C4" s="174" t="s">
        <v>156</v>
      </c>
      <c r="D4" s="174"/>
      <c r="E4" s="174"/>
      <c r="F4" s="174"/>
      <c r="G4" s="57"/>
      <c r="H4" s="57"/>
      <c r="I4" s="57"/>
      <c r="J4"/>
      <c r="K4"/>
      <c r="L4"/>
      <c r="M4"/>
    </row>
    <row r="5" spans="1:28" ht="42.5" x14ac:dyDescent="0.35">
      <c r="A5" s="1" t="s">
        <v>4</v>
      </c>
      <c r="B5" s="1" t="s">
        <v>5</v>
      </c>
      <c r="C5" s="4" t="s">
        <v>6</v>
      </c>
      <c r="D5" s="1" t="s">
        <v>8</v>
      </c>
      <c r="E5" s="4" t="s">
        <v>60</v>
      </c>
      <c r="F5" s="1" t="s">
        <v>9</v>
      </c>
      <c r="G5" s="4" t="s">
        <v>10</v>
      </c>
      <c r="H5" s="4" t="s">
        <v>11</v>
      </c>
      <c r="I5" s="4" t="s">
        <v>12</v>
      </c>
      <c r="J5" s="4" t="s">
        <v>72</v>
      </c>
      <c r="K5" s="4" t="s">
        <v>73</v>
      </c>
      <c r="L5" s="4" t="s">
        <v>13</v>
      </c>
      <c r="M5" s="4" t="s">
        <v>61</v>
      </c>
      <c r="N5" s="4" t="s">
        <v>63</v>
      </c>
      <c r="O5" s="4" t="s">
        <v>83</v>
      </c>
      <c r="P5" s="4" t="s">
        <v>64</v>
      </c>
      <c r="Q5" s="4" t="s">
        <v>65</v>
      </c>
      <c r="R5" s="4" t="s">
        <v>14</v>
      </c>
      <c r="S5" s="4" t="s">
        <v>15</v>
      </c>
    </row>
    <row r="6" spans="1:28" x14ac:dyDescent="0.35">
      <c r="A6" s="1" t="s">
        <v>16</v>
      </c>
      <c r="B6" s="1" t="str">
        <f>VLOOKUP(A6,[25]LISTADHERENT!A$5:H$60,3,0)</f>
        <v>ASELBY</v>
      </c>
      <c r="C6" s="5" t="e">
        <f>#REF!+#REF!+#REF!+#REF!+#REF!+#REF!+#REF!+#REF!+#REF!+#REF!+#REF!+#REF!+#REF!+#REF!</f>
        <v>#REF!</v>
      </c>
      <c r="D6" s="5" t="e">
        <f>#REF!+#REF!+#REF!+#REF!+#REF!+#REF!+#REF!+#REF!+#REF!+#REF!+#REF!+#REF!+#REF!+#REF!</f>
        <v>#REF!</v>
      </c>
      <c r="E6" s="5" t="e">
        <f>#REF!+#REF!+#REF!+#REF!+#REF!+#REF!+#REF!+#REF!+#REF!+#REF!+#REF!+#REF!+#REF!+#REF!</f>
        <v>#REF!</v>
      </c>
      <c r="F6" s="5" t="e">
        <f>#REF!+#REF!+#REF!+#REF!+#REF!+#REF!+#REF!+#REF!+#REF!+#REF!+#REF!+#REF!+#REF!+#REF!</f>
        <v>#REF!</v>
      </c>
      <c r="G6" s="5" t="e">
        <f>#REF!+#REF!+#REF!+#REF!+#REF!+#REF!+#REF!+#REF!+#REF!+#REF!+#REF!+#REF!+#REF!+#REF!</f>
        <v>#REF!</v>
      </c>
      <c r="H6" s="5" t="e">
        <f>#REF!+#REF!+#REF!+#REF!+#REF!+#REF!+#REF!+#REF!+#REF!+#REF!+#REF!+#REF!+#REF!+#REF!</f>
        <v>#REF!</v>
      </c>
      <c r="I6" s="5" t="e">
        <f>#REF!+#REF!+#REF!+#REF!+#REF!+#REF!+#REF!+#REF!+#REF!+#REF!+#REF!+#REF!+#REF!+#REF!</f>
        <v>#REF!</v>
      </c>
      <c r="J6" s="5" t="e">
        <f>#REF!+#REF!+#REF!+#REF!+#REF!+#REF!+#REF!+#REF!+#REF!+#REF!+#REF!+#REF!+#REF!+#REF!</f>
        <v>#REF!</v>
      </c>
      <c r="K6" s="5" t="e">
        <f>#REF!+#REF!+#REF!+#REF!+#REF!+#REF!+#REF!+#REF!+#REF!+#REF!+#REF!+#REF!+#REF!+#REF!</f>
        <v>#REF!</v>
      </c>
      <c r="L6" s="5" t="e">
        <f>#REF!+#REF!+#REF!+#REF!+#REF!+#REF!+#REF!+#REF!+#REF!+#REF!+#REF!+#REF!+#REF!+#REF!</f>
        <v>#REF!</v>
      </c>
      <c r="M6" s="5" t="e">
        <f>#REF!+#REF!+#REF!+#REF!+#REF!+#REF!+#REF!+#REF!+#REF!+#REF!+#REF!+#REF!+#REF!+#REF!</f>
        <v>#REF!</v>
      </c>
      <c r="N6" s="5" t="e">
        <f>#REF!+#REF!+#REF!+#REF!+#REF!+#REF!+#REF!+#REF!+#REF!+#REF!+#REF!+#REF!+#REF!+#REF!</f>
        <v>#REF!</v>
      </c>
      <c r="O6" s="5" t="e">
        <f>#REF!+#REF!+#REF!+#REF!+#REF!+#REF!+#REF!+#REF!+#REF!+#REF!+#REF!+#REF!+#REF!+#REF!</f>
        <v>#REF!</v>
      </c>
      <c r="P6" s="5" t="e">
        <f>#REF!+#REF!+#REF!+#REF!+#REF!+#REF!+#REF!+#REF!+#REF!+#REF!+#REF!+#REF!+#REF!+#REF!</f>
        <v>#REF!</v>
      </c>
      <c r="Q6" s="5" t="e">
        <f>#REF!+#REF!+#REF!+#REF!+#REF!+#REF!+#REF!+#REF!+#REF!+#REF!+#REF!+#REF!+#REF!+#REF!</f>
        <v>#REF!</v>
      </c>
      <c r="R6" s="5" t="e">
        <f>#REF!+#REF!+#REF!+#REF!+#REF!+#REF!+#REF!+#REF!+#REF!+#REF!+#REF!+#REF!+#REF!+#REF!</f>
        <v>#REF!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35">
      <c r="A7" s="1" t="s">
        <v>19</v>
      </c>
      <c r="B7" s="1" t="str">
        <f>VLOOKUP(A7,[25]LISTADHERENT!A$5:H$60,3,0)</f>
        <v>BOUTCHOUANG WILLIAM</v>
      </c>
      <c r="C7" s="5" t="e">
        <f>#REF!+#REF!+#REF!+#REF!+#REF!+#REF!+#REF!+#REF!+#REF!+#REF!+#REF!+#REF!+#REF!+#REF!</f>
        <v>#REF!</v>
      </c>
      <c r="D7" s="5" t="e">
        <f>#REF!+#REF!+#REF!+#REF!+#REF!+#REF!+#REF!+#REF!+#REF!+#REF!+#REF!+#REF!+#REF!+#REF!</f>
        <v>#REF!</v>
      </c>
      <c r="E7" s="5" t="e">
        <f>#REF!+#REF!+#REF!+#REF!+#REF!+#REF!+#REF!+#REF!+#REF!+#REF!+#REF!+#REF!+#REF!+#REF!</f>
        <v>#REF!</v>
      </c>
      <c r="F7" s="5" t="e">
        <f>#REF!+#REF!+#REF!+#REF!+#REF!+#REF!+#REF!+#REF!+#REF!+#REF!+#REF!+#REF!+#REF!+#REF!</f>
        <v>#REF!</v>
      </c>
      <c r="G7" s="5" t="e">
        <f>#REF!+#REF!+#REF!+#REF!+#REF!+#REF!+#REF!+#REF!+#REF!+#REF!+#REF!+#REF!+#REF!+#REF!</f>
        <v>#REF!</v>
      </c>
      <c r="H7" s="5" t="e">
        <f>#REF!+#REF!+#REF!+#REF!+#REF!+#REF!+#REF!+#REF!+#REF!+#REF!+#REF!+#REF!+#REF!+#REF!</f>
        <v>#REF!</v>
      </c>
      <c r="I7" s="5" t="e">
        <f>#REF!+#REF!+#REF!+#REF!+#REF!+#REF!+#REF!+#REF!+#REF!+#REF!+#REF!+#REF!+#REF!+#REF!</f>
        <v>#REF!</v>
      </c>
      <c r="J7" s="5" t="e">
        <f>#REF!+#REF!+#REF!+#REF!+#REF!+#REF!+#REF!+#REF!+#REF!+#REF!+#REF!+#REF!+#REF!+#REF!</f>
        <v>#REF!</v>
      </c>
      <c r="K7" s="5" t="e">
        <f>#REF!+#REF!+#REF!+#REF!+#REF!+#REF!+#REF!+#REF!+#REF!+#REF!+#REF!+#REF!+#REF!+#REF!</f>
        <v>#REF!</v>
      </c>
      <c r="L7" s="5" t="e">
        <f>#REF!+#REF!+#REF!+#REF!+#REF!+#REF!+#REF!+#REF!+#REF!+#REF!+#REF!+#REF!+#REF!+#REF!</f>
        <v>#REF!</v>
      </c>
      <c r="M7" s="5" t="e">
        <f>#REF!+#REF!+#REF!+#REF!+#REF!+#REF!+#REF!+#REF!+#REF!+#REF!+#REF!+#REF!+#REF!+#REF!</f>
        <v>#REF!</v>
      </c>
      <c r="N7" s="5" t="e">
        <f>#REF!+#REF!+#REF!+#REF!+#REF!+#REF!+#REF!+#REF!+#REF!+#REF!+#REF!+#REF!+#REF!+#REF!</f>
        <v>#REF!</v>
      </c>
      <c r="O7" s="5" t="e">
        <f>#REF!+#REF!+#REF!+#REF!+#REF!+#REF!+#REF!+#REF!+#REF!+#REF!+#REF!+#REF!+#REF!+#REF!</f>
        <v>#REF!</v>
      </c>
      <c r="P7" s="5" t="e">
        <f>#REF!+#REF!+#REF!+#REF!+#REF!+#REF!+#REF!+#REF!+#REF!+#REF!+#REF!+#REF!+#REF!+#REF!</f>
        <v>#REF!</v>
      </c>
      <c r="Q7" s="5" t="e">
        <f>#REF!+#REF!+#REF!+#REF!+#REF!+#REF!+#REF!+#REF!+#REF!+#REF!+#REF!+#REF!+#REF!+#REF!</f>
        <v>#REF!</v>
      </c>
      <c r="R7" s="5" t="e">
        <f>#REF!+#REF!+#REF!+#REF!+#REF!+#REF!+#REF!+#REF!+#REF!+#REF!+#REF!+#REF!+#REF!+#REF!</f>
        <v>#REF!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35">
      <c r="A8" s="1" t="s">
        <v>23</v>
      </c>
      <c r="B8" s="1" t="str">
        <f>VLOOKUP(A8,[25]LISTADHERENT!A$5:H$60,3,0)</f>
        <v xml:space="preserve">DJOMO JEAN PAUL </v>
      </c>
      <c r="C8" s="5" t="e">
        <f>#REF!+#REF!+#REF!+#REF!+#REF!+#REF!+#REF!+#REF!+#REF!+#REF!+#REF!+#REF!+#REF!+#REF!</f>
        <v>#REF!</v>
      </c>
      <c r="D8" s="5" t="e">
        <f>#REF!+#REF!+#REF!+#REF!+#REF!+#REF!+#REF!+#REF!+#REF!+#REF!+#REF!+#REF!+#REF!+#REF!</f>
        <v>#REF!</v>
      </c>
      <c r="E8" s="5" t="e">
        <f>#REF!+#REF!+#REF!+#REF!+#REF!+#REF!+#REF!+#REF!+#REF!+#REF!+#REF!+#REF!+#REF!+#REF!</f>
        <v>#REF!</v>
      </c>
      <c r="F8" s="5" t="e">
        <f>#REF!+#REF!+#REF!+#REF!+#REF!+#REF!+#REF!+#REF!+#REF!+#REF!+#REF!+#REF!+#REF!+#REF!</f>
        <v>#REF!</v>
      </c>
      <c r="G8" s="5" t="e">
        <f>#REF!+#REF!+#REF!+#REF!+#REF!+#REF!+#REF!+#REF!+#REF!+#REF!+#REF!+#REF!+#REF!+#REF!</f>
        <v>#REF!</v>
      </c>
      <c r="H8" s="5" t="e">
        <f>#REF!+#REF!+#REF!+#REF!+#REF!+#REF!+#REF!+#REF!+#REF!+#REF!+#REF!+#REF!+#REF!+#REF!</f>
        <v>#REF!</v>
      </c>
      <c r="I8" s="5" t="e">
        <f>#REF!+#REF!+#REF!+#REF!+#REF!+#REF!+#REF!+#REF!+#REF!+#REF!+#REF!+#REF!+#REF!+#REF!</f>
        <v>#REF!</v>
      </c>
      <c r="J8" s="5" t="e">
        <f>#REF!+#REF!+#REF!+#REF!+#REF!+#REF!+#REF!+#REF!+#REF!+#REF!+#REF!+#REF!+#REF!+#REF!</f>
        <v>#REF!</v>
      </c>
      <c r="K8" s="5" t="e">
        <f>#REF!+#REF!+#REF!+#REF!+#REF!+#REF!+#REF!+#REF!+#REF!+#REF!+#REF!+#REF!+#REF!+#REF!</f>
        <v>#REF!</v>
      </c>
      <c r="L8" s="5" t="e">
        <f>#REF!+#REF!+#REF!+#REF!+#REF!+#REF!+#REF!+#REF!+#REF!+#REF!+#REF!+#REF!+#REF!+#REF!</f>
        <v>#REF!</v>
      </c>
      <c r="M8" s="5" t="e">
        <f>#REF!+#REF!+#REF!+#REF!+#REF!+#REF!+#REF!+#REF!+#REF!+#REF!+#REF!+#REF!+#REF!+#REF!</f>
        <v>#REF!</v>
      </c>
      <c r="N8" s="5" t="e">
        <f>#REF!+#REF!+#REF!+#REF!+#REF!+#REF!+#REF!+#REF!+#REF!+#REF!+#REF!+#REF!+#REF!+#REF!</f>
        <v>#REF!</v>
      </c>
      <c r="O8" s="5" t="e">
        <f>#REF!+#REF!+#REF!+#REF!+#REF!+#REF!+#REF!+#REF!+#REF!+#REF!+#REF!+#REF!+#REF!+#REF!</f>
        <v>#REF!</v>
      </c>
      <c r="P8" s="5" t="e">
        <f>#REF!+#REF!+#REF!+#REF!+#REF!+#REF!+#REF!+#REF!+#REF!+#REF!+#REF!+#REF!+#REF!+#REF!</f>
        <v>#REF!</v>
      </c>
      <c r="Q8" s="5" t="e">
        <f>#REF!+#REF!+#REF!+#REF!+#REF!+#REF!+#REF!+#REF!+#REF!+#REF!+#REF!+#REF!+#REF!+#REF!</f>
        <v>#REF!</v>
      </c>
      <c r="R8" s="5" t="e">
        <f>#REF!+#REF!+#REF!+#REF!+#REF!+#REF!+#REF!+#REF!+#REF!+#REF!+#REF!+#REF!+#REF!+#REF!</f>
        <v>#REF!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35">
      <c r="A9" s="1" t="s">
        <v>154</v>
      </c>
      <c r="B9" s="1" t="str">
        <f>VLOOKUP(A9,[25]LISTADHERENT!A$5:H$60,3,0)</f>
        <v>DJOMOU TCHANDA</v>
      </c>
      <c r="C9" s="5" t="e">
        <f>#REF!+#REF!+#REF!+#REF!+#REF!+#REF!+#REF!+#REF!+#REF!+#REF!+#REF!+#REF!+#REF!+#REF!</f>
        <v>#REF!</v>
      </c>
      <c r="D9" s="5" t="e">
        <f>#REF!+#REF!+#REF!+#REF!+#REF!+#REF!+#REF!+#REF!+#REF!+#REF!+#REF!+#REF!+#REF!+#REF!</f>
        <v>#REF!</v>
      </c>
      <c r="E9" s="5" t="e">
        <f>#REF!+#REF!+#REF!+#REF!+#REF!+#REF!+#REF!+#REF!+#REF!+#REF!+#REF!+#REF!+#REF!+#REF!</f>
        <v>#REF!</v>
      </c>
      <c r="F9" s="5" t="e">
        <f>#REF!+#REF!+#REF!+#REF!+#REF!+#REF!+#REF!+#REF!+#REF!+#REF!+#REF!+#REF!+#REF!+#REF!</f>
        <v>#REF!</v>
      </c>
      <c r="G9" s="5" t="e">
        <f>#REF!+#REF!+#REF!+#REF!+#REF!+#REF!+#REF!+#REF!+#REF!+#REF!+#REF!+#REF!+#REF!+#REF!</f>
        <v>#REF!</v>
      </c>
      <c r="H9" s="5" t="e">
        <f>#REF!+#REF!+#REF!+#REF!+#REF!+#REF!+#REF!+#REF!+#REF!+#REF!+#REF!+#REF!+#REF!+#REF!</f>
        <v>#REF!</v>
      </c>
      <c r="I9" s="5" t="e">
        <f>#REF!+#REF!+#REF!+#REF!+#REF!+#REF!+#REF!+#REF!+#REF!+#REF!+#REF!+#REF!+#REF!+#REF!</f>
        <v>#REF!</v>
      </c>
      <c r="J9" s="5" t="e">
        <f>#REF!+#REF!+#REF!+#REF!+#REF!+#REF!+#REF!+#REF!+#REF!+#REF!+#REF!+#REF!+#REF!+#REF!</f>
        <v>#REF!</v>
      </c>
      <c r="K9" s="5" t="e">
        <f>#REF!+#REF!+#REF!+#REF!+#REF!+#REF!+#REF!+#REF!+#REF!+#REF!+#REF!+#REF!+#REF!+#REF!</f>
        <v>#REF!</v>
      </c>
      <c r="L9" s="5" t="e">
        <f>#REF!+#REF!+#REF!+#REF!+#REF!+#REF!+#REF!+#REF!+#REF!+#REF!+#REF!+#REF!+#REF!+#REF!</f>
        <v>#REF!</v>
      </c>
      <c r="M9" s="5" t="e">
        <f>#REF!+#REF!+#REF!+#REF!+#REF!+#REF!+#REF!+#REF!+#REF!+#REF!+#REF!+#REF!+#REF!+#REF!</f>
        <v>#REF!</v>
      </c>
      <c r="N9" s="5" t="e">
        <f>#REF!+#REF!+#REF!+#REF!+#REF!+#REF!+#REF!+#REF!+#REF!+#REF!+#REF!+#REF!+#REF!+#REF!</f>
        <v>#REF!</v>
      </c>
      <c r="O9" s="5" t="e">
        <f>#REF!+#REF!+#REF!+#REF!+#REF!+#REF!+#REF!+#REF!+#REF!+#REF!+#REF!+#REF!+#REF!+#REF!</f>
        <v>#REF!</v>
      </c>
      <c r="P9" s="5" t="e">
        <f>#REF!+#REF!+#REF!+#REF!+#REF!+#REF!+#REF!+#REF!+#REF!+#REF!+#REF!+#REF!+#REF!+#REF!</f>
        <v>#REF!</v>
      </c>
      <c r="Q9" s="5" t="e">
        <f>#REF!+#REF!+#REF!+#REF!+#REF!+#REF!+#REF!+#REF!+#REF!+#REF!+#REF!+#REF!+#REF!+#REF!</f>
        <v>#REF!</v>
      </c>
      <c r="R9" s="5" t="e">
        <f>#REF!+#REF!+#REF!+#REF!+#REF!+#REF!+#REF!+#REF!+#REF!+#REF!+#REF!+#REF!+#REF!+#REF!</f>
        <v>#REF!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5">
      <c r="A10" s="1" t="s">
        <v>24</v>
      </c>
      <c r="B10" s="1" t="str">
        <f>VLOOKUP(A10,[25]LISTADHERENT!A$5:H$60,3,0)</f>
        <v>DJOUKWE NANGUEN GUY BLAISE</v>
      </c>
      <c r="C10" s="5" t="e">
        <f>#REF!+#REF!+#REF!+#REF!+#REF!+#REF!+#REF!+#REF!+#REF!+#REF!+#REF!+#REF!+#REF!+#REF!</f>
        <v>#REF!</v>
      </c>
      <c r="D10" s="5" t="e">
        <f>#REF!+#REF!+#REF!+#REF!+#REF!+#REF!+#REF!+#REF!+#REF!+#REF!+#REF!+#REF!+#REF!+#REF!</f>
        <v>#REF!</v>
      </c>
      <c r="E10" s="5" t="e">
        <f>#REF!+#REF!+#REF!+#REF!+#REF!+#REF!+#REF!+#REF!+#REF!+#REF!+#REF!+#REF!+#REF!+#REF!</f>
        <v>#REF!</v>
      </c>
      <c r="F10" s="5" t="e">
        <f>#REF!+#REF!+#REF!+#REF!+#REF!+#REF!+#REF!+#REF!+#REF!+#REF!+#REF!+#REF!+#REF!+#REF!</f>
        <v>#REF!</v>
      </c>
      <c r="G10" s="5" t="e">
        <f>#REF!+#REF!+#REF!+#REF!+#REF!+#REF!+#REF!+#REF!+#REF!+#REF!+#REF!+#REF!+#REF!+#REF!</f>
        <v>#REF!</v>
      </c>
      <c r="H10" s="5" t="e">
        <f>#REF!+#REF!+#REF!+#REF!+#REF!+#REF!+#REF!+#REF!+#REF!+#REF!+#REF!+#REF!+#REF!+#REF!</f>
        <v>#REF!</v>
      </c>
      <c r="I10" s="5" t="e">
        <f>#REF!+#REF!+#REF!+#REF!+#REF!+#REF!+#REF!+#REF!+#REF!+#REF!+#REF!+#REF!+#REF!+#REF!</f>
        <v>#REF!</v>
      </c>
      <c r="J10" s="5" t="e">
        <f>#REF!+#REF!+#REF!+#REF!+#REF!+#REF!+#REF!+#REF!+#REF!+#REF!+#REF!+#REF!+#REF!+#REF!</f>
        <v>#REF!</v>
      </c>
      <c r="K10" s="5" t="e">
        <f>#REF!+#REF!+#REF!+#REF!+#REF!+#REF!+#REF!+#REF!+#REF!+#REF!+#REF!+#REF!+#REF!+#REF!</f>
        <v>#REF!</v>
      </c>
      <c r="L10" s="5" t="e">
        <f>#REF!+#REF!+#REF!+#REF!+#REF!+#REF!+#REF!+#REF!+#REF!+#REF!+#REF!+#REF!+#REF!+#REF!</f>
        <v>#REF!</v>
      </c>
      <c r="M10" s="5" t="e">
        <f>#REF!+#REF!+#REF!+#REF!+#REF!+#REF!+#REF!+#REF!+#REF!+#REF!+#REF!+#REF!+#REF!+#REF!</f>
        <v>#REF!</v>
      </c>
      <c r="N10" s="5" t="e">
        <f>#REF!+#REF!+#REF!+#REF!+#REF!+#REF!+#REF!+#REF!+#REF!+#REF!+#REF!+#REF!+#REF!+#REF!</f>
        <v>#REF!</v>
      </c>
      <c r="O10" s="5" t="e">
        <f>#REF!+#REF!+#REF!+#REF!+#REF!+#REF!+#REF!+#REF!+#REF!+#REF!+#REF!+#REF!+#REF!+#REF!</f>
        <v>#REF!</v>
      </c>
      <c r="P10" s="5" t="e">
        <f>#REF!+#REF!+#REF!+#REF!+#REF!+#REF!+#REF!+#REF!+#REF!+#REF!+#REF!+#REF!+#REF!+#REF!</f>
        <v>#REF!</v>
      </c>
      <c r="Q10" s="5" t="e">
        <f>#REF!+#REF!+#REF!+#REF!+#REF!+#REF!+#REF!+#REF!+#REF!+#REF!+#REF!+#REF!+#REF!+#REF!</f>
        <v>#REF!</v>
      </c>
      <c r="R10" s="5" t="e">
        <f>#REF!+#REF!+#REF!+#REF!+#REF!+#REF!+#REF!+#REF!+#REF!+#REF!+#REF!+#REF!+#REF!+#REF!</f>
        <v>#REF!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5">
      <c r="A11" s="1" t="s">
        <v>25</v>
      </c>
      <c r="B11" s="1" t="str">
        <f>VLOOKUP(A11,[25]LISTADHERENT!A$5:H$60,3,0)</f>
        <v>DJUOMBESSY ANTOINE</v>
      </c>
      <c r="C11" s="5" t="e">
        <f>#REF!+#REF!+#REF!+#REF!+#REF!+#REF!+#REF!+#REF!+#REF!+#REF!+#REF!+#REF!+#REF!+#REF!</f>
        <v>#REF!</v>
      </c>
      <c r="D11" s="5" t="e">
        <f>#REF!+#REF!+#REF!+#REF!+#REF!+#REF!+#REF!+#REF!+#REF!+#REF!+#REF!+#REF!+#REF!+#REF!</f>
        <v>#REF!</v>
      </c>
      <c r="E11" s="5" t="e">
        <f>#REF!+#REF!+#REF!+#REF!+#REF!+#REF!+#REF!+#REF!+#REF!+#REF!+#REF!+#REF!+#REF!+#REF!</f>
        <v>#REF!</v>
      </c>
      <c r="F11" s="5" t="e">
        <f>#REF!+#REF!+#REF!+#REF!+#REF!+#REF!+#REF!+#REF!+#REF!+#REF!+#REF!+#REF!+#REF!+#REF!</f>
        <v>#REF!</v>
      </c>
      <c r="G11" s="5" t="e">
        <f>#REF!+#REF!+#REF!+#REF!+#REF!+#REF!+#REF!+#REF!+#REF!+#REF!+#REF!+#REF!+#REF!+#REF!</f>
        <v>#REF!</v>
      </c>
      <c r="H11" s="5" t="e">
        <f>#REF!+#REF!+#REF!+#REF!+#REF!+#REF!+#REF!+#REF!+#REF!+#REF!+#REF!+#REF!+#REF!+#REF!</f>
        <v>#REF!</v>
      </c>
      <c r="I11" s="5" t="e">
        <f>#REF!+#REF!+#REF!+#REF!+#REF!+#REF!+#REF!+#REF!+#REF!+#REF!+#REF!+#REF!+#REF!+#REF!</f>
        <v>#REF!</v>
      </c>
      <c r="J11" s="5" t="e">
        <f>#REF!+#REF!+#REF!+#REF!+#REF!+#REF!+#REF!+#REF!+#REF!+#REF!+#REF!+#REF!+#REF!+#REF!</f>
        <v>#REF!</v>
      </c>
      <c r="K11" s="5" t="e">
        <f>#REF!+#REF!+#REF!+#REF!+#REF!+#REF!+#REF!+#REF!+#REF!+#REF!+#REF!+#REF!+#REF!+#REF!</f>
        <v>#REF!</v>
      </c>
      <c r="L11" s="5" t="e">
        <f>#REF!+#REF!+#REF!+#REF!+#REF!+#REF!+#REF!+#REF!+#REF!+#REF!+#REF!+#REF!+#REF!+#REF!</f>
        <v>#REF!</v>
      </c>
      <c r="M11" s="5" t="e">
        <f>#REF!+#REF!+#REF!+#REF!+#REF!+#REF!+#REF!+#REF!+#REF!+#REF!+#REF!+#REF!+#REF!+#REF!</f>
        <v>#REF!</v>
      </c>
      <c r="N11" s="5" t="e">
        <f>#REF!+#REF!+#REF!+#REF!+#REF!+#REF!+#REF!+#REF!+#REF!+#REF!+#REF!+#REF!+#REF!+#REF!</f>
        <v>#REF!</v>
      </c>
      <c r="O11" s="5" t="e">
        <f>#REF!+#REF!+#REF!+#REF!+#REF!+#REF!+#REF!+#REF!+#REF!+#REF!+#REF!+#REF!+#REF!+#REF!</f>
        <v>#REF!</v>
      </c>
      <c r="P11" s="5" t="e">
        <f>#REF!+#REF!+#REF!+#REF!+#REF!+#REF!+#REF!+#REF!+#REF!+#REF!+#REF!+#REF!+#REF!+#REF!</f>
        <v>#REF!</v>
      </c>
      <c r="Q11" s="5" t="e">
        <f>#REF!+#REF!+#REF!+#REF!+#REF!+#REF!+#REF!+#REF!+#REF!+#REF!+#REF!+#REF!+#REF!+#REF!</f>
        <v>#REF!</v>
      </c>
      <c r="R11" s="5" t="e">
        <f>#REF!+#REF!+#REF!+#REF!+#REF!+#REF!+#REF!+#REF!+#REF!+#REF!+#REF!+#REF!+#REF!+#REF!</f>
        <v>#REF!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1" t="s">
        <v>79</v>
      </c>
      <c r="B12" s="1" t="str">
        <f>VLOOKUP(A12,[25]LISTADHERENT!A$5:H$60,3,0)</f>
        <v>DOMOU FABIEN</v>
      </c>
      <c r="C12" s="5" t="e">
        <f>#REF!+#REF!+#REF!+#REF!+#REF!+#REF!+#REF!+#REF!+#REF!+#REF!+#REF!+#REF!+#REF!+#REF!</f>
        <v>#REF!</v>
      </c>
      <c r="D12" s="5" t="e">
        <f>#REF!+#REF!+#REF!+#REF!+#REF!+#REF!+#REF!+#REF!+#REF!+#REF!+#REF!+#REF!+#REF!+#REF!</f>
        <v>#REF!</v>
      </c>
      <c r="E12" s="5" t="e">
        <f>#REF!+#REF!+#REF!+#REF!+#REF!+#REF!+#REF!+#REF!+#REF!+#REF!+#REF!+#REF!+#REF!+#REF!</f>
        <v>#REF!</v>
      </c>
      <c r="F12" s="5" t="e">
        <f>#REF!+#REF!+#REF!+#REF!+#REF!+#REF!+#REF!+#REF!+#REF!+#REF!+#REF!+#REF!+#REF!+#REF!</f>
        <v>#REF!</v>
      </c>
      <c r="G12" s="5" t="e">
        <f>#REF!+#REF!+#REF!+#REF!+#REF!+#REF!+#REF!+#REF!+#REF!+#REF!+#REF!+#REF!+#REF!+#REF!</f>
        <v>#REF!</v>
      </c>
      <c r="H12" s="5" t="e">
        <f>#REF!+#REF!+#REF!+#REF!+#REF!+#REF!+#REF!+#REF!+#REF!+#REF!+#REF!+#REF!+#REF!+#REF!</f>
        <v>#REF!</v>
      </c>
      <c r="I12" s="5" t="e">
        <f>#REF!+#REF!+#REF!+#REF!+#REF!+#REF!+#REF!+#REF!+#REF!+#REF!+#REF!+#REF!+#REF!+#REF!</f>
        <v>#REF!</v>
      </c>
      <c r="J12" s="5" t="e">
        <f>#REF!+#REF!+#REF!+#REF!+#REF!+#REF!+#REF!+#REF!+#REF!+#REF!+#REF!+#REF!+#REF!+#REF!</f>
        <v>#REF!</v>
      </c>
      <c r="K12" s="5" t="e">
        <f>#REF!+#REF!+#REF!+#REF!+#REF!+#REF!+#REF!+#REF!+#REF!+#REF!+#REF!+#REF!+#REF!+#REF!</f>
        <v>#REF!</v>
      </c>
      <c r="L12" s="5" t="e">
        <f>#REF!+#REF!+#REF!+#REF!+#REF!+#REF!+#REF!+#REF!+#REF!+#REF!+#REF!+#REF!+#REF!+#REF!</f>
        <v>#REF!</v>
      </c>
      <c r="M12" s="5" t="e">
        <f>#REF!+#REF!+#REF!+#REF!+#REF!+#REF!+#REF!+#REF!+#REF!+#REF!+#REF!+#REF!+#REF!+#REF!</f>
        <v>#REF!</v>
      </c>
      <c r="N12" s="5" t="e">
        <f>#REF!+#REF!+#REF!+#REF!+#REF!+#REF!+#REF!+#REF!+#REF!+#REF!+#REF!+#REF!+#REF!+#REF!</f>
        <v>#REF!</v>
      </c>
      <c r="O12" s="5" t="e">
        <f>#REF!+#REF!+#REF!+#REF!+#REF!+#REF!+#REF!+#REF!+#REF!+#REF!+#REF!+#REF!+#REF!+#REF!</f>
        <v>#REF!</v>
      </c>
      <c r="P12" s="5" t="e">
        <f>#REF!+#REF!+#REF!+#REF!+#REF!+#REF!+#REF!+#REF!+#REF!+#REF!+#REF!+#REF!+#REF!+#REF!</f>
        <v>#REF!</v>
      </c>
      <c r="Q12" s="5" t="e">
        <f>#REF!+#REF!+#REF!+#REF!+#REF!+#REF!+#REF!+#REF!+#REF!+#REF!+#REF!+#REF!+#REF!+#REF!</f>
        <v>#REF!</v>
      </c>
      <c r="R12" s="5" t="e">
        <f>#REF!+#REF!+#REF!+#REF!+#REF!+#REF!+#REF!+#REF!+#REF!+#REF!+#REF!+#REF!+#REF!+#REF!</f>
        <v>#REF!</v>
      </c>
      <c r="V12" s="2"/>
      <c r="W12" s="2"/>
      <c r="X12" s="2"/>
      <c r="Y12" s="2"/>
      <c r="Z12" s="2"/>
      <c r="AA12" s="2"/>
      <c r="AB12" s="2"/>
    </row>
    <row r="13" spans="1:28" x14ac:dyDescent="0.35">
      <c r="A13" s="1" t="s">
        <v>26</v>
      </c>
      <c r="B13" s="1" t="str">
        <f>VLOOKUP(A13,[25]LISTADHERENT!A$5:H$60,3,0)</f>
        <v>DONHOU DAVID</v>
      </c>
      <c r="C13" s="5" t="e">
        <f>#REF!+#REF!+#REF!+#REF!+#REF!+#REF!+#REF!+#REF!+#REF!+#REF!+#REF!+#REF!+#REF!+#REF!</f>
        <v>#REF!</v>
      </c>
      <c r="D13" s="5" t="e">
        <f>#REF!+#REF!+#REF!+#REF!+#REF!+#REF!+#REF!+#REF!+#REF!+#REF!+#REF!+#REF!+#REF!+#REF!</f>
        <v>#REF!</v>
      </c>
      <c r="E13" s="5" t="e">
        <f>#REF!+#REF!+#REF!+#REF!+#REF!+#REF!+#REF!+#REF!+#REF!+#REF!+#REF!+#REF!+#REF!+#REF!</f>
        <v>#REF!</v>
      </c>
      <c r="F13" s="5" t="e">
        <f>#REF!+#REF!+#REF!+#REF!+#REF!+#REF!+#REF!+#REF!+#REF!+#REF!+#REF!+#REF!+#REF!+#REF!</f>
        <v>#REF!</v>
      </c>
      <c r="G13" s="5" t="e">
        <f>#REF!+#REF!+#REF!+#REF!+#REF!+#REF!+#REF!+#REF!+#REF!+#REF!+#REF!+#REF!+#REF!+#REF!</f>
        <v>#REF!</v>
      </c>
      <c r="H13" s="5" t="e">
        <f>#REF!+#REF!+#REF!+#REF!+#REF!+#REF!+#REF!+#REF!+#REF!+#REF!+#REF!+#REF!+#REF!+#REF!</f>
        <v>#REF!</v>
      </c>
      <c r="I13" s="5" t="e">
        <f>#REF!+#REF!+#REF!+#REF!+#REF!+#REF!+#REF!+#REF!+#REF!+#REF!+#REF!+#REF!+#REF!+#REF!</f>
        <v>#REF!</v>
      </c>
      <c r="J13" s="5" t="e">
        <f>#REF!+#REF!+#REF!+#REF!+#REF!+#REF!+#REF!+#REF!+#REF!+#REF!+#REF!+#REF!+#REF!+#REF!</f>
        <v>#REF!</v>
      </c>
      <c r="K13" s="5" t="e">
        <f>#REF!+#REF!+#REF!+#REF!+#REF!+#REF!+#REF!+#REF!+#REF!+#REF!+#REF!+#REF!+#REF!+#REF!</f>
        <v>#REF!</v>
      </c>
      <c r="L13" s="5" t="e">
        <f>#REF!+#REF!+#REF!+#REF!+#REF!+#REF!+#REF!+#REF!+#REF!+#REF!+#REF!+#REF!+#REF!+#REF!</f>
        <v>#REF!</v>
      </c>
      <c r="M13" s="5" t="e">
        <f>#REF!+#REF!+#REF!+#REF!+#REF!+#REF!+#REF!+#REF!+#REF!+#REF!+#REF!+#REF!+#REF!+#REF!</f>
        <v>#REF!</v>
      </c>
      <c r="N13" s="5" t="e">
        <f>#REF!+#REF!+#REF!+#REF!+#REF!+#REF!+#REF!+#REF!+#REF!+#REF!+#REF!+#REF!+#REF!+#REF!</f>
        <v>#REF!</v>
      </c>
      <c r="O13" s="5" t="e">
        <f>#REF!+#REF!+#REF!+#REF!+#REF!+#REF!+#REF!+#REF!+#REF!+#REF!+#REF!+#REF!+#REF!+#REF!</f>
        <v>#REF!</v>
      </c>
      <c r="P13" s="5" t="e">
        <f>#REF!+#REF!+#REF!+#REF!+#REF!+#REF!+#REF!+#REF!+#REF!+#REF!+#REF!+#REF!+#REF!+#REF!</f>
        <v>#REF!</v>
      </c>
      <c r="Q13" s="5" t="e">
        <f>#REF!+#REF!+#REF!+#REF!+#REF!+#REF!+#REF!+#REF!+#REF!+#REF!+#REF!+#REF!+#REF!+#REF!</f>
        <v>#REF!</v>
      </c>
      <c r="R13" s="5" t="e">
        <f>#REF!+#REF!+#REF!+#REF!+#REF!+#REF!+#REF!+#REF!+#REF!+#REF!+#REF!+#REF!+#REF!+#REF!</f>
        <v>#REF!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1" t="s">
        <v>27</v>
      </c>
      <c r="B14" s="1" t="str">
        <f>VLOOKUP(A14,[25]LISTADHERENT!A$5:H$60,3,0)</f>
        <v>FOTSO THOMAS</v>
      </c>
      <c r="C14" s="5" t="e">
        <f>#REF!+#REF!+#REF!+#REF!+#REF!+#REF!+#REF!+#REF!+#REF!+#REF!+#REF!+#REF!+#REF!+#REF!</f>
        <v>#REF!</v>
      </c>
      <c r="D14" s="5" t="e">
        <f>#REF!+#REF!+#REF!+#REF!+#REF!+#REF!+#REF!+#REF!+#REF!+#REF!+#REF!+#REF!+#REF!+#REF!</f>
        <v>#REF!</v>
      </c>
      <c r="E14" s="5" t="e">
        <f>#REF!+#REF!+#REF!+#REF!+#REF!+#REF!+#REF!+#REF!+#REF!+#REF!+#REF!+#REF!+#REF!+#REF!</f>
        <v>#REF!</v>
      </c>
      <c r="F14" s="5" t="e">
        <f>#REF!+#REF!+#REF!+#REF!+#REF!+#REF!+#REF!+#REF!+#REF!+#REF!+#REF!+#REF!+#REF!+#REF!</f>
        <v>#REF!</v>
      </c>
      <c r="G14" s="5" t="e">
        <f>#REF!+#REF!+#REF!+#REF!+#REF!+#REF!+#REF!+#REF!+#REF!+#REF!+#REF!+#REF!+#REF!+#REF!</f>
        <v>#REF!</v>
      </c>
      <c r="H14" s="5" t="e">
        <f>#REF!+#REF!+#REF!+#REF!+#REF!+#REF!+#REF!+#REF!+#REF!+#REF!+#REF!+#REF!+#REF!+#REF!</f>
        <v>#REF!</v>
      </c>
      <c r="I14" s="5" t="e">
        <f>#REF!+#REF!+#REF!+#REF!+#REF!+#REF!+#REF!+#REF!+#REF!+#REF!+#REF!+#REF!+#REF!+#REF!</f>
        <v>#REF!</v>
      </c>
      <c r="J14" s="5" t="e">
        <f>#REF!+#REF!+#REF!+#REF!+#REF!+#REF!+#REF!+#REF!+#REF!+#REF!+#REF!+#REF!+#REF!+#REF!</f>
        <v>#REF!</v>
      </c>
      <c r="K14" s="5" t="e">
        <f>#REF!+#REF!+#REF!+#REF!+#REF!+#REF!+#REF!+#REF!+#REF!+#REF!+#REF!+#REF!+#REF!+#REF!</f>
        <v>#REF!</v>
      </c>
      <c r="L14" s="5" t="e">
        <f>#REF!+#REF!+#REF!+#REF!+#REF!+#REF!+#REF!+#REF!+#REF!+#REF!+#REF!+#REF!+#REF!+#REF!</f>
        <v>#REF!</v>
      </c>
      <c r="M14" s="5" t="e">
        <f>#REF!+#REF!+#REF!+#REF!+#REF!+#REF!+#REF!+#REF!+#REF!+#REF!+#REF!+#REF!+#REF!+#REF!</f>
        <v>#REF!</v>
      </c>
      <c r="N14" s="5" t="e">
        <f>#REF!+#REF!+#REF!+#REF!+#REF!+#REF!+#REF!+#REF!+#REF!+#REF!+#REF!+#REF!+#REF!+#REF!</f>
        <v>#REF!</v>
      </c>
      <c r="O14" s="5" t="e">
        <f>#REF!+#REF!+#REF!+#REF!+#REF!+#REF!+#REF!+#REF!+#REF!+#REF!+#REF!+#REF!+#REF!+#REF!</f>
        <v>#REF!</v>
      </c>
      <c r="P14" s="5" t="e">
        <f>#REF!+#REF!+#REF!+#REF!+#REF!+#REF!+#REF!+#REF!+#REF!+#REF!+#REF!+#REF!+#REF!+#REF!</f>
        <v>#REF!</v>
      </c>
      <c r="Q14" s="5" t="e">
        <f>#REF!+#REF!+#REF!+#REF!+#REF!+#REF!+#REF!+#REF!+#REF!+#REF!+#REF!+#REF!+#REF!+#REF!</f>
        <v>#REF!</v>
      </c>
      <c r="R14" s="5" t="e">
        <f>#REF!+#REF!+#REF!+#REF!+#REF!+#REF!+#REF!+#REF!+#REF!+#REF!+#REF!+#REF!+#REF!+#REF!</f>
        <v>#REF!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5">
      <c r="A15" s="1" t="s">
        <v>28</v>
      </c>
      <c r="B15" s="1" t="str">
        <f>VLOOKUP(A15,[25]LISTADHERENT!A$5:H$60,3,0)</f>
        <v>HENGUE PAUL OMER</v>
      </c>
      <c r="C15" s="5" t="e">
        <f>#REF!+#REF!+#REF!+#REF!+#REF!+#REF!+#REF!+#REF!+#REF!+#REF!+#REF!+#REF!+#REF!+#REF!</f>
        <v>#REF!</v>
      </c>
      <c r="D15" s="5" t="e">
        <f>#REF!+#REF!+#REF!+#REF!+#REF!+#REF!+#REF!+#REF!+#REF!+#REF!+#REF!+#REF!+#REF!+#REF!</f>
        <v>#REF!</v>
      </c>
      <c r="E15" s="5" t="e">
        <f>#REF!+#REF!+#REF!+#REF!+#REF!+#REF!+#REF!+#REF!+#REF!+#REF!+#REF!+#REF!+#REF!+#REF!</f>
        <v>#REF!</v>
      </c>
      <c r="F15" s="5" t="e">
        <f>#REF!+#REF!+#REF!+#REF!+#REF!+#REF!+#REF!+#REF!+#REF!+#REF!+#REF!+#REF!+#REF!+#REF!</f>
        <v>#REF!</v>
      </c>
      <c r="G15" s="5" t="e">
        <f>#REF!+#REF!+#REF!+#REF!+#REF!+#REF!+#REF!+#REF!+#REF!+#REF!+#REF!+#REF!+#REF!+#REF!</f>
        <v>#REF!</v>
      </c>
      <c r="H15" s="5" t="e">
        <f>#REF!+#REF!+#REF!+#REF!+#REF!+#REF!+#REF!+#REF!+#REF!+#REF!+#REF!+#REF!+#REF!+#REF!</f>
        <v>#REF!</v>
      </c>
      <c r="I15" s="5" t="e">
        <f>#REF!+#REF!+#REF!+#REF!+#REF!+#REF!+#REF!+#REF!+#REF!+#REF!+#REF!+#REF!+#REF!+#REF!</f>
        <v>#REF!</v>
      </c>
      <c r="J15" s="5" t="e">
        <f>#REF!+#REF!+#REF!+#REF!+#REF!+#REF!+#REF!+#REF!+#REF!+#REF!+#REF!+#REF!+#REF!+#REF!</f>
        <v>#REF!</v>
      </c>
      <c r="K15" s="5" t="e">
        <f>#REF!+#REF!+#REF!+#REF!+#REF!+#REF!+#REF!+#REF!+#REF!+#REF!+#REF!+#REF!+#REF!+#REF!</f>
        <v>#REF!</v>
      </c>
      <c r="L15" s="5" t="e">
        <f>#REF!+#REF!+#REF!+#REF!+#REF!+#REF!+#REF!+#REF!+#REF!+#REF!+#REF!+#REF!+#REF!+#REF!</f>
        <v>#REF!</v>
      </c>
      <c r="M15" s="5" t="e">
        <f>#REF!+#REF!+#REF!+#REF!+#REF!+#REF!+#REF!+#REF!+#REF!+#REF!+#REF!+#REF!+#REF!+#REF!</f>
        <v>#REF!</v>
      </c>
      <c r="N15" s="5" t="e">
        <f>#REF!+#REF!+#REF!+#REF!+#REF!+#REF!+#REF!+#REF!+#REF!+#REF!+#REF!+#REF!+#REF!+#REF!</f>
        <v>#REF!</v>
      </c>
      <c r="O15" s="5" t="e">
        <f>#REF!+#REF!+#REF!+#REF!+#REF!+#REF!+#REF!+#REF!+#REF!+#REF!+#REF!+#REF!+#REF!+#REF!</f>
        <v>#REF!</v>
      </c>
      <c r="P15" s="5" t="e">
        <f>#REF!+#REF!+#REF!+#REF!+#REF!+#REF!+#REF!+#REF!+#REF!+#REF!+#REF!+#REF!+#REF!+#REF!</f>
        <v>#REF!</v>
      </c>
      <c r="Q15" s="5" t="e">
        <f>#REF!+#REF!+#REF!+#REF!+#REF!+#REF!+#REF!+#REF!+#REF!+#REF!+#REF!+#REF!+#REF!+#REF!</f>
        <v>#REF!</v>
      </c>
      <c r="R15" s="5" t="e">
        <f>#REF!+#REF!+#REF!+#REF!+#REF!+#REF!+#REF!+#REF!+#REF!+#REF!+#REF!+#REF!+#REF!+#REF!</f>
        <v>#REF!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35">
      <c r="A16" s="1" t="s">
        <v>29</v>
      </c>
      <c r="B16" s="1" t="str">
        <f>VLOOKUP(A16,[25]LISTADHERENT!A$5:H$60,3,0)</f>
        <v>HOTCHO BENJAMIN</v>
      </c>
      <c r="C16" s="5" t="e">
        <f>#REF!+#REF!+#REF!+#REF!+#REF!+#REF!+#REF!+#REF!+#REF!+#REF!+#REF!+#REF!+#REF!+#REF!</f>
        <v>#REF!</v>
      </c>
      <c r="D16" s="5" t="e">
        <f>#REF!+#REF!+#REF!+#REF!+#REF!+#REF!+#REF!+#REF!+#REF!+#REF!+#REF!+#REF!+#REF!+#REF!</f>
        <v>#REF!</v>
      </c>
      <c r="E16" s="5" t="e">
        <f>#REF!+#REF!+#REF!+#REF!+#REF!+#REF!+#REF!+#REF!+#REF!+#REF!+#REF!+#REF!+#REF!+#REF!</f>
        <v>#REF!</v>
      </c>
      <c r="F16" s="5" t="e">
        <f>#REF!+#REF!+#REF!+#REF!+#REF!+#REF!+#REF!+#REF!+#REF!+#REF!+#REF!+#REF!+#REF!+#REF!</f>
        <v>#REF!</v>
      </c>
      <c r="G16" s="5" t="e">
        <f>#REF!+#REF!+#REF!+#REF!+#REF!+#REF!+#REF!+#REF!+#REF!+#REF!+#REF!+#REF!+#REF!+#REF!</f>
        <v>#REF!</v>
      </c>
      <c r="H16" s="5" t="e">
        <f>#REF!+#REF!+#REF!+#REF!+#REF!+#REF!+#REF!+#REF!+#REF!+#REF!+#REF!+#REF!+#REF!+#REF!</f>
        <v>#REF!</v>
      </c>
      <c r="I16" s="5" t="e">
        <f>#REF!+#REF!+#REF!+#REF!+#REF!+#REF!+#REF!+#REF!+#REF!+#REF!+#REF!+#REF!+#REF!+#REF!</f>
        <v>#REF!</v>
      </c>
      <c r="J16" s="5" t="e">
        <f>#REF!+#REF!+#REF!+#REF!+#REF!+#REF!+#REF!+#REF!+#REF!+#REF!+#REF!+#REF!+#REF!+#REF!</f>
        <v>#REF!</v>
      </c>
      <c r="K16" s="5" t="e">
        <f>#REF!+#REF!+#REF!+#REF!+#REF!+#REF!+#REF!+#REF!+#REF!+#REF!+#REF!+#REF!+#REF!+#REF!</f>
        <v>#REF!</v>
      </c>
      <c r="L16" s="5" t="e">
        <f>#REF!+#REF!+#REF!+#REF!+#REF!+#REF!+#REF!+#REF!+#REF!+#REF!+#REF!+#REF!+#REF!+#REF!</f>
        <v>#REF!</v>
      </c>
      <c r="M16" s="5" t="e">
        <f>#REF!+#REF!+#REF!+#REF!+#REF!+#REF!+#REF!+#REF!+#REF!+#REF!+#REF!+#REF!+#REF!+#REF!</f>
        <v>#REF!</v>
      </c>
      <c r="N16" s="5" t="e">
        <f>#REF!+#REF!+#REF!+#REF!+#REF!+#REF!+#REF!+#REF!+#REF!+#REF!+#REF!+#REF!+#REF!+#REF!</f>
        <v>#REF!</v>
      </c>
      <c r="O16" s="5" t="e">
        <f>#REF!+#REF!+#REF!+#REF!+#REF!+#REF!+#REF!+#REF!+#REF!+#REF!+#REF!+#REF!+#REF!+#REF!</f>
        <v>#REF!</v>
      </c>
      <c r="P16" s="5" t="e">
        <f>#REF!+#REF!+#REF!+#REF!+#REF!+#REF!+#REF!+#REF!+#REF!+#REF!+#REF!+#REF!+#REF!+#REF!</f>
        <v>#REF!</v>
      </c>
      <c r="Q16" s="5" t="e">
        <f>#REF!+#REF!+#REF!+#REF!+#REF!+#REF!+#REF!+#REF!+#REF!+#REF!+#REF!+#REF!+#REF!+#REF!</f>
        <v>#REF!</v>
      </c>
      <c r="R16" s="5" t="e">
        <f>#REF!+#REF!+#REF!+#REF!+#REF!+#REF!+#REF!+#REF!+#REF!+#REF!+#REF!+#REF!+#REF!+#REF!</f>
        <v>#REF!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35">
      <c r="A17" s="1" t="s">
        <v>31</v>
      </c>
      <c r="B17" s="1" t="str">
        <f>VLOOKUP(A17,[25]LISTADHERENT!A$5:H$60,3,0)</f>
        <v>KEPSEU FRANCIS</v>
      </c>
      <c r="C17" s="5" t="e">
        <f>#REF!+#REF!+#REF!+#REF!+#REF!+#REF!+#REF!+#REF!+#REF!+#REF!+#REF!+#REF!+#REF!+#REF!</f>
        <v>#REF!</v>
      </c>
      <c r="D17" s="5" t="e">
        <f>#REF!+#REF!+#REF!+#REF!+#REF!+#REF!+#REF!+#REF!+#REF!+#REF!+#REF!+#REF!+#REF!+#REF!</f>
        <v>#REF!</v>
      </c>
      <c r="E17" s="5" t="e">
        <f>#REF!+#REF!+#REF!+#REF!+#REF!+#REF!+#REF!+#REF!+#REF!+#REF!+#REF!+#REF!+#REF!+#REF!</f>
        <v>#REF!</v>
      </c>
      <c r="F17" s="5" t="e">
        <f>#REF!+#REF!+#REF!+#REF!+#REF!+#REF!+#REF!+#REF!+#REF!+#REF!+#REF!+#REF!+#REF!+#REF!</f>
        <v>#REF!</v>
      </c>
      <c r="G17" s="5" t="e">
        <f>#REF!+#REF!+#REF!+#REF!+#REF!+#REF!+#REF!+#REF!+#REF!+#REF!+#REF!+#REF!+#REF!+#REF!</f>
        <v>#REF!</v>
      </c>
      <c r="H17" s="5" t="e">
        <f>#REF!+#REF!+#REF!+#REF!+#REF!+#REF!+#REF!+#REF!+#REF!+#REF!+#REF!+#REF!+#REF!+#REF!</f>
        <v>#REF!</v>
      </c>
      <c r="I17" s="5" t="e">
        <f>#REF!+#REF!+#REF!+#REF!+#REF!+#REF!+#REF!+#REF!+#REF!+#REF!+#REF!+#REF!+#REF!+#REF!</f>
        <v>#REF!</v>
      </c>
      <c r="J17" s="5" t="e">
        <f>#REF!+#REF!+#REF!+#REF!+#REF!+#REF!+#REF!+#REF!+#REF!+#REF!+#REF!+#REF!+#REF!+#REF!</f>
        <v>#REF!</v>
      </c>
      <c r="K17" s="5" t="e">
        <f>#REF!+#REF!+#REF!+#REF!+#REF!+#REF!+#REF!+#REF!+#REF!+#REF!+#REF!+#REF!+#REF!+#REF!</f>
        <v>#REF!</v>
      </c>
      <c r="L17" s="5" t="e">
        <f>#REF!+#REF!+#REF!+#REF!+#REF!+#REF!+#REF!+#REF!+#REF!+#REF!+#REF!+#REF!+#REF!+#REF!</f>
        <v>#REF!</v>
      </c>
      <c r="M17" s="5" t="e">
        <f>#REF!+#REF!+#REF!+#REF!+#REF!+#REF!+#REF!+#REF!+#REF!+#REF!+#REF!+#REF!+#REF!+#REF!</f>
        <v>#REF!</v>
      </c>
      <c r="N17" s="5" t="e">
        <f>#REF!+#REF!+#REF!+#REF!+#REF!+#REF!+#REF!+#REF!+#REF!+#REF!+#REF!+#REF!+#REF!+#REF!</f>
        <v>#REF!</v>
      </c>
      <c r="O17" s="5" t="e">
        <f>#REF!+#REF!+#REF!+#REF!+#REF!+#REF!+#REF!+#REF!+#REF!+#REF!+#REF!+#REF!+#REF!+#REF!</f>
        <v>#REF!</v>
      </c>
      <c r="P17" s="5" t="e">
        <f>#REF!+#REF!+#REF!+#REF!+#REF!+#REF!+#REF!+#REF!+#REF!+#REF!+#REF!+#REF!+#REF!+#REF!</f>
        <v>#REF!</v>
      </c>
      <c r="Q17" s="5" t="e">
        <f>#REF!+#REF!+#REF!+#REF!+#REF!+#REF!+#REF!+#REF!+#REF!+#REF!+#REF!+#REF!+#REF!+#REF!</f>
        <v>#REF!</v>
      </c>
      <c r="R17" s="5" t="e">
        <f>#REF!+#REF!+#REF!+#REF!+#REF!+#REF!+#REF!+#REF!+#REF!+#REF!+#REF!+#REF!+#REF!+#REF!</f>
        <v>#REF!</v>
      </c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5">
      <c r="A18" s="1" t="s">
        <v>34</v>
      </c>
      <c r="B18" s="1" t="str">
        <f>VLOOKUP(A18,[25]LISTADHERENT!A$5:H$60,3,0)</f>
        <v>KOUAMO VICTOR PEGUY</v>
      </c>
      <c r="C18" s="5" t="e">
        <f>#REF!+#REF!+#REF!+#REF!+#REF!+#REF!+#REF!+#REF!+#REF!+#REF!+#REF!+#REF!+#REF!+#REF!</f>
        <v>#REF!</v>
      </c>
      <c r="D18" s="5" t="e">
        <f>#REF!+#REF!+#REF!+#REF!+#REF!+#REF!+#REF!+#REF!+#REF!+#REF!+#REF!+#REF!+#REF!+#REF!</f>
        <v>#REF!</v>
      </c>
      <c r="E18" s="5" t="e">
        <f>#REF!+#REF!+#REF!+#REF!+#REF!+#REF!+#REF!+#REF!+#REF!+#REF!+#REF!+#REF!+#REF!+#REF!</f>
        <v>#REF!</v>
      </c>
      <c r="F18" s="5" t="e">
        <f>#REF!+#REF!+#REF!+#REF!+#REF!+#REF!+#REF!+#REF!+#REF!+#REF!+#REF!+#REF!+#REF!+#REF!</f>
        <v>#REF!</v>
      </c>
      <c r="G18" s="5" t="e">
        <f>#REF!+#REF!+#REF!+#REF!+#REF!+#REF!+#REF!+#REF!+#REF!+#REF!+#REF!+#REF!+#REF!+#REF!</f>
        <v>#REF!</v>
      </c>
      <c r="H18" s="5" t="e">
        <f>#REF!+#REF!+#REF!+#REF!+#REF!+#REF!+#REF!+#REF!+#REF!+#REF!+#REF!+#REF!+#REF!+#REF!</f>
        <v>#REF!</v>
      </c>
      <c r="I18" s="5" t="e">
        <f>#REF!+#REF!+#REF!+#REF!+#REF!+#REF!+#REF!+#REF!+#REF!+#REF!+#REF!+#REF!+#REF!+#REF!</f>
        <v>#REF!</v>
      </c>
      <c r="J18" s="5" t="e">
        <f>#REF!+#REF!+#REF!+#REF!+#REF!+#REF!+#REF!+#REF!+#REF!+#REF!+#REF!+#REF!+#REF!+#REF!</f>
        <v>#REF!</v>
      </c>
      <c r="K18" s="5" t="e">
        <f>#REF!+#REF!+#REF!+#REF!+#REF!+#REF!+#REF!+#REF!+#REF!+#REF!+#REF!+#REF!+#REF!+#REF!</f>
        <v>#REF!</v>
      </c>
      <c r="L18" s="5" t="e">
        <f>#REF!+#REF!+#REF!+#REF!+#REF!+#REF!+#REF!+#REF!+#REF!+#REF!+#REF!+#REF!+#REF!+#REF!</f>
        <v>#REF!</v>
      </c>
      <c r="M18" s="5" t="e">
        <f>#REF!+#REF!+#REF!+#REF!+#REF!+#REF!+#REF!+#REF!+#REF!+#REF!+#REF!+#REF!+#REF!+#REF!</f>
        <v>#REF!</v>
      </c>
      <c r="N18" s="5" t="e">
        <f>#REF!+#REF!+#REF!+#REF!+#REF!+#REF!+#REF!+#REF!+#REF!+#REF!+#REF!+#REF!+#REF!+#REF!</f>
        <v>#REF!</v>
      </c>
      <c r="O18" s="5" t="e">
        <f>#REF!+#REF!+#REF!+#REF!+#REF!+#REF!+#REF!+#REF!+#REF!+#REF!+#REF!+#REF!+#REF!+#REF!</f>
        <v>#REF!</v>
      </c>
      <c r="P18" s="5" t="e">
        <f>#REF!+#REF!+#REF!+#REF!+#REF!+#REF!+#REF!+#REF!+#REF!+#REF!+#REF!+#REF!+#REF!+#REF!</f>
        <v>#REF!</v>
      </c>
      <c r="Q18" s="5" t="e">
        <f>#REF!+#REF!+#REF!+#REF!+#REF!+#REF!+#REF!+#REF!+#REF!+#REF!+#REF!+#REF!+#REF!+#REF!</f>
        <v>#REF!</v>
      </c>
      <c r="R18" s="5" t="e">
        <f>#REF!+#REF!+#REF!+#REF!+#REF!+#REF!+#REF!+#REF!+#REF!+#REF!+#REF!+#REF!+#REF!+#REF!</f>
        <v>#REF!</v>
      </c>
      <c r="S18" s="5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35">
      <c r="A19" s="1" t="s">
        <v>33</v>
      </c>
      <c r="B19" s="1" t="str">
        <f>VLOOKUP(A19,[25]LISTADHERENT!A$5:H$60,3,0)</f>
        <v>KOUAMOU MOISE</v>
      </c>
      <c r="C19" s="5" t="e">
        <f>#REF!+#REF!+#REF!+#REF!+#REF!+#REF!+#REF!+#REF!+#REF!+#REF!+#REF!+#REF!+#REF!+#REF!</f>
        <v>#REF!</v>
      </c>
      <c r="D19" s="5" t="e">
        <f>#REF!+#REF!+#REF!+#REF!+#REF!+#REF!+#REF!+#REF!+#REF!+#REF!+#REF!+#REF!+#REF!+#REF!</f>
        <v>#REF!</v>
      </c>
      <c r="E19" s="5" t="e">
        <f>#REF!+#REF!+#REF!+#REF!+#REF!+#REF!+#REF!+#REF!+#REF!+#REF!+#REF!+#REF!+#REF!+#REF!</f>
        <v>#REF!</v>
      </c>
      <c r="F19" s="5" t="e">
        <f>#REF!+#REF!+#REF!+#REF!+#REF!+#REF!+#REF!+#REF!+#REF!+#REF!+#REF!+#REF!+#REF!+#REF!</f>
        <v>#REF!</v>
      </c>
      <c r="G19" s="5" t="e">
        <f>#REF!+#REF!+#REF!+#REF!+#REF!+#REF!+#REF!+#REF!+#REF!+#REF!+#REF!+#REF!+#REF!+#REF!</f>
        <v>#REF!</v>
      </c>
      <c r="H19" s="5" t="e">
        <f>#REF!+#REF!+#REF!+#REF!+#REF!+#REF!+#REF!+#REF!+#REF!+#REF!+#REF!+#REF!+#REF!+#REF!</f>
        <v>#REF!</v>
      </c>
      <c r="I19" s="5" t="e">
        <f>#REF!+#REF!+#REF!+#REF!+#REF!+#REF!+#REF!+#REF!+#REF!+#REF!+#REF!+#REF!+#REF!+#REF!</f>
        <v>#REF!</v>
      </c>
      <c r="J19" s="5" t="e">
        <f>#REF!+#REF!+#REF!+#REF!+#REF!+#REF!+#REF!+#REF!+#REF!+#REF!+#REF!+#REF!+#REF!+#REF!</f>
        <v>#REF!</v>
      </c>
      <c r="K19" s="5" t="e">
        <f>#REF!+#REF!+#REF!+#REF!+#REF!+#REF!+#REF!+#REF!+#REF!+#REF!+#REF!+#REF!+#REF!+#REF!</f>
        <v>#REF!</v>
      </c>
      <c r="L19" s="5" t="e">
        <f>#REF!+#REF!+#REF!+#REF!+#REF!+#REF!+#REF!+#REF!+#REF!+#REF!+#REF!+#REF!+#REF!+#REF!</f>
        <v>#REF!</v>
      </c>
      <c r="M19" s="5" t="e">
        <f>#REF!+#REF!+#REF!+#REF!+#REF!+#REF!+#REF!+#REF!+#REF!+#REF!+#REF!+#REF!+#REF!+#REF!</f>
        <v>#REF!</v>
      </c>
      <c r="N19" s="5" t="e">
        <f>#REF!+#REF!+#REF!+#REF!+#REF!+#REF!+#REF!+#REF!+#REF!+#REF!+#REF!+#REF!+#REF!+#REF!</f>
        <v>#REF!</v>
      </c>
      <c r="O19" s="5" t="e">
        <f>#REF!+#REF!+#REF!+#REF!+#REF!+#REF!+#REF!+#REF!+#REF!+#REF!+#REF!+#REF!+#REF!+#REF!</f>
        <v>#REF!</v>
      </c>
      <c r="P19" s="5" t="e">
        <f>#REF!+#REF!+#REF!+#REF!+#REF!+#REF!+#REF!+#REF!+#REF!+#REF!+#REF!+#REF!+#REF!+#REF!</f>
        <v>#REF!</v>
      </c>
      <c r="Q19" s="5" t="e">
        <f>#REF!+#REF!+#REF!+#REF!+#REF!+#REF!+#REF!+#REF!+#REF!+#REF!+#REF!+#REF!+#REF!+#REF!</f>
        <v>#REF!</v>
      </c>
      <c r="R19" s="5" t="e">
        <f>#REF!+#REF!+#REF!+#REF!+#REF!+#REF!+#REF!+#REF!+#REF!+#REF!+#REF!+#REF!+#REF!+#REF!</f>
        <v>#REF!</v>
      </c>
      <c r="S19" s="5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35">
      <c r="A20" s="1" t="s">
        <v>35</v>
      </c>
      <c r="B20" s="1" t="str">
        <f>VLOOKUP(A20,[25]LISTADHERENT!A$5:H$60,3,0)</f>
        <v>KOUATCHO MESSACK</v>
      </c>
      <c r="C20" s="5" t="e">
        <f>#REF!+#REF!+#REF!+#REF!+#REF!+#REF!+#REF!+#REF!+#REF!+#REF!+#REF!+#REF!+#REF!+#REF!</f>
        <v>#REF!</v>
      </c>
      <c r="D20" s="5" t="e">
        <f>#REF!+#REF!+#REF!+#REF!+#REF!+#REF!+#REF!+#REF!+#REF!+#REF!+#REF!+#REF!+#REF!+#REF!</f>
        <v>#REF!</v>
      </c>
      <c r="E20" s="5" t="e">
        <f>#REF!+#REF!+#REF!+#REF!+#REF!+#REF!+#REF!+#REF!+#REF!+#REF!+#REF!+#REF!+#REF!+#REF!</f>
        <v>#REF!</v>
      </c>
      <c r="F20" s="5" t="e">
        <f>#REF!+#REF!+#REF!+#REF!+#REF!+#REF!+#REF!+#REF!+#REF!+#REF!+#REF!+#REF!+#REF!+#REF!</f>
        <v>#REF!</v>
      </c>
      <c r="G20" s="5" t="e">
        <f>#REF!+#REF!+#REF!+#REF!+#REF!+#REF!+#REF!+#REF!+#REF!+#REF!+#REF!+#REF!+#REF!+#REF!</f>
        <v>#REF!</v>
      </c>
      <c r="H20" s="5" t="e">
        <f>#REF!+#REF!+#REF!+#REF!+#REF!+#REF!+#REF!+#REF!+#REF!+#REF!+#REF!+#REF!+#REF!+#REF!</f>
        <v>#REF!</v>
      </c>
      <c r="I20" s="5" t="e">
        <f>#REF!+#REF!+#REF!+#REF!+#REF!+#REF!+#REF!+#REF!+#REF!+#REF!+#REF!+#REF!+#REF!+#REF!</f>
        <v>#REF!</v>
      </c>
      <c r="J20" s="5" t="e">
        <f>#REF!+#REF!+#REF!+#REF!+#REF!+#REF!+#REF!+#REF!+#REF!+#REF!+#REF!+#REF!+#REF!+#REF!</f>
        <v>#REF!</v>
      </c>
      <c r="K20" s="5" t="e">
        <f>#REF!+#REF!+#REF!+#REF!+#REF!+#REF!+#REF!+#REF!+#REF!+#REF!+#REF!+#REF!+#REF!+#REF!</f>
        <v>#REF!</v>
      </c>
      <c r="L20" s="5" t="e">
        <f>#REF!+#REF!+#REF!+#REF!+#REF!+#REF!+#REF!+#REF!+#REF!+#REF!+#REF!+#REF!+#REF!+#REF!</f>
        <v>#REF!</v>
      </c>
      <c r="M20" s="5" t="e">
        <f>#REF!+#REF!+#REF!+#REF!+#REF!+#REF!+#REF!+#REF!+#REF!+#REF!+#REF!+#REF!+#REF!+#REF!</f>
        <v>#REF!</v>
      </c>
      <c r="N20" s="5" t="e">
        <f>#REF!+#REF!+#REF!+#REF!+#REF!+#REF!+#REF!+#REF!+#REF!+#REF!+#REF!+#REF!+#REF!+#REF!</f>
        <v>#REF!</v>
      </c>
      <c r="O20" s="5" t="e">
        <f>#REF!+#REF!+#REF!+#REF!+#REF!+#REF!+#REF!+#REF!+#REF!+#REF!+#REF!+#REF!+#REF!+#REF!</f>
        <v>#REF!</v>
      </c>
      <c r="P20" s="5" t="e">
        <f>#REF!+#REF!+#REF!+#REF!+#REF!+#REF!+#REF!+#REF!+#REF!+#REF!+#REF!+#REF!+#REF!+#REF!</f>
        <v>#REF!</v>
      </c>
      <c r="Q20" s="5" t="e">
        <f>#REF!+#REF!+#REF!+#REF!+#REF!+#REF!+#REF!+#REF!+#REF!+#REF!+#REF!+#REF!+#REF!+#REF!</f>
        <v>#REF!</v>
      </c>
      <c r="R20" s="5" t="e">
        <f>#REF!+#REF!+#REF!+#REF!+#REF!+#REF!+#REF!+#REF!+#REF!+#REF!+#REF!+#REF!+#REF!+#REF!</f>
        <v>#REF!</v>
      </c>
      <c r="S20" s="5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5">
      <c r="A21" s="1" t="s">
        <v>36</v>
      </c>
      <c r="B21" s="1" t="str">
        <f>VLOOKUP(A21,[25]LISTADHERENT!A$5:H$60,3,0)</f>
        <v>LOWE JEAN</v>
      </c>
      <c r="C21" s="5" t="e">
        <f>#REF!+#REF!+#REF!+#REF!+#REF!+#REF!+#REF!+#REF!+#REF!+#REF!+#REF!+#REF!+#REF!+#REF!</f>
        <v>#REF!</v>
      </c>
      <c r="D21" s="5" t="e">
        <f>#REF!+#REF!+#REF!+#REF!+#REF!+#REF!+#REF!+#REF!+#REF!+#REF!+#REF!+#REF!+#REF!+#REF!</f>
        <v>#REF!</v>
      </c>
      <c r="E21" s="5" t="e">
        <f>#REF!+#REF!+#REF!+#REF!+#REF!+#REF!+#REF!+#REF!+#REF!+#REF!+#REF!+#REF!+#REF!+#REF!</f>
        <v>#REF!</v>
      </c>
      <c r="F21" s="5" t="e">
        <f>#REF!+#REF!+#REF!+#REF!+#REF!+#REF!+#REF!+#REF!+#REF!+#REF!+#REF!+#REF!+#REF!+#REF!</f>
        <v>#REF!</v>
      </c>
      <c r="G21" s="5" t="e">
        <f>#REF!+#REF!+#REF!+#REF!+#REF!+#REF!+#REF!+#REF!+#REF!+#REF!+#REF!+#REF!+#REF!+#REF!</f>
        <v>#REF!</v>
      </c>
      <c r="H21" s="5" t="e">
        <f>#REF!+#REF!+#REF!+#REF!+#REF!+#REF!+#REF!+#REF!+#REF!+#REF!+#REF!+#REF!+#REF!+#REF!</f>
        <v>#REF!</v>
      </c>
      <c r="I21" s="5" t="e">
        <f>#REF!+#REF!+#REF!+#REF!+#REF!+#REF!+#REF!+#REF!+#REF!+#REF!+#REF!+#REF!+#REF!+#REF!</f>
        <v>#REF!</v>
      </c>
      <c r="J21" s="5" t="e">
        <f>#REF!+#REF!+#REF!+#REF!+#REF!+#REF!+#REF!+#REF!+#REF!+#REF!+#REF!+#REF!+#REF!+#REF!</f>
        <v>#REF!</v>
      </c>
      <c r="K21" s="5" t="e">
        <f>#REF!+#REF!+#REF!+#REF!+#REF!+#REF!+#REF!+#REF!+#REF!+#REF!+#REF!+#REF!+#REF!+#REF!</f>
        <v>#REF!</v>
      </c>
      <c r="L21" s="5" t="e">
        <f>#REF!+#REF!+#REF!+#REF!+#REF!+#REF!+#REF!+#REF!+#REF!+#REF!+#REF!+#REF!+#REF!+#REF!</f>
        <v>#REF!</v>
      </c>
      <c r="M21" s="5" t="e">
        <f>#REF!+#REF!+#REF!+#REF!+#REF!+#REF!+#REF!+#REF!+#REF!+#REF!+#REF!+#REF!+#REF!+#REF!</f>
        <v>#REF!</v>
      </c>
      <c r="N21" s="5" t="e">
        <f>#REF!+#REF!+#REF!+#REF!+#REF!+#REF!+#REF!+#REF!+#REF!+#REF!+#REF!+#REF!+#REF!+#REF!</f>
        <v>#REF!</v>
      </c>
      <c r="O21" s="5" t="e">
        <f>#REF!+#REF!+#REF!+#REF!+#REF!+#REF!+#REF!+#REF!+#REF!+#REF!+#REF!+#REF!+#REF!+#REF!</f>
        <v>#REF!</v>
      </c>
      <c r="P21" s="5" t="e">
        <f>#REF!+#REF!+#REF!+#REF!+#REF!+#REF!+#REF!+#REF!+#REF!+#REF!+#REF!+#REF!+#REF!+#REF!</f>
        <v>#REF!</v>
      </c>
      <c r="Q21" s="5" t="e">
        <f>#REF!+#REF!+#REF!+#REF!+#REF!+#REF!+#REF!+#REF!+#REF!+#REF!+#REF!+#REF!+#REF!+#REF!</f>
        <v>#REF!</v>
      </c>
      <c r="R21" s="5" t="e">
        <f>#REF!+#REF!+#REF!+#REF!+#REF!+#REF!+#REF!+#REF!+#REF!+#REF!+#REF!+#REF!+#REF!+#REF!</f>
        <v>#REF!</v>
      </c>
      <c r="S21" s="5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1" t="s">
        <v>75</v>
      </c>
      <c r="B22" s="1" t="str">
        <f>VLOOKUP(A22,[25]LISTADHERENT!A$5:H$60,3,0)</f>
        <v>MBOGNING TUGMA GUY</v>
      </c>
      <c r="C22" s="5" t="e">
        <f>#REF!+#REF!+#REF!+#REF!+#REF!+#REF!+#REF!+#REF!+#REF!+#REF!+#REF!+#REF!+#REF!+#REF!</f>
        <v>#REF!</v>
      </c>
      <c r="D22" s="5" t="e">
        <f>#REF!+#REF!+#REF!+#REF!+#REF!+#REF!+#REF!+#REF!+#REF!+#REF!+#REF!+#REF!+#REF!+#REF!</f>
        <v>#REF!</v>
      </c>
      <c r="E22" s="5" t="e">
        <f>#REF!+#REF!+#REF!+#REF!+#REF!+#REF!+#REF!+#REF!+#REF!+#REF!+#REF!+#REF!+#REF!+#REF!</f>
        <v>#REF!</v>
      </c>
      <c r="F22" s="5" t="e">
        <f>#REF!+#REF!+#REF!+#REF!+#REF!+#REF!+#REF!+#REF!+#REF!+#REF!+#REF!+#REF!+#REF!+#REF!</f>
        <v>#REF!</v>
      </c>
      <c r="G22" s="5" t="e">
        <f>#REF!+#REF!+#REF!+#REF!+#REF!+#REF!+#REF!+#REF!+#REF!+#REF!+#REF!+#REF!+#REF!+#REF!</f>
        <v>#REF!</v>
      </c>
      <c r="H22" s="5" t="e">
        <f>#REF!+#REF!+#REF!+#REF!+#REF!+#REF!+#REF!+#REF!+#REF!+#REF!+#REF!+#REF!+#REF!+#REF!</f>
        <v>#REF!</v>
      </c>
      <c r="I22" s="5" t="e">
        <f>#REF!+#REF!+#REF!+#REF!+#REF!+#REF!+#REF!+#REF!+#REF!+#REF!+#REF!+#REF!+#REF!+#REF!</f>
        <v>#REF!</v>
      </c>
      <c r="J22" s="5" t="e">
        <f>#REF!+#REF!+#REF!+#REF!+#REF!+#REF!+#REF!+#REF!+#REF!+#REF!+#REF!+#REF!+#REF!+#REF!</f>
        <v>#REF!</v>
      </c>
      <c r="K22" s="5" t="e">
        <f>#REF!+#REF!+#REF!+#REF!+#REF!+#REF!+#REF!+#REF!+#REF!+#REF!+#REF!+#REF!+#REF!+#REF!</f>
        <v>#REF!</v>
      </c>
      <c r="L22" s="5" t="e">
        <f>#REF!+#REF!+#REF!+#REF!+#REF!+#REF!+#REF!+#REF!+#REF!+#REF!+#REF!+#REF!+#REF!+#REF!</f>
        <v>#REF!</v>
      </c>
      <c r="M22" s="5" t="e">
        <f>#REF!+#REF!+#REF!+#REF!+#REF!+#REF!+#REF!+#REF!+#REF!+#REF!+#REF!+#REF!+#REF!+#REF!</f>
        <v>#REF!</v>
      </c>
      <c r="N22" s="5" t="e">
        <f>#REF!+#REF!+#REF!+#REF!+#REF!+#REF!+#REF!+#REF!+#REF!+#REF!+#REF!+#REF!+#REF!+#REF!</f>
        <v>#REF!</v>
      </c>
      <c r="O22" s="5" t="e">
        <f>#REF!+#REF!+#REF!+#REF!+#REF!+#REF!+#REF!+#REF!+#REF!+#REF!+#REF!+#REF!+#REF!+#REF!</f>
        <v>#REF!</v>
      </c>
      <c r="P22" s="5" t="e">
        <f>#REF!+#REF!+#REF!+#REF!+#REF!+#REF!+#REF!+#REF!+#REF!+#REF!+#REF!+#REF!+#REF!+#REF!</f>
        <v>#REF!</v>
      </c>
      <c r="Q22" s="5" t="e">
        <f>#REF!+#REF!+#REF!+#REF!+#REF!+#REF!+#REF!+#REF!+#REF!+#REF!+#REF!+#REF!+#REF!+#REF!</f>
        <v>#REF!</v>
      </c>
      <c r="R22" s="5" t="e">
        <f>#REF!+#REF!+#REF!+#REF!+#REF!+#REF!+#REF!+#REF!+#REF!+#REF!+#REF!+#REF!+#REF!+#REF!</f>
        <v>#REF!</v>
      </c>
      <c r="V22" s="2"/>
      <c r="W22" s="2"/>
      <c r="X22" s="2"/>
      <c r="Y22" s="2"/>
      <c r="Z22" s="2"/>
      <c r="AA22" s="2"/>
      <c r="AB22" s="2"/>
    </row>
    <row r="23" spans="1:28" x14ac:dyDescent="0.35">
      <c r="A23" s="1" t="s">
        <v>50</v>
      </c>
      <c r="B23" s="1" t="str">
        <f>VLOOKUP(A23,[25]LISTADHERENT!A$5:H$60,3,0)</f>
        <v>NANGUEN MARTIN</v>
      </c>
      <c r="C23" s="5" t="e">
        <f>#REF!+#REF!+#REF!+#REF!+#REF!+#REF!+#REF!+#REF!+#REF!+#REF!+#REF!+#REF!+#REF!+#REF!</f>
        <v>#REF!</v>
      </c>
      <c r="D23" s="5" t="e">
        <f>#REF!+#REF!+#REF!+#REF!+#REF!+#REF!+#REF!+#REF!+#REF!+#REF!+#REF!+#REF!+#REF!+#REF!</f>
        <v>#REF!</v>
      </c>
      <c r="E23" s="5" t="e">
        <f>#REF!+#REF!+#REF!+#REF!+#REF!+#REF!+#REF!+#REF!+#REF!+#REF!+#REF!+#REF!+#REF!+#REF!</f>
        <v>#REF!</v>
      </c>
      <c r="F23" s="5" t="e">
        <f>#REF!+#REF!+#REF!+#REF!+#REF!+#REF!+#REF!+#REF!+#REF!+#REF!+#REF!+#REF!+#REF!+#REF!</f>
        <v>#REF!</v>
      </c>
      <c r="G23" s="5" t="e">
        <f>#REF!+#REF!+#REF!+#REF!+#REF!+#REF!+#REF!+#REF!+#REF!+#REF!+#REF!+#REF!+#REF!+#REF!</f>
        <v>#REF!</v>
      </c>
      <c r="H23" s="5" t="e">
        <f>#REF!+#REF!+#REF!+#REF!+#REF!+#REF!+#REF!+#REF!+#REF!+#REF!+#REF!+#REF!+#REF!+#REF!</f>
        <v>#REF!</v>
      </c>
      <c r="I23" s="5" t="e">
        <f>#REF!+#REF!+#REF!+#REF!+#REF!+#REF!+#REF!+#REF!+#REF!+#REF!+#REF!+#REF!+#REF!+#REF!</f>
        <v>#REF!</v>
      </c>
      <c r="J23" s="5" t="e">
        <f>#REF!+#REF!+#REF!+#REF!+#REF!+#REF!+#REF!+#REF!+#REF!+#REF!+#REF!+#REF!+#REF!+#REF!</f>
        <v>#REF!</v>
      </c>
      <c r="K23" s="5" t="e">
        <f>#REF!+#REF!+#REF!+#REF!+#REF!+#REF!+#REF!+#REF!+#REF!+#REF!+#REF!+#REF!+#REF!+#REF!</f>
        <v>#REF!</v>
      </c>
      <c r="L23" s="5" t="e">
        <f>#REF!+#REF!+#REF!+#REF!+#REF!+#REF!+#REF!+#REF!+#REF!+#REF!+#REF!+#REF!+#REF!+#REF!</f>
        <v>#REF!</v>
      </c>
      <c r="M23" s="5" t="e">
        <f>#REF!+#REF!+#REF!+#REF!+#REF!+#REF!+#REF!+#REF!+#REF!+#REF!+#REF!+#REF!+#REF!+#REF!</f>
        <v>#REF!</v>
      </c>
      <c r="N23" s="5" t="e">
        <f>#REF!+#REF!+#REF!+#REF!+#REF!+#REF!+#REF!+#REF!+#REF!+#REF!+#REF!+#REF!+#REF!+#REF!</f>
        <v>#REF!</v>
      </c>
      <c r="O23" s="5" t="e">
        <f>#REF!+#REF!+#REF!+#REF!+#REF!+#REF!+#REF!+#REF!+#REF!+#REF!+#REF!+#REF!+#REF!+#REF!</f>
        <v>#REF!</v>
      </c>
      <c r="P23" s="5" t="e">
        <f>#REF!+#REF!+#REF!+#REF!+#REF!+#REF!+#REF!+#REF!+#REF!+#REF!+#REF!+#REF!+#REF!+#REF!</f>
        <v>#REF!</v>
      </c>
      <c r="Q23" s="5" t="e">
        <f>#REF!+#REF!+#REF!+#REF!+#REF!+#REF!+#REF!+#REF!+#REF!+#REF!+#REF!+#REF!+#REF!+#REF!</f>
        <v>#REF!</v>
      </c>
      <c r="R23" s="5" t="e">
        <f>#REF!+#REF!+#REF!+#REF!+#REF!+#REF!+#REF!+#REF!+#REF!+#REF!+#REF!+#REF!+#REF!+#REF!</f>
        <v>#REF!</v>
      </c>
      <c r="S23" s="5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5">
      <c r="A24" s="1" t="s">
        <v>37</v>
      </c>
      <c r="B24" s="1" t="str">
        <f>VLOOKUP(A24,[25]LISTADHERENT!A$5:H$60,3,0)</f>
        <v>NANKAM APPOLINAIRE</v>
      </c>
      <c r="C24" s="5" t="e">
        <f>#REF!+#REF!+#REF!+#REF!+#REF!+#REF!+#REF!+#REF!+#REF!+#REF!+#REF!+#REF!+#REF!+#REF!</f>
        <v>#REF!</v>
      </c>
      <c r="D24" s="5" t="e">
        <f>#REF!+#REF!+#REF!+#REF!+#REF!+#REF!+#REF!+#REF!+#REF!+#REF!+#REF!+#REF!+#REF!+#REF!</f>
        <v>#REF!</v>
      </c>
      <c r="E24" s="5" t="e">
        <f>#REF!+#REF!+#REF!+#REF!+#REF!+#REF!+#REF!+#REF!+#REF!+#REF!+#REF!+#REF!+#REF!+#REF!</f>
        <v>#REF!</v>
      </c>
      <c r="F24" s="5" t="e">
        <f>#REF!+#REF!+#REF!+#REF!+#REF!+#REF!+#REF!+#REF!+#REF!+#REF!+#REF!+#REF!+#REF!+#REF!</f>
        <v>#REF!</v>
      </c>
      <c r="G24" s="5" t="e">
        <f>#REF!+#REF!+#REF!+#REF!+#REF!+#REF!+#REF!+#REF!+#REF!+#REF!+#REF!+#REF!+#REF!+#REF!</f>
        <v>#REF!</v>
      </c>
      <c r="H24" s="5" t="e">
        <f>#REF!+#REF!+#REF!+#REF!+#REF!+#REF!+#REF!+#REF!+#REF!+#REF!+#REF!+#REF!+#REF!+#REF!</f>
        <v>#REF!</v>
      </c>
      <c r="I24" s="5" t="e">
        <f>#REF!+#REF!+#REF!+#REF!+#REF!+#REF!+#REF!+#REF!+#REF!+#REF!+#REF!+#REF!+#REF!+#REF!</f>
        <v>#REF!</v>
      </c>
      <c r="J24" s="5" t="e">
        <f>#REF!+#REF!+#REF!+#REF!+#REF!+#REF!+#REF!+#REF!+#REF!+#REF!+#REF!+#REF!+#REF!+#REF!</f>
        <v>#REF!</v>
      </c>
      <c r="K24" s="5" t="e">
        <f>#REF!+#REF!+#REF!+#REF!+#REF!+#REF!+#REF!+#REF!+#REF!+#REF!+#REF!+#REF!+#REF!+#REF!</f>
        <v>#REF!</v>
      </c>
      <c r="L24" s="5" t="e">
        <f>#REF!+#REF!+#REF!+#REF!+#REF!+#REF!+#REF!+#REF!+#REF!+#REF!+#REF!+#REF!+#REF!+#REF!</f>
        <v>#REF!</v>
      </c>
      <c r="M24" s="5" t="e">
        <f>#REF!+#REF!+#REF!+#REF!+#REF!+#REF!+#REF!+#REF!+#REF!+#REF!+#REF!+#REF!+#REF!+#REF!</f>
        <v>#REF!</v>
      </c>
      <c r="N24" s="5" t="e">
        <f>#REF!+#REF!+#REF!+#REF!+#REF!+#REF!+#REF!+#REF!+#REF!+#REF!+#REF!+#REF!+#REF!+#REF!</f>
        <v>#REF!</v>
      </c>
      <c r="O24" s="5" t="e">
        <f>#REF!+#REF!+#REF!+#REF!+#REF!+#REF!+#REF!+#REF!+#REF!+#REF!+#REF!+#REF!+#REF!+#REF!</f>
        <v>#REF!</v>
      </c>
      <c r="P24" s="5" t="e">
        <f>#REF!+#REF!+#REF!+#REF!+#REF!+#REF!+#REF!+#REF!+#REF!+#REF!+#REF!+#REF!+#REF!+#REF!</f>
        <v>#REF!</v>
      </c>
      <c r="Q24" s="5" t="e">
        <f>#REF!+#REF!+#REF!+#REF!+#REF!+#REF!+#REF!+#REF!+#REF!+#REF!+#REF!+#REF!+#REF!+#REF!</f>
        <v>#REF!</v>
      </c>
      <c r="R24" s="5" t="e">
        <f>#REF!+#REF!+#REF!+#REF!+#REF!+#REF!+#REF!+#REF!+#REF!+#REF!+#REF!+#REF!+#REF!+#REF!</f>
        <v>#REF!</v>
      </c>
      <c r="S24" s="5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5">
      <c r="A25" s="1" t="s">
        <v>38</v>
      </c>
      <c r="B25" s="1" t="str">
        <f>VLOOKUP(A25,[25]LISTADHERENT!A$5:H$60,3,0)</f>
        <v>NDJOMO ETIENNE</v>
      </c>
      <c r="C25" s="5" t="e">
        <f>#REF!+#REF!+#REF!+#REF!+#REF!+#REF!+#REF!+#REF!+#REF!+#REF!+#REF!+#REF!+#REF!+#REF!</f>
        <v>#REF!</v>
      </c>
      <c r="D25" s="5" t="e">
        <f>#REF!+#REF!+#REF!+#REF!+#REF!+#REF!+#REF!+#REF!+#REF!+#REF!+#REF!+#REF!+#REF!+#REF!</f>
        <v>#REF!</v>
      </c>
      <c r="E25" s="5" t="e">
        <f>#REF!+#REF!+#REF!+#REF!+#REF!+#REF!+#REF!+#REF!+#REF!+#REF!+#REF!+#REF!+#REF!+#REF!</f>
        <v>#REF!</v>
      </c>
      <c r="F25" s="5" t="e">
        <f>#REF!+#REF!+#REF!+#REF!+#REF!+#REF!+#REF!+#REF!+#REF!+#REF!+#REF!+#REF!+#REF!+#REF!</f>
        <v>#REF!</v>
      </c>
      <c r="G25" s="5" t="e">
        <f>#REF!+#REF!+#REF!+#REF!+#REF!+#REF!+#REF!+#REF!+#REF!+#REF!+#REF!+#REF!+#REF!+#REF!</f>
        <v>#REF!</v>
      </c>
      <c r="H25" s="5" t="e">
        <f>#REF!+#REF!+#REF!+#REF!+#REF!+#REF!+#REF!+#REF!+#REF!+#REF!+#REF!+#REF!+#REF!+#REF!</f>
        <v>#REF!</v>
      </c>
      <c r="I25" s="5" t="e">
        <f>#REF!+#REF!+#REF!+#REF!+#REF!+#REF!+#REF!+#REF!+#REF!+#REF!+#REF!+#REF!+#REF!+#REF!</f>
        <v>#REF!</v>
      </c>
      <c r="J25" s="5" t="e">
        <f>#REF!+#REF!+#REF!+#REF!+#REF!+#REF!+#REF!+#REF!+#REF!+#REF!+#REF!+#REF!+#REF!+#REF!</f>
        <v>#REF!</v>
      </c>
      <c r="K25" s="5" t="e">
        <f>#REF!+#REF!+#REF!+#REF!+#REF!+#REF!+#REF!+#REF!+#REF!+#REF!+#REF!+#REF!+#REF!+#REF!</f>
        <v>#REF!</v>
      </c>
      <c r="L25" s="5" t="e">
        <f>#REF!+#REF!+#REF!+#REF!+#REF!+#REF!+#REF!+#REF!+#REF!+#REF!+#REF!+#REF!+#REF!+#REF!</f>
        <v>#REF!</v>
      </c>
      <c r="M25" s="5" t="e">
        <f>#REF!+#REF!+#REF!+#REF!+#REF!+#REF!+#REF!+#REF!+#REF!+#REF!+#REF!+#REF!+#REF!+#REF!</f>
        <v>#REF!</v>
      </c>
      <c r="N25" s="5" t="e">
        <f>#REF!+#REF!+#REF!+#REF!+#REF!+#REF!+#REF!+#REF!+#REF!+#REF!+#REF!+#REF!+#REF!+#REF!</f>
        <v>#REF!</v>
      </c>
      <c r="O25" s="5" t="e">
        <f>#REF!+#REF!+#REF!+#REF!+#REF!+#REF!+#REF!+#REF!+#REF!+#REF!+#REF!+#REF!+#REF!+#REF!</f>
        <v>#REF!</v>
      </c>
      <c r="P25" s="5" t="e">
        <f>#REF!+#REF!+#REF!+#REF!+#REF!+#REF!+#REF!+#REF!+#REF!+#REF!+#REF!+#REF!+#REF!+#REF!</f>
        <v>#REF!</v>
      </c>
      <c r="Q25" s="5" t="e">
        <f>#REF!+#REF!+#REF!+#REF!+#REF!+#REF!+#REF!+#REF!+#REF!+#REF!+#REF!+#REF!+#REF!+#REF!</f>
        <v>#REF!</v>
      </c>
      <c r="R25" s="5" t="e">
        <f>#REF!+#REF!+#REF!+#REF!+#REF!+#REF!+#REF!+#REF!+#REF!+#REF!+#REF!+#REF!+#REF!+#REF!</f>
        <v>#REF!</v>
      </c>
      <c r="S25" s="5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5">
      <c r="A26" s="1" t="s">
        <v>39</v>
      </c>
      <c r="B26" s="1" t="str">
        <f>VLOOKUP(A26,[25]LISTADHERENT!A$5:H$60,3,0)</f>
        <v>NGONDIEP CLAUDE</v>
      </c>
      <c r="C26" s="5" t="e">
        <f>#REF!+#REF!+#REF!+#REF!+#REF!+#REF!+#REF!+#REF!+#REF!+#REF!+#REF!+#REF!+#REF!+#REF!</f>
        <v>#REF!</v>
      </c>
      <c r="D26" s="5" t="e">
        <f>#REF!+#REF!+#REF!+#REF!+#REF!+#REF!+#REF!+#REF!+#REF!+#REF!+#REF!+#REF!+#REF!+#REF!</f>
        <v>#REF!</v>
      </c>
      <c r="E26" s="5" t="e">
        <f>#REF!+#REF!+#REF!+#REF!+#REF!+#REF!+#REF!+#REF!+#REF!+#REF!+#REF!+#REF!+#REF!+#REF!</f>
        <v>#REF!</v>
      </c>
      <c r="F26" s="5" t="e">
        <f>#REF!+#REF!+#REF!+#REF!+#REF!+#REF!+#REF!+#REF!+#REF!+#REF!+#REF!+#REF!+#REF!+#REF!</f>
        <v>#REF!</v>
      </c>
      <c r="G26" s="5" t="e">
        <f>#REF!+#REF!+#REF!+#REF!+#REF!+#REF!+#REF!+#REF!+#REF!+#REF!+#REF!+#REF!+#REF!+#REF!</f>
        <v>#REF!</v>
      </c>
      <c r="H26" s="5" t="e">
        <f>#REF!+#REF!+#REF!+#REF!+#REF!+#REF!+#REF!+#REF!+#REF!+#REF!+#REF!+#REF!+#REF!+#REF!</f>
        <v>#REF!</v>
      </c>
      <c r="I26" s="5" t="e">
        <f>#REF!+#REF!+#REF!+#REF!+#REF!+#REF!+#REF!+#REF!+#REF!+#REF!+#REF!+#REF!+#REF!+#REF!</f>
        <v>#REF!</v>
      </c>
      <c r="J26" s="5" t="e">
        <f>#REF!+#REF!+#REF!+#REF!+#REF!+#REF!+#REF!+#REF!+#REF!+#REF!+#REF!+#REF!+#REF!+#REF!</f>
        <v>#REF!</v>
      </c>
      <c r="K26" s="5" t="e">
        <f>#REF!+#REF!+#REF!+#REF!+#REF!+#REF!+#REF!+#REF!+#REF!+#REF!+#REF!+#REF!+#REF!+#REF!</f>
        <v>#REF!</v>
      </c>
      <c r="L26" s="5" t="e">
        <f>#REF!+#REF!+#REF!+#REF!+#REF!+#REF!+#REF!+#REF!+#REF!+#REF!+#REF!+#REF!+#REF!+#REF!</f>
        <v>#REF!</v>
      </c>
      <c r="M26" s="5" t="e">
        <f>#REF!+#REF!+#REF!+#REF!+#REF!+#REF!+#REF!+#REF!+#REF!+#REF!+#REF!+#REF!+#REF!+#REF!</f>
        <v>#REF!</v>
      </c>
      <c r="N26" s="5" t="e">
        <f>#REF!+#REF!+#REF!+#REF!+#REF!+#REF!+#REF!+#REF!+#REF!+#REF!+#REF!+#REF!+#REF!+#REF!</f>
        <v>#REF!</v>
      </c>
      <c r="O26" s="5" t="e">
        <f>#REF!+#REF!+#REF!+#REF!+#REF!+#REF!+#REF!+#REF!+#REF!+#REF!+#REF!+#REF!+#REF!+#REF!</f>
        <v>#REF!</v>
      </c>
      <c r="P26" s="5" t="e">
        <f>#REF!+#REF!+#REF!+#REF!+#REF!+#REF!+#REF!+#REF!+#REF!+#REF!+#REF!+#REF!+#REF!+#REF!</f>
        <v>#REF!</v>
      </c>
      <c r="Q26" s="5" t="e">
        <f>#REF!+#REF!+#REF!+#REF!+#REF!+#REF!+#REF!+#REF!+#REF!+#REF!+#REF!+#REF!+#REF!+#REF!</f>
        <v>#REF!</v>
      </c>
      <c r="R26" s="5" t="e">
        <f>#REF!+#REF!+#REF!+#REF!+#REF!+#REF!+#REF!+#REF!+#REF!+#REF!+#REF!+#REF!+#REF!+#REF!</f>
        <v>#REF!</v>
      </c>
      <c r="S26" s="5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5">
      <c r="A27" s="1" t="s">
        <v>41</v>
      </c>
      <c r="B27" s="1" t="str">
        <f>VLOOKUP(A27,[25]LISTADHERENT!A$5:H$60,3,0)</f>
        <v>NGUIEMEGNI MATHIEU BLAISE</v>
      </c>
      <c r="C27" s="5" t="e">
        <f>#REF!+#REF!+#REF!+#REF!+#REF!+#REF!+#REF!+#REF!+#REF!+#REF!+#REF!+#REF!+#REF!+#REF!</f>
        <v>#REF!</v>
      </c>
      <c r="D27" s="5" t="e">
        <f>#REF!+#REF!+#REF!+#REF!+#REF!+#REF!+#REF!+#REF!+#REF!+#REF!+#REF!+#REF!+#REF!+#REF!</f>
        <v>#REF!</v>
      </c>
      <c r="E27" s="5" t="e">
        <f>#REF!+#REF!+#REF!+#REF!+#REF!+#REF!+#REF!+#REF!+#REF!+#REF!+#REF!+#REF!+#REF!+#REF!</f>
        <v>#REF!</v>
      </c>
      <c r="F27" s="5" t="e">
        <f>#REF!+#REF!+#REF!+#REF!+#REF!+#REF!+#REF!+#REF!+#REF!+#REF!+#REF!+#REF!+#REF!+#REF!</f>
        <v>#REF!</v>
      </c>
      <c r="G27" s="5" t="e">
        <f>#REF!+#REF!+#REF!+#REF!+#REF!+#REF!+#REF!+#REF!+#REF!+#REF!+#REF!+#REF!+#REF!+#REF!</f>
        <v>#REF!</v>
      </c>
      <c r="H27" s="5" t="e">
        <f>#REF!+#REF!+#REF!+#REF!+#REF!+#REF!+#REF!+#REF!+#REF!+#REF!+#REF!+#REF!+#REF!+#REF!</f>
        <v>#REF!</v>
      </c>
      <c r="I27" s="5" t="e">
        <f>#REF!+#REF!+#REF!+#REF!+#REF!+#REF!+#REF!+#REF!+#REF!+#REF!+#REF!+#REF!+#REF!+#REF!</f>
        <v>#REF!</v>
      </c>
      <c r="J27" s="5" t="e">
        <f>#REF!+#REF!+#REF!+#REF!+#REF!+#REF!+#REF!+#REF!+#REF!+#REF!+#REF!+#REF!+#REF!+#REF!</f>
        <v>#REF!</v>
      </c>
      <c r="K27" s="5" t="e">
        <f>#REF!+#REF!+#REF!+#REF!+#REF!+#REF!+#REF!+#REF!+#REF!+#REF!+#REF!+#REF!+#REF!+#REF!</f>
        <v>#REF!</v>
      </c>
      <c r="L27" s="5" t="e">
        <f>#REF!+#REF!+#REF!+#REF!+#REF!+#REF!+#REF!+#REF!+#REF!+#REF!+#REF!+#REF!+#REF!+#REF!</f>
        <v>#REF!</v>
      </c>
      <c r="M27" s="5" t="e">
        <f>#REF!+#REF!+#REF!+#REF!+#REF!+#REF!+#REF!+#REF!+#REF!+#REF!+#REF!+#REF!+#REF!+#REF!</f>
        <v>#REF!</v>
      </c>
      <c r="N27" s="5" t="e">
        <f>#REF!+#REF!+#REF!+#REF!+#REF!+#REF!+#REF!+#REF!+#REF!+#REF!+#REF!+#REF!+#REF!+#REF!</f>
        <v>#REF!</v>
      </c>
      <c r="O27" s="5" t="e">
        <f>#REF!+#REF!+#REF!+#REF!+#REF!+#REF!+#REF!+#REF!+#REF!+#REF!+#REF!+#REF!+#REF!+#REF!</f>
        <v>#REF!</v>
      </c>
      <c r="P27" s="5" t="e">
        <f>#REF!+#REF!+#REF!+#REF!+#REF!+#REF!+#REF!+#REF!+#REF!+#REF!+#REF!+#REF!+#REF!+#REF!</f>
        <v>#REF!</v>
      </c>
      <c r="Q27" s="5" t="e">
        <f>#REF!+#REF!+#REF!+#REF!+#REF!+#REF!+#REF!+#REF!+#REF!+#REF!+#REF!+#REF!+#REF!+#REF!</f>
        <v>#REF!</v>
      </c>
      <c r="R27" s="5" t="e">
        <f>#REF!+#REF!+#REF!+#REF!+#REF!+#REF!+#REF!+#REF!+#REF!+#REF!+#REF!+#REF!+#REF!+#REF!</f>
        <v>#REF!</v>
      </c>
      <c r="S27" s="5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1" t="s">
        <v>43</v>
      </c>
      <c r="B28" s="1" t="str">
        <f>VLOOKUP(A28,[25]LISTADHERENT!A$5:H$60,3,0)</f>
        <v>NKAMGANG JUSTIN DEJOLIE</v>
      </c>
      <c r="C28" s="5" t="e">
        <f>#REF!+#REF!+#REF!+#REF!+#REF!+#REF!+#REF!+#REF!+#REF!+#REF!+#REF!+#REF!+#REF!+#REF!</f>
        <v>#REF!</v>
      </c>
      <c r="D28" s="5" t="e">
        <f>#REF!+#REF!+#REF!+#REF!+#REF!+#REF!+#REF!+#REF!+#REF!+#REF!+#REF!+#REF!+#REF!+#REF!</f>
        <v>#REF!</v>
      </c>
      <c r="E28" s="5" t="e">
        <f>#REF!+#REF!+#REF!+#REF!+#REF!+#REF!+#REF!+#REF!+#REF!+#REF!+#REF!+#REF!+#REF!+#REF!</f>
        <v>#REF!</v>
      </c>
      <c r="F28" s="5" t="e">
        <f>#REF!+#REF!+#REF!+#REF!+#REF!+#REF!+#REF!+#REF!+#REF!+#REF!+#REF!+#REF!+#REF!+#REF!</f>
        <v>#REF!</v>
      </c>
      <c r="G28" s="5" t="e">
        <f>#REF!+#REF!+#REF!+#REF!+#REF!+#REF!+#REF!+#REF!+#REF!+#REF!+#REF!+#REF!+#REF!+#REF!</f>
        <v>#REF!</v>
      </c>
      <c r="H28" s="5" t="e">
        <f>#REF!+#REF!+#REF!+#REF!+#REF!+#REF!+#REF!+#REF!+#REF!+#REF!+#REF!+#REF!+#REF!+#REF!</f>
        <v>#REF!</v>
      </c>
      <c r="I28" s="5" t="e">
        <f>#REF!+#REF!+#REF!+#REF!+#REF!+#REF!+#REF!+#REF!+#REF!+#REF!+#REF!+#REF!+#REF!+#REF!</f>
        <v>#REF!</v>
      </c>
      <c r="J28" s="5" t="e">
        <f>#REF!+#REF!+#REF!+#REF!+#REF!+#REF!+#REF!+#REF!+#REF!+#REF!+#REF!+#REF!+#REF!+#REF!</f>
        <v>#REF!</v>
      </c>
      <c r="K28" s="5" t="e">
        <f>#REF!+#REF!+#REF!+#REF!+#REF!+#REF!+#REF!+#REF!+#REF!+#REF!+#REF!+#REF!+#REF!+#REF!</f>
        <v>#REF!</v>
      </c>
      <c r="L28" s="5" t="e">
        <f>#REF!+#REF!+#REF!+#REF!+#REF!+#REF!+#REF!+#REF!+#REF!+#REF!+#REF!+#REF!+#REF!+#REF!</f>
        <v>#REF!</v>
      </c>
      <c r="M28" s="5" t="e">
        <f>#REF!+#REF!+#REF!+#REF!+#REF!+#REF!+#REF!+#REF!+#REF!+#REF!+#REF!+#REF!+#REF!+#REF!</f>
        <v>#REF!</v>
      </c>
      <c r="N28" s="5" t="e">
        <f>#REF!+#REF!+#REF!+#REF!+#REF!+#REF!+#REF!+#REF!+#REF!+#REF!+#REF!+#REF!+#REF!+#REF!</f>
        <v>#REF!</v>
      </c>
      <c r="O28" s="5" t="e">
        <f>#REF!+#REF!+#REF!+#REF!+#REF!+#REF!+#REF!+#REF!+#REF!+#REF!+#REF!+#REF!+#REF!+#REF!</f>
        <v>#REF!</v>
      </c>
      <c r="P28" s="5" t="e">
        <f>#REF!+#REF!+#REF!+#REF!+#REF!+#REF!+#REF!+#REF!+#REF!+#REF!+#REF!+#REF!+#REF!+#REF!</f>
        <v>#REF!</v>
      </c>
      <c r="Q28" s="5" t="e">
        <f>#REF!+#REF!+#REF!+#REF!+#REF!+#REF!+#REF!+#REF!+#REF!+#REF!+#REF!+#REF!+#REF!+#REF!</f>
        <v>#REF!</v>
      </c>
      <c r="R28" s="5" t="e">
        <f>#REF!+#REF!+#REF!+#REF!+#REF!+#REF!+#REF!+#REF!+#REF!+#REF!+#REF!+#REF!+#REF!+#REF!</f>
        <v>#REF!</v>
      </c>
      <c r="S28" s="5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5">
      <c r="A29" s="1" t="s">
        <v>30</v>
      </c>
      <c r="B29" s="1" t="str">
        <f>VLOOKUP(A29,[25]LISTADHERENT!A$5:H$60,3,0)</f>
        <v>NKEHE DAVID</v>
      </c>
      <c r="C29" s="5" t="e">
        <f>#REF!+#REF!+#REF!+#REF!+#REF!+#REF!+#REF!+#REF!+#REF!+#REF!+#REF!+#REF!+#REF!+#REF!</f>
        <v>#REF!</v>
      </c>
      <c r="D29" s="5" t="e">
        <f>#REF!+#REF!+#REF!+#REF!+#REF!+#REF!+#REF!+#REF!+#REF!+#REF!+#REF!+#REF!+#REF!+#REF!</f>
        <v>#REF!</v>
      </c>
      <c r="E29" s="5" t="e">
        <f>#REF!+#REF!+#REF!+#REF!+#REF!+#REF!+#REF!+#REF!+#REF!+#REF!+#REF!+#REF!+#REF!+#REF!</f>
        <v>#REF!</v>
      </c>
      <c r="F29" s="5" t="e">
        <f>#REF!+#REF!+#REF!+#REF!+#REF!+#REF!+#REF!+#REF!+#REF!+#REF!+#REF!+#REF!+#REF!+#REF!</f>
        <v>#REF!</v>
      </c>
      <c r="G29" s="5" t="e">
        <f>#REF!+#REF!+#REF!+#REF!+#REF!+#REF!+#REF!+#REF!+#REF!+#REF!+#REF!+#REF!+#REF!+#REF!</f>
        <v>#REF!</v>
      </c>
      <c r="H29" s="5" t="e">
        <f>#REF!+#REF!+#REF!+#REF!+#REF!+#REF!+#REF!+#REF!+#REF!+#REF!+#REF!+#REF!+#REF!+#REF!</f>
        <v>#REF!</v>
      </c>
      <c r="I29" s="5" t="e">
        <f>#REF!+#REF!+#REF!+#REF!+#REF!+#REF!+#REF!+#REF!+#REF!+#REF!+#REF!+#REF!+#REF!+#REF!</f>
        <v>#REF!</v>
      </c>
      <c r="J29" s="5" t="e">
        <f>#REF!+#REF!+#REF!+#REF!+#REF!+#REF!+#REF!+#REF!+#REF!+#REF!+#REF!+#REF!+#REF!+#REF!</f>
        <v>#REF!</v>
      </c>
      <c r="K29" s="5" t="e">
        <f>#REF!+#REF!+#REF!+#REF!+#REF!+#REF!+#REF!+#REF!+#REF!+#REF!+#REF!+#REF!+#REF!+#REF!</f>
        <v>#REF!</v>
      </c>
      <c r="L29" s="5" t="e">
        <f>#REF!+#REF!+#REF!+#REF!+#REF!+#REF!+#REF!+#REF!+#REF!+#REF!+#REF!+#REF!+#REF!+#REF!</f>
        <v>#REF!</v>
      </c>
      <c r="M29" s="5" t="e">
        <f>#REF!+#REF!+#REF!+#REF!+#REF!+#REF!+#REF!+#REF!+#REF!+#REF!+#REF!+#REF!+#REF!+#REF!</f>
        <v>#REF!</v>
      </c>
      <c r="N29" s="5" t="e">
        <f>#REF!+#REF!+#REF!+#REF!+#REF!+#REF!+#REF!+#REF!+#REF!+#REF!+#REF!+#REF!+#REF!+#REF!</f>
        <v>#REF!</v>
      </c>
      <c r="O29" s="5" t="e">
        <f>#REF!+#REF!+#REF!+#REF!+#REF!+#REF!+#REF!+#REF!+#REF!+#REF!+#REF!+#REF!+#REF!+#REF!</f>
        <v>#REF!</v>
      </c>
      <c r="P29" s="5" t="e">
        <f>#REF!+#REF!+#REF!+#REF!+#REF!+#REF!+#REF!+#REF!+#REF!+#REF!+#REF!+#REF!+#REF!+#REF!</f>
        <v>#REF!</v>
      </c>
      <c r="Q29" s="5" t="e">
        <f>#REF!+#REF!+#REF!+#REF!+#REF!+#REF!+#REF!+#REF!+#REF!+#REF!+#REF!+#REF!+#REF!+#REF!</f>
        <v>#REF!</v>
      </c>
      <c r="R29" s="5" t="e">
        <f>#REF!+#REF!+#REF!+#REF!+#REF!+#REF!+#REF!+#REF!+#REF!+#REF!+#REF!+#REF!+#REF!+#REF!</f>
        <v>#REF!</v>
      </c>
      <c r="S29" s="5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1" t="s">
        <v>44</v>
      </c>
      <c r="B30" s="1" t="str">
        <f>VLOOKUP(A30,[25]LISTADHERENT!A$5:H$60,3,0)</f>
        <v>NKEPSEU DIEUDONNE</v>
      </c>
      <c r="C30" s="5" t="e">
        <f>#REF!+#REF!+#REF!+#REF!+#REF!+#REF!+#REF!+#REF!+#REF!+#REF!+#REF!+#REF!+#REF!+#REF!</f>
        <v>#REF!</v>
      </c>
      <c r="D30" s="5" t="e">
        <f>#REF!+#REF!+#REF!+#REF!+#REF!+#REF!+#REF!+#REF!+#REF!+#REF!+#REF!+#REF!+#REF!+#REF!</f>
        <v>#REF!</v>
      </c>
      <c r="E30" s="5" t="e">
        <f>#REF!+#REF!+#REF!+#REF!+#REF!+#REF!+#REF!+#REF!+#REF!+#REF!+#REF!+#REF!+#REF!+#REF!</f>
        <v>#REF!</v>
      </c>
      <c r="F30" s="5" t="e">
        <f>#REF!+#REF!+#REF!+#REF!+#REF!+#REF!+#REF!+#REF!+#REF!+#REF!+#REF!+#REF!+#REF!+#REF!</f>
        <v>#REF!</v>
      </c>
      <c r="G30" s="5" t="e">
        <f>#REF!+#REF!+#REF!+#REF!+#REF!+#REF!+#REF!+#REF!+#REF!+#REF!+#REF!+#REF!+#REF!+#REF!</f>
        <v>#REF!</v>
      </c>
      <c r="H30" s="5" t="e">
        <f>#REF!+#REF!+#REF!+#REF!+#REF!+#REF!+#REF!+#REF!+#REF!+#REF!+#REF!+#REF!+#REF!+#REF!</f>
        <v>#REF!</v>
      </c>
      <c r="I30" s="5" t="e">
        <f>#REF!+#REF!+#REF!+#REF!+#REF!+#REF!+#REF!+#REF!+#REF!+#REF!+#REF!+#REF!+#REF!+#REF!</f>
        <v>#REF!</v>
      </c>
      <c r="J30" s="5" t="e">
        <f>#REF!+#REF!+#REF!+#REF!+#REF!+#REF!+#REF!+#REF!+#REF!+#REF!+#REF!+#REF!+#REF!+#REF!</f>
        <v>#REF!</v>
      </c>
      <c r="K30" s="5" t="e">
        <f>#REF!+#REF!+#REF!+#REF!+#REF!+#REF!+#REF!+#REF!+#REF!+#REF!+#REF!+#REF!+#REF!+#REF!</f>
        <v>#REF!</v>
      </c>
      <c r="L30" s="5" t="e">
        <f>#REF!+#REF!+#REF!+#REF!+#REF!+#REF!+#REF!+#REF!+#REF!+#REF!+#REF!+#REF!+#REF!+#REF!</f>
        <v>#REF!</v>
      </c>
      <c r="M30" s="5" t="e">
        <f>#REF!+#REF!+#REF!+#REF!+#REF!+#REF!+#REF!+#REF!+#REF!+#REF!+#REF!+#REF!+#REF!+#REF!</f>
        <v>#REF!</v>
      </c>
      <c r="N30" s="5" t="e">
        <f>#REF!+#REF!+#REF!+#REF!+#REF!+#REF!+#REF!+#REF!+#REF!+#REF!+#REF!+#REF!+#REF!+#REF!</f>
        <v>#REF!</v>
      </c>
      <c r="O30" s="5" t="e">
        <f>#REF!+#REF!+#REF!+#REF!+#REF!+#REF!+#REF!+#REF!+#REF!+#REF!+#REF!+#REF!+#REF!+#REF!</f>
        <v>#REF!</v>
      </c>
      <c r="P30" s="5" t="e">
        <f>#REF!+#REF!+#REF!+#REF!+#REF!+#REF!+#REF!+#REF!+#REF!+#REF!+#REF!+#REF!+#REF!+#REF!</f>
        <v>#REF!</v>
      </c>
      <c r="Q30" s="5" t="e">
        <f>#REF!+#REF!+#REF!+#REF!+#REF!+#REF!+#REF!+#REF!+#REF!+#REF!+#REF!+#REF!+#REF!+#REF!</f>
        <v>#REF!</v>
      </c>
      <c r="R30" s="5" t="e">
        <f>#REF!+#REF!+#REF!+#REF!+#REF!+#REF!+#REF!+#REF!+#REF!+#REF!+#REF!+#REF!+#REF!+#REF!</f>
        <v>#REF!</v>
      </c>
      <c r="S30" s="5"/>
      <c r="T30" s="7"/>
      <c r="U30" s="7"/>
      <c r="V30" s="2"/>
      <c r="W30" s="2"/>
      <c r="X30" s="2"/>
      <c r="Y30" s="2"/>
      <c r="Z30" s="2"/>
      <c r="AA30" s="2"/>
      <c r="AB30" s="2"/>
    </row>
    <row r="31" spans="1:28" x14ac:dyDescent="0.35">
      <c r="A31" s="1" t="s">
        <v>45</v>
      </c>
      <c r="B31" s="1" t="str">
        <f>VLOOKUP(A31,[25]LISTADHERENT!A$5:H$60,3,0)</f>
        <v>PATEGO NJOSSU GUSTAVE</v>
      </c>
      <c r="C31" s="5" t="e">
        <f>#REF!+#REF!+#REF!+#REF!+#REF!+#REF!+#REF!+#REF!+#REF!+#REF!+#REF!+#REF!+#REF!+#REF!</f>
        <v>#REF!</v>
      </c>
      <c r="D31" s="5" t="e">
        <f>#REF!+#REF!+#REF!+#REF!+#REF!+#REF!+#REF!+#REF!+#REF!+#REF!+#REF!+#REF!+#REF!+#REF!</f>
        <v>#REF!</v>
      </c>
      <c r="E31" s="5" t="e">
        <f>#REF!+#REF!+#REF!+#REF!+#REF!+#REF!+#REF!+#REF!+#REF!+#REF!+#REF!+#REF!+#REF!+#REF!</f>
        <v>#REF!</v>
      </c>
      <c r="F31" s="5" t="e">
        <f>#REF!+#REF!+#REF!+#REF!+#REF!+#REF!+#REF!+#REF!+#REF!+#REF!+#REF!+#REF!+#REF!+#REF!</f>
        <v>#REF!</v>
      </c>
      <c r="G31" s="5" t="e">
        <f>#REF!+#REF!+#REF!+#REF!+#REF!+#REF!+#REF!+#REF!+#REF!+#REF!+#REF!+#REF!+#REF!+#REF!</f>
        <v>#REF!</v>
      </c>
      <c r="H31" s="5" t="e">
        <f>#REF!+#REF!+#REF!+#REF!+#REF!+#REF!+#REF!+#REF!+#REF!+#REF!+#REF!+#REF!+#REF!+#REF!</f>
        <v>#REF!</v>
      </c>
      <c r="I31" s="5" t="e">
        <f>#REF!+#REF!+#REF!+#REF!+#REF!+#REF!+#REF!+#REF!+#REF!+#REF!+#REF!+#REF!+#REF!+#REF!</f>
        <v>#REF!</v>
      </c>
      <c r="J31" s="5" t="e">
        <f>#REF!+#REF!+#REF!+#REF!+#REF!+#REF!+#REF!+#REF!+#REF!+#REF!+#REF!+#REF!+#REF!+#REF!</f>
        <v>#REF!</v>
      </c>
      <c r="K31" s="5" t="e">
        <f>#REF!+#REF!+#REF!+#REF!+#REF!+#REF!+#REF!+#REF!+#REF!+#REF!+#REF!+#REF!+#REF!+#REF!</f>
        <v>#REF!</v>
      </c>
      <c r="L31" s="5" t="e">
        <f>#REF!+#REF!+#REF!+#REF!+#REF!+#REF!+#REF!+#REF!+#REF!+#REF!+#REF!+#REF!+#REF!+#REF!</f>
        <v>#REF!</v>
      </c>
      <c r="M31" s="5" t="e">
        <f>#REF!+#REF!+#REF!+#REF!+#REF!+#REF!+#REF!+#REF!+#REF!+#REF!+#REF!+#REF!+#REF!+#REF!</f>
        <v>#REF!</v>
      </c>
      <c r="N31" s="5" t="e">
        <f>#REF!+#REF!+#REF!+#REF!+#REF!+#REF!+#REF!+#REF!+#REF!+#REF!+#REF!+#REF!+#REF!+#REF!</f>
        <v>#REF!</v>
      </c>
      <c r="O31" s="5" t="e">
        <f>#REF!+#REF!+#REF!+#REF!+#REF!+#REF!+#REF!+#REF!+#REF!+#REF!+#REF!+#REF!+#REF!+#REF!</f>
        <v>#REF!</v>
      </c>
      <c r="P31" s="5" t="e">
        <f>#REF!+#REF!+#REF!+#REF!+#REF!+#REF!+#REF!+#REF!+#REF!+#REF!+#REF!+#REF!+#REF!+#REF!</f>
        <v>#REF!</v>
      </c>
      <c r="Q31" s="5" t="e">
        <f>#REF!+#REF!+#REF!+#REF!+#REF!+#REF!+#REF!+#REF!+#REF!+#REF!+#REF!+#REF!+#REF!+#REF!</f>
        <v>#REF!</v>
      </c>
      <c r="R31" s="5" t="e">
        <f>#REF!+#REF!+#REF!+#REF!+#REF!+#REF!+#REF!+#REF!+#REF!+#REF!+#REF!+#REF!+#REF!+#REF!</f>
        <v>#REF!</v>
      </c>
      <c r="S31" s="5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1" t="s">
        <v>81</v>
      </c>
      <c r="B32" s="1" t="str">
        <f>VLOOKUP(A32,[25]LISTADHERENT!A$5:H$60,3,0)</f>
        <v>SIME BRICE</v>
      </c>
      <c r="C32" s="5" t="e">
        <f>#REF!+#REF!+#REF!+#REF!+#REF!+#REF!+#REF!+#REF!+#REF!+#REF!+#REF!+#REF!+#REF!+#REF!</f>
        <v>#REF!</v>
      </c>
      <c r="D32" s="5" t="e">
        <f>#REF!+#REF!+#REF!+#REF!+#REF!+#REF!+#REF!+#REF!+#REF!+#REF!+#REF!+#REF!+#REF!+#REF!</f>
        <v>#REF!</v>
      </c>
      <c r="E32" s="5" t="e">
        <f>#REF!+#REF!+#REF!+#REF!+#REF!+#REF!+#REF!+#REF!+#REF!+#REF!+#REF!+#REF!+#REF!+#REF!</f>
        <v>#REF!</v>
      </c>
      <c r="F32" s="5" t="e">
        <f>#REF!+#REF!+#REF!+#REF!+#REF!+#REF!+#REF!+#REF!+#REF!+#REF!+#REF!+#REF!+#REF!+#REF!</f>
        <v>#REF!</v>
      </c>
      <c r="G32" s="5" t="e">
        <f>#REF!+#REF!+#REF!+#REF!+#REF!+#REF!+#REF!+#REF!+#REF!+#REF!+#REF!+#REF!+#REF!+#REF!</f>
        <v>#REF!</v>
      </c>
      <c r="H32" s="5" t="e">
        <f>#REF!+#REF!+#REF!+#REF!+#REF!+#REF!+#REF!+#REF!+#REF!+#REF!+#REF!+#REF!+#REF!+#REF!</f>
        <v>#REF!</v>
      </c>
      <c r="I32" s="5" t="e">
        <f>#REF!+#REF!+#REF!+#REF!+#REF!+#REF!+#REF!+#REF!+#REF!+#REF!+#REF!+#REF!+#REF!+#REF!</f>
        <v>#REF!</v>
      </c>
      <c r="J32" s="5" t="e">
        <f>#REF!+#REF!+#REF!+#REF!+#REF!+#REF!+#REF!+#REF!+#REF!+#REF!+#REF!+#REF!+#REF!+#REF!</f>
        <v>#REF!</v>
      </c>
      <c r="K32" s="5" t="e">
        <f>#REF!+#REF!+#REF!+#REF!+#REF!+#REF!+#REF!+#REF!+#REF!+#REF!+#REF!+#REF!+#REF!+#REF!</f>
        <v>#REF!</v>
      </c>
      <c r="L32" s="5" t="e">
        <f>#REF!+#REF!+#REF!+#REF!+#REF!+#REF!+#REF!+#REF!+#REF!+#REF!+#REF!+#REF!+#REF!+#REF!</f>
        <v>#REF!</v>
      </c>
      <c r="M32" s="5" t="e">
        <f>#REF!+#REF!+#REF!+#REF!+#REF!+#REF!+#REF!+#REF!+#REF!+#REF!+#REF!+#REF!+#REF!+#REF!</f>
        <v>#REF!</v>
      </c>
      <c r="N32" s="5" t="e">
        <f>#REF!+#REF!+#REF!+#REF!+#REF!+#REF!+#REF!+#REF!+#REF!+#REF!+#REF!+#REF!+#REF!+#REF!</f>
        <v>#REF!</v>
      </c>
      <c r="O32" s="5" t="e">
        <f>#REF!+#REF!+#REF!+#REF!+#REF!+#REF!+#REF!+#REF!+#REF!+#REF!+#REF!+#REF!+#REF!+#REF!</f>
        <v>#REF!</v>
      </c>
      <c r="P32" s="5" t="e">
        <f>#REF!+#REF!+#REF!+#REF!+#REF!+#REF!+#REF!+#REF!+#REF!+#REF!+#REF!+#REF!+#REF!+#REF!</f>
        <v>#REF!</v>
      </c>
      <c r="Q32" s="5" t="e">
        <f>#REF!+#REF!+#REF!+#REF!+#REF!+#REF!+#REF!+#REF!+#REF!+#REF!+#REF!+#REF!+#REF!+#REF!</f>
        <v>#REF!</v>
      </c>
      <c r="R32" s="5" t="e">
        <f>#REF!+#REF!+#REF!+#REF!+#REF!+#REF!+#REF!+#REF!+#REF!+#REF!+#REF!+#REF!+#REF!+#REF!</f>
        <v>#REF!</v>
      </c>
      <c r="V32" s="2"/>
      <c r="W32" s="2"/>
      <c r="X32" s="2"/>
      <c r="Y32" s="2"/>
      <c r="Z32" s="2"/>
      <c r="AA32" s="2"/>
      <c r="AB32" s="2"/>
    </row>
    <row r="33" spans="1:28" x14ac:dyDescent="0.35">
      <c r="A33" s="1" t="s">
        <v>47</v>
      </c>
      <c r="B33" s="1" t="str">
        <f>VLOOKUP(A33,[25]LISTADHERENT!A$5:H$60,3,0)</f>
        <v>SIMO FONGANG ERIC</v>
      </c>
      <c r="C33" s="5" t="e">
        <f>#REF!+#REF!+#REF!+#REF!+#REF!+#REF!+#REF!+#REF!+#REF!+#REF!+#REF!+#REF!+#REF!+#REF!</f>
        <v>#REF!</v>
      </c>
      <c r="D33" s="5" t="e">
        <f>#REF!+#REF!+#REF!+#REF!+#REF!+#REF!+#REF!+#REF!+#REF!+#REF!+#REF!+#REF!+#REF!+#REF!</f>
        <v>#REF!</v>
      </c>
      <c r="E33" s="5" t="e">
        <f>#REF!+#REF!+#REF!+#REF!+#REF!+#REF!+#REF!+#REF!+#REF!+#REF!+#REF!+#REF!+#REF!+#REF!</f>
        <v>#REF!</v>
      </c>
      <c r="F33" s="5" t="e">
        <f>#REF!+#REF!+#REF!+#REF!+#REF!+#REF!+#REF!+#REF!+#REF!+#REF!+#REF!+#REF!+#REF!+#REF!</f>
        <v>#REF!</v>
      </c>
      <c r="G33" s="5" t="e">
        <f>#REF!+#REF!+#REF!+#REF!+#REF!+#REF!+#REF!+#REF!+#REF!+#REF!+#REF!+#REF!+#REF!+#REF!</f>
        <v>#REF!</v>
      </c>
      <c r="H33" s="5" t="e">
        <f>#REF!+#REF!+#REF!+#REF!+#REF!+#REF!+#REF!+#REF!+#REF!+#REF!+#REF!+#REF!+#REF!+#REF!</f>
        <v>#REF!</v>
      </c>
      <c r="I33" s="5" t="e">
        <f>#REF!+#REF!+#REF!+#REF!+#REF!+#REF!+#REF!+#REF!+#REF!+#REF!+#REF!+#REF!+#REF!+#REF!</f>
        <v>#REF!</v>
      </c>
      <c r="J33" s="5" t="e">
        <f>#REF!+#REF!+#REF!+#REF!+#REF!+#REF!+#REF!+#REF!+#REF!+#REF!+#REF!+#REF!+#REF!+#REF!</f>
        <v>#REF!</v>
      </c>
      <c r="K33" s="5" t="e">
        <f>#REF!+#REF!+#REF!+#REF!+#REF!+#REF!+#REF!+#REF!+#REF!+#REF!+#REF!+#REF!+#REF!+#REF!</f>
        <v>#REF!</v>
      </c>
      <c r="L33" s="5" t="e">
        <f>#REF!+#REF!+#REF!+#REF!+#REF!+#REF!+#REF!+#REF!+#REF!+#REF!+#REF!+#REF!+#REF!+#REF!</f>
        <v>#REF!</v>
      </c>
      <c r="M33" s="5" t="e">
        <f>#REF!+#REF!+#REF!+#REF!+#REF!+#REF!+#REF!+#REF!+#REF!+#REF!+#REF!+#REF!+#REF!+#REF!</f>
        <v>#REF!</v>
      </c>
      <c r="N33" s="5" t="e">
        <f>#REF!+#REF!+#REF!+#REF!+#REF!+#REF!+#REF!+#REF!+#REF!+#REF!+#REF!+#REF!+#REF!+#REF!</f>
        <v>#REF!</v>
      </c>
      <c r="O33" s="5" t="e">
        <f>#REF!+#REF!+#REF!+#REF!+#REF!+#REF!+#REF!+#REF!+#REF!+#REF!+#REF!+#REF!+#REF!+#REF!</f>
        <v>#REF!</v>
      </c>
      <c r="P33" s="5" t="e">
        <f>#REF!+#REF!+#REF!+#REF!+#REF!+#REF!+#REF!+#REF!+#REF!+#REF!+#REF!+#REF!+#REF!+#REF!</f>
        <v>#REF!</v>
      </c>
      <c r="Q33" s="5" t="e">
        <f>#REF!+#REF!+#REF!+#REF!+#REF!+#REF!+#REF!+#REF!+#REF!+#REF!+#REF!+#REF!+#REF!+#REF!</f>
        <v>#REF!</v>
      </c>
      <c r="R33" s="5" t="e">
        <f>#REF!+#REF!+#REF!+#REF!+#REF!+#REF!+#REF!+#REF!+#REF!+#REF!+#REF!+#REF!+#REF!+#REF!</f>
        <v>#REF!</v>
      </c>
      <c r="S33" s="5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5">
      <c r="A34" s="1" t="s">
        <v>48</v>
      </c>
      <c r="B34" s="1" t="str">
        <f>VLOOKUP(A34,[25]LISTADHERENT!A$5:H$60,3,0)</f>
        <v>SIME MATHIEU</v>
      </c>
      <c r="C34" s="5" t="e">
        <f>#REF!+#REF!+#REF!+#REF!+#REF!+#REF!+#REF!+#REF!+#REF!+#REF!+#REF!+#REF!+#REF!+#REF!</f>
        <v>#REF!</v>
      </c>
      <c r="D34" s="5" t="e">
        <f>#REF!+#REF!+#REF!+#REF!+#REF!+#REF!+#REF!+#REF!+#REF!+#REF!+#REF!+#REF!+#REF!+#REF!</f>
        <v>#REF!</v>
      </c>
      <c r="E34" s="5" t="e">
        <f>#REF!+#REF!+#REF!+#REF!+#REF!+#REF!+#REF!+#REF!+#REF!+#REF!+#REF!+#REF!+#REF!+#REF!</f>
        <v>#REF!</v>
      </c>
      <c r="F34" s="5" t="e">
        <f>#REF!+#REF!+#REF!+#REF!+#REF!+#REF!+#REF!+#REF!+#REF!+#REF!+#REF!+#REF!+#REF!+#REF!</f>
        <v>#REF!</v>
      </c>
      <c r="G34" s="5" t="e">
        <f>#REF!+#REF!+#REF!+#REF!+#REF!+#REF!+#REF!+#REF!+#REF!+#REF!+#REF!+#REF!+#REF!+#REF!</f>
        <v>#REF!</v>
      </c>
      <c r="H34" s="5" t="e">
        <f>#REF!+#REF!+#REF!+#REF!+#REF!+#REF!+#REF!+#REF!+#REF!+#REF!+#REF!+#REF!+#REF!+#REF!</f>
        <v>#REF!</v>
      </c>
      <c r="I34" s="5" t="e">
        <f>#REF!+#REF!+#REF!+#REF!+#REF!+#REF!+#REF!+#REF!+#REF!+#REF!+#REF!+#REF!+#REF!+#REF!</f>
        <v>#REF!</v>
      </c>
      <c r="J34" s="5" t="e">
        <f>#REF!+#REF!+#REF!+#REF!+#REF!+#REF!+#REF!+#REF!+#REF!+#REF!+#REF!+#REF!+#REF!+#REF!</f>
        <v>#REF!</v>
      </c>
      <c r="K34" s="5" t="e">
        <f>#REF!+#REF!+#REF!+#REF!+#REF!+#REF!+#REF!+#REF!+#REF!+#REF!+#REF!+#REF!+#REF!+#REF!</f>
        <v>#REF!</v>
      </c>
      <c r="L34" s="5" t="e">
        <f>#REF!+#REF!+#REF!+#REF!+#REF!+#REF!+#REF!+#REF!+#REF!+#REF!+#REF!+#REF!+#REF!+#REF!</f>
        <v>#REF!</v>
      </c>
      <c r="M34" s="5" t="e">
        <f>#REF!+#REF!+#REF!+#REF!+#REF!+#REF!+#REF!+#REF!+#REF!+#REF!+#REF!+#REF!+#REF!+#REF!</f>
        <v>#REF!</v>
      </c>
      <c r="N34" s="5" t="e">
        <f>#REF!+#REF!+#REF!+#REF!+#REF!+#REF!+#REF!+#REF!+#REF!+#REF!+#REF!+#REF!+#REF!+#REF!</f>
        <v>#REF!</v>
      </c>
      <c r="O34" s="5" t="e">
        <f>#REF!+#REF!+#REF!+#REF!+#REF!+#REF!+#REF!+#REF!+#REF!+#REF!+#REF!+#REF!+#REF!+#REF!</f>
        <v>#REF!</v>
      </c>
      <c r="P34" s="5" t="e">
        <f>#REF!+#REF!+#REF!+#REF!+#REF!+#REF!+#REF!+#REF!+#REF!+#REF!+#REF!+#REF!+#REF!+#REF!</f>
        <v>#REF!</v>
      </c>
      <c r="Q34" s="5" t="e">
        <f>#REF!+#REF!+#REF!+#REF!+#REF!+#REF!+#REF!+#REF!+#REF!+#REF!+#REF!+#REF!+#REF!+#REF!</f>
        <v>#REF!</v>
      </c>
      <c r="R34" s="5" t="e">
        <f>#REF!+#REF!+#REF!+#REF!+#REF!+#REF!+#REF!+#REF!+#REF!+#REF!+#REF!+#REF!+#REF!+#REF!</f>
        <v>#REF!</v>
      </c>
      <c r="S34" s="5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5">
      <c r="A35" s="1" t="s">
        <v>49</v>
      </c>
      <c r="B35" s="1" t="str">
        <f>VLOOKUP(A35,[25]LISTADHERENT!A$5:H$60,3,0)</f>
        <v>SIMO PIERRE</v>
      </c>
      <c r="C35" s="5" t="e">
        <f>#REF!+#REF!+#REF!+#REF!+#REF!+#REF!+#REF!+#REF!+#REF!+#REF!+#REF!+#REF!+#REF!+#REF!</f>
        <v>#REF!</v>
      </c>
      <c r="D35" s="5" t="e">
        <f>#REF!+#REF!+#REF!+#REF!+#REF!+#REF!+#REF!+#REF!+#REF!+#REF!+#REF!+#REF!+#REF!+#REF!</f>
        <v>#REF!</v>
      </c>
      <c r="E35" s="5" t="e">
        <f>#REF!+#REF!+#REF!+#REF!+#REF!+#REF!+#REF!+#REF!+#REF!+#REF!+#REF!+#REF!+#REF!+#REF!</f>
        <v>#REF!</v>
      </c>
      <c r="F35" s="5" t="e">
        <f>#REF!+#REF!+#REF!+#REF!+#REF!+#REF!+#REF!+#REF!+#REF!+#REF!+#REF!+#REF!+#REF!+#REF!</f>
        <v>#REF!</v>
      </c>
      <c r="G35" s="5" t="e">
        <f>#REF!+#REF!+#REF!+#REF!+#REF!+#REF!+#REF!+#REF!+#REF!+#REF!+#REF!+#REF!+#REF!+#REF!</f>
        <v>#REF!</v>
      </c>
      <c r="H35" s="5" t="e">
        <f>#REF!+#REF!+#REF!+#REF!+#REF!+#REF!+#REF!+#REF!+#REF!+#REF!+#REF!+#REF!+#REF!+#REF!</f>
        <v>#REF!</v>
      </c>
      <c r="I35" s="5" t="e">
        <f>#REF!+#REF!+#REF!+#REF!+#REF!+#REF!+#REF!+#REF!+#REF!+#REF!+#REF!+#REF!+#REF!+#REF!</f>
        <v>#REF!</v>
      </c>
      <c r="J35" s="5" t="e">
        <f>#REF!+#REF!+#REF!+#REF!+#REF!+#REF!+#REF!+#REF!+#REF!+#REF!+#REF!+#REF!+#REF!+#REF!</f>
        <v>#REF!</v>
      </c>
      <c r="K35" s="5" t="e">
        <f>#REF!+#REF!+#REF!+#REF!+#REF!+#REF!+#REF!+#REF!+#REF!+#REF!+#REF!+#REF!+#REF!+#REF!</f>
        <v>#REF!</v>
      </c>
      <c r="L35" s="5" t="e">
        <f>#REF!+#REF!+#REF!+#REF!+#REF!+#REF!+#REF!+#REF!+#REF!+#REF!+#REF!+#REF!+#REF!+#REF!</f>
        <v>#REF!</v>
      </c>
      <c r="M35" s="5" t="e">
        <f>#REF!+#REF!+#REF!+#REF!+#REF!+#REF!+#REF!+#REF!+#REF!+#REF!+#REF!+#REF!+#REF!+#REF!</f>
        <v>#REF!</v>
      </c>
      <c r="N35" s="5" t="e">
        <f>#REF!+#REF!+#REF!+#REF!+#REF!+#REF!+#REF!+#REF!+#REF!+#REF!+#REF!+#REF!+#REF!+#REF!</f>
        <v>#REF!</v>
      </c>
      <c r="O35" s="5" t="e">
        <f>#REF!+#REF!+#REF!+#REF!+#REF!+#REF!+#REF!+#REF!+#REF!+#REF!+#REF!+#REF!+#REF!+#REF!</f>
        <v>#REF!</v>
      </c>
      <c r="P35" s="5" t="e">
        <f>#REF!+#REF!+#REF!+#REF!+#REF!+#REF!+#REF!+#REF!+#REF!+#REF!+#REF!+#REF!+#REF!+#REF!</f>
        <v>#REF!</v>
      </c>
      <c r="Q35" s="5" t="e">
        <f>#REF!+#REF!+#REF!+#REF!+#REF!+#REF!+#REF!+#REF!+#REF!+#REF!+#REF!+#REF!+#REF!+#REF!</f>
        <v>#REF!</v>
      </c>
      <c r="R35" s="5" t="e">
        <f>#REF!+#REF!+#REF!+#REF!+#REF!+#REF!+#REF!+#REF!+#REF!+#REF!+#REF!+#REF!+#REF!+#REF!</f>
        <v>#REF!</v>
      </c>
      <c r="S35" s="5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5">
      <c r="A36" s="1" t="s">
        <v>51</v>
      </c>
      <c r="B36" s="1" t="str">
        <f>VLOOKUP(A36,[25]LISTADHERENT!A$5:H$60,3,0)</f>
        <v>TCHOUAMOU MATHIEU</v>
      </c>
      <c r="C36" s="5" t="e">
        <f>#REF!+#REF!+#REF!+#REF!+#REF!+#REF!+#REF!+#REF!+#REF!+#REF!+#REF!+#REF!+#REF!+#REF!</f>
        <v>#REF!</v>
      </c>
      <c r="D36" s="5" t="e">
        <f>#REF!+#REF!+#REF!+#REF!+#REF!+#REF!+#REF!+#REF!+#REF!+#REF!+#REF!+#REF!+#REF!+#REF!</f>
        <v>#REF!</v>
      </c>
      <c r="E36" s="5" t="e">
        <f>#REF!+#REF!+#REF!+#REF!+#REF!+#REF!+#REF!+#REF!+#REF!+#REF!+#REF!+#REF!+#REF!+#REF!</f>
        <v>#REF!</v>
      </c>
      <c r="F36" s="5" t="e">
        <f>#REF!+#REF!+#REF!+#REF!+#REF!+#REF!+#REF!+#REF!+#REF!+#REF!+#REF!+#REF!+#REF!+#REF!</f>
        <v>#REF!</v>
      </c>
      <c r="G36" s="5" t="e">
        <f>#REF!+#REF!+#REF!+#REF!+#REF!+#REF!+#REF!+#REF!+#REF!+#REF!+#REF!+#REF!+#REF!+#REF!</f>
        <v>#REF!</v>
      </c>
      <c r="H36" s="5" t="e">
        <f>#REF!+#REF!+#REF!+#REF!+#REF!+#REF!+#REF!+#REF!+#REF!+#REF!+#REF!+#REF!+#REF!+#REF!</f>
        <v>#REF!</v>
      </c>
      <c r="I36" s="5" t="e">
        <f>#REF!+#REF!+#REF!+#REF!+#REF!+#REF!+#REF!+#REF!+#REF!+#REF!+#REF!+#REF!+#REF!+#REF!</f>
        <v>#REF!</v>
      </c>
      <c r="J36" s="5" t="e">
        <f>#REF!+#REF!+#REF!+#REF!+#REF!+#REF!+#REF!+#REF!+#REF!+#REF!+#REF!+#REF!+#REF!+#REF!</f>
        <v>#REF!</v>
      </c>
      <c r="K36" s="5" t="e">
        <f>#REF!+#REF!+#REF!+#REF!+#REF!+#REF!+#REF!+#REF!+#REF!+#REF!+#REF!+#REF!+#REF!+#REF!</f>
        <v>#REF!</v>
      </c>
      <c r="L36" s="5" t="e">
        <f>#REF!+#REF!+#REF!+#REF!+#REF!+#REF!+#REF!+#REF!+#REF!+#REF!+#REF!+#REF!+#REF!+#REF!</f>
        <v>#REF!</v>
      </c>
      <c r="M36" s="5" t="e">
        <f>#REF!+#REF!+#REF!+#REF!+#REF!+#REF!+#REF!+#REF!+#REF!+#REF!+#REF!+#REF!+#REF!+#REF!</f>
        <v>#REF!</v>
      </c>
      <c r="N36" s="5" t="e">
        <f>#REF!+#REF!+#REF!+#REF!+#REF!+#REF!+#REF!+#REF!+#REF!+#REF!+#REF!+#REF!+#REF!+#REF!</f>
        <v>#REF!</v>
      </c>
      <c r="O36" s="5" t="e">
        <f>#REF!+#REF!+#REF!+#REF!+#REF!+#REF!+#REF!+#REF!+#REF!+#REF!+#REF!+#REF!+#REF!+#REF!</f>
        <v>#REF!</v>
      </c>
      <c r="P36" s="5" t="e">
        <f>#REF!+#REF!+#REF!+#REF!+#REF!+#REF!+#REF!+#REF!+#REF!+#REF!+#REF!+#REF!+#REF!+#REF!</f>
        <v>#REF!</v>
      </c>
      <c r="Q36" s="5" t="e">
        <f>#REF!+#REF!+#REF!+#REF!+#REF!+#REF!+#REF!+#REF!+#REF!+#REF!+#REF!+#REF!+#REF!+#REF!</f>
        <v>#REF!</v>
      </c>
      <c r="R36" s="5" t="e">
        <f>#REF!+#REF!+#REF!+#REF!+#REF!+#REF!+#REF!+#REF!+#REF!+#REF!+#REF!+#REF!+#REF!+#REF!</f>
        <v>#REF!</v>
      </c>
      <c r="S36" s="5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35">
      <c r="A37" s="1" t="s">
        <v>54</v>
      </c>
      <c r="B37" s="1" t="str">
        <f>VLOOKUP(A37,[25]LISTADHERENT!A$5:H$60,3,0)</f>
        <v>TIEYAM ERNEST</v>
      </c>
      <c r="C37" s="5" t="e">
        <f>#REF!+#REF!+#REF!+#REF!+#REF!+#REF!+#REF!+#REF!+#REF!+#REF!+#REF!+#REF!+#REF!+#REF!</f>
        <v>#REF!</v>
      </c>
      <c r="D37" s="5" t="e">
        <f>#REF!+#REF!+#REF!+#REF!+#REF!+#REF!+#REF!+#REF!+#REF!+#REF!+#REF!+#REF!+#REF!+#REF!</f>
        <v>#REF!</v>
      </c>
      <c r="E37" s="5" t="e">
        <f>#REF!+#REF!+#REF!+#REF!+#REF!+#REF!+#REF!+#REF!+#REF!+#REF!+#REF!+#REF!+#REF!+#REF!</f>
        <v>#REF!</v>
      </c>
      <c r="F37" s="5" t="e">
        <f>#REF!+#REF!+#REF!+#REF!+#REF!+#REF!+#REF!+#REF!+#REF!+#REF!+#REF!+#REF!+#REF!+#REF!</f>
        <v>#REF!</v>
      </c>
      <c r="G37" s="5" t="e">
        <f>#REF!+#REF!+#REF!+#REF!+#REF!+#REF!+#REF!+#REF!+#REF!+#REF!+#REF!+#REF!+#REF!+#REF!</f>
        <v>#REF!</v>
      </c>
      <c r="H37" s="5" t="e">
        <f>#REF!+#REF!+#REF!+#REF!+#REF!+#REF!+#REF!+#REF!+#REF!+#REF!+#REF!+#REF!+#REF!+#REF!</f>
        <v>#REF!</v>
      </c>
      <c r="I37" s="5" t="e">
        <f>#REF!+#REF!+#REF!+#REF!+#REF!+#REF!+#REF!+#REF!+#REF!+#REF!+#REF!+#REF!+#REF!+#REF!</f>
        <v>#REF!</v>
      </c>
      <c r="J37" s="5" t="e">
        <f>#REF!+#REF!+#REF!+#REF!+#REF!+#REF!+#REF!+#REF!+#REF!+#REF!+#REF!+#REF!+#REF!+#REF!</f>
        <v>#REF!</v>
      </c>
      <c r="K37" s="5" t="e">
        <f>#REF!+#REF!+#REF!+#REF!+#REF!+#REF!+#REF!+#REF!+#REF!+#REF!+#REF!+#REF!+#REF!+#REF!</f>
        <v>#REF!</v>
      </c>
      <c r="L37" s="5" t="e">
        <f>#REF!+#REF!+#REF!+#REF!+#REF!+#REF!+#REF!+#REF!+#REF!+#REF!+#REF!+#REF!+#REF!+#REF!</f>
        <v>#REF!</v>
      </c>
      <c r="M37" s="5" t="e">
        <f>#REF!+#REF!+#REF!+#REF!+#REF!+#REF!+#REF!+#REF!+#REF!+#REF!+#REF!+#REF!+#REF!+#REF!</f>
        <v>#REF!</v>
      </c>
      <c r="N37" s="5" t="e">
        <f>#REF!+#REF!+#REF!+#REF!+#REF!+#REF!+#REF!+#REF!+#REF!+#REF!+#REF!+#REF!+#REF!+#REF!</f>
        <v>#REF!</v>
      </c>
      <c r="O37" s="5" t="e">
        <f>#REF!+#REF!+#REF!+#REF!+#REF!+#REF!+#REF!+#REF!+#REF!+#REF!+#REF!+#REF!+#REF!+#REF!</f>
        <v>#REF!</v>
      </c>
      <c r="P37" s="5" t="e">
        <f>#REF!+#REF!+#REF!+#REF!+#REF!+#REF!+#REF!+#REF!+#REF!+#REF!+#REF!+#REF!+#REF!+#REF!</f>
        <v>#REF!</v>
      </c>
      <c r="Q37" s="5" t="e">
        <f>#REF!+#REF!+#REF!+#REF!+#REF!+#REF!+#REF!+#REF!+#REF!+#REF!+#REF!+#REF!+#REF!+#REF!</f>
        <v>#REF!</v>
      </c>
      <c r="R37" s="5" t="e">
        <f>#REF!+#REF!+#REF!+#REF!+#REF!+#REF!+#REF!+#REF!+#REF!+#REF!+#REF!+#REF!+#REF!+#REF!</f>
        <v>#REF!</v>
      </c>
      <c r="S37" s="5"/>
      <c r="T37" s="2"/>
      <c r="U37" s="2"/>
    </row>
    <row r="38" spans="1:28" x14ac:dyDescent="0.35">
      <c r="A38" s="1" t="s">
        <v>55</v>
      </c>
      <c r="B38" s="1" t="str">
        <f>VLOOKUP(A38,[25]LISTADHERENT!A$5:H$60,3,0)</f>
        <v>YEPMOU JEAN JACQUES</v>
      </c>
      <c r="C38" s="5" t="e">
        <f>#REF!+#REF!+#REF!+#REF!+#REF!+#REF!+#REF!+#REF!+#REF!+#REF!+#REF!+#REF!+#REF!+#REF!</f>
        <v>#REF!</v>
      </c>
      <c r="D38" s="5" t="e">
        <f>#REF!+#REF!+#REF!+#REF!+#REF!+#REF!+#REF!+#REF!+#REF!+#REF!+#REF!+#REF!+#REF!+#REF!</f>
        <v>#REF!</v>
      </c>
      <c r="E38" s="5" t="e">
        <f>#REF!+#REF!+#REF!+#REF!+#REF!+#REF!+#REF!+#REF!+#REF!+#REF!+#REF!+#REF!+#REF!+#REF!</f>
        <v>#REF!</v>
      </c>
      <c r="F38" s="5" t="e">
        <f>#REF!+#REF!+#REF!+#REF!+#REF!+#REF!+#REF!+#REF!+#REF!+#REF!+#REF!+#REF!+#REF!+#REF!</f>
        <v>#REF!</v>
      </c>
      <c r="G38" s="5" t="e">
        <f>#REF!+#REF!+#REF!+#REF!+#REF!+#REF!+#REF!+#REF!+#REF!+#REF!+#REF!+#REF!+#REF!+#REF!</f>
        <v>#REF!</v>
      </c>
      <c r="H38" s="5" t="e">
        <f>#REF!+#REF!+#REF!+#REF!+#REF!+#REF!+#REF!+#REF!+#REF!+#REF!+#REF!+#REF!+#REF!+#REF!</f>
        <v>#REF!</v>
      </c>
      <c r="I38" s="5" t="e">
        <f>#REF!+#REF!+#REF!+#REF!+#REF!+#REF!+#REF!+#REF!+#REF!+#REF!+#REF!+#REF!+#REF!+#REF!</f>
        <v>#REF!</v>
      </c>
      <c r="J38" s="5" t="e">
        <f>#REF!+#REF!+#REF!+#REF!+#REF!+#REF!+#REF!+#REF!+#REF!+#REF!+#REF!+#REF!+#REF!+#REF!</f>
        <v>#REF!</v>
      </c>
      <c r="K38" s="5" t="e">
        <f>#REF!+#REF!+#REF!+#REF!+#REF!+#REF!+#REF!+#REF!+#REF!+#REF!+#REF!+#REF!+#REF!+#REF!</f>
        <v>#REF!</v>
      </c>
      <c r="L38" s="5" t="e">
        <f>#REF!+#REF!+#REF!+#REF!+#REF!+#REF!+#REF!+#REF!+#REF!+#REF!+#REF!+#REF!+#REF!+#REF!</f>
        <v>#REF!</v>
      </c>
      <c r="M38" s="5" t="e">
        <f>#REF!+#REF!+#REF!+#REF!+#REF!+#REF!+#REF!+#REF!+#REF!+#REF!+#REF!+#REF!+#REF!+#REF!</f>
        <v>#REF!</v>
      </c>
      <c r="N38" s="5" t="e">
        <f>#REF!+#REF!+#REF!+#REF!+#REF!+#REF!+#REF!+#REF!+#REF!+#REF!+#REF!+#REF!+#REF!+#REF!</f>
        <v>#REF!</v>
      </c>
      <c r="O38" s="5" t="e">
        <f>#REF!+#REF!+#REF!+#REF!+#REF!+#REF!+#REF!+#REF!+#REF!+#REF!+#REF!+#REF!+#REF!+#REF!</f>
        <v>#REF!</v>
      </c>
      <c r="P38" s="5" t="e">
        <f>#REF!+#REF!+#REF!+#REF!+#REF!+#REF!+#REF!+#REF!+#REF!+#REF!+#REF!+#REF!+#REF!+#REF!</f>
        <v>#REF!</v>
      </c>
      <c r="Q38" s="5" t="e">
        <f>#REF!+#REF!+#REF!+#REF!+#REF!+#REF!+#REF!+#REF!+#REF!+#REF!+#REF!+#REF!+#REF!+#REF!</f>
        <v>#REF!</v>
      </c>
      <c r="R38" s="5" t="e">
        <f>#REF!+#REF!+#REF!+#REF!+#REF!+#REF!+#REF!+#REF!+#REF!+#REF!+#REF!+#REF!+#REF!+#REF!</f>
        <v>#REF!</v>
      </c>
      <c r="S38" s="5"/>
      <c r="T38" s="2"/>
      <c r="U38" s="2"/>
    </row>
    <row r="39" spans="1:28" x14ac:dyDescent="0.35">
      <c r="A39" s="1" t="s">
        <v>56</v>
      </c>
      <c r="B39" s="1" t="str">
        <f>VLOOKUP(A39,[25]LISTADHERENT!A$5:H$60,3,0)</f>
        <v>YOUMBI EMMANUEL</v>
      </c>
      <c r="C39" s="5" t="e">
        <f>#REF!+#REF!+#REF!+#REF!+#REF!+#REF!+#REF!+#REF!+#REF!+#REF!+#REF!+#REF!+#REF!+#REF!</f>
        <v>#REF!</v>
      </c>
      <c r="D39" s="5" t="e">
        <f>#REF!+#REF!+#REF!+#REF!+#REF!+#REF!+#REF!+#REF!+#REF!+#REF!+#REF!+#REF!+#REF!+#REF!</f>
        <v>#REF!</v>
      </c>
      <c r="E39" s="5" t="e">
        <f>#REF!+#REF!+#REF!+#REF!+#REF!+#REF!+#REF!+#REF!+#REF!+#REF!+#REF!+#REF!+#REF!+#REF!</f>
        <v>#REF!</v>
      </c>
      <c r="F39" s="5" t="e">
        <f>#REF!+#REF!+#REF!+#REF!+#REF!+#REF!+#REF!+#REF!+#REF!+#REF!+#REF!+#REF!+#REF!+#REF!</f>
        <v>#REF!</v>
      </c>
      <c r="G39" s="5" t="e">
        <f>#REF!+#REF!+#REF!+#REF!+#REF!+#REF!+#REF!+#REF!+#REF!+#REF!+#REF!+#REF!+#REF!+#REF!</f>
        <v>#REF!</v>
      </c>
      <c r="H39" s="5" t="e">
        <f>#REF!+#REF!+#REF!+#REF!+#REF!+#REF!+#REF!+#REF!+#REF!+#REF!+#REF!+#REF!+#REF!+#REF!</f>
        <v>#REF!</v>
      </c>
      <c r="I39" s="5" t="e">
        <f>#REF!+#REF!+#REF!+#REF!+#REF!+#REF!+#REF!+#REF!+#REF!+#REF!+#REF!+#REF!+#REF!+#REF!</f>
        <v>#REF!</v>
      </c>
      <c r="J39" s="5" t="e">
        <f>#REF!+#REF!+#REF!+#REF!+#REF!+#REF!+#REF!+#REF!+#REF!+#REF!+#REF!+#REF!+#REF!+#REF!</f>
        <v>#REF!</v>
      </c>
      <c r="K39" s="5" t="e">
        <f>#REF!+#REF!+#REF!+#REF!+#REF!+#REF!+#REF!+#REF!+#REF!+#REF!+#REF!+#REF!+#REF!+#REF!</f>
        <v>#REF!</v>
      </c>
      <c r="L39" s="5" t="e">
        <f>#REF!+#REF!+#REF!+#REF!+#REF!+#REF!+#REF!+#REF!+#REF!+#REF!+#REF!+#REF!+#REF!+#REF!</f>
        <v>#REF!</v>
      </c>
      <c r="M39" s="5" t="e">
        <f>#REF!+#REF!+#REF!+#REF!+#REF!+#REF!+#REF!+#REF!+#REF!+#REF!+#REF!+#REF!+#REF!+#REF!</f>
        <v>#REF!</v>
      </c>
      <c r="N39" s="5" t="e">
        <f>#REF!+#REF!+#REF!+#REF!+#REF!+#REF!+#REF!+#REF!+#REF!+#REF!+#REF!+#REF!+#REF!+#REF!</f>
        <v>#REF!</v>
      </c>
      <c r="O39" s="5" t="e">
        <f>#REF!+#REF!+#REF!+#REF!+#REF!+#REF!+#REF!+#REF!+#REF!+#REF!+#REF!+#REF!+#REF!+#REF!</f>
        <v>#REF!</v>
      </c>
      <c r="P39" s="5" t="e">
        <f>#REF!+#REF!+#REF!+#REF!+#REF!+#REF!+#REF!+#REF!+#REF!+#REF!+#REF!+#REF!+#REF!+#REF!</f>
        <v>#REF!</v>
      </c>
      <c r="Q39" s="5" t="e">
        <f>#REF!+#REF!+#REF!+#REF!+#REF!+#REF!+#REF!+#REF!+#REF!+#REF!+#REF!+#REF!+#REF!+#REF!</f>
        <v>#REF!</v>
      </c>
      <c r="R39" s="5" t="e">
        <f>#REF!+#REF!+#REF!+#REF!+#REF!+#REF!+#REF!+#REF!+#REF!+#REF!+#REF!+#REF!+#REF!+#REF!</f>
        <v>#REF!</v>
      </c>
      <c r="S39" s="5"/>
      <c r="T39" s="2"/>
      <c r="U39" s="2"/>
    </row>
    <row r="40" spans="1:28" x14ac:dyDescent="0.35">
      <c r="A40" s="15"/>
      <c r="B40" s="1"/>
      <c r="C40" s="5"/>
      <c r="D40" s="5"/>
      <c r="E40" s="6"/>
      <c r="F40" s="6"/>
      <c r="G40" s="6"/>
      <c r="H40" s="6"/>
      <c r="I40" s="6"/>
      <c r="J40" s="6"/>
      <c r="K40" s="6"/>
      <c r="N40" s="6"/>
      <c r="O40" s="6"/>
      <c r="P40" s="6"/>
      <c r="Q40" s="2"/>
    </row>
    <row r="41" spans="1:28" x14ac:dyDescent="0.35">
      <c r="A41" s="15"/>
      <c r="B41" s="1"/>
      <c r="C41" s="5"/>
      <c r="D41" s="5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  <c r="Q41" s="2"/>
    </row>
    <row r="42" spans="1:28" x14ac:dyDescent="0.35">
      <c r="A42" s="15"/>
      <c r="B42" s="1"/>
      <c r="C42" s="5"/>
      <c r="D42" s="5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  <c r="Q42" s="2"/>
    </row>
    <row r="43" spans="1:28" x14ac:dyDescent="0.35">
      <c r="A43" s="1"/>
      <c r="B43" s="1"/>
      <c r="C43" s="1"/>
      <c r="D43" s="1"/>
      <c r="E43" s="1"/>
    </row>
    <row r="44" spans="1:28" ht="17.5" x14ac:dyDescent="0.35">
      <c r="A44" s="1" t="s">
        <v>57</v>
      </c>
      <c r="B44" s="1"/>
      <c r="C44" s="9" t="e">
        <f t="shared" ref="C44:L44" si="0">SUM(C6:C40)</f>
        <v>#REF!</v>
      </c>
      <c r="D44" s="9" t="e">
        <f t="shared" si="0"/>
        <v>#REF!</v>
      </c>
      <c r="E44" s="9" t="e">
        <f t="shared" si="0"/>
        <v>#REF!</v>
      </c>
      <c r="F44" s="9" t="e">
        <f t="shared" si="0"/>
        <v>#REF!</v>
      </c>
      <c r="G44" s="9" t="e">
        <f t="shared" si="0"/>
        <v>#REF!</v>
      </c>
      <c r="H44" s="9" t="e">
        <f t="shared" si="0"/>
        <v>#REF!</v>
      </c>
      <c r="I44" s="9" t="e">
        <f t="shared" si="0"/>
        <v>#REF!</v>
      </c>
      <c r="J44" s="9" t="e">
        <f t="shared" si="0"/>
        <v>#REF!</v>
      </c>
      <c r="K44" s="9" t="e">
        <f t="shared" si="0"/>
        <v>#REF!</v>
      </c>
      <c r="L44" s="9" t="e">
        <f t="shared" si="0"/>
        <v>#REF!</v>
      </c>
      <c r="M44" s="9" t="e">
        <f>SUM(M6:M38)</f>
        <v>#REF!</v>
      </c>
      <c r="N44" s="9" t="e">
        <f>SUM(N6:N40)</f>
        <v>#REF!</v>
      </c>
      <c r="O44" s="9"/>
      <c r="P44" s="9" t="e">
        <f>SUM(P6:P40)</f>
        <v>#REF!</v>
      </c>
      <c r="Q44" s="9" t="e">
        <f>SUM(Q6:Q37)</f>
        <v>#REF!</v>
      </c>
      <c r="R44" s="9" t="e">
        <f>SUM(R6:R37)</f>
        <v>#REF!</v>
      </c>
    </row>
  </sheetData>
  <autoFilter ref="A5:P39" xr:uid="{00000000-0009-0000-0000-000029000000}">
    <sortState ref="A5:L48">
      <sortCondition ref="B5:B48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Q20"/>
  <sheetViews>
    <sheetView workbookViewId="0">
      <pane xSplit="1" ySplit="4" topLeftCell="AF8" activePane="bottomRight" state="frozen"/>
      <selection pane="topRight" activeCell="B1" sqref="B1"/>
      <selection pane="bottomLeft" activeCell="A5" sqref="A5"/>
      <selection pane="bottomRight" activeCell="AQ17" sqref="AQ17"/>
    </sheetView>
  </sheetViews>
  <sheetFormatPr baseColWidth="10" defaultRowHeight="14.5" x14ac:dyDescent="0.35"/>
  <cols>
    <col min="2" max="2" width="12.453125" bestFit="1" customWidth="1"/>
    <col min="3" max="3" width="11.54296875" bestFit="1" customWidth="1"/>
    <col min="4" max="4" width="12.453125" bestFit="1" customWidth="1"/>
    <col min="5" max="5" width="11.54296875" bestFit="1" customWidth="1"/>
    <col min="6" max="6" width="14.7265625" bestFit="1" customWidth="1"/>
    <col min="7" max="7" width="14.453125" bestFit="1" customWidth="1"/>
    <col min="8" max="10" width="12.453125" bestFit="1" customWidth="1"/>
    <col min="12" max="12" width="13.26953125" bestFit="1" customWidth="1"/>
    <col min="13" max="16" width="12.453125" bestFit="1" customWidth="1"/>
    <col min="19" max="19" width="12.453125" bestFit="1" customWidth="1"/>
    <col min="20" max="20" width="13.81640625" bestFit="1" customWidth="1"/>
    <col min="21" max="21" width="12.453125" bestFit="1" customWidth="1"/>
    <col min="22" max="22" width="13.81640625" bestFit="1" customWidth="1"/>
    <col min="24" max="24" width="13.26953125" bestFit="1" customWidth="1"/>
    <col min="25" max="28" width="12.453125" bestFit="1" customWidth="1"/>
    <col min="30" max="30" width="13.26953125" bestFit="1" customWidth="1"/>
    <col min="31" max="31" width="12.453125" bestFit="1" customWidth="1"/>
    <col min="32" max="32" width="13.81640625" bestFit="1" customWidth="1"/>
    <col min="33" max="33" width="12.453125" bestFit="1" customWidth="1"/>
    <col min="34" max="34" width="13.81640625" bestFit="1" customWidth="1"/>
    <col min="36" max="36" width="13.26953125" bestFit="1" customWidth="1"/>
    <col min="37" max="37" width="12.453125" bestFit="1" customWidth="1"/>
    <col min="38" max="40" width="13.81640625" bestFit="1" customWidth="1"/>
    <col min="42" max="42" width="15.54296875" customWidth="1"/>
    <col min="43" max="43" width="13.81640625" bestFit="1" customWidth="1"/>
  </cols>
  <sheetData>
    <row r="1" spans="1:43" ht="15" thickBot="1" x14ac:dyDescent="0.4"/>
    <row r="2" spans="1:43" ht="15" thickTop="1" x14ac:dyDescent="0.35">
      <c r="A2" s="74"/>
      <c r="B2" s="190" t="s">
        <v>187</v>
      </c>
      <c r="C2" s="190"/>
      <c r="D2" s="190"/>
      <c r="E2" s="190"/>
      <c r="F2" s="190"/>
      <c r="G2" s="191"/>
      <c r="H2" s="190" t="s">
        <v>188</v>
      </c>
      <c r="I2" s="190"/>
      <c r="J2" s="190"/>
      <c r="K2" s="190"/>
      <c r="L2" s="190"/>
      <c r="M2" s="191"/>
      <c r="N2" s="190" t="s">
        <v>131</v>
      </c>
      <c r="O2" s="190"/>
      <c r="P2" s="190"/>
      <c r="Q2" s="190"/>
      <c r="R2" s="190"/>
      <c r="S2" s="191"/>
      <c r="T2" s="190" t="s">
        <v>189</v>
      </c>
      <c r="U2" s="190"/>
      <c r="V2" s="190"/>
      <c r="W2" s="190"/>
      <c r="X2" s="190"/>
      <c r="Y2" s="191"/>
      <c r="Z2" s="190" t="s">
        <v>139</v>
      </c>
      <c r="AA2" s="190"/>
      <c r="AB2" s="190"/>
      <c r="AC2" s="190"/>
      <c r="AD2" s="190"/>
      <c r="AE2" s="191"/>
      <c r="AF2" s="190" t="s">
        <v>190</v>
      </c>
      <c r="AG2" s="190"/>
      <c r="AH2" s="190"/>
      <c r="AI2" s="190"/>
      <c r="AJ2" s="190"/>
      <c r="AK2" s="191"/>
      <c r="AL2" s="190" t="s">
        <v>191</v>
      </c>
      <c r="AM2" s="190"/>
      <c r="AN2" s="190"/>
      <c r="AO2" s="190"/>
      <c r="AP2" s="190"/>
      <c r="AQ2" s="191"/>
    </row>
    <row r="3" spans="1:43" x14ac:dyDescent="0.35">
      <c r="A3" s="75"/>
      <c r="B3" s="188" t="s">
        <v>192</v>
      </c>
      <c r="C3" s="188"/>
      <c r="D3" s="188" t="s">
        <v>193</v>
      </c>
      <c r="E3" s="188"/>
      <c r="F3" s="188" t="s">
        <v>194</v>
      </c>
      <c r="G3" s="189"/>
      <c r="H3" s="188" t="s">
        <v>192</v>
      </c>
      <c r="I3" s="188"/>
      <c r="J3" s="188" t="s">
        <v>193</v>
      </c>
      <c r="K3" s="188"/>
      <c r="L3" s="188" t="s">
        <v>194</v>
      </c>
      <c r="M3" s="189"/>
      <c r="N3" s="188" t="s">
        <v>192</v>
      </c>
      <c r="O3" s="188"/>
      <c r="P3" s="188" t="s">
        <v>193</v>
      </c>
      <c r="Q3" s="188"/>
      <c r="R3" s="188" t="s">
        <v>194</v>
      </c>
      <c r="S3" s="189"/>
      <c r="T3" s="188" t="s">
        <v>192</v>
      </c>
      <c r="U3" s="188"/>
      <c r="V3" s="188" t="s">
        <v>193</v>
      </c>
      <c r="W3" s="188"/>
      <c r="X3" s="188" t="s">
        <v>194</v>
      </c>
      <c r="Y3" s="189"/>
      <c r="Z3" s="188" t="s">
        <v>192</v>
      </c>
      <c r="AA3" s="188"/>
      <c r="AB3" s="188" t="s">
        <v>193</v>
      </c>
      <c r="AC3" s="188"/>
      <c r="AD3" s="188" t="s">
        <v>194</v>
      </c>
      <c r="AE3" s="189"/>
      <c r="AF3" s="188" t="s">
        <v>192</v>
      </c>
      <c r="AG3" s="188"/>
      <c r="AH3" s="188" t="s">
        <v>193</v>
      </c>
      <c r="AI3" s="188"/>
      <c r="AJ3" s="188" t="s">
        <v>194</v>
      </c>
      <c r="AK3" s="189"/>
      <c r="AL3" s="188" t="s">
        <v>192</v>
      </c>
      <c r="AM3" s="188"/>
      <c r="AN3" s="188" t="s">
        <v>193</v>
      </c>
      <c r="AO3" s="188"/>
      <c r="AP3" s="188" t="s">
        <v>194</v>
      </c>
      <c r="AQ3" s="189"/>
    </row>
    <row r="4" spans="1:43" x14ac:dyDescent="0.35">
      <c r="A4" s="75" t="s">
        <v>195</v>
      </c>
      <c r="B4" s="76" t="s">
        <v>22</v>
      </c>
      <c r="C4" s="76" t="s">
        <v>20</v>
      </c>
      <c r="D4" s="76" t="s">
        <v>22</v>
      </c>
      <c r="E4" s="76" t="s">
        <v>20</v>
      </c>
      <c r="F4" s="76" t="s">
        <v>22</v>
      </c>
      <c r="G4" s="77" t="s">
        <v>20</v>
      </c>
      <c r="H4" s="76" t="s">
        <v>22</v>
      </c>
      <c r="I4" s="76" t="s">
        <v>20</v>
      </c>
      <c r="J4" s="76" t="s">
        <v>22</v>
      </c>
      <c r="K4" s="76" t="s">
        <v>20</v>
      </c>
      <c r="L4" s="76" t="s">
        <v>22</v>
      </c>
      <c r="M4" s="77" t="s">
        <v>20</v>
      </c>
      <c r="N4" s="76" t="s">
        <v>22</v>
      </c>
      <c r="O4" s="76" t="s">
        <v>20</v>
      </c>
      <c r="P4" s="76" t="s">
        <v>22</v>
      </c>
      <c r="Q4" s="76" t="s">
        <v>20</v>
      </c>
      <c r="R4" s="76" t="s">
        <v>22</v>
      </c>
      <c r="S4" s="77" t="s">
        <v>20</v>
      </c>
      <c r="T4" s="76" t="s">
        <v>22</v>
      </c>
      <c r="U4" s="76" t="s">
        <v>20</v>
      </c>
      <c r="V4" s="76" t="s">
        <v>22</v>
      </c>
      <c r="W4" s="76" t="s">
        <v>20</v>
      </c>
      <c r="X4" s="76" t="s">
        <v>22</v>
      </c>
      <c r="Y4" s="77" t="s">
        <v>20</v>
      </c>
      <c r="Z4" s="76" t="s">
        <v>22</v>
      </c>
      <c r="AA4" s="76" t="s">
        <v>20</v>
      </c>
      <c r="AB4" s="76" t="s">
        <v>22</v>
      </c>
      <c r="AC4" s="76" t="s">
        <v>20</v>
      </c>
      <c r="AD4" s="76" t="s">
        <v>22</v>
      </c>
      <c r="AE4" s="77" t="s">
        <v>20</v>
      </c>
      <c r="AF4" s="76" t="s">
        <v>22</v>
      </c>
      <c r="AG4" s="76" t="s">
        <v>20</v>
      </c>
      <c r="AH4" s="76" t="s">
        <v>22</v>
      </c>
      <c r="AI4" s="76" t="s">
        <v>20</v>
      </c>
      <c r="AJ4" s="76" t="s">
        <v>22</v>
      </c>
      <c r="AK4" s="77" t="s">
        <v>20</v>
      </c>
      <c r="AL4" s="76" t="s">
        <v>22</v>
      </c>
      <c r="AM4" s="76" t="s">
        <v>20</v>
      </c>
      <c r="AN4" s="76" t="s">
        <v>22</v>
      </c>
      <c r="AO4" s="76" t="s">
        <v>20</v>
      </c>
      <c r="AP4" s="76" t="s">
        <v>22</v>
      </c>
      <c r="AQ4" s="77" t="s">
        <v>20</v>
      </c>
    </row>
    <row r="5" spans="1:43" ht="18.5" x14ac:dyDescent="0.45">
      <c r="A5" s="78" t="s">
        <v>208</v>
      </c>
      <c r="B5" s="50"/>
      <c r="C5" s="50"/>
      <c r="D5" s="50"/>
      <c r="E5" s="50"/>
      <c r="F5" s="50"/>
      <c r="G5" s="51"/>
      <c r="H5" s="50"/>
      <c r="I5" s="50"/>
      <c r="J5" s="50"/>
      <c r="K5" s="50"/>
      <c r="L5" s="50"/>
      <c r="M5" s="51"/>
      <c r="N5" s="50"/>
      <c r="O5" s="50"/>
      <c r="P5" s="50"/>
      <c r="Q5" s="50"/>
      <c r="R5" s="50"/>
      <c r="S5" s="51"/>
      <c r="T5" s="50"/>
      <c r="U5" s="50"/>
      <c r="V5" s="50"/>
      <c r="W5" s="50"/>
      <c r="X5" s="50"/>
      <c r="Y5" s="51"/>
      <c r="Z5" s="50"/>
      <c r="AA5" s="50"/>
      <c r="AB5" s="50"/>
      <c r="AC5" s="50"/>
      <c r="AD5" s="50"/>
      <c r="AE5" s="51"/>
      <c r="AF5" s="50"/>
      <c r="AG5" s="50"/>
      <c r="AH5" s="50"/>
      <c r="AI5" s="50"/>
      <c r="AJ5" s="50"/>
      <c r="AK5" s="51"/>
      <c r="AL5" s="50"/>
      <c r="AM5" s="50"/>
      <c r="AN5" s="50"/>
      <c r="AO5" s="50"/>
      <c r="AP5" s="26">
        <v>0</v>
      </c>
      <c r="AQ5" s="82">
        <v>0</v>
      </c>
    </row>
    <row r="6" spans="1:43" ht="18.5" x14ac:dyDescent="0.45">
      <c r="A6" s="78" t="s">
        <v>196</v>
      </c>
      <c r="B6" s="26">
        <f>[27]TONTJANV!$E$60</f>
        <v>180000</v>
      </c>
      <c r="C6" s="26">
        <f>[27]TONTJANV!$E$59</f>
        <v>90000</v>
      </c>
      <c r="D6" s="26">
        <f>[27]TONTJANV!$K$60</f>
        <v>113500</v>
      </c>
      <c r="E6" s="26">
        <f>[27]TONTJANV!$K$59</f>
        <v>0</v>
      </c>
      <c r="F6" s="26">
        <f>B6-D6</f>
        <v>66500</v>
      </c>
      <c r="G6" s="79">
        <f>C6-E6</f>
        <v>90000</v>
      </c>
      <c r="H6" s="26">
        <f>[28]TONTJANV!$E$49</f>
        <v>380000</v>
      </c>
      <c r="I6" s="26">
        <f>[28]TONTJANV!$E$48</f>
        <v>180000</v>
      </c>
      <c r="J6" s="26">
        <f>[28]TONTJANV!$K$49</f>
        <v>225000</v>
      </c>
      <c r="K6" s="26">
        <f>[28]TONTJANV!$K$48</f>
        <v>0</v>
      </c>
      <c r="L6" s="26">
        <f>H6-J6</f>
        <v>155000</v>
      </c>
      <c r="M6" s="79">
        <f>I6-K6</f>
        <v>180000</v>
      </c>
      <c r="N6" s="26">
        <f>[29]TONTJANV!$E$38</f>
        <v>360000</v>
      </c>
      <c r="O6" s="26">
        <f>[29]TONTJANV!$E$37</f>
        <v>120000</v>
      </c>
      <c r="P6" s="26">
        <f>[29]TONTJANV!$K$38</f>
        <v>345000</v>
      </c>
      <c r="Q6" s="26">
        <f>[29]TONTJANV!$K$37</f>
        <v>0</v>
      </c>
      <c r="R6" s="26">
        <f>N6-P6</f>
        <v>15000</v>
      </c>
      <c r="S6" s="79">
        <f>O6-Q6</f>
        <v>120000</v>
      </c>
      <c r="T6" s="26">
        <f>[30]TONTJANV!$E$44</f>
        <v>950000</v>
      </c>
      <c r="U6" s="26">
        <f>[30]TONTJANV!$E$43</f>
        <v>300000</v>
      </c>
      <c r="V6" s="26">
        <f>[30]TONTJANV!$K$44</f>
        <v>557500</v>
      </c>
      <c r="W6" s="26">
        <f>[30]TONTJANV!$K$43</f>
        <v>0</v>
      </c>
      <c r="X6" s="26">
        <f>T6-V6</f>
        <v>392500</v>
      </c>
      <c r="Y6" s="79">
        <f>U6-W6</f>
        <v>300000</v>
      </c>
      <c r="Z6" s="26">
        <f>[31]TONTJANV!$E$32</f>
        <v>1100000</v>
      </c>
      <c r="AA6" s="26">
        <f>[31]TONTJANV!$E$31</f>
        <v>200000</v>
      </c>
      <c r="AB6" s="26">
        <f>[31]TONTJANV!$K$32</f>
        <v>1110000</v>
      </c>
      <c r="AC6" s="26">
        <f>[31]TONTJANV!$K$31</f>
        <v>0</v>
      </c>
      <c r="AD6" s="26">
        <f>Z6-AB6</f>
        <v>-10000</v>
      </c>
      <c r="AE6" s="79">
        <f>AA6-AC6</f>
        <v>200000</v>
      </c>
      <c r="AF6" s="26">
        <f>[32]TONTJANV!$E$35</f>
        <v>1950000</v>
      </c>
      <c r="AG6" s="26">
        <f>[32]TONTJANV!$E$34</f>
        <v>600000</v>
      </c>
      <c r="AH6" s="26">
        <f>[32]TONTJANV!$K$35</f>
        <v>1685000</v>
      </c>
      <c r="AI6" s="26">
        <f>[32]TONTJANV!$K$34</f>
        <v>0</v>
      </c>
      <c r="AJ6" s="26">
        <f>AF6-AH6</f>
        <v>265000</v>
      </c>
      <c r="AK6" s="79">
        <f>AG6-AI6</f>
        <v>600000</v>
      </c>
      <c r="AL6" s="26">
        <f>B6+H6+N6+T6+Z6+AF6</f>
        <v>4920000</v>
      </c>
      <c r="AM6" s="26">
        <f t="shared" ref="AM6:AO17" si="0">C6+I6+O6+U6+AA6+AG6</f>
        <v>1490000</v>
      </c>
      <c r="AN6" s="26">
        <f t="shared" si="0"/>
        <v>4036000</v>
      </c>
      <c r="AO6" s="26">
        <f t="shared" si="0"/>
        <v>0</v>
      </c>
      <c r="AP6" s="26">
        <f>AP5+AL6-AN6</f>
        <v>884000</v>
      </c>
      <c r="AQ6" s="79">
        <f>AQ5+AM6-AO6</f>
        <v>1490000</v>
      </c>
    </row>
    <row r="7" spans="1:43" ht="18.5" x14ac:dyDescent="0.45">
      <c r="A7" s="78" t="s">
        <v>197</v>
      </c>
      <c r="B7" s="26">
        <f>[27]TONTFEV!$E$60</f>
        <v>220000</v>
      </c>
      <c r="C7" s="26">
        <f>[27]TONTFEV!$E$59</f>
        <v>60000</v>
      </c>
      <c r="D7" s="26">
        <f>[27]TONTFEV!$K$60</f>
        <v>116000</v>
      </c>
      <c r="E7" s="26">
        <f>[27]TONTFEV!$K$59</f>
        <v>0</v>
      </c>
      <c r="F7" s="26">
        <f t="shared" ref="F7:G17" si="1">B7-D7</f>
        <v>104000</v>
      </c>
      <c r="G7" s="79">
        <f t="shared" si="1"/>
        <v>60000</v>
      </c>
      <c r="H7" s="26">
        <f>[28]TONTFEV!$E$49</f>
        <v>500000</v>
      </c>
      <c r="I7" s="26">
        <f>[28]TONTFEV!$E$48</f>
        <v>80000</v>
      </c>
      <c r="J7" s="26">
        <f>[28]TONTFEV!$K$49</f>
        <v>476000</v>
      </c>
      <c r="K7" s="26">
        <f>[28]TONTFEV!$K$48</f>
        <v>0</v>
      </c>
      <c r="L7" s="26">
        <f t="shared" ref="L7:M17" si="2">H7-J7</f>
        <v>24000</v>
      </c>
      <c r="M7" s="79">
        <f t="shared" si="2"/>
        <v>80000</v>
      </c>
      <c r="N7" s="26">
        <f>[29]TONTFEV!$E$38</f>
        <v>390000</v>
      </c>
      <c r="O7" s="26">
        <f>[29]TONTFEV!$E$37</f>
        <v>90000</v>
      </c>
      <c r="P7" s="26">
        <f>[29]TONTFEV!$K$38</f>
        <v>357000</v>
      </c>
      <c r="Q7" s="26">
        <f>[29]TONTFEV!$K$37</f>
        <v>0</v>
      </c>
      <c r="R7" s="26">
        <f t="shared" ref="R7:S17" si="3">N7-P7</f>
        <v>33000</v>
      </c>
      <c r="S7" s="79">
        <f t="shared" si="3"/>
        <v>90000</v>
      </c>
      <c r="T7" s="26">
        <f>[30]TONTFEV!$E$44</f>
        <v>1100000</v>
      </c>
      <c r="U7" s="26">
        <f>[30]TONTFEV!$E$43</f>
        <v>150000</v>
      </c>
      <c r="V7" s="26">
        <f>[30]TONTFEV!$K$44</f>
        <v>595000</v>
      </c>
      <c r="W7" s="26">
        <f>[30]TONTFEV!$K$43</f>
        <v>0</v>
      </c>
      <c r="X7" s="26">
        <f t="shared" ref="X7:Y17" si="4">T7-V7</f>
        <v>505000</v>
      </c>
      <c r="Y7" s="79">
        <f t="shared" si="4"/>
        <v>150000</v>
      </c>
      <c r="Z7" s="26">
        <f>[28]TONTFEV!$E$49</f>
        <v>500000</v>
      </c>
      <c r="AA7" s="26">
        <f>[28]TONTFEV!$E$48</f>
        <v>80000</v>
      </c>
      <c r="AB7" s="26">
        <f>[28]TONTFEV!$K$49</f>
        <v>476000</v>
      </c>
      <c r="AC7" s="26">
        <f>[28]TONTFEV!$K$48</f>
        <v>0</v>
      </c>
      <c r="AD7" s="26">
        <f t="shared" ref="AD7:AE17" si="5">Z7-AB7</f>
        <v>24000</v>
      </c>
      <c r="AE7" s="79">
        <f t="shared" si="5"/>
        <v>80000</v>
      </c>
      <c r="AF7" s="26">
        <f>[32]TONTFEV!$E$35</f>
        <v>2250000</v>
      </c>
      <c r="AG7" s="26">
        <f>[32]TONTFEV!$E$34</f>
        <v>300000</v>
      </c>
      <c r="AH7" s="26">
        <f>[32]TONTFEV!$K$35</f>
        <v>1685000</v>
      </c>
      <c r="AI7" s="26">
        <f>[32]TONTFEV!$K$34</f>
        <v>0</v>
      </c>
      <c r="AJ7" s="26">
        <f t="shared" ref="AJ7:AK17" si="6">AF7-AH7</f>
        <v>565000</v>
      </c>
      <c r="AK7" s="79">
        <f t="shared" si="6"/>
        <v>300000</v>
      </c>
      <c r="AL7" s="26">
        <f t="shared" ref="AL7:AL17" si="7">B7+H7+N7+T7+Z7+AF7</f>
        <v>4960000</v>
      </c>
      <c r="AM7" s="26">
        <f t="shared" si="0"/>
        <v>760000</v>
      </c>
      <c r="AN7" s="26">
        <f t="shared" si="0"/>
        <v>3705000</v>
      </c>
      <c r="AO7" s="26">
        <f t="shared" si="0"/>
        <v>0</v>
      </c>
      <c r="AP7" s="26">
        <f t="shared" ref="AP7:AP17" si="8">AP6+AL7-AN7</f>
        <v>2139000</v>
      </c>
      <c r="AQ7" s="79">
        <f t="shared" ref="AQ7:AQ17" si="9">AQ6+AM7-AO7</f>
        <v>2250000</v>
      </c>
    </row>
    <row r="8" spans="1:43" ht="18.5" x14ac:dyDescent="0.45">
      <c r="A8" s="78" t="s">
        <v>198</v>
      </c>
      <c r="B8" s="26">
        <f>[27]TONTMARS!$E$60</f>
        <v>230000</v>
      </c>
      <c r="C8" s="26">
        <f>[27]TONTMARS!$E$59</f>
        <v>40000</v>
      </c>
      <c r="D8" s="26">
        <f>[27]TONTMARS!$K$60</f>
        <v>238000</v>
      </c>
      <c r="E8" s="26">
        <f>[27]TONTMARS!$K$59</f>
        <v>0</v>
      </c>
      <c r="F8" s="26">
        <f t="shared" si="1"/>
        <v>-8000</v>
      </c>
      <c r="G8" s="79">
        <f t="shared" si="1"/>
        <v>40000</v>
      </c>
      <c r="H8" s="26">
        <f>[28]TONTMARS!$E$49</f>
        <v>520000</v>
      </c>
      <c r="I8" s="26">
        <f>[28]TONTMARS!$E$48</f>
        <v>40000</v>
      </c>
      <c r="J8" s="26">
        <f>[28]TONTMARS!$K$49</f>
        <v>714000</v>
      </c>
      <c r="K8" s="26">
        <f>[28]TONTMARS!$K$48</f>
        <v>0</v>
      </c>
      <c r="L8" s="26">
        <f t="shared" si="2"/>
        <v>-194000</v>
      </c>
      <c r="M8" s="79">
        <f t="shared" si="2"/>
        <v>40000</v>
      </c>
      <c r="N8" s="26">
        <f>[29]TONTMARS!$E$38</f>
        <v>420000</v>
      </c>
      <c r="O8" s="26">
        <f>[29]TONTMARS!$E$37</f>
        <v>60000</v>
      </c>
      <c r="P8" s="26">
        <f>[29]TONTMARS!$K$38</f>
        <v>661000</v>
      </c>
      <c r="Q8" s="26">
        <f>[29]TONTMARS!$K$37</f>
        <v>0</v>
      </c>
      <c r="R8" s="26">
        <f t="shared" si="3"/>
        <v>-241000</v>
      </c>
      <c r="S8" s="79">
        <f t="shared" si="3"/>
        <v>60000</v>
      </c>
      <c r="T8" s="26">
        <f>[30]TONTMARS!$E$44</f>
        <v>1200000</v>
      </c>
      <c r="U8" s="26">
        <f>[30]TONTMARS!$E$43</f>
        <v>50000</v>
      </c>
      <c r="V8" s="26">
        <f>[30]TONTMARS!$K$44</f>
        <v>1190000</v>
      </c>
      <c r="W8" s="26">
        <f>[30]TONTMARS!$K$43</f>
        <v>0</v>
      </c>
      <c r="X8" s="26">
        <f t="shared" si="4"/>
        <v>10000</v>
      </c>
      <c r="Y8" s="79">
        <f t="shared" si="4"/>
        <v>50000</v>
      </c>
      <c r="Z8" s="26">
        <f>[28]TONTMARS!$E$49</f>
        <v>520000</v>
      </c>
      <c r="AA8" s="26">
        <f>[28]TONTMARS!$E$48</f>
        <v>40000</v>
      </c>
      <c r="AB8" s="26">
        <f>[28]TONTMARS!$K$49</f>
        <v>714000</v>
      </c>
      <c r="AC8" s="26">
        <f>[28]TONTMARS!$K$48</f>
        <v>0</v>
      </c>
      <c r="AD8" s="26">
        <f t="shared" si="5"/>
        <v>-194000</v>
      </c>
      <c r="AE8" s="79">
        <f t="shared" si="5"/>
        <v>40000</v>
      </c>
      <c r="AF8" s="26">
        <f>[32]TONTMARS!$E$35</f>
        <v>2400000</v>
      </c>
      <c r="AG8" s="26">
        <f>[32]TONTMARS!$E$34</f>
        <v>150000</v>
      </c>
      <c r="AH8" s="26">
        <f>[32]TONTMARS!$K$35</f>
        <v>3565000</v>
      </c>
      <c r="AI8" s="26">
        <f>[32]TONTMARS!$K$34</f>
        <v>0</v>
      </c>
      <c r="AJ8" s="26">
        <f t="shared" si="6"/>
        <v>-1165000</v>
      </c>
      <c r="AK8" s="79">
        <f t="shared" si="6"/>
        <v>150000</v>
      </c>
      <c r="AL8" s="26">
        <f t="shared" si="7"/>
        <v>5290000</v>
      </c>
      <c r="AM8" s="26">
        <f t="shared" si="0"/>
        <v>380000</v>
      </c>
      <c r="AN8" s="26">
        <f t="shared" si="0"/>
        <v>7082000</v>
      </c>
      <c r="AO8" s="26">
        <f t="shared" si="0"/>
        <v>0</v>
      </c>
      <c r="AP8" s="26">
        <f t="shared" si="8"/>
        <v>347000</v>
      </c>
      <c r="AQ8" s="79">
        <f t="shared" si="9"/>
        <v>2630000</v>
      </c>
    </row>
    <row r="9" spans="1:43" ht="18.5" x14ac:dyDescent="0.45">
      <c r="A9" s="78" t="s">
        <v>199</v>
      </c>
      <c r="B9" s="26">
        <f>[27]TONTAVRIL!$E$60</f>
        <v>200000</v>
      </c>
      <c r="C9" s="26">
        <f>[27]TONTAVRIL!$E$59</f>
        <v>70000</v>
      </c>
      <c r="D9" s="26">
        <f>[27]TONTAVRIL!$K$60</f>
        <v>119000</v>
      </c>
      <c r="E9" s="26">
        <f>[27]TONTAVRIL!$K$59</f>
        <v>0</v>
      </c>
      <c r="F9" s="26">
        <f t="shared" si="1"/>
        <v>81000</v>
      </c>
      <c r="G9" s="79">
        <f t="shared" si="1"/>
        <v>70000</v>
      </c>
      <c r="H9" s="26">
        <f>[28]TONTAVRIL!$E$49</f>
        <v>460000</v>
      </c>
      <c r="I9" s="26">
        <f>[28]TONTAVRIL!$E$48</f>
        <v>80000</v>
      </c>
      <c r="J9" s="26">
        <f>[28]TONTAVRIL!$K$49</f>
        <v>238000</v>
      </c>
      <c r="K9" s="26">
        <f>[28]TONTAVRIL!$K$48</f>
        <v>0</v>
      </c>
      <c r="L9" s="26">
        <f t="shared" si="2"/>
        <v>222000</v>
      </c>
      <c r="M9" s="79">
        <f t="shared" si="2"/>
        <v>80000</v>
      </c>
      <c r="N9" s="26">
        <f>[29]TONTAVRIL!$E$38</f>
        <v>420000</v>
      </c>
      <c r="O9" s="26">
        <f>[29]TONTAVRIL!$E$37</f>
        <v>60000</v>
      </c>
      <c r="P9" s="26">
        <f>[29]TONTAVRIL!$K$38</f>
        <v>342000</v>
      </c>
      <c r="Q9" s="26">
        <f>[29]TONTAVRIL!$K$37</f>
        <v>0</v>
      </c>
      <c r="R9" s="26">
        <f t="shared" si="3"/>
        <v>78000</v>
      </c>
      <c r="S9" s="79">
        <f t="shared" si="3"/>
        <v>60000</v>
      </c>
      <c r="T9" s="26">
        <f>[30]TONTAVRIL!$E$44</f>
        <v>1100000</v>
      </c>
      <c r="U9" s="26">
        <f>[30]TONTAVRIL!$E$43</f>
        <v>150000</v>
      </c>
      <c r="V9" s="26">
        <f>[30]TONTAVRIL!$K$44</f>
        <v>595000</v>
      </c>
      <c r="W9" s="26">
        <f>[30]TONTAVRIL!$K$43</f>
        <v>0</v>
      </c>
      <c r="X9" s="26">
        <f t="shared" si="4"/>
        <v>505000</v>
      </c>
      <c r="Y9" s="79">
        <f t="shared" si="4"/>
        <v>150000</v>
      </c>
      <c r="Z9" s="26">
        <f>[28]TONTAVRIL!$E$49</f>
        <v>460000</v>
      </c>
      <c r="AA9" s="26">
        <f>[28]TONTAVRIL!$E$48</f>
        <v>80000</v>
      </c>
      <c r="AB9" s="26">
        <f>[28]TONTAVRIL!$K$49</f>
        <v>238000</v>
      </c>
      <c r="AC9" s="26">
        <f>[28]TONTAVRIL!$K$48</f>
        <v>0</v>
      </c>
      <c r="AD9" s="26">
        <f t="shared" si="5"/>
        <v>222000</v>
      </c>
      <c r="AE9" s="79">
        <f t="shared" si="5"/>
        <v>80000</v>
      </c>
      <c r="AF9" s="26">
        <f>[32]TONTAVRIL!$E$35</f>
        <v>2100000</v>
      </c>
      <c r="AG9" s="26">
        <f>[32]TONTAVRIL!$E$34</f>
        <v>450000</v>
      </c>
      <c r="AH9" s="26">
        <f>[32]TONTAVRIL!$K$35</f>
        <v>1785000</v>
      </c>
      <c r="AI9" s="26">
        <f>[32]TONTAVRIL!$K$34</f>
        <v>0</v>
      </c>
      <c r="AJ9" s="26">
        <f t="shared" si="6"/>
        <v>315000</v>
      </c>
      <c r="AK9" s="79">
        <f t="shared" si="6"/>
        <v>450000</v>
      </c>
      <c r="AL9" s="26">
        <f t="shared" si="7"/>
        <v>4740000</v>
      </c>
      <c r="AM9" s="26">
        <f t="shared" si="0"/>
        <v>890000</v>
      </c>
      <c r="AN9" s="26">
        <f t="shared" si="0"/>
        <v>3317000</v>
      </c>
      <c r="AO9" s="26">
        <f t="shared" si="0"/>
        <v>0</v>
      </c>
      <c r="AP9" s="26">
        <f t="shared" si="8"/>
        <v>1770000</v>
      </c>
      <c r="AQ9" s="79">
        <f t="shared" si="9"/>
        <v>3520000</v>
      </c>
    </row>
    <row r="10" spans="1:43" ht="18.5" x14ac:dyDescent="0.45">
      <c r="A10" s="78" t="s">
        <v>200</v>
      </c>
      <c r="B10" s="26">
        <f>[27]TONTMAI!$E$60</f>
        <v>230000</v>
      </c>
      <c r="C10" s="26">
        <f>[27]TONTMAI!$E$59</f>
        <v>40000</v>
      </c>
      <c r="D10" s="26">
        <f>[27]TONTMAI!$K$60</f>
        <v>238000</v>
      </c>
      <c r="E10" s="26">
        <f>[27]TONTMAI!$K$59</f>
        <v>0</v>
      </c>
      <c r="F10" s="26">
        <f t="shared" si="1"/>
        <v>-8000</v>
      </c>
      <c r="G10" s="79">
        <f t="shared" si="1"/>
        <v>40000</v>
      </c>
      <c r="H10" s="26">
        <f>[28]TONTMAI!$E$49</f>
        <v>500000</v>
      </c>
      <c r="I10" s="26">
        <f>[28]TONTMAI!$E$48</f>
        <v>60000</v>
      </c>
      <c r="J10" s="26">
        <f>[28]TONTMAI!$K$49</f>
        <v>475000</v>
      </c>
      <c r="K10" s="26">
        <f>[28]TONTMAI!$K$48</f>
        <v>0</v>
      </c>
      <c r="L10" s="26">
        <f t="shared" si="2"/>
        <v>25000</v>
      </c>
      <c r="M10" s="79">
        <f t="shared" si="2"/>
        <v>60000</v>
      </c>
      <c r="N10" s="26">
        <f>[29]TONTMAI!$E$38</f>
        <v>360000</v>
      </c>
      <c r="O10" s="26">
        <f>[29]TONTMAI!$E$37</f>
        <v>90000</v>
      </c>
      <c r="P10" s="26">
        <f>[29]TONTMAI!$K$38</f>
        <v>342000</v>
      </c>
      <c r="Q10" s="26">
        <f>[29]TONTMAI!$K$37</f>
        <v>0</v>
      </c>
      <c r="R10" s="26">
        <f t="shared" si="3"/>
        <v>18000</v>
      </c>
      <c r="S10" s="79">
        <f t="shared" si="3"/>
        <v>90000</v>
      </c>
      <c r="T10" s="26">
        <f>[30]TONTMAI!$E$44</f>
        <v>1100000</v>
      </c>
      <c r="U10" s="26">
        <f>[30]TONTMAI!$E$43</f>
        <v>100000</v>
      </c>
      <c r="V10" s="26">
        <f>[30]TONTMAI!$K$44</f>
        <v>0</v>
      </c>
      <c r="W10" s="26">
        <f>[30]TONTMAI!$K$43</f>
        <v>0</v>
      </c>
      <c r="X10" s="26">
        <f t="shared" si="4"/>
        <v>1100000</v>
      </c>
      <c r="Y10" s="79">
        <f t="shared" si="4"/>
        <v>100000</v>
      </c>
      <c r="Z10" s="26">
        <f>[28]TONTMAI!$E$49</f>
        <v>500000</v>
      </c>
      <c r="AA10" s="26">
        <f>[28]TONTMAI!$E$48</f>
        <v>60000</v>
      </c>
      <c r="AB10" s="26">
        <f>[28]TONTMAI!$K$49</f>
        <v>475000</v>
      </c>
      <c r="AC10" s="26">
        <f>[28]TONTMAI!$K$48</f>
        <v>0</v>
      </c>
      <c r="AD10" s="26">
        <f t="shared" si="5"/>
        <v>25000</v>
      </c>
      <c r="AE10" s="79">
        <f t="shared" si="5"/>
        <v>60000</v>
      </c>
      <c r="AF10" s="26">
        <f>[32]TONTMAI!$E$35</f>
        <v>2100000</v>
      </c>
      <c r="AG10" s="26">
        <f>[32]TONTMAI!$E$34</f>
        <v>450000</v>
      </c>
      <c r="AH10" s="26">
        <f>[32]TONTMAI!$K$35</f>
        <v>3570000</v>
      </c>
      <c r="AI10" s="26">
        <f>[32]TONTMAI!$K$34</f>
        <v>0</v>
      </c>
      <c r="AJ10" s="26">
        <f t="shared" si="6"/>
        <v>-1470000</v>
      </c>
      <c r="AK10" s="79">
        <f t="shared" si="6"/>
        <v>450000</v>
      </c>
      <c r="AL10" s="26">
        <f t="shared" si="7"/>
        <v>4790000</v>
      </c>
      <c r="AM10" s="26">
        <f t="shared" si="0"/>
        <v>800000</v>
      </c>
      <c r="AN10" s="26">
        <f t="shared" si="0"/>
        <v>5100000</v>
      </c>
      <c r="AO10" s="26">
        <f t="shared" si="0"/>
        <v>0</v>
      </c>
      <c r="AP10" s="26">
        <f t="shared" si="8"/>
        <v>1460000</v>
      </c>
      <c r="AQ10" s="79">
        <f t="shared" si="9"/>
        <v>4320000</v>
      </c>
    </row>
    <row r="11" spans="1:43" ht="18.5" x14ac:dyDescent="0.45">
      <c r="A11" s="78" t="s">
        <v>201</v>
      </c>
      <c r="B11" s="26">
        <f>[27]TONTJUIN!$E$60</f>
        <v>220000</v>
      </c>
      <c r="C11" s="26">
        <f>[27]TONTJUIN!$E$59</f>
        <v>60000</v>
      </c>
      <c r="D11" s="26">
        <f>[27]TONTJUIN!$K$60</f>
        <v>0</v>
      </c>
      <c r="E11" s="26">
        <f>[27]TONTJUIN!$K$59</f>
        <v>0</v>
      </c>
      <c r="F11" s="26">
        <f t="shared" si="1"/>
        <v>220000</v>
      </c>
      <c r="G11" s="79">
        <f t="shared" si="1"/>
        <v>60000</v>
      </c>
      <c r="H11" s="26">
        <f>[28]TONTJUIN!$E$49</f>
        <v>420000</v>
      </c>
      <c r="I11" s="26">
        <f>[28]TONTJUIN!$E$48</f>
        <v>120000</v>
      </c>
      <c r="J11" s="26">
        <f>[28]TONTJUIN!$K$49</f>
        <v>476000</v>
      </c>
      <c r="K11" s="26">
        <f>[28]TONTJUIN!$K$48</f>
        <v>0</v>
      </c>
      <c r="L11" s="26">
        <f t="shared" si="2"/>
        <v>-56000</v>
      </c>
      <c r="M11" s="79">
        <f t="shared" si="2"/>
        <v>120000</v>
      </c>
      <c r="N11" s="26">
        <f>[29]TONTJUIN!$E$38</f>
        <v>390000</v>
      </c>
      <c r="O11" s="26">
        <f>[29]TONTJUIN!$E$37</f>
        <v>90000</v>
      </c>
      <c r="P11" s="26">
        <f>[29]TONTJUIN!$K$38</f>
        <v>357000</v>
      </c>
      <c r="Q11" s="26">
        <f>[29]TONTJUIN!$K$37</f>
        <v>0</v>
      </c>
      <c r="R11" s="26">
        <f t="shared" si="3"/>
        <v>33000</v>
      </c>
      <c r="S11" s="79">
        <f t="shared" si="3"/>
        <v>90000</v>
      </c>
      <c r="T11" s="26">
        <f>[30]TONTJUIN!$E$44</f>
        <v>1100000</v>
      </c>
      <c r="U11" s="26">
        <f>[30]TONTJUIN!$E$43</f>
        <v>100000</v>
      </c>
      <c r="V11" s="26">
        <f>[30]TONTJUIN!$K$44</f>
        <v>595000</v>
      </c>
      <c r="W11" s="26">
        <f>[30]TONTJUIN!$K$43</f>
        <v>0</v>
      </c>
      <c r="X11" s="26">
        <f t="shared" si="4"/>
        <v>505000</v>
      </c>
      <c r="Y11" s="79">
        <f t="shared" si="4"/>
        <v>100000</v>
      </c>
      <c r="Z11" s="26">
        <f>[28]TONTJUIN!$E$49</f>
        <v>420000</v>
      </c>
      <c r="AA11" s="26">
        <f>[28]TONTJUIN!$E$48</f>
        <v>120000</v>
      </c>
      <c r="AB11" s="26">
        <f>[28]TONTJUIN!$K$49</f>
        <v>476000</v>
      </c>
      <c r="AC11" s="26">
        <f>[28]TONTJUIN!$K$48</f>
        <v>0</v>
      </c>
      <c r="AD11" s="26">
        <f t="shared" si="5"/>
        <v>-56000</v>
      </c>
      <c r="AE11" s="79">
        <f t="shared" si="5"/>
        <v>120000</v>
      </c>
      <c r="AF11" s="26">
        <f>[32]TONTJUIN!$E$35</f>
        <v>1950000</v>
      </c>
      <c r="AG11" s="26">
        <f>[32]TONTJUIN!$E$34</f>
        <v>600000</v>
      </c>
      <c r="AH11" s="26">
        <f>[32]TONTJUIN!$K$35</f>
        <v>0</v>
      </c>
      <c r="AI11" s="26">
        <f>[32]TONTJUIN!$K$34</f>
        <v>0</v>
      </c>
      <c r="AJ11" s="26">
        <f t="shared" si="6"/>
        <v>1950000</v>
      </c>
      <c r="AK11" s="79">
        <f t="shared" si="6"/>
        <v>600000</v>
      </c>
      <c r="AL11" s="26">
        <f t="shared" si="7"/>
        <v>4500000</v>
      </c>
      <c r="AM11" s="26">
        <f t="shared" si="0"/>
        <v>1090000</v>
      </c>
      <c r="AN11" s="26">
        <f t="shared" si="0"/>
        <v>1904000</v>
      </c>
      <c r="AO11" s="26">
        <f t="shared" si="0"/>
        <v>0</v>
      </c>
      <c r="AP11" s="26">
        <f t="shared" si="8"/>
        <v>4056000</v>
      </c>
      <c r="AQ11" s="79">
        <f t="shared" si="9"/>
        <v>5410000</v>
      </c>
    </row>
    <row r="12" spans="1:43" ht="18.5" x14ac:dyDescent="0.45">
      <c r="A12" s="78" t="s">
        <v>202</v>
      </c>
      <c r="B12" s="26">
        <f>[27]TONTJUIL!$E$60</f>
        <v>190000</v>
      </c>
      <c r="C12" s="26">
        <f>[27]TONTJUIL!$E$59</f>
        <v>80000</v>
      </c>
      <c r="D12" s="26">
        <f>[27]TONTJUIL!$K$60</f>
        <v>238000</v>
      </c>
      <c r="E12" s="26">
        <f>[27]TONTJUIL!$K$59</f>
        <v>0</v>
      </c>
      <c r="F12" s="26">
        <f t="shared" si="1"/>
        <v>-48000</v>
      </c>
      <c r="G12" s="79">
        <f t="shared" si="1"/>
        <v>80000</v>
      </c>
      <c r="H12" s="26">
        <f>[28]TONTJUIL!$E$49</f>
        <v>420000</v>
      </c>
      <c r="I12" s="26">
        <f>[28]TONTJUIL!$E$48</f>
        <v>140000</v>
      </c>
      <c r="J12" s="26">
        <f>[28]TONTJUIL!$K$49</f>
        <v>476000</v>
      </c>
      <c r="K12" s="26">
        <f>[28]TONTJUIL!$K$48</f>
        <v>0</v>
      </c>
      <c r="L12" s="26">
        <f t="shared" si="2"/>
        <v>-56000</v>
      </c>
      <c r="M12" s="79">
        <f t="shared" si="2"/>
        <v>140000</v>
      </c>
      <c r="N12" s="26">
        <f>[29]TONTJUIL!$E$38</f>
        <v>270000</v>
      </c>
      <c r="O12" s="26">
        <f>[29]TONTJUIL!$E$37</f>
        <v>150000</v>
      </c>
      <c r="P12" s="26">
        <f>[29]TONTJUIL!$K$38</f>
        <v>0</v>
      </c>
      <c r="Q12" s="26">
        <f>[29]TONTJUIL!$K$37</f>
        <v>0</v>
      </c>
      <c r="R12" s="26">
        <f t="shared" si="3"/>
        <v>270000</v>
      </c>
      <c r="S12" s="79">
        <f t="shared" si="3"/>
        <v>150000</v>
      </c>
      <c r="T12" s="26">
        <f>[30]TONTJUIL!$E$44</f>
        <v>1050000</v>
      </c>
      <c r="U12" s="26">
        <f>[30]TONTJUIL!$E$43</f>
        <v>150000</v>
      </c>
      <c r="V12" s="26">
        <f>[30]TONTJUIL!$K$44</f>
        <v>1710000</v>
      </c>
      <c r="W12" s="26">
        <f>[30]TONTJUIL!$K$43</f>
        <v>0</v>
      </c>
      <c r="X12" s="26">
        <f t="shared" si="4"/>
        <v>-660000</v>
      </c>
      <c r="Y12" s="79">
        <f t="shared" si="4"/>
        <v>150000</v>
      </c>
      <c r="Z12" s="26">
        <f>[28]TONTJUIL!$E$49</f>
        <v>420000</v>
      </c>
      <c r="AA12" s="26">
        <f>[28]TONTJUIL!$E$48</f>
        <v>140000</v>
      </c>
      <c r="AB12" s="26">
        <f>[28]TONTJUIL!$K$49</f>
        <v>476000</v>
      </c>
      <c r="AC12" s="26">
        <f>[28]TONTJUIL!$K$48</f>
        <v>0</v>
      </c>
      <c r="AD12" s="26">
        <f t="shared" si="5"/>
        <v>-56000</v>
      </c>
      <c r="AE12" s="79">
        <f t="shared" si="5"/>
        <v>140000</v>
      </c>
      <c r="AF12" s="26">
        <f>[32]TONTJUIL!$E$35</f>
        <v>2400000</v>
      </c>
      <c r="AG12" s="26">
        <f>[32]TONTJUIL!$E$34</f>
        <v>150000</v>
      </c>
      <c r="AH12" s="26">
        <f>[32]TONTJUIL!$K$35</f>
        <v>3530000</v>
      </c>
      <c r="AI12" s="26">
        <f>[32]TONTJUIL!$K$34</f>
        <v>0</v>
      </c>
      <c r="AJ12" s="26">
        <f t="shared" si="6"/>
        <v>-1130000</v>
      </c>
      <c r="AK12" s="79">
        <f t="shared" si="6"/>
        <v>150000</v>
      </c>
      <c r="AL12" s="26">
        <f t="shared" si="7"/>
        <v>4750000</v>
      </c>
      <c r="AM12" s="26">
        <f t="shared" si="0"/>
        <v>810000</v>
      </c>
      <c r="AN12" s="26">
        <f t="shared" si="0"/>
        <v>6430000</v>
      </c>
      <c r="AO12" s="26">
        <f t="shared" si="0"/>
        <v>0</v>
      </c>
      <c r="AP12" s="26">
        <f t="shared" si="8"/>
        <v>2376000</v>
      </c>
      <c r="AQ12" s="79">
        <f t="shared" si="9"/>
        <v>6220000</v>
      </c>
    </row>
    <row r="13" spans="1:43" ht="18.5" x14ac:dyDescent="0.45">
      <c r="A13" s="78" t="s">
        <v>203</v>
      </c>
      <c r="B13" s="26">
        <f>[27]TONTAOUT!$E$60</f>
        <v>200000</v>
      </c>
      <c r="C13" s="26">
        <f>[27]TONTAOUT!$E$59</f>
        <v>70000</v>
      </c>
      <c r="D13" s="26">
        <f>[27]TONTAOUT!$K$60</f>
        <v>0</v>
      </c>
      <c r="E13" s="26">
        <f>[27]TONTAOUT!$K$59</f>
        <v>0</v>
      </c>
      <c r="F13" s="26">
        <f t="shared" si="1"/>
        <v>200000</v>
      </c>
      <c r="G13" s="79">
        <f t="shared" si="1"/>
        <v>70000</v>
      </c>
      <c r="H13" s="26">
        <f>[28]TONTAOUT!$E$49</f>
        <v>380000</v>
      </c>
      <c r="I13" s="26">
        <f>[28]TONTAOUT!$E$48</f>
        <v>180000</v>
      </c>
      <c r="J13" s="26">
        <f>[28]TONTAOUT!$K$49</f>
        <v>0</v>
      </c>
      <c r="K13" s="26">
        <f>[28]TONTAOUT!$K$48</f>
        <v>0</v>
      </c>
      <c r="L13" s="26">
        <f t="shared" si="2"/>
        <v>380000</v>
      </c>
      <c r="M13" s="79">
        <f t="shared" si="2"/>
        <v>180000</v>
      </c>
      <c r="N13" s="26">
        <f>[29]TONTAOUT!$E$38</f>
        <v>270000</v>
      </c>
      <c r="O13" s="26">
        <f>[29]TONTAOUT!$E$37</f>
        <v>180000</v>
      </c>
      <c r="P13" s="26">
        <f>[29]TONTAOUT!$K$38</f>
        <v>357000</v>
      </c>
      <c r="Q13" s="26">
        <f>[29]TONTAOUT!$K$37</f>
        <v>0</v>
      </c>
      <c r="R13" s="26">
        <f t="shared" si="3"/>
        <v>-87000</v>
      </c>
      <c r="S13" s="79">
        <f t="shared" si="3"/>
        <v>180000</v>
      </c>
      <c r="T13" s="26">
        <f>[30]TONTAOUT!$E$44</f>
        <v>1050000</v>
      </c>
      <c r="U13" s="26">
        <f>[30]TONTAOUT!$E$43</f>
        <v>150000</v>
      </c>
      <c r="V13" s="26">
        <f>[30]TONTAOUT!$K$44</f>
        <v>0</v>
      </c>
      <c r="W13" s="26">
        <f>[30]TONTAOUT!$K$43</f>
        <v>0</v>
      </c>
      <c r="X13" s="26">
        <f t="shared" si="4"/>
        <v>1050000</v>
      </c>
      <c r="Y13" s="79">
        <f t="shared" si="4"/>
        <v>150000</v>
      </c>
      <c r="Z13" s="26">
        <f>[28]TONTAOUT!$E$49</f>
        <v>380000</v>
      </c>
      <c r="AA13" s="26">
        <f>[28]TONTAOUT!$E$48</f>
        <v>180000</v>
      </c>
      <c r="AB13" s="26">
        <f>[28]TONTAOUT!$K$49</f>
        <v>0</v>
      </c>
      <c r="AC13" s="26">
        <f>[28]TONTAOUT!$K$48</f>
        <v>0</v>
      </c>
      <c r="AD13" s="26">
        <f t="shared" si="5"/>
        <v>380000</v>
      </c>
      <c r="AE13" s="79">
        <f t="shared" si="5"/>
        <v>180000</v>
      </c>
      <c r="AF13" s="26">
        <f>[32]TONTAOUT!$E$35</f>
        <v>2250000</v>
      </c>
      <c r="AG13" s="26">
        <f>[32]TONTAOUT!$E$34</f>
        <v>300000</v>
      </c>
      <c r="AH13" s="26">
        <f>[32]TONTAOUT!$K$35</f>
        <v>1785000</v>
      </c>
      <c r="AI13" s="26">
        <f>[32]TONTAOUT!$K$34</f>
        <v>0</v>
      </c>
      <c r="AJ13" s="26">
        <f t="shared" si="6"/>
        <v>465000</v>
      </c>
      <c r="AK13" s="79">
        <f t="shared" si="6"/>
        <v>300000</v>
      </c>
      <c r="AL13" s="26">
        <f t="shared" si="7"/>
        <v>4530000</v>
      </c>
      <c r="AM13" s="26">
        <f t="shared" si="0"/>
        <v>1060000</v>
      </c>
      <c r="AN13" s="26">
        <f t="shared" si="0"/>
        <v>2142000</v>
      </c>
      <c r="AO13" s="26">
        <f t="shared" si="0"/>
        <v>0</v>
      </c>
      <c r="AP13" s="26">
        <f t="shared" si="8"/>
        <v>4764000</v>
      </c>
      <c r="AQ13" s="79">
        <f t="shared" si="9"/>
        <v>7280000</v>
      </c>
    </row>
    <row r="14" spans="1:43" ht="18.5" x14ac:dyDescent="0.45">
      <c r="A14" s="78" t="s">
        <v>204</v>
      </c>
      <c r="B14" s="26">
        <f>[27]TONTSEPT!$E$60</f>
        <v>170000</v>
      </c>
      <c r="C14" s="26">
        <f>[27]TONTSEPT!$E$59</f>
        <v>80000</v>
      </c>
      <c r="D14" s="26">
        <f>[27]TONTSEPT!$K$60</f>
        <v>0</v>
      </c>
      <c r="E14" s="26">
        <f>[27]TONTSEPT!$K$59</f>
        <v>0</v>
      </c>
      <c r="F14" s="26">
        <f t="shared" si="1"/>
        <v>170000</v>
      </c>
      <c r="G14" s="79">
        <f t="shared" si="1"/>
        <v>80000</v>
      </c>
      <c r="H14" s="26">
        <f>[28]TONTSEPT!$E$49</f>
        <v>380000</v>
      </c>
      <c r="I14" s="26">
        <f>[28]TONTSEPT!$E$48</f>
        <v>140000</v>
      </c>
      <c r="J14" s="26">
        <f>[28]TONTSEPT!$K$49</f>
        <v>238000</v>
      </c>
      <c r="K14" s="26">
        <f>[28]TONTSEPT!$K$48</f>
        <v>0</v>
      </c>
      <c r="L14" s="26">
        <f t="shared" si="2"/>
        <v>142000</v>
      </c>
      <c r="M14" s="79">
        <f t="shared" si="2"/>
        <v>140000</v>
      </c>
      <c r="N14" s="26">
        <f>[29]TONTSEPT!$E$38</f>
        <v>330000</v>
      </c>
      <c r="O14" s="26">
        <f>[29]TONTSEPT!$E$37</f>
        <v>120000</v>
      </c>
      <c r="P14" s="26">
        <f>[29]TONTSEPT!$K$38</f>
        <v>0</v>
      </c>
      <c r="Q14" s="26">
        <f>[29]TONTSEPT!$K$37</f>
        <v>0</v>
      </c>
      <c r="R14" s="26">
        <f t="shared" si="3"/>
        <v>330000</v>
      </c>
      <c r="S14" s="79">
        <f t="shared" si="3"/>
        <v>120000</v>
      </c>
      <c r="T14" s="26">
        <f>[30]TONTSEPT!$E$44</f>
        <v>1000000</v>
      </c>
      <c r="U14" s="26">
        <f>[30]TONTSEPT!$E$43</f>
        <v>250000</v>
      </c>
      <c r="V14" s="26">
        <f>[30]TONTSEPT!$K$44</f>
        <v>595000</v>
      </c>
      <c r="W14" s="26">
        <f>[30]TONTSEPT!$K$43</f>
        <v>0</v>
      </c>
      <c r="X14" s="26">
        <f t="shared" si="4"/>
        <v>405000</v>
      </c>
      <c r="Y14" s="79">
        <f t="shared" si="4"/>
        <v>250000</v>
      </c>
      <c r="Z14" s="26">
        <f>[28]TONTSEPT!$E$49</f>
        <v>380000</v>
      </c>
      <c r="AA14" s="26">
        <f>[28]TONTSEPT!$E$48</f>
        <v>140000</v>
      </c>
      <c r="AB14" s="26">
        <f>[28]TONTSEPT!$K$49</f>
        <v>238000</v>
      </c>
      <c r="AC14" s="26">
        <f>[28]TONTSEPT!$K$48</f>
        <v>0</v>
      </c>
      <c r="AD14" s="26">
        <f t="shared" si="5"/>
        <v>142000</v>
      </c>
      <c r="AE14" s="79">
        <f t="shared" si="5"/>
        <v>140000</v>
      </c>
      <c r="AF14" s="26">
        <f>[32]TONTSEPT!$E$35</f>
        <v>2250000</v>
      </c>
      <c r="AG14" s="26">
        <f>[32]TONTSEPT!$E$34</f>
        <v>300000</v>
      </c>
      <c r="AH14" s="26">
        <f>[32]TONTSEPT!$K$35</f>
        <v>0</v>
      </c>
      <c r="AI14" s="26">
        <f>[32]TONTSEPT!$K$34</f>
        <v>0</v>
      </c>
      <c r="AJ14" s="26">
        <f t="shared" si="6"/>
        <v>2250000</v>
      </c>
      <c r="AK14" s="79">
        <f t="shared" si="6"/>
        <v>300000</v>
      </c>
      <c r="AL14" s="26">
        <f t="shared" si="7"/>
        <v>4510000</v>
      </c>
      <c r="AM14" s="26">
        <f t="shared" si="0"/>
        <v>1030000</v>
      </c>
      <c r="AN14" s="26">
        <f t="shared" si="0"/>
        <v>1071000</v>
      </c>
      <c r="AO14" s="26">
        <f t="shared" si="0"/>
        <v>0</v>
      </c>
      <c r="AP14" s="26">
        <f t="shared" si="8"/>
        <v>8203000</v>
      </c>
      <c r="AQ14" s="79">
        <f t="shared" si="9"/>
        <v>8310000</v>
      </c>
    </row>
    <row r="15" spans="1:43" ht="18.5" x14ac:dyDescent="0.45">
      <c r="A15" s="78" t="s">
        <v>205</v>
      </c>
      <c r="B15" s="26">
        <f>[27]TONTOCT!$E$60</f>
        <v>170000</v>
      </c>
      <c r="C15" s="26">
        <f>[27]TONTOCT!$E$59</f>
        <v>80000</v>
      </c>
      <c r="D15" s="26">
        <f>[27]TONTOCT!$K$60</f>
        <v>0</v>
      </c>
      <c r="E15" s="26">
        <f>[27]TONTOCT!$K$59</f>
        <v>0</v>
      </c>
      <c r="F15" s="26">
        <f t="shared" si="1"/>
        <v>170000</v>
      </c>
      <c r="G15" s="79">
        <f t="shared" si="1"/>
        <v>80000</v>
      </c>
      <c r="H15" s="26">
        <f>[28]TONTOCT!$E$49</f>
        <v>400000</v>
      </c>
      <c r="I15" s="26">
        <f>[28]TONTOCT!$E$48</f>
        <v>140000</v>
      </c>
      <c r="J15" s="26">
        <f>[28]TONTOCT!$K$49</f>
        <v>1428000</v>
      </c>
      <c r="K15" s="26">
        <f>[28]TONTOCT!$K$48</f>
        <v>0</v>
      </c>
      <c r="L15" s="26">
        <f t="shared" si="2"/>
        <v>-1028000</v>
      </c>
      <c r="M15" s="79">
        <f t="shared" si="2"/>
        <v>140000</v>
      </c>
      <c r="N15" s="26">
        <f>[29]TONTOCT!$E$38</f>
        <v>300000</v>
      </c>
      <c r="O15" s="26">
        <f>[29]TONTOCT!$E$37</f>
        <v>120000</v>
      </c>
      <c r="P15" s="26">
        <f>[29]TONTOCT!$K$38</f>
        <v>357000</v>
      </c>
      <c r="Q15" s="26">
        <f>[29]TONTOCT!$K$37</f>
        <v>0</v>
      </c>
      <c r="R15" s="26">
        <f t="shared" si="3"/>
        <v>-57000</v>
      </c>
      <c r="S15" s="79">
        <f t="shared" si="3"/>
        <v>120000</v>
      </c>
      <c r="T15" s="26">
        <f>[30]TONTOCT!$E$44</f>
        <v>1050000</v>
      </c>
      <c r="U15" s="26">
        <f>[30]TONTOCT!$E$43</f>
        <v>200000</v>
      </c>
      <c r="V15" s="26">
        <f>[30]TONTOCT!$K$44</f>
        <v>2380000</v>
      </c>
      <c r="W15" s="26">
        <f>[30]TONTOCT!$K$43</f>
        <v>0</v>
      </c>
      <c r="X15" s="26">
        <f t="shared" si="4"/>
        <v>-1330000</v>
      </c>
      <c r="Y15" s="79">
        <f t="shared" si="4"/>
        <v>200000</v>
      </c>
      <c r="Z15" s="26">
        <f>[28]TONTOCT!$E$49</f>
        <v>400000</v>
      </c>
      <c r="AA15" s="26">
        <f>[28]TONTOCT!$E$48</f>
        <v>140000</v>
      </c>
      <c r="AB15" s="26">
        <f>[28]TONTOCT!$K$49</f>
        <v>1428000</v>
      </c>
      <c r="AC15" s="26">
        <f>[28]TONTOCT!$K$48</f>
        <v>0</v>
      </c>
      <c r="AD15" s="26">
        <f t="shared" si="5"/>
        <v>-1028000</v>
      </c>
      <c r="AE15" s="79">
        <f t="shared" si="5"/>
        <v>140000</v>
      </c>
      <c r="AF15" s="26">
        <f>[32]TONTOCT!$E$35</f>
        <v>2250000</v>
      </c>
      <c r="AG15" s="26">
        <f>[32]TONTOCT!$E$34</f>
        <v>300000</v>
      </c>
      <c r="AH15" s="26">
        <f>[32]TONTOCT!$K$35</f>
        <v>3570000</v>
      </c>
      <c r="AI15" s="26">
        <f>[32]TONTOCT!$K$34</f>
        <v>0</v>
      </c>
      <c r="AJ15" s="26">
        <f t="shared" si="6"/>
        <v>-1320000</v>
      </c>
      <c r="AK15" s="79">
        <f t="shared" si="6"/>
        <v>300000</v>
      </c>
      <c r="AL15" s="26">
        <f t="shared" si="7"/>
        <v>4570000</v>
      </c>
      <c r="AM15" s="26">
        <f t="shared" si="0"/>
        <v>980000</v>
      </c>
      <c r="AN15" s="26">
        <f t="shared" si="0"/>
        <v>9163000</v>
      </c>
      <c r="AO15" s="26">
        <f t="shared" si="0"/>
        <v>0</v>
      </c>
      <c r="AP15" s="26">
        <f t="shared" si="8"/>
        <v>3610000</v>
      </c>
      <c r="AQ15" s="79">
        <f t="shared" si="9"/>
        <v>9290000</v>
      </c>
    </row>
    <row r="16" spans="1:43" ht="18.5" x14ac:dyDescent="0.45">
      <c r="A16" s="78" t="s">
        <v>206</v>
      </c>
      <c r="B16" s="26">
        <f>[27]TONTNOV20!$E$60</f>
        <v>180000</v>
      </c>
      <c r="C16" s="26">
        <f>[27]TONTNOV20!$E$59</f>
        <v>60000</v>
      </c>
      <c r="D16" s="26">
        <f>[27]TONTNOV20!$K$60</f>
        <v>476000</v>
      </c>
      <c r="E16" s="26">
        <f>[27]TONTNOV20!$K$59</f>
        <v>0</v>
      </c>
      <c r="F16" s="26">
        <f t="shared" si="1"/>
        <v>-296000</v>
      </c>
      <c r="G16" s="79">
        <f t="shared" si="1"/>
        <v>60000</v>
      </c>
      <c r="H16" s="26">
        <f>[28]TONTNOV20!$E$49</f>
        <v>360000</v>
      </c>
      <c r="I16" s="26">
        <f>[28]TONTNOV20!$E$48</f>
        <v>160000</v>
      </c>
      <c r="J16" s="26">
        <f>[28]TONTNOV20!$K$49</f>
        <v>237000</v>
      </c>
      <c r="K16" s="26">
        <f>[28]TONTNOV20!$K$48</f>
        <v>0</v>
      </c>
      <c r="L16" s="26">
        <f t="shared" si="2"/>
        <v>123000</v>
      </c>
      <c r="M16" s="79">
        <f t="shared" si="2"/>
        <v>160000</v>
      </c>
      <c r="N16" s="26">
        <f>[29]TONTNOV20!$E$38</f>
        <v>330000</v>
      </c>
      <c r="O16" s="26">
        <f>[29]TONTNOV20!$E$37</f>
        <v>120000</v>
      </c>
      <c r="P16" s="26">
        <f>[29]TONTNOV20!$K$38</f>
        <v>714000</v>
      </c>
      <c r="Q16" s="26">
        <f>[29]TONTNOV20!$K$37</f>
        <v>0</v>
      </c>
      <c r="R16" s="26">
        <f t="shared" si="3"/>
        <v>-384000</v>
      </c>
      <c r="S16" s="79">
        <f t="shared" si="3"/>
        <v>120000</v>
      </c>
      <c r="T16" s="26">
        <f>[30]TONTNOV20!$E$44</f>
        <v>1050000</v>
      </c>
      <c r="U16" s="26">
        <f>[30]TONTNOV20!$E$43</f>
        <v>200000</v>
      </c>
      <c r="V16" s="26">
        <f>[30]TONTNOV20!$K$44</f>
        <v>1780000</v>
      </c>
      <c r="W16" s="26">
        <f>[30]TONTNOV20!$K$43</f>
        <v>0</v>
      </c>
      <c r="X16" s="26">
        <f t="shared" si="4"/>
        <v>-730000</v>
      </c>
      <c r="Y16" s="79">
        <f t="shared" si="4"/>
        <v>200000</v>
      </c>
      <c r="Z16" s="26">
        <f>[28]TONTNOV20!$E$49</f>
        <v>360000</v>
      </c>
      <c r="AA16" s="26">
        <f>[28]TONTNOV20!$E$48</f>
        <v>160000</v>
      </c>
      <c r="AB16" s="26">
        <f>[28]TONTNOV20!$K$49</f>
        <v>237000</v>
      </c>
      <c r="AC16" s="26">
        <f>[28]TONTNOV20!$K$48</f>
        <v>0</v>
      </c>
      <c r="AD16" s="26">
        <f t="shared" si="5"/>
        <v>123000</v>
      </c>
      <c r="AE16" s="79">
        <f t="shared" si="5"/>
        <v>160000</v>
      </c>
      <c r="AF16" s="26">
        <f>[32]TONTNOV20!$E$35</f>
        <v>2400000</v>
      </c>
      <c r="AG16" s="26">
        <f>[32]TONTNOV20!$E$34</f>
        <v>150000</v>
      </c>
      <c r="AH16" s="26">
        <f>[32]TONTNOV20!$K$35</f>
        <v>0</v>
      </c>
      <c r="AI16" s="26">
        <f>[32]TONTNOV20!$K$34</f>
        <v>0</v>
      </c>
      <c r="AJ16" s="26">
        <f t="shared" si="6"/>
        <v>2400000</v>
      </c>
      <c r="AK16" s="79">
        <f t="shared" si="6"/>
        <v>150000</v>
      </c>
      <c r="AL16" s="26">
        <f t="shared" si="7"/>
        <v>4680000</v>
      </c>
      <c r="AM16" s="26">
        <f t="shared" si="0"/>
        <v>850000</v>
      </c>
      <c r="AN16" s="26">
        <f t="shared" si="0"/>
        <v>3444000</v>
      </c>
      <c r="AO16" s="26">
        <f t="shared" si="0"/>
        <v>0</v>
      </c>
      <c r="AP16" s="26">
        <f t="shared" si="8"/>
        <v>4846000</v>
      </c>
      <c r="AQ16" s="79">
        <f t="shared" si="9"/>
        <v>10140000</v>
      </c>
    </row>
    <row r="17" spans="1:43" ht="18.5" x14ac:dyDescent="0.45">
      <c r="A17" s="78" t="s">
        <v>207</v>
      </c>
      <c r="B17" s="26">
        <f>[27]TONTDEC20!$E$60</f>
        <v>160000</v>
      </c>
      <c r="C17" s="26">
        <f>[27]TONTDEC20!$E$59</f>
        <v>60000</v>
      </c>
      <c r="D17" s="26">
        <f>[27]TONTDEC20!$K$60</f>
        <v>714000</v>
      </c>
      <c r="E17" s="26">
        <f>[27]TONTDEC20!$K$59</f>
        <v>0</v>
      </c>
      <c r="F17" s="26">
        <f t="shared" si="1"/>
        <v>-554000</v>
      </c>
      <c r="G17" s="79">
        <f t="shared" si="1"/>
        <v>60000</v>
      </c>
      <c r="H17" s="26">
        <f>[28]TONTDEC20!$E$49</f>
        <v>360000</v>
      </c>
      <c r="I17" s="26">
        <f>[28]TONTDEC20!$E$48</f>
        <v>80000</v>
      </c>
      <c r="J17" s="26">
        <f>[28]TONTDEC20!$K$49</f>
        <v>1426000</v>
      </c>
      <c r="K17" s="26">
        <f>[28]TONTDEC20!$K$48</f>
        <v>0</v>
      </c>
      <c r="L17" s="26">
        <f t="shared" si="2"/>
        <v>-1066000</v>
      </c>
      <c r="M17" s="79">
        <f t="shared" si="2"/>
        <v>80000</v>
      </c>
      <c r="N17" s="26">
        <f>[29]TONTDEC20!$E$38</f>
        <v>300000</v>
      </c>
      <c r="O17" s="26">
        <f>[29]TONTDEC20!$E$37</f>
        <v>60000</v>
      </c>
      <c r="P17" s="26">
        <f>[29]TONTDEC20!$K$38</f>
        <v>1071000</v>
      </c>
      <c r="Q17" s="26">
        <f>[29]TONTDEC20!$K$37</f>
        <v>0</v>
      </c>
      <c r="R17" s="26">
        <f t="shared" si="3"/>
        <v>-771000</v>
      </c>
      <c r="S17" s="79">
        <f t="shared" si="3"/>
        <v>60000</v>
      </c>
      <c r="T17" s="26">
        <f>[30]TONTDEC20!$E$44</f>
        <v>1000000</v>
      </c>
      <c r="U17" s="26">
        <f>[30]TONTDEC20!$E$43</f>
        <v>100000</v>
      </c>
      <c r="V17" s="26">
        <f>[30]TONTDEC20!$K$44</f>
        <v>2975000</v>
      </c>
      <c r="W17" s="26">
        <f>[30]TONTDEC20!$K$43</f>
        <v>0</v>
      </c>
      <c r="X17" s="26">
        <f t="shared" si="4"/>
        <v>-1975000</v>
      </c>
      <c r="Y17" s="79">
        <f t="shared" si="4"/>
        <v>100000</v>
      </c>
      <c r="Z17" s="26">
        <f>[28]TONTDEC20!$E$49</f>
        <v>360000</v>
      </c>
      <c r="AA17" s="26">
        <f>[28]TONTDEC20!$E$48</f>
        <v>80000</v>
      </c>
      <c r="AB17" s="26">
        <f>[28]TONTDEC20!$K$49</f>
        <v>1426000</v>
      </c>
      <c r="AC17" s="26">
        <f>[28]TONTDEC20!$K$48</f>
        <v>0</v>
      </c>
      <c r="AD17" s="26">
        <f t="shared" si="5"/>
        <v>-1066000</v>
      </c>
      <c r="AE17" s="79">
        <f t="shared" si="5"/>
        <v>80000</v>
      </c>
      <c r="AF17" s="26">
        <f>[32]TONTDEC20!$E$35</f>
        <v>1650000</v>
      </c>
      <c r="AG17" s="26">
        <f>[32]TONTDEC20!$E$34</f>
        <v>600000</v>
      </c>
      <c r="AH17" s="26">
        <f>[32]TONTDEC20!$K$35</f>
        <v>5355000</v>
      </c>
      <c r="AI17" s="26">
        <f>[32]TONTDEC20!$K$34</f>
        <v>0</v>
      </c>
      <c r="AJ17" s="26">
        <f t="shared" si="6"/>
        <v>-3705000</v>
      </c>
      <c r="AK17" s="79">
        <f t="shared" si="6"/>
        <v>600000</v>
      </c>
      <c r="AL17" s="26">
        <f t="shared" si="7"/>
        <v>3830000</v>
      </c>
      <c r="AM17" s="26">
        <f t="shared" si="0"/>
        <v>980000</v>
      </c>
      <c r="AN17" s="26">
        <f t="shared" si="0"/>
        <v>12967000</v>
      </c>
      <c r="AO17" s="26">
        <f t="shared" si="0"/>
        <v>0</v>
      </c>
      <c r="AP17" s="26">
        <f t="shared" si="8"/>
        <v>-4291000</v>
      </c>
      <c r="AQ17" s="79">
        <f t="shared" si="9"/>
        <v>11120000</v>
      </c>
    </row>
    <row r="18" spans="1:43" x14ac:dyDescent="0.35">
      <c r="A18" s="78"/>
      <c r="B18" s="50"/>
      <c r="C18" s="50"/>
      <c r="D18" s="50"/>
      <c r="E18" s="50"/>
      <c r="F18" s="50"/>
      <c r="G18" s="51"/>
      <c r="H18" s="50"/>
      <c r="I18" s="50"/>
      <c r="J18" s="50"/>
      <c r="K18" s="50"/>
      <c r="L18" s="50"/>
      <c r="M18" s="51"/>
      <c r="N18" s="50"/>
      <c r="O18" s="50"/>
      <c r="P18" s="50"/>
      <c r="Q18" s="50"/>
      <c r="R18" s="50"/>
      <c r="S18" s="51"/>
      <c r="T18" s="50"/>
      <c r="U18" s="50"/>
      <c r="V18" s="50"/>
      <c r="W18" s="50"/>
      <c r="X18" s="50"/>
      <c r="Y18" s="51"/>
      <c r="Z18" s="50"/>
      <c r="AA18" s="50"/>
      <c r="AB18" s="50"/>
      <c r="AC18" s="50"/>
      <c r="AD18" s="50"/>
      <c r="AE18" s="51"/>
      <c r="AF18" s="50"/>
      <c r="AG18" s="50"/>
      <c r="AH18" s="50"/>
      <c r="AI18" s="50"/>
      <c r="AJ18" s="50"/>
      <c r="AK18" s="51"/>
      <c r="AL18" s="50"/>
      <c r="AM18" s="50"/>
      <c r="AN18" s="50"/>
      <c r="AO18" s="50"/>
      <c r="AP18" s="50"/>
      <c r="AQ18" s="51"/>
    </row>
    <row r="19" spans="1:43" ht="19" thickBot="1" x14ac:dyDescent="0.5">
      <c r="A19" s="80" t="s">
        <v>191</v>
      </c>
      <c r="B19" s="23">
        <f t="shared" ref="B19:AO19" si="10">SUM(B6:B18)</f>
        <v>2350000</v>
      </c>
      <c r="C19" s="23">
        <f t="shared" si="10"/>
        <v>790000</v>
      </c>
      <c r="D19" s="23">
        <f t="shared" si="10"/>
        <v>2252500</v>
      </c>
      <c r="E19" s="23">
        <f t="shared" si="10"/>
        <v>0</v>
      </c>
      <c r="F19" s="23">
        <f t="shared" si="10"/>
        <v>97500</v>
      </c>
      <c r="G19" s="81">
        <f t="shared" si="10"/>
        <v>790000</v>
      </c>
      <c r="H19" s="23">
        <f t="shared" si="10"/>
        <v>5080000</v>
      </c>
      <c r="I19" s="23">
        <f t="shared" si="10"/>
        <v>1400000</v>
      </c>
      <c r="J19" s="23">
        <f t="shared" si="10"/>
        <v>6409000</v>
      </c>
      <c r="K19" s="23">
        <f t="shared" si="10"/>
        <v>0</v>
      </c>
      <c r="L19" s="23">
        <f t="shared" si="10"/>
        <v>-1329000</v>
      </c>
      <c r="M19" s="81">
        <f t="shared" si="10"/>
        <v>1400000</v>
      </c>
      <c r="N19" s="23">
        <f t="shared" si="10"/>
        <v>4140000</v>
      </c>
      <c r="O19" s="23">
        <f t="shared" si="10"/>
        <v>1260000</v>
      </c>
      <c r="P19" s="23">
        <f t="shared" si="10"/>
        <v>4903000</v>
      </c>
      <c r="Q19" s="23">
        <f t="shared" si="10"/>
        <v>0</v>
      </c>
      <c r="R19" s="23">
        <f t="shared" si="10"/>
        <v>-763000</v>
      </c>
      <c r="S19" s="81">
        <f t="shared" si="10"/>
        <v>1260000</v>
      </c>
      <c r="T19" s="23">
        <f t="shared" si="10"/>
        <v>12750000</v>
      </c>
      <c r="U19" s="23">
        <f t="shared" si="10"/>
        <v>1900000</v>
      </c>
      <c r="V19" s="23">
        <f t="shared" si="10"/>
        <v>12972500</v>
      </c>
      <c r="W19" s="23">
        <f t="shared" si="10"/>
        <v>0</v>
      </c>
      <c r="X19" s="23">
        <f t="shared" si="10"/>
        <v>-222500</v>
      </c>
      <c r="Y19" s="81">
        <f t="shared" si="10"/>
        <v>1900000</v>
      </c>
      <c r="Z19" s="23">
        <f t="shared" si="10"/>
        <v>5800000</v>
      </c>
      <c r="AA19" s="23">
        <f t="shared" si="10"/>
        <v>1420000</v>
      </c>
      <c r="AB19" s="23">
        <f t="shared" si="10"/>
        <v>7294000</v>
      </c>
      <c r="AC19" s="23">
        <f t="shared" si="10"/>
        <v>0</v>
      </c>
      <c r="AD19" s="23">
        <f t="shared" si="10"/>
        <v>-1494000</v>
      </c>
      <c r="AE19" s="81">
        <f t="shared" si="10"/>
        <v>1420000</v>
      </c>
      <c r="AF19" s="23">
        <f t="shared" si="10"/>
        <v>25950000</v>
      </c>
      <c r="AG19" s="23">
        <f t="shared" si="10"/>
        <v>4350000</v>
      </c>
      <c r="AH19" s="23">
        <f t="shared" si="10"/>
        <v>26530000</v>
      </c>
      <c r="AI19" s="23">
        <f t="shared" si="10"/>
        <v>0</v>
      </c>
      <c r="AJ19" s="23">
        <f t="shared" si="10"/>
        <v>-580000</v>
      </c>
      <c r="AK19" s="81">
        <f t="shared" si="10"/>
        <v>4350000</v>
      </c>
      <c r="AL19" s="23">
        <f t="shared" si="10"/>
        <v>56070000</v>
      </c>
      <c r="AM19" s="23">
        <f t="shared" si="10"/>
        <v>11120000</v>
      </c>
      <c r="AN19" s="23">
        <f t="shared" si="10"/>
        <v>60361000</v>
      </c>
      <c r="AO19" s="23">
        <f t="shared" si="10"/>
        <v>0</v>
      </c>
      <c r="AP19" s="23"/>
      <c r="AQ19" s="81"/>
    </row>
    <row r="20" spans="1:43" ht="15" thickTop="1" x14ac:dyDescent="0.35"/>
  </sheetData>
  <mergeCells count="28">
    <mergeCell ref="AL2:AQ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2:G2"/>
    <mergeCell ref="H2:M2"/>
    <mergeCell ref="N2:S2"/>
    <mergeCell ref="T2:Y2"/>
    <mergeCell ref="Z2:AE2"/>
    <mergeCell ref="AF2:AK2"/>
    <mergeCell ref="AP3:AQ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H58"/>
  <sheetViews>
    <sheetView workbookViewId="0">
      <pane xSplit="2" ySplit="5" topLeftCell="G6" activePane="bottomRight" state="frozen"/>
      <selection activeCell="C32" sqref="C32"/>
      <selection pane="topRight" activeCell="C32" sqref="C32"/>
      <selection pane="bottomLeft" activeCell="C32" sqref="C32"/>
      <selection pane="bottomRight" activeCell="I5" sqref="I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26953125" bestFit="1" customWidth="1"/>
    <col min="4" max="4" width="12.81640625" bestFit="1" customWidth="1"/>
    <col min="5" max="5" width="15.26953125" customWidth="1"/>
    <col min="6" max="6" width="23.54296875" style="2" customWidth="1"/>
    <col min="7" max="7" width="16.81640625" customWidth="1"/>
    <col min="8" max="8" width="20.7265625" customWidth="1"/>
    <col min="9" max="9" width="15" bestFit="1" customWidth="1"/>
    <col min="10" max="10" width="17.54296875" style="3" bestFit="1" customWidth="1"/>
    <col min="11" max="11" width="15.7265625" style="2" customWidth="1"/>
    <col min="12" max="14" width="12.453125" style="2" customWidth="1"/>
    <col min="15" max="15" width="15" style="2" bestFit="1" customWidth="1"/>
    <col min="16" max="16" width="16.81640625" style="2" bestFit="1" customWidth="1"/>
    <col min="17" max="17" width="15" bestFit="1" customWidth="1"/>
    <col min="18" max="18" width="15" customWidth="1"/>
    <col min="19" max="19" width="18.1796875" customWidth="1"/>
    <col min="20" max="20" width="12.54296875" bestFit="1" customWidth="1"/>
    <col min="21" max="22" width="18.1796875" customWidth="1"/>
    <col min="26" max="26" width="12.453125" bestFit="1" customWidth="1"/>
  </cols>
  <sheetData>
    <row r="1" spans="1:34" x14ac:dyDescent="0.3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34" x14ac:dyDescent="0.3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34" x14ac:dyDescent="0.35">
      <c r="A3" s="1" t="s">
        <v>3</v>
      </c>
      <c r="B3" s="5">
        <v>30000</v>
      </c>
      <c r="C3" s="5"/>
      <c r="D3" s="5"/>
      <c r="E3" s="1"/>
      <c r="F3" s="5"/>
      <c r="G3" s="1"/>
      <c r="H3" s="1"/>
    </row>
    <row r="4" spans="1:34" ht="26" x14ac:dyDescent="0.6">
      <c r="B4" s="16"/>
      <c r="C4" s="16"/>
      <c r="D4" s="16"/>
      <c r="E4" s="174">
        <v>44185</v>
      </c>
      <c r="F4" s="174"/>
      <c r="G4" s="174"/>
      <c r="H4" s="174"/>
      <c r="I4" s="174"/>
      <c r="J4" s="57"/>
      <c r="K4" s="57"/>
      <c r="L4" s="57"/>
      <c r="M4"/>
      <c r="N4"/>
      <c r="O4"/>
      <c r="P4"/>
    </row>
    <row r="5" spans="1:34" ht="56.5" x14ac:dyDescent="0.35">
      <c r="A5" s="1" t="s">
        <v>4</v>
      </c>
      <c r="B5" s="1" t="s">
        <v>5</v>
      </c>
      <c r="C5" s="1" t="s">
        <v>68</v>
      </c>
      <c r="D5" s="1" t="s">
        <v>69</v>
      </c>
      <c r="E5" s="4" t="s">
        <v>6</v>
      </c>
      <c r="F5" s="4" t="s">
        <v>7</v>
      </c>
      <c r="G5" s="1" t="s">
        <v>8</v>
      </c>
      <c r="H5" s="4" t="s">
        <v>60</v>
      </c>
      <c r="I5" s="1" t="s">
        <v>9</v>
      </c>
      <c r="J5" s="4" t="s">
        <v>10</v>
      </c>
      <c r="K5" s="4" t="s">
        <v>11</v>
      </c>
      <c r="L5" s="4" t="s">
        <v>12</v>
      </c>
      <c r="M5" s="4" t="s">
        <v>72</v>
      </c>
      <c r="N5" s="4" t="s">
        <v>73</v>
      </c>
      <c r="O5" s="4" t="s">
        <v>13</v>
      </c>
      <c r="P5" s="4" t="s">
        <v>61</v>
      </c>
      <c r="Q5" s="4" t="s">
        <v>63</v>
      </c>
      <c r="R5" s="4" t="s">
        <v>83</v>
      </c>
      <c r="S5" s="4" t="s">
        <v>64</v>
      </c>
      <c r="T5" s="4" t="s">
        <v>67</v>
      </c>
      <c r="U5" s="4" t="s">
        <v>209</v>
      </c>
      <c r="V5" s="4" t="s">
        <v>83</v>
      </c>
      <c r="W5" s="4" t="s">
        <v>65</v>
      </c>
      <c r="X5" s="4" t="s">
        <v>14</v>
      </c>
      <c r="Y5" s="4" t="s">
        <v>210</v>
      </c>
      <c r="Z5" s="4" t="s">
        <v>211</v>
      </c>
    </row>
    <row r="6" spans="1:34" x14ac:dyDescent="0.35">
      <c r="A6" s="1" t="s">
        <v>16</v>
      </c>
      <c r="B6" s="1" t="str">
        <f>VLOOKUP(A6,[25]LISTADHERENT!A$5:H$60,3,0)</f>
        <v>ASELBY</v>
      </c>
      <c r="C6" s="1"/>
      <c r="D6" s="1"/>
      <c r="E6" s="5" t="e">
        <f t="shared" ref="E6:E38" si="0">$Q$42/$F$42*F6</f>
        <v>#REF!</v>
      </c>
      <c r="F6" s="5" t="e">
        <f>+#REF!+#REF!+I6</f>
        <v>#REF!</v>
      </c>
      <c r="G6" s="6" t="e">
        <f>VLOOKUP($A6,#REF!,25,0)</f>
        <v>#REF!</v>
      </c>
      <c r="H6" s="6" t="e">
        <f>VLOOKUP($A6,[33]TONTJANV21!$A$6:$T$41,4,0)</f>
        <v>#N/A</v>
      </c>
      <c r="I6" s="6"/>
      <c r="J6" s="6"/>
      <c r="K6" s="6"/>
      <c r="L6" s="6"/>
      <c r="M6" s="6" t="e">
        <f>VLOOKUP($A6,#REF!,5,0)</f>
        <v>#REF!</v>
      </c>
      <c r="N6" s="6" t="e">
        <f>VLOOKUP($A6,#REF!,27,0)</f>
        <v>#REF!</v>
      </c>
      <c r="O6" s="6" t="e">
        <f>VLOOKUP($A6,#REF!,26,0)</f>
        <v>#REF!</v>
      </c>
      <c r="P6" s="6" t="e">
        <f>VLOOKUP($A6,#REF!,20,0)</f>
        <v>#REF!</v>
      </c>
      <c r="Q6" s="6" t="e">
        <f>(P6*12/100)</f>
        <v>#REF!</v>
      </c>
      <c r="R6" s="6" t="e">
        <f>VLOOKUP($A6,#REF!,23,0)</f>
        <v>#REF!</v>
      </c>
      <c r="S6" s="6" t="e">
        <f>VLOOKUP($A6,#REF!,17,0)</f>
        <v>#REF!</v>
      </c>
      <c r="T6" s="6" t="e">
        <f>VLOOKUP($A6,#REF!,18,0)</f>
        <v>#REF!</v>
      </c>
      <c r="U6" s="6" t="e">
        <f>VLOOKUP($A6,#REF!,21,0)</f>
        <v>#REF!</v>
      </c>
      <c r="V6" s="6" t="e">
        <f>VLOOKUP($A6,#REF!,22,0)</f>
        <v>#REF!</v>
      </c>
      <c r="W6" s="6"/>
      <c r="X6" s="6"/>
      <c r="Y6" s="6" t="e">
        <f>VLOOKUP($A6,#REF!,40,0)</f>
        <v>#REF!</v>
      </c>
      <c r="Z6" s="6" t="e">
        <f>VLOOKUP($A6,#REF!,41,0)</f>
        <v>#REF!</v>
      </c>
      <c r="AA6" s="2"/>
      <c r="AB6" s="2"/>
      <c r="AC6" s="2"/>
      <c r="AD6" s="2"/>
      <c r="AE6" s="2"/>
      <c r="AF6" s="2"/>
      <c r="AG6" s="2"/>
      <c r="AH6" s="2"/>
    </row>
    <row r="7" spans="1:34" x14ac:dyDescent="0.35">
      <c r="A7" s="1" t="s">
        <v>19</v>
      </c>
      <c r="B7" s="1" t="str">
        <f>VLOOKUP(A7,[25]LISTADHERENT!A$5:H$60,3,0)</f>
        <v>BOUTCHOUANG WILLIAM</v>
      </c>
      <c r="C7" s="1"/>
      <c r="D7" s="1"/>
      <c r="E7" s="5" t="e">
        <f t="shared" si="0"/>
        <v>#REF!</v>
      </c>
      <c r="F7" s="5" t="e">
        <f>+#REF!+#REF!+I7</f>
        <v>#REF!</v>
      </c>
      <c r="G7" s="6" t="e">
        <f>VLOOKUP($A7,#REF!,25,0)</f>
        <v>#REF!</v>
      </c>
      <c r="H7" s="6">
        <f>VLOOKUP($A7,[33]TONTJANV21!$A$6:$T$41,4,0)</f>
        <v>23000</v>
      </c>
      <c r="I7" s="6">
        <f t="shared" ref="I7:I38" si="1">H7-(J7+K7+L7)</f>
        <v>19000</v>
      </c>
      <c r="J7" s="6">
        <f t="shared" ref="J7:J38" si="2">IF(H7=0,0,500)</f>
        <v>500</v>
      </c>
      <c r="K7" s="6">
        <f t="shared" ref="K7:K38" si="3">IF(H7=0,0,1000)</f>
        <v>1000</v>
      </c>
      <c r="L7" s="6">
        <f t="shared" ref="L7:L38" si="4">IF(H7=0,0,2500)</f>
        <v>2500</v>
      </c>
      <c r="M7" s="6" t="e">
        <f>VLOOKUP($A7,#REF!,5,0)</f>
        <v>#REF!</v>
      </c>
      <c r="N7" s="6" t="e">
        <f>VLOOKUP($A7,#REF!,27,0)</f>
        <v>#REF!</v>
      </c>
      <c r="O7" s="6" t="e">
        <f>VLOOKUP($A7,#REF!,26,0)</f>
        <v>#REF!</v>
      </c>
      <c r="P7" s="6" t="e">
        <f>VLOOKUP($A7,#REF!,20,0)</f>
        <v>#REF!</v>
      </c>
      <c r="Q7" s="6" t="e">
        <f>(P7*12/100)</f>
        <v>#REF!</v>
      </c>
      <c r="R7" s="6" t="e">
        <f>VLOOKUP($A7,#REF!,23,0)</f>
        <v>#REF!</v>
      </c>
      <c r="S7" s="6" t="e">
        <f>VLOOKUP($A7,#REF!,17,0)</f>
        <v>#REF!</v>
      </c>
      <c r="T7" s="6" t="e">
        <f>VLOOKUP($A7,#REF!,18,0)</f>
        <v>#REF!</v>
      </c>
      <c r="U7" s="6" t="e">
        <f>VLOOKUP($A7,#REF!,21,0)</f>
        <v>#REF!</v>
      </c>
      <c r="V7" s="6" t="e">
        <f>VLOOKUP($A7,#REF!,22,0)</f>
        <v>#REF!</v>
      </c>
      <c r="W7" s="2"/>
      <c r="X7" s="2"/>
      <c r="Y7" s="6" t="e">
        <f>VLOOKUP(A7,#REF!,40,0)</f>
        <v>#REF!</v>
      </c>
      <c r="Z7" s="6" t="e">
        <f>VLOOKUP($A7,#REF!,41,0)</f>
        <v>#REF!</v>
      </c>
      <c r="AA7" s="2"/>
      <c r="AB7" s="2"/>
      <c r="AC7" s="2"/>
      <c r="AD7" s="2"/>
      <c r="AE7" s="2"/>
      <c r="AF7" s="2"/>
      <c r="AG7" s="2"/>
      <c r="AH7" s="2"/>
    </row>
    <row r="8" spans="1:34" x14ac:dyDescent="0.35">
      <c r="A8" s="1" t="s">
        <v>23</v>
      </c>
      <c r="B8" s="1" t="str">
        <f>VLOOKUP(A8,[25]LISTADHERENT!A$5:H$60,3,0)</f>
        <v xml:space="preserve">DJOMO JEAN PAUL </v>
      </c>
      <c r="C8" s="1"/>
      <c r="D8" s="1"/>
      <c r="E8" s="5" t="e">
        <f t="shared" si="0"/>
        <v>#REF!</v>
      </c>
      <c r="F8" s="5" t="e">
        <f>+#REF!+#REF!+I8</f>
        <v>#REF!</v>
      </c>
      <c r="G8" s="6" t="e">
        <f>VLOOKUP($A8,#REF!,25,0)</f>
        <v>#REF!</v>
      </c>
      <c r="H8" s="6">
        <f>VLOOKUP($A8,[33]TONTJANV21!$A$6:$T$41,4,0)</f>
        <v>23000</v>
      </c>
      <c r="I8" s="6">
        <f t="shared" si="1"/>
        <v>19000</v>
      </c>
      <c r="J8" s="6">
        <f t="shared" si="2"/>
        <v>500</v>
      </c>
      <c r="K8" s="6">
        <f t="shared" si="3"/>
        <v>1000</v>
      </c>
      <c r="L8" s="6">
        <f t="shared" si="4"/>
        <v>2500</v>
      </c>
      <c r="M8" s="6" t="e">
        <f>VLOOKUP($A8,#REF!,5,0)</f>
        <v>#REF!</v>
      </c>
      <c r="N8" s="6" t="e">
        <f>VLOOKUP($A8,#REF!,27,0)</f>
        <v>#REF!</v>
      </c>
      <c r="O8" s="6" t="e">
        <f>VLOOKUP($A8,#REF!,26,0)</f>
        <v>#REF!</v>
      </c>
      <c r="P8" s="6" t="e">
        <f>VLOOKUP($A8,#REF!,20,0)</f>
        <v>#REF!</v>
      </c>
      <c r="Q8" s="6" t="e">
        <f t="shared" ref="Q8:Q38" si="5">(P8*12/100)</f>
        <v>#REF!</v>
      </c>
      <c r="R8" s="6" t="e">
        <f>VLOOKUP($A8,#REF!,23,0)</f>
        <v>#REF!</v>
      </c>
      <c r="S8" s="6" t="e">
        <f>VLOOKUP($A8,#REF!,17,0)</f>
        <v>#REF!</v>
      </c>
      <c r="T8" s="6" t="e">
        <f>VLOOKUP($A8,#REF!,18,0)</f>
        <v>#REF!</v>
      </c>
      <c r="U8" s="6" t="e">
        <f>VLOOKUP($A8,#REF!,21,0)</f>
        <v>#REF!</v>
      </c>
      <c r="V8" s="6" t="e">
        <f>VLOOKUP($A8,#REF!,22,0)</f>
        <v>#REF!</v>
      </c>
      <c r="W8" s="2"/>
      <c r="X8" s="2"/>
      <c r="Y8" s="6" t="e">
        <f>VLOOKUP(A8,#REF!,40,0)</f>
        <v>#REF!</v>
      </c>
      <c r="Z8" s="6" t="e">
        <f>VLOOKUP($A8,#REF!,41,0)</f>
        <v>#REF!</v>
      </c>
      <c r="AA8" s="2"/>
      <c r="AB8" s="2"/>
      <c r="AC8" s="2"/>
      <c r="AD8" s="2"/>
      <c r="AE8" s="2"/>
      <c r="AF8" s="2"/>
      <c r="AG8" s="2"/>
      <c r="AH8" s="2"/>
    </row>
    <row r="9" spans="1:34" x14ac:dyDescent="0.35">
      <c r="A9" s="1" t="s">
        <v>154</v>
      </c>
      <c r="B9" s="1" t="str">
        <f>VLOOKUP(A9,[25]LISTADHERENT!A$5:H$60,3,0)</f>
        <v>DJOMOU TCHANDA</v>
      </c>
      <c r="C9" s="1"/>
      <c r="D9" s="1"/>
      <c r="E9" s="5" t="e">
        <f t="shared" si="0"/>
        <v>#REF!</v>
      </c>
      <c r="F9" s="5" t="e">
        <f>+#REF!+#REF!+I9</f>
        <v>#REF!</v>
      </c>
      <c r="G9" s="6" t="e">
        <f>VLOOKUP($A9,#REF!,25,0)</f>
        <v>#REF!</v>
      </c>
      <c r="H9" s="6">
        <f>VLOOKUP($A9,[33]TONTJANV21!$A$6:$T$41,4,0)</f>
        <v>23000</v>
      </c>
      <c r="I9" s="6">
        <f t="shared" si="1"/>
        <v>19000</v>
      </c>
      <c r="J9" s="6">
        <f t="shared" si="2"/>
        <v>500</v>
      </c>
      <c r="K9" s="6">
        <f t="shared" si="3"/>
        <v>1000</v>
      </c>
      <c r="L9" s="6">
        <f t="shared" si="4"/>
        <v>2500</v>
      </c>
      <c r="M9" s="6" t="e">
        <f>VLOOKUP($A9,#REF!,5,0)</f>
        <v>#REF!</v>
      </c>
      <c r="N9" s="6" t="e">
        <f>VLOOKUP($A9,#REF!,27,0)</f>
        <v>#REF!</v>
      </c>
      <c r="O9" s="6" t="e">
        <f>VLOOKUP($A9,#REF!,26,0)</f>
        <v>#REF!</v>
      </c>
      <c r="P9" s="6" t="e">
        <f>VLOOKUP($A9,#REF!,20,0)</f>
        <v>#REF!</v>
      </c>
      <c r="Q9" s="6" t="e">
        <f t="shared" si="5"/>
        <v>#REF!</v>
      </c>
      <c r="R9" s="6" t="e">
        <f>VLOOKUP($A9,#REF!,23,0)</f>
        <v>#REF!</v>
      </c>
      <c r="S9" s="6" t="e">
        <f>VLOOKUP($A9,#REF!,17,0)</f>
        <v>#REF!</v>
      </c>
      <c r="T9" s="6" t="e">
        <f>VLOOKUP($A9,#REF!,18,0)</f>
        <v>#REF!</v>
      </c>
      <c r="U9" s="6" t="e">
        <f>VLOOKUP($A9,#REF!,21,0)</f>
        <v>#REF!</v>
      </c>
      <c r="V9" s="6" t="e">
        <f>VLOOKUP($A9,#REF!,22,0)</f>
        <v>#REF!</v>
      </c>
      <c r="W9" s="2"/>
      <c r="X9" s="2"/>
      <c r="Y9" s="6" t="e">
        <f>VLOOKUP(A9,#REF!,40,0)</f>
        <v>#REF!</v>
      </c>
      <c r="Z9" s="6" t="e">
        <f>VLOOKUP($A9,#REF!,41,0)</f>
        <v>#REF!</v>
      </c>
      <c r="AA9" s="2"/>
      <c r="AB9" s="2"/>
      <c r="AC9" s="2"/>
      <c r="AD9" s="2"/>
      <c r="AE9" s="2"/>
      <c r="AF9" s="2"/>
      <c r="AG9" s="2"/>
      <c r="AH9" s="2"/>
    </row>
    <row r="10" spans="1:34" x14ac:dyDescent="0.35">
      <c r="A10" s="1" t="s">
        <v>24</v>
      </c>
      <c r="B10" s="1" t="str">
        <f>VLOOKUP(A10,[25]LISTADHERENT!A$5:H$60,3,0)</f>
        <v>DJOUKWE NANGUEN GUY BLAISE</v>
      </c>
      <c r="C10" s="1"/>
      <c r="D10" s="1"/>
      <c r="E10" s="5" t="e">
        <f t="shared" si="0"/>
        <v>#REF!</v>
      </c>
      <c r="F10" s="5" t="e">
        <f>+#REF!+#REF!+I10</f>
        <v>#REF!</v>
      </c>
      <c r="G10" s="6" t="e">
        <f>VLOOKUP($A10,#REF!,25,0)</f>
        <v>#REF!</v>
      </c>
      <c r="H10" s="6">
        <f>VLOOKUP($A10,[33]TONTJANV21!$A$6:$T$41,4,0)</f>
        <v>23000</v>
      </c>
      <c r="I10" s="6">
        <f t="shared" si="1"/>
        <v>19000</v>
      </c>
      <c r="J10" s="6">
        <f t="shared" si="2"/>
        <v>500</v>
      </c>
      <c r="K10" s="6">
        <f t="shared" si="3"/>
        <v>1000</v>
      </c>
      <c r="L10" s="6">
        <f t="shared" si="4"/>
        <v>2500</v>
      </c>
      <c r="M10" s="6" t="e">
        <f>VLOOKUP($A10,#REF!,5,0)</f>
        <v>#REF!</v>
      </c>
      <c r="N10" s="6" t="e">
        <f>VLOOKUP($A10,#REF!,27,0)</f>
        <v>#REF!</v>
      </c>
      <c r="O10" s="6" t="e">
        <f>VLOOKUP($A10,#REF!,26,0)</f>
        <v>#REF!</v>
      </c>
      <c r="P10" s="6" t="e">
        <f>VLOOKUP($A10,#REF!,20,0)</f>
        <v>#REF!</v>
      </c>
      <c r="Q10" s="6" t="e">
        <f t="shared" si="5"/>
        <v>#REF!</v>
      </c>
      <c r="R10" s="6" t="e">
        <f>VLOOKUP($A10,#REF!,23,0)</f>
        <v>#REF!</v>
      </c>
      <c r="S10" s="6" t="e">
        <f>VLOOKUP($A10,#REF!,17,0)</f>
        <v>#REF!</v>
      </c>
      <c r="T10" s="6" t="e">
        <f>VLOOKUP($A10,#REF!,18,0)</f>
        <v>#REF!</v>
      </c>
      <c r="U10" s="6" t="e">
        <f>VLOOKUP($A10,#REF!,21,0)</f>
        <v>#REF!</v>
      </c>
      <c r="V10" s="6" t="e">
        <f>VLOOKUP($A10,#REF!,22,0)</f>
        <v>#REF!</v>
      </c>
      <c r="W10" s="2"/>
      <c r="X10" s="2"/>
      <c r="Y10" s="6" t="e">
        <f>VLOOKUP(A10,#REF!,40,0)</f>
        <v>#REF!</v>
      </c>
      <c r="Z10" s="6" t="e">
        <f>VLOOKUP($A10,#REF!,41,0)</f>
        <v>#REF!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35">
      <c r="A11" s="1" t="s">
        <v>25</v>
      </c>
      <c r="B11" s="1" t="str">
        <f>VLOOKUP(A11,[25]LISTADHERENT!A$5:H$60,3,0)</f>
        <v>DJUOMBESSY ANTOINE</v>
      </c>
      <c r="C11" s="1"/>
      <c r="D11" s="1"/>
      <c r="E11" s="5" t="e">
        <f t="shared" si="0"/>
        <v>#REF!</v>
      </c>
      <c r="F11" s="5" t="e">
        <f>+#REF!+#REF!+I11</f>
        <v>#REF!</v>
      </c>
      <c r="G11" s="6" t="e">
        <f>VLOOKUP($A11,#REF!,25,0)</f>
        <v>#REF!</v>
      </c>
      <c r="H11" s="6">
        <f>VLOOKUP($A11,[33]TONTJANV21!$A$6:$T$41,4,0)</f>
        <v>23000</v>
      </c>
      <c r="I11" s="6">
        <f t="shared" si="1"/>
        <v>19000</v>
      </c>
      <c r="J11" s="6">
        <f t="shared" si="2"/>
        <v>500</v>
      </c>
      <c r="K11" s="6">
        <f t="shared" si="3"/>
        <v>1000</v>
      </c>
      <c r="L11" s="6">
        <f t="shared" si="4"/>
        <v>2500</v>
      </c>
      <c r="M11" s="6" t="e">
        <f>VLOOKUP($A11,#REF!,5,0)</f>
        <v>#REF!</v>
      </c>
      <c r="N11" s="6" t="e">
        <f>VLOOKUP($A11,#REF!,27,0)</f>
        <v>#REF!</v>
      </c>
      <c r="O11" s="6" t="e">
        <f>VLOOKUP($A11,#REF!,26,0)</f>
        <v>#REF!</v>
      </c>
      <c r="P11" s="6" t="e">
        <f>VLOOKUP($A11,#REF!,20,0)</f>
        <v>#REF!</v>
      </c>
      <c r="Q11" s="6" t="e">
        <f t="shared" si="5"/>
        <v>#REF!</v>
      </c>
      <c r="R11" s="6" t="e">
        <f>VLOOKUP($A11,#REF!,23,0)</f>
        <v>#REF!</v>
      </c>
      <c r="S11" s="6" t="e">
        <f>VLOOKUP($A11,#REF!,17,0)</f>
        <v>#REF!</v>
      </c>
      <c r="T11" s="6" t="e">
        <f>VLOOKUP($A11,#REF!,18,0)</f>
        <v>#REF!</v>
      </c>
      <c r="U11" s="6" t="e">
        <f>VLOOKUP($A11,#REF!,21,0)</f>
        <v>#REF!</v>
      </c>
      <c r="V11" s="6" t="e">
        <f>VLOOKUP($A11,#REF!,22,0)</f>
        <v>#REF!</v>
      </c>
      <c r="W11" s="2"/>
      <c r="X11" s="2"/>
      <c r="Y11" s="6" t="e">
        <f>VLOOKUP(A11,#REF!,40,0)</f>
        <v>#REF!</v>
      </c>
      <c r="Z11" s="6" t="e">
        <f>VLOOKUP($A11,#REF!,41,0)</f>
        <v>#REF!</v>
      </c>
      <c r="AA11" s="2"/>
      <c r="AB11" s="2"/>
      <c r="AC11" s="2"/>
      <c r="AD11" s="2"/>
      <c r="AE11" s="2"/>
      <c r="AF11" s="2"/>
      <c r="AG11" s="2"/>
      <c r="AH11" s="2"/>
    </row>
    <row r="12" spans="1:34" x14ac:dyDescent="0.35">
      <c r="A12" s="1" t="s">
        <v>79</v>
      </c>
      <c r="B12" s="1" t="str">
        <f>VLOOKUP(A12,[25]LISTADHERENT!A$5:H$60,3,0)</f>
        <v>DOMOU FABIEN</v>
      </c>
      <c r="C12" s="1"/>
      <c r="D12" s="1"/>
      <c r="E12" s="5" t="e">
        <f t="shared" si="0"/>
        <v>#REF!</v>
      </c>
      <c r="F12" s="5" t="e">
        <f>+#REF!+#REF!+I12</f>
        <v>#REF!</v>
      </c>
      <c r="G12" s="6" t="e">
        <f>VLOOKUP($A12,#REF!,25,0)</f>
        <v>#REF!</v>
      </c>
      <c r="H12" s="6">
        <f>VLOOKUP($A12,[33]TONTJANV21!$A$6:$T$41,4,0)</f>
        <v>23000</v>
      </c>
      <c r="I12" s="6">
        <f t="shared" si="1"/>
        <v>19000</v>
      </c>
      <c r="J12" s="6">
        <f t="shared" si="2"/>
        <v>500</v>
      </c>
      <c r="K12" s="6">
        <f t="shared" si="3"/>
        <v>1000</v>
      </c>
      <c r="L12" s="6">
        <f t="shared" si="4"/>
        <v>2500</v>
      </c>
      <c r="M12" s="6" t="e">
        <f>VLOOKUP($A12,#REF!,5,0)</f>
        <v>#REF!</v>
      </c>
      <c r="N12" s="6" t="e">
        <f>VLOOKUP($A12,#REF!,27,0)</f>
        <v>#REF!</v>
      </c>
      <c r="O12" s="6" t="e">
        <f>VLOOKUP($A12,#REF!,26,0)</f>
        <v>#REF!</v>
      </c>
      <c r="P12" s="6" t="e">
        <f>VLOOKUP($A12,#REF!,20,0)</f>
        <v>#REF!</v>
      </c>
      <c r="Q12" s="6" t="e">
        <f t="shared" si="5"/>
        <v>#REF!</v>
      </c>
      <c r="R12" s="6" t="e">
        <f>VLOOKUP($A12,#REF!,23,0)</f>
        <v>#REF!</v>
      </c>
      <c r="S12" s="6" t="e">
        <f>VLOOKUP($A12,#REF!,17,0)</f>
        <v>#REF!</v>
      </c>
      <c r="T12" s="6" t="e">
        <f>VLOOKUP($A12,#REF!,18,0)</f>
        <v>#REF!</v>
      </c>
      <c r="U12" s="6" t="e">
        <f>VLOOKUP($A12,#REF!,21,0)</f>
        <v>#REF!</v>
      </c>
      <c r="V12" s="6" t="e">
        <f>VLOOKUP($A12,#REF!,22,0)</f>
        <v>#REF!</v>
      </c>
      <c r="W12" s="2"/>
      <c r="Y12" s="6" t="e">
        <f>VLOOKUP(A12,#REF!,40,0)</f>
        <v>#REF!</v>
      </c>
      <c r="Z12" s="6" t="e">
        <f>VLOOKUP($A12,#REF!,41,0)</f>
        <v>#REF!</v>
      </c>
      <c r="AB12" s="2"/>
      <c r="AC12" s="2"/>
      <c r="AD12" s="2"/>
      <c r="AE12" s="2"/>
      <c r="AF12" s="2"/>
      <c r="AG12" s="2"/>
      <c r="AH12" s="2"/>
    </row>
    <row r="13" spans="1:34" x14ac:dyDescent="0.35">
      <c r="A13" s="1" t="s">
        <v>26</v>
      </c>
      <c r="B13" s="1" t="str">
        <f>VLOOKUP(A13,[25]LISTADHERENT!A$5:H$60,3,0)</f>
        <v>DONHOU DAVID</v>
      </c>
      <c r="C13" s="1"/>
      <c r="D13" s="1"/>
      <c r="E13" s="5" t="e">
        <f t="shared" si="0"/>
        <v>#REF!</v>
      </c>
      <c r="F13" s="5" t="e">
        <f>+#REF!+#REF!+I13</f>
        <v>#REF!</v>
      </c>
      <c r="G13" s="6" t="e">
        <f>VLOOKUP($A13,#REF!,25,0)</f>
        <v>#REF!</v>
      </c>
      <c r="H13" s="6">
        <f>VLOOKUP($A13,[33]TONTJANV21!$A$6:$T$41,4,0)</f>
        <v>23000</v>
      </c>
      <c r="I13" s="6">
        <f t="shared" si="1"/>
        <v>19000</v>
      </c>
      <c r="J13" s="6">
        <f t="shared" si="2"/>
        <v>500</v>
      </c>
      <c r="K13" s="6">
        <f t="shared" si="3"/>
        <v>1000</v>
      </c>
      <c r="L13" s="6">
        <f t="shared" si="4"/>
        <v>2500</v>
      </c>
      <c r="M13" s="6" t="e">
        <f>VLOOKUP($A13,#REF!,5,0)</f>
        <v>#REF!</v>
      </c>
      <c r="N13" s="6" t="e">
        <f>VLOOKUP($A13,#REF!,27,0)</f>
        <v>#REF!</v>
      </c>
      <c r="O13" s="6" t="e">
        <f>VLOOKUP($A13,#REF!,26,0)</f>
        <v>#REF!</v>
      </c>
      <c r="P13" s="6" t="e">
        <f>VLOOKUP($A13,#REF!,20,0)</f>
        <v>#REF!</v>
      </c>
      <c r="Q13" s="6" t="e">
        <f t="shared" si="5"/>
        <v>#REF!</v>
      </c>
      <c r="R13" s="6" t="e">
        <f>VLOOKUP($A13,#REF!,23,0)</f>
        <v>#REF!</v>
      </c>
      <c r="S13" s="6" t="e">
        <f>VLOOKUP($A13,#REF!,17,0)</f>
        <v>#REF!</v>
      </c>
      <c r="T13" s="6" t="e">
        <f>VLOOKUP($A13,#REF!,18,0)</f>
        <v>#REF!</v>
      </c>
      <c r="U13" s="6" t="e">
        <f>VLOOKUP($A13,#REF!,21,0)</f>
        <v>#REF!</v>
      </c>
      <c r="V13" s="6" t="e">
        <f>VLOOKUP($A13,#REF!,22,0)</f>
        <v>#REF!</v>
      </c>
      <c r="W13" s="2"/>
      <c r="X13" s="2"/>
      <c r="Y13" s="6" t="e">
        <f>VLOOKUP(A13,#REF!,40,0)</f>
        <v>#REF!</v>
      </c>
      <c r="Z13" s="6" t="e">
        <f>VLOOKUP($A13,#REF!,41,0)</f>
        <v>#REF!</v>
      </c>
      <c r="AA13" s="2"/>
      <c r="AB13" s="2"/>
      <c r="AC13" s="2"/>
      <c r="AD13" s="2"/>
      <c r="AE13" s="2"/>
      <c r="AF13" s="2"/>
      <c r="AG13" s="2"/>
      <c r="AH13" s="2"/>
    </row>
    <row r="14" spans="1:34" x14ac:dyDescent="0.35">
      <c r="A14" s="1" t="s">
        <v>27</v>
      </c>
      <c r="B14" s="1" t="str">
        <f>VLOOKUP(A14,[25]LISTADHERENT!A$5:H$60,3,0)</f>
        <v>FOTSO THOMAS</v>
      </c>
      <c r="C14" s="1"/>
      <c r="D14" s="1"/>
      <c r="E14" s="5" t="e">
        <f t="shared" si="0"/>
        <v>#REF!</v>
      </c>
      <c r="F14" s="5" t="e">
        <f>+#REF!+#REF!+I14</f>
        <v>#REF!</v>
      </c>
      <c r="G14" s="6" t="e">
        <f>VLOOKUP($A14,#REF!,25,0)</f>
        <v>#REF!</v>
      </c>
      <c r="H14" s="6">
        <f>VLOOKUP($A14,[33]TONTJANV21!$A$6:$T$41,4,0)</f>
        <v>0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  <c r="M14" s="6" t="e">
        <f>VLOOKUP($A14,#REF!,5,0)</f>
        <v>#REF!</v>
      </c>
      <c r="N14" s="6" t="e">
        <f>VLOOKUP($A14,#REF!,27,0)</f>
        <v>#REF!</v>
      </c>
      <c r="O14" s="6" t="e">
        <f>VLOOKUP($A14,#REF!,26,0)</f>
        <v>#REF!</v>
      </c>
      <c r="P14" s="6" t="e">
        <f>VLOOKUP($A14,#REF!,20,0)</f>
        <v>#REF!</v>
      </c>
      <c r="Q14" s="6" t="e">
        <f t="shared" si="5"/>
        <v>#REF!</v>
      </c>
      <c r="R14" s="6" t="e">
        <f>VLOOKUP($A14,#REF!,23,0)</f>
        <v>#REF!</v>
      </c>
      <c r="S14" s="6" t="e">
        <f>VLOOKUP($A14,#REF!,17,0)</f>
        <v>#REF!</v>
      </c>
      <c r="T14" s="6" t="e">
        <f>VLOOKUP($A14,#REF!,18,0)</f>
        <v>#REF!</v>
      </c>
      <c r="U14" s="6" t="e">
        <f>VLOOKUP($A14,#REF!,21,0)</f>
        <v>#REF!</v>
      </c>
      <c r="V14" s="6" t="e">
        <f>VLOOKUP($A14,#REF!,22,0)</f>
        <v>#REF!</v>
      </c>
      <c r="W14" s="2"/>
      <c r="X14" s="2"/>
      <c r="Y14" s="6" t="e">
        <f>VLOOKUP(A14,#REF!,40,0)</f>
        <v>#REF!</v>
      </c>
      <c r="Z14" s="6" t="e">
        <f>VLOOKUP($A14,#REF!,41,0)</f>
        <v>#REF!</v>
      </c>
      <c r="AA14" s="2"/>
      <c r="AB14" s="2"/>
      <c r="AC14" s="2"/>
      <c r="AD14" s="2"/>
      <c r="AE14" s="2"/>
      <c r="AF14" s="2"/>
      <c r="AG14" s="2"/>
      <c r="AH14" s="2"/>
    </row>
    <row r="15" spans="1:34" ht="14.25" customHeight="1" x14ac:dyDescent="0.35">
      <c r="A15" s="1" t="s">
        <v>28</v>
      </c>
      <c r="B15" s="1" t="str">
        <f>VLOOKUP(A15,[25]LISTADHERENT!A$5:H$60,3,0)</f>
        <v>HENGUE PAUL OMER</v>
      </c>
      <c r="C15" s="1"/>
      <c r="D15" s="1"/>
      <c r="E15" s="5" t="e">
        <f t="shared" si="0"/>
        <v>#REF!</v>
      </c>
      <c r="F15" s="5" t="e">
        <f>+#REF!+#REF!+I15</f>
        <v>#REF!</v>
      </c>
      <c r="G15" s="6" t="e">
        <f>VLOOKUP($A15,#REF!,25,0)</f>
        <v>#REF!</v>
      </c>
      <c r="H15" s="6">
        <f>VLOOKUP($A15,[33]TONTJANV21!$A$6:$T$41,4,0)</f>
        <v>23000</v>
      </c>
      <c r="I15" s="6">
        <f t="shared" si="1"/>
        <v>19000</v>
      </c>
      <c r="J15" s="6">
        <f t="shared" si="2"/>
        <v>500</v>
      </c>
      <c r="K15" s="6">
        <f t="shared" si="3"/>
        <v>1000</v>
      </c>
      <c r="L15" s="6">
        <f t="shared" si="4"/>
        <v>2500</v>
      </c>
      <c r="M15" s="6" t="e">
        <f>VLOOKUP($A15,#REF!,5,0)</f>
        <v>#REF!</v>
      </c>
      <c r="N15" s="6" t="e">
        <f>VLOOKUP($A15,#REF!,27,0)</f>
        <v>#REF!</v>
      </c>
      <c r="O15" s="6" t="e">
        <f>VLOOKUP($A15,#REF!,26,0)</f>
        <v>#REF!</v>
      </c>
      <c r="P15" s="6" t="e">
        <f>VLOOKUP($A15,#REF!,20,0)</f>
        <v>#REF!</v>
      </c>
      <c r="Q15" s="6" t="e">
        <f t="shared" si="5"/>
        <v>#REF!</v>
      </c>
      <c r="R15" s="6" t="e">
        <f>VLOOKUP($A15,#REF!,23,0)</f>
        <v>#REF!</v>
      </c>
      <c r="S15" s="6" t="e">
        <f>VLOOKUP($A15,#REF!,17,0)</f>
        <v>#REF!</v>
      </c>
      <c r="T15" s="6" t="e">
        <f>VLOOKUP($A15,#REF!,18,0)</f>
        <v>#REF!</v>
      </c>
      <c r="U15" s="6" t="e">
        <f>VLOOKUP($A15,#REF!,21,0)</f>
        <v>#REF!</v>
      </c>
      <c r="V15" s="6" t="e">
        <f>VLOOKUP($A15,#REF!,22,0)</f>
        <v>#REF!</v>
      </c>
      <c r="W15" s="2"/>
      <c r="X15" s="2"/>
      <c r="Y15" s="6" t="e">
        <f>VLOOKUP(A15,#REF!,40,0)</f>
        <v>#REF!</v>
      </c>
      <c r="Z15" s="6" t="e">
        <f>VLOOKUP($A15,#REF!,41,0)</f>
        <v>#REF!</v>
      </c>
      <c r="AA15" s="2"/>
      <c r="AB15" s="2"/>
      <c r="AC15" s="2"/>
      <c r="AD15" s="2"/>
      <c r="AE15" s="2"/>
      <c r="AF15" s="2"/>
      <c r="AG15" s="2"/>
      <c r="AH15" s="2"/>
    </row>
    <row r="16" spans="1:34" x14ac:dyDescent="0.35">
      <c r="A16" s="1" t="s">
        <v>29</v>
      </c>
      <c r="B16" s="1" t="str">
        <f>VLOOKUP(A16,[25]LISTADHERENT!A$5:H$60,3,0)</f>
        <v>HOTCHO BENJAMIN</v>
      </c>
      <c r="C16" s="1"/>
      <c r="D16" s="1"/>
      <c r="E16" s="5" t="e">
        <f t="shared" si="0"/>
        <v>#REF!</v>
      </c>
      <c r="F16" s="5" t="e">
        <f>+#REF!+#REF!+I16</f>
        <v>#REF!</v>
      </c>
      <c r="G16" s="6" t="e">
        <f>VLOOKUP($A16,#REF!,25,0)</f>
        <v>#REF!</v>
      </c>
      <c r="H16" s="6">
        <f>VLOOKUP($A16,[33]TONTJANV21!$A$6:$T$41,4,0)</f>
        <v>23000</v>
      </c>
      <c r="I16" s="6">
        <f t="shared" si="1"/>
        <v>19000</v>
      </c>
      <c r="J16" s="6">
        <f t="shared" si="2"/>
        <v>500</v>
      </c>
      <c r="K16" s="6">
        <f t="shared" si="3"/>
        <v>1000</v>
      </c>
      <c r="L16" s="6">
        <f t="shared" si="4"/>
        <v>2500</v>
      </c>
      <c r="M16" s="6" t="e">
        <f>VLOOKUP($A16,#REF!,5,0)</f>
        <v>#REF!</v>
      </c>
      <c r="N16" s="6" t="e">
        <f>VLOOKUP($A16,#REF!,27,0)</f>
        <v>#REF!</v>
      </c>
      <c r="O16" s="6" t="e">
        <f>VLOOKUP($A16,#REF!,26,0)</f>
        <v>#REF!</v>
      </c>
      <c r="P16" s="6" t="e">
        <f>VLOOKUP($A16,#REF!,20,0)</f>
        <v>#REF!</v>
      </c>
      <c r="Q16" s="6" t="e">
        <f t="shared" si="5"/>
        <v>#REF!</v>
      </c>
      <c r="R16" s="6" t="e">
        <f>VLOOKUP($A16,#REF!,23,0)</f>
        <v>#REF!</v>
      </c>
      <c r="S16" s="6" t="e">
        <f>VLOOKUP($A16,#REF!,17,0)</f>
        <v>#REF!</v>
      </c>
      <c r="T16" s="6" t="e">
        <f>VLOOKUP($A16,#REF!,18,0)</f>
        <v>#REF!</v>
      </c>
      <c r="U16" s="6" t="e">
        <f>VLOOKUP($A16,#REF!,21,0)</f>
        <v>#REF!</v>
      </c>
      <c r="V16" s="6" t="e">
        <f>VLOOKUP($A16,#REF!,22,0)</f>
        <v>#REF!</v>
      </c>
      <c r="W16" s="2"/>
      <c r="X16" s="2"/>
      <c r="Y16" s="6" t="e">
        <f>VLOOKUP(A16,#REF!,40,0)</f>
        <v>#REF!</v>
      </c>
      <c r="Z16" s="6" t="e">
        <f>VLOOKUP($A16,#REF!,41,0)</f>
        <v>#REF!</v>
      </c>
      <c r="AA16" s="2"/>
      <c r="AB16" s="2"/>
      <c r="AC16" s="2"/>
      <c r="AD16" s="2"/>
      <c r="AE16" s="2"/>
      <c r="AF16" s="2"/>
      <c r="AG16" s="2"/>
      <c r="AH16" s="2"/>
    </row>
    <row r="17" spans="1:34" x14ac:dyDescent="0.35">
      <c r="A17" s="1" t="s">
        <v>33</v>
      </c>
      <c r="B17" s="1" t="str">
        <f>VLOOKUP(A17,[25]LISTADHERENT!A$5:H$60,3,0)</f>
        <v>KOUAMOU MOISE</v>
      </c>
      <c r="C17" s="1"/>
      <c r="D17" s="1"/>
      <c r="E17" s="5" t="e">
        <f t="shared" si="0"/>
        <v>#REF!</v>
      </c>
      <c r="F17" s="5" t="e">
        <f>+#REF!+#REF!+I17</f>
        <v>#REF!</v>
      </c>
      <c r="G17" s="6" t="e">
        <f>VLOOKUP($A17,#REF!,25,0)</f>
        <v>#REF!</v>
      </c>
      <c r="H17" s="6">
        <f>VLOOKUP($A17,[33]TONTJANV21!$A$6:$T$41,4,0)</f>
        <v>23000</v>
      </c>
      <c r="I17" s="6">
        <f t="shared" si="1"/>
        <v>19000</v>
      </c>
      <c r="J17" s="6">
        <f t="shared" si="2"/>
        <v>500</v>
      </c>
      <c r="K17" s="6">
        <f t="shared" si="3"/>
        <v>1000</v>
      </c>
      <c r="L17" s="6">
        <f t="shared" si="4"/>
        <v>2500</v>
      </c>
      <c r="M17" s="6" t="e">
        <f>VLOOKUP($A17,#REF!,5,0)</f>
        <v>#REF!</v>
      </c>
      <c r="N17" s="6" t="e">
        <f>VLOOKUP($A17,#REF!,27,0)</f>
        <v>#REF!</v>
      </c>
      <c r="O17" s="6" t="e">
        <f>VLOOKUP($A17,#REF!,26,0)</f>
        <v>#REF!</v>
      </c>
      <c r="P17" s="6" t="e">
        <f>VLOOKUP($A17,#REF!,20,0)</f>
        <v>#REF!</v>
      </c>
      <c r="Q17" s="6" t="e">
        <f t="shared" si="5"/>
        <v>#REF!</v>
      </c>
      <c r="R17" s="6" t="e">
        <f>VLOOKUP($A17,#REF!,23,0)</f>
        <v>#REF!</v>
      </c>
      <c r="S17" s="6" t="e">
        <f>VLOOKUP($A17,#REF!,17,0)</f>
        <v>#REF!</v>
      </c>
      <c r="T17" s="6" t="e">
        <f>VLOOKUP($A17,#REF!,18,0)</f>
        <v>#REF!</v>
      </c>
      <c r="U17" s="6" t="e">
        <f>VLOOKUP($A17,#REF!,21,0)</f>
        <v>#REF!</v>
      </c>
      <c r="V17" s="6" t="e">
        <f>VLOOKUP($A17,#REF!,22,0)</f>
        <v>#REF!</v>
      </c>
      <c r="W17" s="2"/>
      <c r="X17" s="2"/>
      <c r="Y17" s="6" t="e">
        <f>VLOOKUP(A17,#REF!,40,0)</f>
        <v>#REF!</v>
      </c>
      <c r="Z17" s="6" t="e">
        <f>VLOOKUP($A17,#REF!,41,0)</f>
        <v>#REF!</v>
      </c>
      <c r="AA17" s="2"/>
      <c r="AB17" s="2"/>
      <c r="AC17" s="2"/>
      <c r="AD17" s="2"/>
      <c r="AE17" s="2"/>
      <c r="AF17" s="2"/>
      <c r="AG17" s="2"/>
      <c r="AH17" s="2"/>
    </row>
    <row r="18" spans="1:34" x14ac:dyDescent="0.35">
      <c r="A18" s="1" t="s">
        <v>35</v>
      </c>
      <c r="B18" s="1" t="str">
        <f>VLOOKUP(A18,[25]LISTADHERENT!A$5:H$60,3,0)</f>
        <v>KOUATCHO MESSACK</v>
      </c>
      <c r="C18" s="1"/>
      <c r="D18" s="1"/>
      <c r="E18" s="5" t="e">
        <f t="shared" si="0"/>
        <v>#REF!</v>
      </c>
      <c r="F18" s="5" t="e">
        <f>+#REF!+#REF!+I18</f>
        <v>#REF!</v>
      </c>
      <c r="G18" s="6" t="e">
        <f>VLOOKUP($A18,#REF!,25,0)</f>
        <v>#REF!</v>
      </c>
      <c r="H18" s="6">
        <f>VLOOKUP($A18,[33]TONTJANV21!$A$6:$T$41,4,0)</f>
        <v>23000</v>
      </c>
      <c r="I18" s="6">
        <f t="shared" si="1"/>
        <v>19000</v>
      </c>
      <c r="J18" s="6">
        <f t="shared" si="2"/>
        <v>500</v>
      </c>
      <c r="K18" s="6">
        <f t="shared" si="3"/>
        <v>1000</v>
      </c>
      <c r="L18" s="6">
        <f t="shared" si="4"/>
        <v>2500</v>
      </c>
      <c r="M18" s="6" t="e">
        <f>VLOOKUP($A18,#REF!,5,0)</f>
        <v>#REF!</v>
      </c>
      <c r="N18" s="6" t="e">
        <f>VLOOKUP($A18,#REF!,27,0)</f>
        <v>#REF!</v>
      </c>
      <c r="O18" s="6" t="e">
        <f>VLOOKUP($A18,#REF!,26,0)</f>
        <v>#REF!</v>
      </c>
      <c r="P18" s="6" t="e">
        <f>VLOOKUP($A18,#REF!,20,0)</f>
        <v>#REF!</v>
      </c>
      <c r="Q18" s="6" t="e">
        <f t="shared" si="5"/>
        <v>#REF!</v>
      </c>
      <c r="R18" s="6" t="e">
        <f>VLOOKUP($A18,#REF!,23,0)</f>
        <v>#REF!</v>
      </c>
      <c r="S18" s="6" t="e">
        <f>VLOOKUP($A18,#REF!,17,0)</f>
        <v>#REF!</v>
      </c>
      <c r="T18" s="6" t="e">
        <f>VLOOKUP($A18,#REF!,18,0)</f>
        <v>#REF!</v>
      </c>
      <c r="U18" s="6" t="e">
        <f>VLOOKUP($A18,#REF!,21,0)</f>
        <v>#REF!</v>
      </c>
      <c r="V18" s="6" t="e">
        <f>VLOOKUP($A18,#REF!,22,0)</f>
        <v>#REF!</v>
      </c>
      <c r="W18" s="2"/>
      <c r="X18" s="2"/>
      <c r="Y18" s="6" t="e">
        <f>VLOOKUP(A18,#REF!,40,0)</f>
        <v>#REF!</v>
      </c>
      <c r="Z18" s="6" t="e">
        <f>VLOOKUP($A18,#REF!,41,0)</f>
        <v>#REF!</v>
      </c>
      <c r="AA18" s="2"/>
      <c r="AB18" s="2"/>
      <c r="AC18" s="2"/>
      <c r="AD18" s="2"/>
      <c r="AE18" s="2"/>
      <c r="AF18" s="2"/>
      <c r="AG18" s="2"/>
      <c r="AH18" s="2"/>
    </row>
    <row r="19" spans="1:34" x14ac:dyDescent="0.35">
      <c r="A19" s="1" t="s">
        <v>36</v>
      </c>
      <c r="B19" s="1" t="str">
        <f>VLOOKUP(A19,[25]LISTADHERENT!A$5:H$60,3,0)</f>
        <v>LOWE JEAN</v>
      </c>
      <c r="C19" s="1"/>
      <c r="D19" s="1"/>
      <c r="E19" s="5" t="e">
        <f t="shared" si="0"/>
        <v>#REF!</v>
      </c>
      <c r="F19" s="5" t="e">
        <f>+#REF!+#REF!+I19</f>
        <v>#REF!</v>
      </c>
      <c r="G19" s="6" t="e">
        <f>VLOOKUP($A19,#REF!,25,0)</f>
        <v>#REF!</v>
      </c>
      <c r="H19" s="6">
        <f>VLOOKUP($A19,[33]TONTJANV21!$A$6:$T$41,4,0)</f>
        <v>23000</v>
      </c>
      <c r="I19" s="6">
        <f t="shared" si="1"/>
        <v>19000</v>
      </c>
      <c r="J19" s="6">
        <f t="shared" si="2"/>
        <v>500</v>
      </c>
      <c r="K19" s="6">
        <f t="shared" si="3"/>
        <v>1000</v>
      </c>
      <c r="L19" s="6">
        <f t="shared" si="4"/>
        <v>2500</v>
      </c>
      <c r="M19" s="6" t="e">
        <f>VLOOKUP($A19,#REF!,5,0)</f>
        <v>#REF!</v>
      </c>
      <c r="N19" s="6" t="e">
        <f>VLOOKUP($A19,#REF!,27,0)</f>
        <v>#REF!</v>
      </c>
      <c r="O19" s="6" t="e">
        <f>VLOOKUP($A19,#REF!,26,0)</f>
        <v>#REF!</v>
      </c>
      <c r="P19" s="6" t="e">
        <f>VLOOKUP($A19,#REF!,20,0)</f>
        <v>#REF!</v>
      </c>
      <c r="Q19" s="6" t="e">
        <f t="shared" si="5"/>
        <v>#REF!</v>
      </c>
      <c r="R19" s="6" t="e">
        <f>VLOOKUP($A19,#REF!,23,0)</f>
        <v>#REF!</v>
      </c>
      <c r="S19" s="6" t="e">
        <f>VLOOKUP($A19,#REF!,17,0)</f>
        <v>#REF!</v>
      </c>
      <c r="T19" s="6" t="e">
        <f>VLOOKUP($A19,#REF!,18,0)</f>
        <v>#REF!</v>
      </c>
      <c r="U19" s="6" t="e">
        <f>VLOOKUP($A19,#REF!,21,0)</f>
        <v>#REF!</v>
      </c>
      <c r="V19" s="6" t="e">
        <f>VLOOKUP($A19,#REF!,22,0)</f>
        <v>#REF!</v>
      </c>
      <c r="W19" s="2"/>
      <c r="X19" s="2"/>
      <c r="Y19" s="6" t="e">
        <f>VLOOKUP(A19,#REF!,40,0)</f>
        <v>#REF!</v>
      </c>
      <c r="Z19" s="6" t="e">
        <f>VLOOKUP($A19,#REF!,41,0)</f>
        <v>#REF!</v>
      </c>
      <c r="AA19" s="2"/>
      <c r="AB19" s="2"/>
      <c r="AC19" s="2"/>
      <c r="AD19" s="2"/>
      <c r="AE19" s="2"/>
      <c r="AF19" s="2"/>
      <c r="AG19" s="2"/>
      <c r="AH19" s="2"/>
    </row>
    <row r="20" spans="1:34" x14ac:dyDescent="0.35">
      <c r="A20" s="1" t="s">
        <v>75</v>
      </c>
      <c r="B20" s="1" t="str">
        <f>VLOOKUP(A20,[25]LISTADHERENT!A$5:H$60,3,0)</f>
        <v>MBOGNING TUGMA GUY</v>
      </c>
      <c r="C20" s="1"/>
      <c r="D20" s="1"/>
      <c r="E20" s="5" t="e">
        <f t="shared" si="0"/>
        <v>#REF!</v>
      </c>
      <c r="F20" s="5" t="e">
        <f>+#REF!+#REF!+I20</f>
        <v>#REF!</v>
      </c>
      <c r="G20" s="6" t="e">
        <f>VLOOKUP($A20,#REF!,25,0)</f>
        <v>#REF!</v>
      </c>
      <c r="H20" s="6">
        <f>VLOOKUP($A20,[33]TONTJANV21!$A$6:$T$41,4,0)</f>
        <v>23000</v>
      </c>
      <c r="I20" s="6">
        <f t="shared" si="1"/>
        <v>19000</v>
      </c>
      <c r="J20" s="6">
        <f t="shared" si="2"/>
        <v>500</v>
      </c>
      <c r="K20" s="6">
        <f t="shared" si="3"/>
        <v>1000</v>
      </c>
      <c r="L20" s="6">
        <f t="shared" si="4"/>
        <v>2500</v>
      </c>
      <c r="M20" s="6" t="e">
        <f>VLOOKUP($A20,#REF!,5,0)</f>
        <v>#REF!</v>
      </c>
      <c r="N20" s="6" t="e">
        <f>VLOOKUP($A20,#REF!,27,0)</f>
        <v>#REF!</v>
      </c>
      <c r="O20" s="6" t="e">
        <f>VLOOKUP($A20,#REF!,26,0)</f>
        <v>#REF!</v>
      </c>
      <c r="P20" s="6" t="e">
        <f>VLOOKUP($A20,#REF!,20,0)</f>
        <v>#REF!</v>
      </c>
      <c r="Q20" s="6" t="e">
        <f t="shared" si="5"/>
        <v>#REF!</v>
      </c>
      <c r="R20" s="6" t="e">
        <f>VLOOKUP($A20,#REF!,23,0)</f>
        <v>#REF!</v>
      </c>
      <c r="S20" s="6" t="e">
        <f>VLOOKUP($A20,#REF!,17,0)</f>
        <v>#REF!</v>
      </c>
      <c r="T20" s="6" t="e">
        <f>VLOOKUP($A20,#REF!,18,0)</f>
        <v>#REF!</v>
      </c>
      <c r="U20" s="6" t="e">
        <f>VLOOKUP($A20,#REF!,21,0)</f>
        <v>#REF!</v>
      </c>
      <c r="V20" s="6" t="e">
        <f>VLOOKUP($A20,#REF!,22,0)</f>
        <v>#REF!</v>
      </c>
      <c r="W20" s="2"/>
      <c r="Y20" s="6" t="e">
        <f>VLOOKUP(A20,#REF!,40,0)</f>
        <v>#REF!</v>
      </c>
      <c r="Z20" s="6" t="e">
        <f>VLOOKUP($A20,#REF!,41,0)</f>
        <v>#REF!</v>
      </c>
      <c r="AB20" s="2"/>
      <c r="AC20" s="2"/>
      <c r="AD20" s="2"/>
      <c r="AE20" s="2"/>
      <c r="AF20" s="2"/>
      <c r="AG20" s="2"/>
      <c r="AH20" s="2"/>
    </row>
    <row r="21" spans="1:34" x14ac:dyDescent="0.35">
      <c r="A21" s="1" t="s">
        <v>50</v>
      </c>
      <c r="B21" s="1" t="str">
        <f>VLOOKUP(A21,[25]LISTADHERENT!A$5:H$60,3,0)</f>
        <v>NANGUEN MARTIN</v>
      </c>
      <c r="C21" s="1"/>
      <c r="D21" s="1"/>
      <c r="E21" s="5" t="e">
        <f t="shared" si="0"/>
        <v>#REF!</v>
      </c>
      <c r="F21" s="5" t="e">
        <f>+#REF!+#REF!+I21</f>
        <v>#REF!</v>
      </c>
      <c r="G21" s="6" t="e">
        <f>VLOOKUP($A21,#REF!,25,0)</f>
        <v>#REF!</v>
      </c>
      <c r="H21" s="6">
        <f>VLOOKUP($A21,[33]TONTJANV21!$A$6:$T$41,4,0)</f>
        <v>23000</v>
      </c>
      <c r="I21" s="6">
        <f t="shared" si="1"/>
        <v>19000</v>
      </c>
      <c r="J21" s="6">
        <f t="shared" si="2"/>
        <v>500</v>
      </c>
      <c r="K21" s="6">
        <f t="shared" si="3"/>
        <v>1000</v>
      </c>
      <c r="L21" s="6">
        <f t="shared" si="4"/>
        <v>2500</v>
      </c>
      <c r="M21" s="6" t="e">
        <f>VLOOKUP($A21,#REF!,5,0)</f>
        <v>#REF!</v>
      </c>
      <c r="N21" s="6" t="e">
        <f>VLOOKUP($A21,#REF!,27,0)</f>
        <v>#REF!</v>
      </c>
      <c r="O21" s="6" t="e">
        <f>VLOOKUP($A21,#REF!,26,0)</f>
        <v>#REF!</v>
      </c>
      <c r="P21" s="6" t="e">
        <f>VLOOKUP($A21,#REF!,20,0)</f>
        <v>#REF!</v>
      </c>
      <c r="Q21" s="6" t="e">
        <f t="shared" si="5"/>
        <v>#REF!</v>
      </c>
      <c r="R21" s="6" t="e">
        <f>VLOOKUP($A21,#REF!,23,0)</f>
        <v>#REF!</v>
      </c>
      <c r="S21" s="6" t="e">
        <f>VLOOKUP($A21,#REF!,17,0)</f>
        <v>#REF!</v>
      </c>
      <c r="T21" s="6" t="e">
        <f>VLOOKUP($A21,#REF!,18,0)</f>
        <v>#REF!</v>
      </c>
      <c r="U21" s="6" t="e">
        <f>VLOOKUP($A21,#REF!,21,0)</f>
        <v>#REF!</v>
      </c>
      <c r="V21" s="6" t="e">
        <f>VLOOKUP($A21,#REF!,22,0)</f>
        <v>#REF!</v>
      </c>
      <c r="W21" s="2"/>
      <c r="X21" s="2"/>
      <c r="Y21" s="6" t="e">
        <f>VLOOKUP(A21,#REF!,40,0)</f>
        <v>#REF!</v>
      </c>
      <c r="Z21" s="6" t="e">
        <f>VLOOKUP($A21,#REF!,41,0)</f>
        <v>#REF!</v>
      </c>
      <c r="AA21" s="2"/>
      <c r="AB21" s="2"/>
      <c r="AC21" s="2"/>
      <c r="AD21" s="2"/>
      <c r="AE21" s="2"/>
      <c r="AF21" s="2"/>
      <c r="AG21" s="2"/>
      <c r="AH21" s="2"/>
    </row>
    <row r="22" spans="1:34" x14ac:dyDescent="0.35">
      <c r="A22" s="1" t="s">
        <v>37</v>
      </c>
      <c r="B22" s="1" t="str">
        <f>VLOOKUP(A22,[25]LISTADHERENT!A$5:H$60,3,0)</f>
        <v>NANKAM APPOLINAIRE</v>
      </c>
      <c r="C22" s="1"/>
      <c r="D22" s="1"/>
      <c r="E22" s="5" t="e">
        <f t="shared" si="0"/>
        <v>#REF!</v>
      </c>
      <c r="F22" s="5" t="e">
        <f>+#REF!+#REF!+I22</f>
        <v>#REF!</v>
      </c>
      <c r="G22" s="6" t="e">
        <f>VLOOKUP($A22,#REF!,25,0)</f>
        <v>#REF!</v>
      </c>
      <c r="H22" s="6">
        <f>VLOOKUP($A22,[33]TONTJANV21!$A$6:$T$41,4,0)</f>
        <v>23000</v>
      </c>
      <c r="I22" s="6">
        <f t="shared" si="1"/>
        <v>19000</v>
      </c>
      <c r="J22" s="6">
        <f t="shared" si="2"/>
        <v>500</v>
      </c>
      <c r="K22" s="6">
        <f t="shared" si="3"/>
        <v>1000</v>
      </c>
      <c r="L22" s="6">
        <f t="shared" si="4"/>
        <v>2500</v>
      </c>
      <c r="M22" s="6" t="e">
        <f>VLOOKUP($A22,#REF!,5,0)</f>
        <v>#REF!</v>
      </c>
      <c r="N22" s="6" t="e">
        <f>VLOOKUP($A22,#REF!,27,0)</f>
        <v>#REF!</v>
      </c>
      <c r="O22" s="6" t="e">
        <f>VLOOKUP($A22,#REF!,26,0)</f>
        <v>#REF!</v>
      </c>
      <c r="P22" s="6" t="e">
        <f>VLOOKUP($A22,#REF!,20,0)</f>
        <v>#REF!</v>
      </c>
      <c r="Q22" s="6" t="e">
        <f t="shared" si="5"/>
        <v>#REF!</v>
      </c>
      <c r="R22" s="6" t="e">
        <f>VLOOKUP($A22,#REF!,23,0)</f>
        <v>#REF!</v>
      </c>
      <c r="S22" s="6" t="e">
        <f>VLOOKUP($A22,#REF!,17,0)</f>
        <v>#REF!</v>
      </c>
      <c r="T22" s="6" t="e">
        <f>VLOOKUP($A22,#REF!,18,0)</f>
        <v>#REF!</v>
      </c>
      <c r="U22" s="6" t="e">
        <f>VLOOKUP($A22,#REF!,21,0)</f>
        <v>#REF!</v>
      </c>
      <c r="V22" s="6" t="e">
        <f>VLOOKUP($A22,#REF!,22,0)</f>
        <v>#REF!</v>
      </c>
      <c r="W22" s="2"/>
      <c r="X22" s="2"/>
      <c r="Y22" s="6" t="e">
        <f>VLOOKUP(A22,#REF!,40,0)</f>
        <v>#REF!</v>
      </c>
      <c r="Z22" s="6" t="e">
        <f>VLOOKUP($A22,#REF!,41,0)</f>
        <v>#REF!</v>
      </c>
      <c r="AA22" s="2"/>
      <c r="AB22" s="2"/>
      <c r="AC22" s="2"/>
      <c r="AD22" s="2"/>
      <c r="AE22" s="2"/>
      <c r="AF22" s="2"/>
      <c r="AG22" s="2"/>
      <c r="AH22" s="2"/>
    </row>
    <row r="23" spans="1:34" x14ac:dyDescent="0.35">
      <c r="A23" s="1" t="s">
        <v>38</v>
      </c>
      <c r="B23" s="1" t="str">
        <f>VLOOKUP(A23,[25]LISTADHERENT!A$5:H$60,3,0)</f>
        <v>NDJOMO ETIENNE</v>
      </c>
      <c r="C23" s="1"/>
      <c r="D23" s="1"/>
      <c r="E23" s="5" t="e">
        <f t="shared" si="0"/>
        <v>#REF!</v>
      </c>
      <c r="F23" s="5" t="e">
        <f>+#REF!+#REF!+I23</f>
        <v>#REF!</v>
      </c>
      <c r="G23" s="6" t="e">
        <f>VLOOKUP($A23,#REF!,25,0)</f>
        <v>#REF!</v>
      </c>
      <c r="H23" s="6">
        <f>VLOOKUP($A23,[33]TONTJANV21!$A$6:$T$41,4,0)</f>
        <v>23000</v>
      </c>
      <c r="I23" s="6">
        <f t="shared" si="1"/>
        <v>19000</v>
      </c>
      <c r="J23" s="6">
        <f t="shared" si="2"/>
        <v>500</v>
      </c>
      <c r="K23" s="6">
        <f t="shared" si="3"/>
        <v>1000</v>
      </c>
      <c r="L23" s="6">
        <f t="shared" si="4"/>
        <v>2500</v>
      </c>
      <c r="M23" s="6" t="e">
        <f>VLOOKUP($A23,#REF!,5,0)</f>
        <v>#REF!</v>
      </c>
      <c r="N23" s="6" t="e">
        <f>VLOOKUP($A23,#REF!,27,0)</f>
        <v>#REF!</v>
      </c>
      <c r="O23" s="6" t="e">
        <f>VLOOKUP($A23,#REF!,26,0)</f>
        <v>#REF!</v>
      </c>
      <c r="P23" s="6" t="e">
        <f>VLOOKUP($A23,#REF!,20,0)</f>
        <v>#REF!</v>
      </c>
      <c r="Q23" s="6" t="e">
        <f t="shared" si="5"/>
        <v>#REF!</v>
      </c>
      <c r="R23" s="6" t="e">
        <f>VLOOKUP($A23,#REF!,23,0)</f>
        <v>#REF!</v>
      </c>
      <c r="S23" s="6" t="e">
        <f>VLOOKUP($A23,#REF!,17,0)</f>
        <v>#REF!</v>
      </c>
      <c r="T23" s="6" t="e">
        <f>VLOOKUP($A23,#REF!,18,0)</f>
        <v>#REF!</v>
      </c>
      <c r="U23" s="6" t="e">
        <f>VLOOKUP($A23,#REF!,21,0)</f>
        <v>#REF!</v>
      </c>
      <c r="V23" s="6" t="e">
        <f>VLOOKUP($A23,#REF!,22,0)</f>
        <v>#REF!</v>
      </c>
      <c r="W23" s="2"/>
      <c r="X23" s="2"/>
      <c r="Y23" s="6" t="e">
        <f>VLOOKUP(A23,#REF!,40,0)</f>
        <v>#REF!</v>
      </c>
      <c r="Z23" s="6" t="e">
        <f>VLOOKUP($A23,#REF!,41,0)</f>
        <v>#REF!</v>
      </c>
      <c r="AA23" s="2"/>
      <c r="AB23" s="2"/>
      <c r="AC23" s="2"/>
      <c r="AD23" s="2"/>
      <c r="AE23" s="2"/>
      <c r="AF23" s="2"/>
      <c r="AG23" s="2"/>
      <c r="AH23" s="2"/>
    </row>
    <row r="24" spans="1:34" x14ac:dyDescent="0.35">
      <c r="A24" s="1" t="s">
        <v>39</v>
      </c>
      <c r="B24" s="1" t="str">
        <f>VLOOKUP(A24,[25]LISTADHERENT!A$5:H$60,3,0)</f>
        <v>NGONDIEP CLAUDE</v>
      </c>
      <c r="C24" s="1"/>
      <c r="D24" s="1"/>
      <c r="E24" s="5" t="e">
        <f t="shared" si="0"/>
        <v>#REF!</v>
      </c>
      <c r="F24" s="5" t="e">
        <f>+#REF!+#REF!+I24</f>
        <v>#REF!</v>
      </c>
      <c r="G24" s="6" t="e">
        <f>VLOOKUP($A24,#REF!,25,0)</f>
        <v>#REF!</v>
      </c>
      <c r="H24" s="6">
        <f>VLOOKUP($A24,[33]TONTJANV21!$A$6:$T$41,4,0)</f>
        <v>23000</v>
      </c>
      <c r="I24" s="6">
        <f t="shared" si="1"/>
        <v>19000</v>
      </c>
      <c r="J24" s="6">
        <f t="shared" si="2"/>
        <v>500</v>
      </c>
      <c r="K24" s="6">
        <f t="shared" si="3"/>
        <v>1000</v>
      </c>
      <c r="L24" s="6">
        <f t="shared" si="4"/>
        <v>2500</v>
      </c>
      <c r="M24" s="6" t="e">
        <f>VLOOKUP($A24,#REF!,5,0)</f>
        <v>#REF!</v>
      </c>
      <c r="N24" s="6" t="e">
        <f>VLOOKUP($A24,#REF!,27,0)</f>
        <v>#REF!</v>
      </c>
      <c r="O24" s="6" t="e">
        <f>VLOOKUP($A24,#REF!,26,0)</f>
        <v>#REF!</v>
      </c>
      <c r="P24" s="6" t="e">
        <f>VLOOKUP($A24,#REF!,20,0)</f>
        <v>#REF!</v>
      </c>
      <c r="Q24" s="6" t="e">
        <f t="shared" si="5"/>
        <v>#REF!</v>
      </c>
      <c r="R24" s="6" t="e">
        <f>VLOOKUP($A24,#REF!,23,0)</f>
        <v>#REF!</v>
      </c>
      <c r="S24" s="6" t="e">
        <f>VLOOKUP($A24,#REF!,17,0)</f>
        <v>#REF!</v>
      </c>
      <c r="T24" s="6" t="e">
        <f>VLOOKUP($A24,#REF!,18,0)</f>
        <v>#REF!</v>
      </c>
      <c r="U24" s="6" t="e">
        <f>VLOOKUP($A24,#REF!,21,0)</f>
        <v>#REF!</v>
      </c>
      <c r="V24" s="6" t="e">
        <f>VLOOKUP($A24,#REF!,22,0)</f>
        <v>#REF!</v>
      </c>
      <c r="W24" s="2"/>
      <c r="X24" s="2"/>
      <c r="Y24" s="6" t="e">
        <f>VLOOKUP(A24,#REF!,40,0)</f>
        <v>#REF!</v>
      </c>
      <c r="Z24" s="6" t="e">
        <f>VLOOKUP($A24,#REF!,41,0)</f>
        <v>#REF!</v>
      </c>
      <c r="AA24" s="2"/>
      <c r="AB24" s="2"/>
      <c r="AC24" s="2"/>
      <c r="AD24" s="2"/>
      <c r="AE24" s="2"/>
      <c r="AF24" s="2"/>
      <c r="AG24" s="2"/>
      <c r="AH24" s="2"/>
    </row>
    <row r="25" spans="1:34" x14ac:dyDescent="0.35">
      <c r="A25" s="1" t="s">
        <v>41</v>
      </c>
      <c r="B25" s="1" t="str">
        <f>VLOOKUP(A25,[25]LISTADHERENT!A$5:H$60,3,0)</f>
        <v>NGUIEMEGNI MATHIEU BLAISE</v>
      </c>
      <c r="C25" s="1"/>
      <c r="D25" s="1"/>
      <c r="E25" s="5" t="e">
        <f t="shared" si="0"/>
        <v>#REF!</v>
      </c>
      <c r="F25" s="5" t="e">
        <f>+#REF!+#REF!+I25</f>
        <v>#REF!</v>
      </c>
      <c r="G25" s="6" t="e">
        <f>VLOOKUP($A25,#REF!,25,0)</f>
        <v>#REF!</v>
      </c>
      <c r="H25" s="6">
        <f>VLOOKUP($A25,[33]TONTJANV21!$A$6:$T$41,4,0)</f>
        <v>23000</v>
      </c>
      <c r="I25" s="6">
        <f t="shared" si="1"/>
        <v>19000</v>
      </c>
      <c r="J25" s="6">
        <f t="shared" si="2"/>
        <v>500</v>
      </c>
      <c r="K25" s="6">
        <f t="shared" si="3"/>
        <v>1000</v>
      </c>
      <c r="L25" s="6">
        <f t="shared" si="4"/>
        <v>2500</v>
      </c>
      <c r="M25" s="6" t="e">
        <f>VLOOKUP($A25,#REF!,5,0)</f>
        <v>#REF!</v>
      </c>
      <c r="N25" s="6" t="e">
        <f>VLOOKUP($A25,#REF!,27,0)</f>
        <v>#REF!</v>
      </c>
      <c r="O25" s="6" t="e">
        <f>VLOOKUP($A25,#REF!,26,0)</f>
        <v>#REF!</v>
      </c>
      <c r="P25" s="6" t="e">
        <f>VLOOKUP($A25,#REF!,20,0)</f>
        <v>#REF!</v>
      </c>
      <c r="Q25" s="6" t="e">
        <f t="shared" si="5"/>
        <v>#REF!</v>
      </c>
      <c r="R25" s="6" t="e">
        <f>VLOOKUP($A25,#REF!,23,0)</f>
        <v>#REF!</v>
      </c>
      <c r="S25" s="6" t="e">
        <f>VLOOKUP($A25,#REF!,17,0)</f>
        <v>#REF!</v>
      </c>
      <c r="T25" s="6" t="e">
        <f>VLOOKUP($A25,#REF!,18,0)</f>
        <v>#REF!</v>
      </c>
      <c r="U25" s="6" t="e">
        <f>VLOOKUP($A25,#REF!,21,0)</f>
        <v>#REF!</v>
      </c>
      <c r="V25" s="6" t="e">
        <f>VLOOKUP($A25,#REF!,22,0)</f>
        <v>#REF!</v>
      </c>
      <c r="W25" s="2"/>
      <c r="X25" s="2"/>
      <c r="Y25" s="6" t="e">
        <f>VLOOKUP(A25,#REF!,40,0)</f>
        <v>#REF!</v>
      </c>
      <c r="Z25" s="6" t="e">
        <f>VLOOKUP($A25,#REF!,41,0)</f>
        <v>#REF!</v>
      </c>
      <c r="AA25" s="2"/>
      <c r="AB25" s="2"/>
      <c r="AC25" s="2"/>
      <c r="AD25" s="2"/>
      <c r="AE25" s="2"/>
      <c r="AF25" s="2"/>
      <c r="AG25" s="2"/>
      <c r="AH25" s="2"/>
    </row>
    <row r="26" spans="1:34" x14ac:dyDescent="0.35">
      <c r="A26" s="1" t="s">
        <v>43</v>
      </c>
      <c r="B26" s="1" t="str">
        <f>VLOOKUP(A26,[25]LISTADHERENT!A$5:H$60,3,0)</f>
        <v>NKAMGANG JUSTIN DEJOLIE</v>
      </c>
      <c r="C26" s="1"/>
      <c r="D26" s="1"/>
      <c r="E26" s="5" t="e">
        <f t="shared" si="0"/>
        <v>#REF!</v>
      </c>
      <c r="F26" s="5" t="e">
        <f>+#REF!+#REF!+I26</f>
        <v>#REF!</v>
      </c>
      <c r="G26" s="6" t="e">
        <f>VLOOKUP($A26,#REF!,25,0)</f>
        <v>#REF!</v>
      </c>
      <c r="H26" s="6">
        <f>VLOOKUP($A26,[33]TONTJANV21!$A$6:$T$41,4,0)</f>
        <v>23000</v>
      </c>
      <c r="I26" s="6">
        <f t="shared" si="1"/>
        <v>19000</v>
      </c>
      <c r="J26" s="6">
        <f t="shared" si="2"/>
        <v>500</v>
      </c>
      <c r="K26" s="6">
        <f t="shared" si="3"/>
        <v>1000</v>
      </c>
      <c r="L26" s="6">
        <f t="shared" si="4"/>
        <v>2500</v>
      </c>
      <c r="M26" s="6" t="e">
        <f>VLOOKUP($A26,#REF!,5,0)</f>
        <v>#REF!</v>
      </c>
      <c r="N26" s="6" t="e">
        <f>VLOOKUP($A26,#REF!,27,0)</f>
        <v>#REF!</v>
      </c>
      <c r="O26" s="6" t="e">
        <f>VLOOKUP($A26,#REF!,26,0)</f>
        <v>#REF!</v>
      </c>
      <c r="P26" s="6" t="e">
        <f>VLOOKUP($A26,#REF!,20,0)</f>
        <v>#REF!</v>
      </c>
      <c r="Q26" s="6" t="e">
        <f t="shared" si="5"/>
        <v>#REF!</v>
      </c>
      <c r="R26" s="6" t="e">
        <f>VLOOKUP($A26,#REF!,23,0)</f>
        <v>#REF!</v>
      </c>
      <c r="S26" s="6" t="e">
        <f>VLOOKUP($A26,#REF!,17,0)</f>
        <v>#REF!</v>
      </c>
      <c r="T26" s="6" t="e">
        <f>VLOOKUP($A26,#REF!,18,0)</f>
        <v>#REF!</v>
      </c>
      <c r="U26" s="6" t="e">
        <f>VLOOKUP($A26,#REF!,21,0)</f>
        <v>#REF!</v>
      </c>
      <c r="V26" s="6" t="e">
        <f>VLOOKUP($A26,#REF!,22,0)</f>
        <v>#REF!</v>
      </c>
      <c r="W26" s="2"/>
      <c r="X26" s="2"/>
      <c r="Y26" s="6" t="e">
        <f>VLOOKUP(A26,#REF!,40,0)</f>
        <v>#REF!</v>
      </c>
      <c r="Z26" s="6" t="e">
        <f>VLOOKUP($A26,#REF!,41,0)</f>
        <v>#REF!</v>
      </c>
      <c r="AA26" s="2"/>
      <c r="AB26" s="2"/>
      <c r="AC26" s="2"/>
      <c r="AD26" s="2"/>
      <c r="AE26" s="2"/>
      <c r="AF26" s="2"/>
      <c r="AG26" s="2"/>
      <c r="AH26" s="2"/>
    </row>
    <row r="27" spans="1:34" x14ac:dyDescent="0.35">
      <c r="A27" s="1" t="s">
        <v>30</v>
      </c>
      <c r="B27" s="1" t="str">
        <f>VLOOKUP(A27,[25]LISTADHERENT!A$5:H$60,3,0)</f>
        <v>NKEHE DAVID</v>
      </c>
      <c r="C27" s="1"/>
      <c r="D27" s="1"/>
      <c r="E27" s="5" t="e">
        <f t="shared" si="0"/>
        <v>#REF!</v>
      </c>
      <c r="F27" s="5" t="e">
        <f>+#REF!+#REF!+I27</f>
        <v>#REF!</v>
      </c>
      <c r="G27" s="6" t="e">
        <f>VLOOKUP($A27,#REF!,25,0)</f>
        <v>#REF!</v>
      </c>
      <c r="H27" s="6" t="e">
        <f>VLOOKUP($A27,[33]TONTJANV21!$A$6:$T$41,4,0)</f>
        <v>#N/A</v>
      </c>
      <c r="I27" s="6" t="e">
        <f t="shared" si="1"/>
        <v>#N/A</v>
      </c>
      <c r="J27" s="6" t="e">
        <f t="shared" si="2"/>
        <v>#N/A</v>
      </c>
      <c r="K27" s="6" t="e">
        <f t="shared" si="3"/>
        <v>#N/A</v>
      </c>
      <c r="L27" s="6" t="e">
        <f t="shared" si="4"/>
        <v>#N/A</v>
      </c>
      <c r="M27" s="6" t="e">
        <f>VLOOKUP($A27,#REF!,5,0)</f>
        <v>#REF!</v>
      </c>
      <c r="N27" s="6" t="e">
        <f>VLOOKUP($A27,#REF!,27,0)</f>
        <v>#REF!</v>
      </c>
      <c r="O27" s="6" t="e">
        <f>VLOOKUP($A27,#REF!,26,0)</f>
        <v>#REF!</v>
      </c>
      <c r="P27" s="6" t="e">
        <f>VLOOKUP($A27,#REF!,20,0)</f>
        <v>#REF!</v>
      </c>
      <c r="Q27" s="6" t="e">
        <f t="shared" si="5"/>
        <v>#REF!</v>
      </c>
      <c r="R27" s="6" t="e">
        <f>VLOOKUP($A27,#REF!,23,0)</f>
        <v>#REF!</v>
      </c>
      <c r="S27" s="6" t="e">
        <f>VLOOKUP($A27,#REF!,17,0)</f>
        <v>#REF!</v>
      </c>
      <c r="T27" s="6" t="e">
        <f>VLOOKUP($A27,#REF!,18,0)</f>
        <v>#REF!</v>
      </c>
      <c r="U27" s="6" t="e">
        <f>VLOOKUP($A27,#REF!,21,0)</f>
        <v>#REF!</v>
      </c>
      <c r="V27" s="6" t="e">
        <f>VLOOKUP($A27,#REF!,22,0)</f>
        <v>#REF!</v>
      </c>
      <c r="W27" s="2"/>
      <c r="X27" s="2"/>
      <c r="Y27" s="6" t="e">
        <f>VLOOKUP(A27,#REF!,40,0)</f>
        <v>#REF!</v>
      </c>
      <c r="Z27" s="6" t="e">
        <f>VLOOKUP($A27,#REF!,41,0)</f>
        <v>#REF!</v>
      </c>
      <c r="AA27" s="2"/>
      <c r="AB27" s="2"/>
      <c r="AC27" s="2"/>
      <c r="AD27" s="2"/>
      <c r="AE27" s="2"/>
      <c r="AF27" s="2"/>
      <c r="AG27" s="2"/>
      <c r="AH27" s="2"/>
    </row>
    <row r="28" spans="1:34" x14ac:dyDescent="0.35">
      <c r="A28" s="1" t="s">
        <v>44</v>
      </c>
      <c r="B28" s="1" t="str">
        <f>VLOOKUP(A28,[25]LISTADHERENT!A$5:H$60,3,0)</f>
        <v>NKEPSEU DIEUDONNE</v>
      </c>
      <c r="C28" s="1"/>
      <c r="D28" s="1"/>
      <c r="E28" s="5" t="e">
        <f t="shared" si="0"/>
        <v>#REF!</v>
      </c>
      <c r="F28" s="5" t="e">
        <f>+#REF!+#REF!+I28</f>
        <v>#REF!</v>
      </c>
      <c r="G28" s="6" t="e">
        <f>VLOOKUP($A28,#REF!,25,0)</f>
        <v>#REF!</v>
      </c>
      <c r="H28" s="6">
        <f>VLOOKUP($A28,[33]TONTJANV21!$A$6:$T$41,4,0)</f>
        <v>23000</v>
      </c>
      <c r="I28" s="6">
        <f t="shared" si="1"/>
        <v>19000</v>
      </c>
      <c r="J28" s="6">
        <f t="shared" si="2"/>
        <v>500</v>
      </c>
      <c r="K28" s="6">
        <f t="shared" si="3"/>
        <v>1000</v>
      </c>
      <c r="L28" s="6">
        <f t="shared" si="4"/>
        <v>2500</v>
      </c>
      <c r="M28" s="6" t="e">
        <f>VLOOKUP($A28,#REF!,5,0)</f>
        <v>#REF!</v>
      </c>
      <c r="N28" s="6" t="e">
        <f>VLOOKUP($A28,#REF!,27,0)</f>
        <v>#REF!</v>
      </c>
      <c r="O28" s="6" t="e">
        <f>VLOOKUP($A28,#REF!,26,0)</f>
        <v>#REF!</v>
      </c>
      <c r="P28" s="6" t="e">
        <f>VLOOKUP($A28,#REF!,20,0)</f>
        <v>#REF!</v>
      </c>
      <c r="Q28" s="6" t="e">
        <f t="shared" si="5"/>
        <v>#REF!</v>
      </c>
      <c r="R28" s="6" t="e">
        <f>VLOOKUP($A28,#REF!,23,0)</f>
        <v>#REF!</v>
      </c>
      <c r="S28" s="6" t="e">
        <f>VLOOKUP($A28,#REF!,17,0)</f>
        <v>#REF!</v>
      </c>
      <c r="T28" s="6" t="e">
        <f>VLOOKUP($A28,#REF!,18,0)</f>
        <v>#REF!</v>
      </c>
      <c r="U28" s="6" t="e">
        <f>VLOOKUP($A28,#REF!,21,0)</f>
        <v>#REF!</v>
      </c>
      <c r="V28" s="6" t="e">
        <f>VLOOKUP($A28,#REF!,22,0)</f>
        <v>#REF!</v>
      </c>
      <c r="W28" s="7"/>
      <c r="X28" s="7"/>
      <c r="Y28" s="6" t="e">
        <f>VLOOKUP(A28,#REF!,40,0)</f>
        <v>#REF!</v>
      </c>
      <c r="Z28" s="6" t="e">
        <f>VLOOKUP($A28,#REF!,41,0)</f>
        <v>#REF!</v>
      </c>
      <c r="AA28" s="7"/>
      <c r="AB28" s="2"/>
      <c r="AC28" s="2"/>
      <c r="AD28" s="2"/>
      <c r="AE28" s="2"/>
      <c r="AF28" s="2"/>
      <c r="AG28" s="2"/>
      <c r="AH28" s="2"/>
    </row>
    <row r="29" spans="1:34" x14ac:dyDescent="0.35">
      <c r="A29" s="1" t="s">
        <v>45</v>
      </c>
      <c r="B29" s="1" t="str">
        <f>VLOOKUP(A29,[25]LISTADHERENT!A$5:H$60,3,0)</f>
        <v>PATEGO NJOSSU GUSTAVE</v>
      </c>
      <c r="C29" s="1"/>
      <c r="D29" s="1"/>
      <c r="E29" s="5" t="e">
        <f t="shared" si="0"/>
        <v>#REF!</v>
      </c>
      <c r="F29" s="5" t="e">
        <f>+#REF!+#REF!+I29</f>
        <v>#REF!</v>
      </c>
      <c r="G29" s="6" t="e">
        <f>VLOOKUP($A29,#REF!,25,0)</f>
        <v>#REF!</v>
      </c>
      <c r="H29" s="6">
        <f>VLOOKUP($A29,[33]TONTJANV21!$A$6:$T$41,4,0)</f>
        <v>23000</v>
      </c>
      <c r="I29" s="6">
        <f t="shared" si="1"/>
        <v>19000</v>
      </c>
      <c r="J29" s="6">
        <f t="shared" si="2"/>
        <v>500</v>
      </c>
      <c r="K29" s="6">
        <f t="shared" si="3"/>
        <v>1000</v>
      </c>
      <c r="L29" s="6">
        <f t="shared" si="4"/>
        <v>2500</v>
      </c>
      <c r="M29" s="6" t="e">
        <f>VLOOKUP($A29,#REF!,5,0)</f>
        <v>#REF!</v>
      </c>
      <c r="N29" s="6" t="e">
        <f>VLOOKUP($A29,#REF!,27,0)</f>
        <v>#REF!</v>
      </c>
      <c r="O29" s="6" t="e">
        <f>VLOOKUP($A29,#REF!,26,0)</f>
        <v>#REF!</v>
      </c>
      <c r="P29" s="6" t="e">
        <f>VLOOKUP($A29,#REF!,20,0)</f>
        <v>#REF!</v>
      </c>
      <c r="Q29" s="6" t="e">
        <f t="shared" si="5"/>
        <v>#REF!</v>
      </c>
      <c r="R29" s="6" t="e">
        <f>VLOOKUP($A29,#REF!,23,0)</f>
        <v>#REF!</v>
      </c>
      <c r="S29" s="6" t="e">
        <f>VLOOKUP($A29,#REF!,17,0)</f>
        <v>#REF!</v>
      </c>
      <c r="T29" s="6" t="e">
        <f>VLOOKUP($A29,#REF!,18,0)</f>
        <v>#REF!</v>
      </c>
      <c r="U29" s="6" t="e">
        <f>VLOOKUP($A29,#REF!,21,0)</f>
        <v>#REF!</v>
      </c>
      <c r="V29" s="6" t="e">
        <f>VLOOKUP($A29,#REF!,22,0)</f>
        <v>#REF!</v>
      </c>
      <c r="W29" s="2"/>
      <c r="X29" s="2"/>
      <c r="Y29" s="6" t="e">
        <f>VLOOKUP(A29,#REF!,40,0)</f>
        <v>#REF!</v>
      </c>
      <c r="Z29" s="6" t="e">
        <f>VLOOKUP($A29,#REF!,41,0)</f>
        <v>#REF!</v>
      </c>
      <c r="AA29" s="2"/>
      <c r="AB29" s="2"/>
      <c r="AC29" s="2"/>
      <c r="AD29" s="2"/>
      <c r="AE29" s="2"/>
      <c r="AF29" s="2"/>
      <c r="AG29" s="2"/>
      <c r="AH29" s="2"/>
    </row>
    <row r="30" spans="1:34" x14ac:dyDescent="0.35">
      <c r="A30" s="1" t="s">
        <v>81</v>
      </c>
      <c r="B30" s="1" t="str">
        <f>VLOOKUP(A30,[25]LISTADHERENT!A$5:H$60,3,0)</f>
        <v>SIME BRICE</v>
      </c>
      <c r="C30" s="1"/>
      <c r="D30" s="1"/>
      <c r="E30" s="5" t="e">
        <f t="shared" si="0"/>
        <v>#REF!</v>
      </c>
      <c r="F30" s="5" t="e">
        <f>+#REF!+#REF!+I30</f>
        <v>#REF!</v>
      </c>
      <c r="G30" s="6" t="e">
        <f>VLOOKUP($A30,#REF!,25,0)</f>
        <v>#REF!</v>
      </c>
      <c r="H30" s="6">
        <f>VLOOKUP($A30,[33]TONTJANV21!$A$6:$T$41,4,0)</f>
        <v>23000</v>
      </c>
      <c r="I30" s="6">
        <f t="shared" si="1"/>
        <v>19000</v>
      </c>
      <c r="J30" s="6">
        <f t="shared" si="2"/>
        <v>500</v>
      </c>
      <c r="K30" s="6">
        <f t="shared" si="3"/>
        <v>1000</v>
      </c>
      <c r="L30" s="6">
        <f t="shared" si="4"/>
        <v>2500</v>
      </c>
      <c r="M30" s="6" t="e">
        <f>VLOOKUP($A30,#REF!,5,0)</f>
        <v>#REF!</v>
      </c>
      <c r="N30" s="6" t="e">
        <f>VLOOKUP($A30,#REF!,27,0)</f>
        <v>#REF!</v>
      </c>
      <c r="O30" s="6" t="e">
        <f>VLOOKUP($A30,#REF!,26,0)</f>
        <v>#REF!</v>
      </c>
      <c r="P30" s="6" t="e">
        <f>VLOOKUP($A30,#REF!,20,0)</f>
        <v>#REF!</v>
      </c>
      <c r="Q30" s="6" t="e">
        <f t="shared" si="5"/>
        <v>#REF!</v>
      </c>
      <c r="R30" s="6" t="e">
        <f>VLOOKUP($A30,#REF!,23,0)</f>
        <v>#REF!</v>
      </c>
      <c r="S30" s="6" t="e">
        <f>VLOOKUP($A30,#REF!,17,0)</f>
        <v>#REF!</v>
      </c>
      <c r="T30" s="6" t="e">
        <f>VLOOKUP($A30,#REF!,18,0)</f>
        <v>#REF!</v>
      </c>
      <c r="U30" s="6" t="e">
        <f>VLOOKUP($A30,#REF!,21,0)</f>
        <v>#REF!</v>
      </c>
      <c r="V30" s="6" t="e">
        <f>VLOOKUP($A30,#REF!,22,0)</f>
        <v>#REF!</v>
      </c>
      <c r="W30" s="2"/>
      <c r="Y30" s="6" t="e">
        <f>VLOOKUP(A30,#REF!,40,0)</f>
        <v>#REF!</v>
      </c>
      <c r="Z30" s="6" t="e">
        <f>VLOOKUP($A30,#REF!,41,0)</f>
        <v>#REF!</v>
      </c>
      <c r="AB30" s="2"/>
      <c r="AC30" s="2"/>
      <c r="AD30" s="2"/>
      <c r="AE30" s="2"/>
      <c r="AF30" s="2"/>
      <c r="AG30" s="2"/>
      <c r="AH30" s="2"/>
    </row>
    <row r="31" spans="1:34" x14ac:dyDescent="0.35">
      <c r="A31" s="1" t="s">
        <v>48</v>
      </c>
      <c r="B31" s="1" t="str">
        <f>VLOOKUP(A31,[25]LISTADHERENT!A$5:H$60,3,0)</f>
        <v>SIME MATHIEU</v>
      </c>
      <c r="C31" s="1"/>
      <c r="D31" s="1"/>
      <c r="E31" s="5" t="e">
        <f t="shared" si="0"/>
        <v>#REF!</v>
      </c>
      <c r="F31" s="5" t="e">
        <f>+#REF!+#REF!+I31</f>
        <v>#REF!</v>
      </c>
      <c r="G31" s="6" t="e">
        <f>VLOOKUP($A31,#REF!,25,0)</f>
        <v>#REF!</v>
      </c>
      <c r="H31" s="6">
        <f>VLOOKUP($A31,[33]TONTJANV21!$A$6:$T$41,4,0)</f>
        <v>23000</v>
      </c>
      <c r="I31" s="6">
        <f t="shared" si="1"/>
        <v>19000</v>
      </c>
      <c r="J31" s="6">
        <f t="shared" si="2"/>
        <v>500</v>
      </c>
      <c r="K31" s="6">
        <f t="shared" si="3"/>
        <v>1000</v>
      </c>
      <c r="L31" s="6">
        <f t="shared" si="4"/>
        <v>2500</v>
      </c>
      <c r="M31" s="6" t="e">
        <f>VLOOKUP($A31,#REF!,5,0)</f>
        <v>#REF!</v>
      </c>
      <c r="N31" s="6" t="e">
        <f>VLOOKUP($A31,#REF!,27,0)</f>
        <v>#REF!</v>
      </c>
      <c r="O31" s="6" t="e">
        <f>VLOOKUP($A31,#REF!,26,0)</f>
        <v>#REF!</v>
      </c>
      <c r="P31" s="6" t="e">
        <f>VLOOKUP($A31,#REF!,20,0)</f>
        <v>#REF!</v>
      </c>
      <c r="Q31" s="6" t="e">
        <f t="shared" si="5"/>
        <v>#REF!</v>
      </c>
      <c r="R31" s="6" t="e">
        <f>VLOOKUP($A31,#REF!,23,0)</f>
        <v>#REF!</v>
      </c>
      <c r="S31" s="6" t="e">
        <f>VLOOKUP($A31,#REF!,17,0)</f>
        <v>#REF!</v>
      </c>
      <c r="T31" s="6" t="e">
        <f>VLOOKUP($A31,#REF!,18,0)</f>
        <v>#REF!</v>
      </c>
      <c r="U31" s="6" t="e">
        <f>VLOOKUP($A31,#REF!,21,0)</f>
        <v>#REF!</v>
      </c>
      <c r="V31" s="6" t="e">
        <f>VLOOKUP($A31,#REF!,22,0)</f>
        <v>#REF!</v>
      </c>
      <c r="W31" s="2"/>
      <c r="X31" s="2"/>
      <c r="Y31" s="6" t="e">
        <f>VLOOKUP(A31,#REF!,40,0)</f>
        <v>#REF!</v>
      </c>
      <c r="Z31" s="6" t="e">
        <f>VLOOKUP($A31,#REF!,41,0)</f>
        <v>#REF!</v>
      </c>
      <c r="AA31" s="2"/>
      <c r="AB31" s="2"/>
      <c r="AC31" s="2"/>
      <c r="AD31" s="2"/>
      <c r="AE31" s="2"/>
      <c r="AF31" s="2"/>
      <c r="AG31" s="2"/>
      <c r="AH31" s="2"/>
    </row>
    <row r="32" spans="1:34" x14ac:dyDescent="0.35">
      <c r="A32" s="1" t="s">
        <v>47</v>
      </c>
      <c r="B32" s="1" t="str">
        <f>VLOOKUP(A32,[25]LISTADHERENT!A$5:H$60,3,0)</f>
        <v>SIMO FONGANG ERIC</v>
      </c>
      <c r="C32" s="1"/>
      <c r="D32" s="1"/>
      <c r="E32" s="5" t="e">
        <f t="shared" si="0"/>
        <v>#REF!</v>
      </c>
      <c r="F32" s="5" t="e">
        <f>+#REF!+#REF!+I32</f>
        <v>#REF!</v>
      </c>
      <c r="G32" s="6" t="e">
        <f>VLOOKUP($A32,#REF!,25,0)</f>
        <v>#REF!</v>
      </c>
      <c r="H32" s="6">
        <f>VLOOKUP($A32,[33]TONTJANV21!$A$6:$T$41,4,0)</f>
        <v>23000</v>
      </c>
      <c r="I32" s="6">
        <f t="shared" si="1"/>
        <v>19000</v>
      </c>
      <c r="J32" s="6">
        <f t="shared" si="2"/>
        <v>500</v>
      </c>
      <c r="K32" s="6">
        <f t="shared" si="3"/>
        <v>1000</v>
      </c>
      <c r="L32" s="6">
        <f t="shared" si="4"/>
        <v>2500</v>
      </c>
      <c r="M32" s="6" t="e">
        <f>VLOOKUP($A32,#REF!,5,0)</f>
        <v>#REF!</v>
      </c>
      <c r="N32" s="6" t="e">
        <f>VLOOKUP($A32,#REF!,27,0)</f>
        <v>#REF!</v>
      </c>
      <c r="O32" s="6" t="e">
        <f>VLOOKUP($A32,#REF!,26,0)</f>
        <v>#REF!</v>
      </c>
      <c r="P32" s="6" t="e">
        <f>VLOOKUP($A32,#REF!,20,0)</f>
        <v>#REF!</v>
      </c>
      <c r="Q32" s="6" t="e">
        <f t="shared" si="5"/>
        <v>#REF!</v>
      </c>
      <c r="R32" s="6" t="e">
        <f>VLOOKUP($A32,#REF!,23,0)</f>
        <v>#REF!</v>
      </c>
      <c r="S32" s="6" t="e">
        <f>VLOOKUP($A32,#REF!,17,0)</f>
        <v>#REF!</v>
      </c>
      <c r="T32" s="6" t="e">
        <f>VLOOKUP($A32,#REF!,18,0)</f>
        <v>#REF!</v>
      </c>
      <c r="U32" s="6" t="e">
        <f>VLOOKUP($A32,#REF!,21,0)</f>
        <v>#REF!</v>
      </c>
      <c r="V32" s="6" t="e">
        <f>VLOOKUP($A32,#REF!,22,0)</f>
        <v>#REF!</v>
      </c>
      <c r="W32" s="2"/>
      <c r="X32" s="2"/>
      <c r="Y32" s="6" t="e">
        <f>VLOOKUP(A32,#REF!,40,0)</f>
        <v>#REF!</v>
      </c>
      <c r="Z32" s="6" t="e">
        <f>VLOOKUP($A32,#REF!,41,0)</f>
        <v>#REF!</v>
      </c>
      <c r="AA32" s="2"/>
      <c r="AB32" s="2"/>
      <c r="AC32" s="2"/>
      <c r="AD32" s="2"/>
      <c r="AE32" s="2"/>
      <c r="AF32" s="2"/>
      <c r="AG32" s="2"/>
      <c r="AH32" s="2"/>
    </row>
    <row r="33" spans="1:34" x14ac:dyDescent="0.35">
      <c r="A33" s="1" t="s">
        <v>49</v>
      </c>
      <c r="B33" s="1" t="str">
        <f>VLOOKUP(A33,[25]LISTADHERENT!A$5:H$60,3,0)</f>
        <v>SIMO PIERRE</v>
      </c>
      <c r="C33" s="1"/>
      <c r="D33" s="1"/>
      <c r="E33" s="5" t="e">
        <f t="shared" si="0"/>
        <v>#REF!</v>
      </c>
      <c r="F33" s="5" t="e">
        <f>+#REF!+#REF!+I33</f>
        <v>#REF!</v>
      </c>
      <c r="G33" s="6" t="e">
        <f>VLOOKUP($A33,#REF!,25,0)</f>
        <v>#REF!</v>
      </c>
      <c r="H33" s="6">
        <f>VLOOKUP($A33,[33]TONTJANV21!$A$6:$T$41,4,0)</f>
        <v>23000</v>
      </c>
      <c r="I33" s="6">
        <f t="shared" si="1"/>
        <v>19000</v>
      </c>
      <c r="J33" s="6">
        <f t="shared" si="2"/>
        <v>500</v>
      </c>
      <c r="K33" s="6">
        <f t="shared" si="3"/>
        <v>1000</v>
      </c>
      <c r="L33" s="6">
        <f t="shared" si="4"/>
        <v>2500</v>
      </c>
      <c r="M33" s="6" t="e">
        <f>VLOOKUP($A33,#REF!,5,0)</f>
        <v>#REF!</v>
      </c>
      <c r="N33" s="6" t="e">
        <f>VLOOKUP($A33,#REF!,27,0)</f>
        <v>#REF!</v>
      </c>
      <c r="O33" s="6" t="e">
        <f>VLOOKUP($A33,#REF!,26,0)</f>
        <v>#REF!</v>
      </c>
      <c r="P33" s="6" t="e">
        <f>VLOOKUP($A33,#REF!,20,0)</f>
        <v>#REF!</v>
      </c>
      <c r="Q33" s="6" t="e">
        <f t="shared" si="5"/>
        <v>#REF!</v>
      </c>
      <c r="R33" s="6" t="e">
        <f>VLOOKUP($A33,#REF!,23,0)</f>
        <v>#REF!</v>
      </c>
      <c r="S33" s="6" t="e">
        <f>VLOOKUP($A33,#REF!,17,0)</f>
        <v>#REF!</v>
      </c>
      <c r="T33" s="6" t="e">
        <f>VLOOKUP($A33,#REF!,18,0)</f>
        <v>#REF!</v>
      </c>
      <c r="U33" s="6" t="e">
        <f>VLOOKUP($A33,#REF!,21,0)</f>
        <v>#REF!</v>
      </c>
      <c r="V33" s="6" t="e">
        <f>VLOOKUP($A33,#REF!,22,0)</f>
        <v>#REF!</v>
      </c>
      <c r="W33" s="2"/>
      <c r="X33" s="2"/>
      <c r="Y33" s="6" t="e">
        <f>VLOOKUP(A33,#REF!,40,0)</f>
        <v>#REF!</v>
      </c>
      <c r="Z33" s="6" t="e">
        <f>VLOOKUP($A33,#REF!,41,0)</f>
        <v>#REF!</v>
      </c>
      <c r="AA33" s="2"/>
      <c r="AB33" s="2"/>
      <c r="AC33" s="2"/>
      <c r="AD33" s="2"/>
      <c r="AE33" s="2"/>
      <c r="AF33" s="2"/>
      <c r="AG33" s="2"/>
      <c r="AH33" s="2"/>
    </row>
    <row r="34" spans="1:34" x14ac:dyDescent="0.35">
      <c r="A34" s="1" t="s">
        <v>170</v>
      </c>
      <c r="B34" s="1" t="str">
        <f>VLOOKUP(A34,[25]LISTADHERENT!A$5:H$60,3,0)</f>
        <v>TCHEMHOU EMMANUEL</v>
      </c>
      <c r="C34" s="1"/>
      <c r="D34" s="1"/>
      <c r="E34" s="5" t="e">
        <f t="shared" si="0"/>
        <v>#REF!</v>
      </c>
      <c r="F34" s="5">
        <v>0</v>
      </c>
      <c r="G34" s="6" t="e">
        <f>VLOOKUP($A34,#REF!,25,0)</f>
        <v>#REF!</v>
      </c>
      <c r="H34" s="6" t="e">
        <f>VLOOKUP($A34,[33]TONTJANV21!$A$6:$T$41,4,0)</f>
        <v>#N/A</v>
      </c>
      <c r="I34" s="6" t="e">
        <f t="shared" si="1"/>
        <v>#N/A</v>
      </c>
      <c r="J34" s="6" t="e">
        <f t="shared" si="2"/>
        <v>#N/A</v>
      </c>
      <c r="K34" s="6" t="e">
        <f t="shared" si="3"/>
        <v>#N/A</v>
      </c>
      <c r="L34" s="6" t="e">
        <f t="shared" si="4"/>
        <v>#N/A</v>
      </c>
      <c r="M34" s="6" t="e">
        <f>VLOOKUP($A34,#REF!,5,0)</f>
        <v>#REF!</v>
      </c>
      <c r="N34" s="6" t="e">
        <f>VLOOKUP($A34,#REF!,27,0)</f>
        <v>#REF!</v>
      </c>
      <c r="O34" s="6" t="e">
        <f>VLOOKUP($A34,#REF!,26,0)</f>
        <v>#REF!</v>
      </c>
      <c r="P34" s="6" t="e">
        <f>VLOOKUP($A34,#REF!,20,0)</f>
        <v>#REF!</v>
      </c>
      <c r="Q34" s="6" t="e">
        <f t="shared" si="5"/>
        <v>#REF!</v>
      </c>
      <c r="R34" s="6" t="e">
        <f>VLOOKUP($A34,#REF!,23,0)</f>
        <v>#REF!</v>
      </c>
      <c r="S34" s="6" t="e">
        <f>VLOOKUP($A34,#REF!,17,0)</f>
        <v>#REF!</v>
      </c>
      <c r="T34" s="6" t="e">
        <f>VLOOKUP($A34,#REF!,18,0)</f>
        <v>#REF!</v>
      </c>
      <c r="U34" s="6" t="e">
        <f>VLOOKUP($A34,#REF!,21,0)</f>
        <v>#REF!</v>
      </c>
      <c r="V34" s="6" t="e">
        <f>VLOOKUP($A34,#REF!,22,0)</f>
        <v>#REF!</v>
      </c>
      <c r="W34" s="2"/>
      <c r="X34" s="2"/>
      <c r="Y34" s="6" t="e">
        <f>VLOOKUP(A34,#REF!,40,0)</f>
        <v>#REF!</v>
      </c>
      <c r="Z34" s="6" t="e">
        <f>VLOOKUP($A34,#REF!,41,0)</f>
        <v>#REF!</v>
      </c>
      <c r="AA34" s="2"/>
      <c r="AB34" s="2"/>
      <c r="AC34" s="2"/>
      <c r="AD34" s="2"/>
      <c r="AE34" s="2"/>
      <c r="AF34" s="2"/>
      <c r="AG34" s="2"/>
      <c r="AH34" s="2"/>
    </row>
    <row r="35" spans="1:34" x14ac:dyDescent="0.35">
      <c r="A35" s="1" t="s">
        <v>51</v>
      </c>
      <c r="B35" s="1" t="str">
        <f>VLOOKUP(A35,[25]LISTADHERENT!A$5:H$60,3,0)</f>
        <v>TCHOUAMOU MATHIEU</v>
      </c>
      <c r="C35" s="1"/>
      <c r="D35" s="1"/>
      <c r="E35" s="5" t="e">
        <f t="shared" si="0"/>
        <v>#REF!</v>
      </c>
      <c r="F35" s="5" t="e">
        <f>+#REF!+#REF!+I35</f>
        <v>#REF!</v>
      </c>
      <c r="G35" s="6" t="e">
        <f>VLOOKUP($A35,#REF!,25,0)</f>
        <v>#REF!</v>
      </c>
      <c r="H35" s="6">
        <f>VLOOKUP($A35,[33]TONTJANV21!$A$6:$T$41,4,0)</f>
        <v>23000</v>
      </c>
      <c r="I35" s="6">
        <f t="shared" si="1"/>
        <v>19000</v>
      </c>
      <c r="J35" s="6">
        <f t="shared" si="2"/>
        <v>500</v>
      </c>
      <c r="K35" s="6">
        <f t="shared" si="3"/>
        <v>1000</v>
      </c>
      <c r="L35" s="6">
        <f t="shared" si="4"/>
        <v>2500</v>
      </c>
      <c r="M35" s="6" t="e">
        <f>VLOOKUP($A35,#REF!,5,0)</f>
        <v>#REF!</v>
      </c>
      <c r="N35" s="6" t="e">
        <f>VLOOKUP($A35,#REF!,27,0)</f>
        <v>#REF!</v>
      </c>
      <c r="O35" s="6" t="e">
        <f>VLOOKUP($A35,#REF!,26,0)</f>
        <v>#REF!</v>
      </c>
      <c r="P35" s="6" t="e">
        <f>VLOOKUP($A35,#REF!,20,0)</f>
        <v>#REF!</v>
      </c>
      <c r="Q35" s="6" t="e">
        <f t="shared" si="5"/>
        <v>#REF!</v>
      </c>
      <c r="R35" s="6" t="e">
        <f>VLOOKUP($A35,#REF!,23,0)</f>
        <v>#REF!</v>
      </c>
      <c r="S35" s="6" t="e">
        <f>VLOOKUP($A35,#REF!,17,0)</f>
        <v>#REF!</v>
      </c>
      <c r="T35" s="6" t="e">
        <f>VLOOKUP($A35,#REF!,18,0)</f>
        <v>#REF!</v>
      </c>
      <c r="U35" s="6" t="e">
        <f>VLOOKUP($A35,#REF!,21,0)</f>
        <v>#REF!</v>
      </c>
      <c r="V35" s="6" t="e">
        <f>VLOOKUP($A35,#REF!,22,0)</f>
        <v>#REF!</v>
      </c>
      <c r="W35" s="2"/>
      <c r="X35" s="2"/>
      <c r="Y35" s="6" t="e">
        <f>VLOOKUP(A35,#REF!,40,0)</f>
        <v>#REF!</v>
      </c>
      <c r="Z35" s="6" t="e">
        <f>VLOOKUP($A35,#REF!,41,0)</f>
        <v>#REF!</v>
      </c>
      <c r="AA35" s="2"/>
    </row>
    <row r="36" spans="1:34" x14ac:dyDescent="0.35">
      <c r="A36" s="1" t="s">
        <v>54</v>
      </c>
      <c r="B36" s="1" t="str">
        <f>VLOOKUP(A36,[25]LISTADHERENT!A$5:H$60,3,0)</f>
        <v>TIEYAM ERNEST</v>
      </c>
      <c r="C36" s="1"/>
      <c r="D36" s="1"/>
      <c r="E36" s="5" t="e">
        <f t="shared" si="0"/>
        <v>#REF!</v>
      </c>
      <c r="F36" s="5" t="e">
        <f>+#REF!+#REF!+I36</f>
        <v>#REF!</v>
      </c>
      <c r="G36" s="6" t="e">
        <f>VLOOKUP($A36,#REF!,25,0)</f>
        <v>#REF!</v>
      </c>
      <c r="H36" s="6" t="e">
        <f>VLOOKUP($A36,[33]TONTJANV21!$A$6:$T$41,4,0)</f>
        <v>#N/A</v>
      </c>
      <c r="I36" s="6" t="e">
        <f t="shared" si="1"/>
        <v>#N/A</v>
      </c>
      <c r="J36" s="6" t="e">
        <f t="shared" si="2"/>
        <v>#N/A</v>
      </c>
      <c r="K36" s="6" t="e">
        <f t="shared" si="3"/>
        <v>#N/A</v>
      </c>
      <c r="L36" s="6" t="e">
        <f t="shared" si="4"/>
        <v>#N/A</v>
      </c>
      <c r="M36" s="6" t="e">
        <f>VLOOKUP($A36,#REF!,5,0)</f>
        <v>#REF!</v>
      </c>
      <c r="N36" s="6" t="e">
        <f>VLOOKUP($A36,#REF!,27,0)</f>
        <v>#REF!</v>
      </c>
      <c r="O36" s="6" t="e">
        <f>VLOOKUP($A36,#REF!,26,0)</f>
        <v>#REF!</v>
      </c>
      <c r="P36" s="6" t="e">
        <f>VLOOKUP($A36,#REF!,20,0)</f>
        <v>#REF!</v>
      </c>
      <c r="Q36" s="6" t="e">
        <f t="shared" si="5"/>
        <v>#REF!</v>
      </c>
      <c r="R36" s="6" t="e">
        <f>VLOOKUP($A36,#REF!,23,0)</f>
        <v>#REF!</v>
      </c>
      <c r="S36" s="6" t="e">
        <f>VLOOKUP($A36,#REF!,17,0)</f>
        <v>#REF!</v>
      </c>
      <c r="T36" s="6" t="e">
        <f>VLOOKUP($A36,#REF!,18,0)</f>
        <v>#REF!</v>
      </c>
      <c r="U36" s="6" t="e">
        <f>VLOOKUP($A36,#REF!,21,0)</f>
        <v>#REF!</v>
      </c>
      <c r="V36" s="6" t="e">
        <f>VLOOKUP($A36,#REF!,22,0)</f>
        <v>#REF!</v>
      </c>
      <c r="W36" s="2"/>
      <c r="X36" s="2"/>
      <c r="Y36" s="6" t="e">
        <f>VLOOKUP(A36,#REF!,40,0)</f>
        <v>#REF!</v>
      </c>
      <c r="Z36" s="6" t="e">
        <f>VLOOKUP($A36,#REF!,41,0)</f>
        <v>#REF!</v>
      </c>
      <c r="AA36" s="2"/>
    </row>
    <row r="37" spans="1:34" x14ac:dyDescent="0.35">
      <c r="A37" s="1" t="s">
        <v>55</v>
      </c>
      <c r="B37" s="1" t="str">
        <f>VLOOKUP(A37,[25]LISTADHERENT!A$5:H$60,3,0)</f>
        <v>YEPMOU JEAN JACQUES</v>
      </c>
      <c r="C37" s="1"/>
      <c r="D37" s="1"/>
      <c r="E37" s="5" t="e">
        <f t="shared" si="0"/>
        <v>#REF!</v>
      </c>
      <c r="F37" s="5" t="e">
        <f>+#REF!+#REF!+I37</f>
        <v>#REF!</v>
      </c>
      <c r="G37" s="6" t="e">
        <f>VLOOKUP($A37,#REF!,25,0)</f>
        <v>#REF!</v>
      </c>
      <c r="H37" s="6">
        <f>VLOOKUP($A37,[33]TONTJANV21!$A$6:$T$41,4,0)</f>
        <v>23000</v>
      </c>
      <c r="I37" s="6">
        <f t="shared" si="1"/>
        <v>19000</v>
      </c>
      <c r="J37" s="6">
        <f t="shared" si="2"/>
        <v>500</v>
      </c>
      <c r="K37" s="6">
        <f t="shared" si="3"/>
        <v>1000</v>
      </c>
      <c r="L37" s="6">
        <f t="shared" si="4"/>
        <v>2500</v>
      </c>
      <c r="M37" s="6" t="e">
        <f>VLOOKUP($A37,#REF!,5,0)</f>
        <v>#REF!</v>
      </c>
      <c r="N37" s="6" t="e">
        <f>VLOOKUP($A37,#REF!,27,0)</f>
        <v>#REF!</v>
      </c>
      <c r="O37" s="6" t="e">
        <f>VLOOKUP($A37,#REF!,26,0)</f>
        <v>#REF!</v>
      </c>
      <c r="P37" s="6" t="e">
        <f>VLOOKUP($A37,#REF!,20,0)</f>
        <v>#REF!</v>
      </c>
      <c r="Q37" s="6" t="e">
        <f t="shared" si="5"/>
        <v>#REF!</v>
      </c>
      <c r="R37" s="6" t="e">
        <f>VLOOKUP($A37,#REF!,23,0)</f>
        <v>#REF!</v>
      </c>
      <c r="S37" s="6" t="e">
        <f>VLOOKUP($A37,#REF!,17,0)</f>
        <v>#REF!</v>
      </c>
      <c r="T37" s="6" t="e">
        <f>VLOOKUP($A37,#REF!,18,0)</f>
        <v>#REF!</v>
      </c>
      <c r="U37" s="6" t="e">
        <f>VLOOKUP($A37,#REF!,21,0)</f>
        <v>#REF!</v>
      </c>
      <c r="V37" s="6" t="e">
        <f>VLOOKUP($A37,#REF!,22,0)</f>
        <v>#REF!</v>
      </c>
      <c r="W37" s="2"/>
      <c r="X37" s="2"/>
      <c r="Y37" s="6" t="e">
        <f>VLOOKUP(A37,#REF!,40,0)</f>
        <v>#REF!</v>
      </c>
      <c r="Z37" s="6" t="e">
        <f>VLOOKUP($A37,#REF!,41,0)</f>
        <v>#REF!</v>
      </c>
      <c r="AA37" s="2"/>
    </row>
    <row r="38" spans="1:34" x14ac:dyDescent="0.35">
      <c r="A38" s="1" t="s">
        <v>56</v>
      </c>
      <c r="B38" s="1" t="str">
        <f>VLOOKUP(A38,[25]LISTADHERENT!A$5:H$60,3,0)</f>
        <v>YOUMBI EMMANUEL</v>
      </c>
      <c r="C38" s="1"/>
      <c r="D38" s="1"/>
      <c r="E38" s="5" t="e">
        <f t="shared" si="0"/>
        <v>#REF!</v>
      </c>
      <c r="F38" s="5" t="e">
        <f>+#REF!+#REF!+I38</f>
        <v>#REF!</v>
      </c>
      <c r="G38" s="6" t="e">
        <f>VLOOKUP($A38,#REF!,25,0)</f>
        <v>#REF!</v>
      </c>
      <c r="H38" s="6">
        <f>VLOOKUP($A38,[33]TONTJANV21!$A$6:$T$41,4,0)</f>
        <v>23000</v>
      </c>
      <c r="I38" s="6">
        <f t="shared" si="1"/>
        <v>19000</v>
      </c>
      <c r="J38" s="6">
        <f t="shared" si="2"/>
        <v>500</v>
      </c>
      <c r="K38" s="6">
        <f t="shared" si="3"/>
        <v>1000</v>
      </c>
      <c r="L38" s="6">
        <f t="shared" si="4"/>
        <v>2500</v>
      </c>
      <c r="M38" s="6" t="e">
        <f>VLOOKUP($A38,#REF!,5,0)</f>
        <v>#REF!</v>
      </c>
      <c r="N38" s="6" t="e">
        <f>VLOOKUP($A38,#REF!,27,0)</f>
        <v>#REF!</v>
      </c>
      <c r="O38" s="6" t="e">
        <f>VLOOKUP($A38,#REF!,26,0)</f>
        <v>#REF!</v>
      </c>
      <c r="P38" s="6" t="e">
        <f>VLOOKUP($A38,#REF!,20,0)</f>
        <v>#REF!</v>
      </c>
      <c r="Q38" s="6" t="e">
        <f t="shared" si="5"/>
        <v>#REF!</v>
      </c>
      <c r="R38" s="6" t="e">
        <f>VLOOKUP($A38,#REF!,23,0)</f>
        <v>#REF!</v>
      </c>
      <c r="S38" s="6" t="e">
        <f>VLOOKUP($A38,#REF!,17,0)</f>
        <v>#REF!</v>
      </c>
      <c r="T38" s="6" t="e">
        <f>VLOOKUP($A38,#REF!,18,0)</f>
        <v>#REF!</v>
      </c>
      <c r="U38" s="6" t="e">
        <f>VLOOKUP($A38,#REF!,21,0)</f>
        <v>#REF!</v>
      </c>
      <c r="V38" s="6" t="e">
        <f>VLOOKUP($A38,#REF!,22,0)</f>
        <v>#REF!</v>
      </c>
      <c r="W38" s="2"/>
      <c r="X38" s="2"/>
      <c r="Y38" s="6" t="e">
        <f>VLOOKUP(A38,#REF!,40,0)</f>
        <v>#REF!</v>
      </c>
      <c r="Z38" s="6" t="e">
        <f>VLOOKUP($A38,#REF!,41,0)</f>
        <v>#REF!</v>
      </c>
    </row>
    <row r="39" spans="1:34" x14ac:dyDescent="0.35">
      <c r="A39" s="15"/>
      <c r="B39" s="1"/>
      <c r="C39" s="1"/>
      <c r="D39" s="1"/>
      <c r="E39" s="5"/>
      <c r="F39" s="5"/>
      <c r="G39" s="5"/>
      <c r="H39" s="6"/>
      <c r="I39" s="6"/>
      <c r="J39" s="6"/>
      <c r="K39" s="6"/>
      <c r="L39" s="6"/>
      <c r="M39" s="6"/>
      <c r="N39" s="6"/>
      <c r="P39" s="6"/>
      <c r="Q39" s="6"/>
      <c r="R39" s="6"/>
      <c r="S39" s="6"/>
      <c r="T39" s="10"/>
      <c r="U39" s="10"/>
      <c r="V39" s="10"/>
      <c r="W39" s="2"/>
    </row>
    <row r="40" spans="1:34" x14ac:dyDescent="0.35">
      <c r="A40" s="15"/>
      <c r="B40" s="1"/>
      <c r="C40" s="1"/>
      <c r="D40" s="1"/>
      <c r="E40" s="5"/>
      <c r="F40" s="5"/>
      <c r="G40" s="5"/>
      <c r="H40" s="6"/>
      <c r="I40" s="6"/>
      <c r="J40" s="6"/>
      <c r="K40" s="6"/>
      <c r="L40" s="6"/>
      <c r="M40" s="6"/>
      <c r="N40" s="6"/>
      <c r="P40" s="6"/>
      <c r="Q40" s="6"/>
      <c r="R40" s="6"/>
      <c r="S40" s="6"/>
      <c r="T40" s="10"/>
      <c r="U40" s="10"/>
      <c r="V40" s="10"/>
      <c r="W40" s="2"/>
    </row>
    <row r="41" spans="1:34" x14ac:dyDescent="0.35">
      <c r="A41" s="1"/>
      <c r="B41" s="1"/>
      <c r="C41" s="1"/>
      <c r="D41" s="1"/>
      <c r="E41" s="1"/>
      <c r="F41" s="5"/>
      <c r="G41" s="1"/>
      <c r="H41" s="1"/>
    </row>
    <row r="42" spans="1:34" ht="17.5" x14ac:dyDescent="0.35">
      <c r="A42" s="1" t="s">
        <v>57</v>
      </c>
      <c r="B42" s="1"/>
      <c r="C42" s="1"/>
      <c r="D42" s="1"/>
      <c r="E42" s="9" t="e">
        <f t="shared" ref="E42:O42" si="6">SUM(E6:E38)</f>
        <v>#REF!</v>
      </c>
      <c r="F42" s="9" t="e">
        <f t="shared" si="6"/>
        <v>#REF!</v>
      </c>
      <c r="G42" s="9" t="e">
        <f t="shared" si="6"/>
        <v>#REF!</v>
      </c>
      <c r="H42" s="9" t="e">
        <f t="shared" si="6"/>
        <v>#N/A</v>
      </c>
      <c r="I42" s="9" t="e">
        <f t="shared" si="6"/>
        <v>#N/A</v>
      </c>
      <c r="J42" s="9" t="e">
        <f t="shared" si="6"/>
        <v>#N/A</v>
      </c>
      <c r="K42" s="9" t="e">
        <f t="shared" si="6"/>
        <v>#N/A</v>
      </c>
      <c r="L42" s="9" t="e">
        <f t="shared" si="6"/>
        <v>#N/A</v>
      </c>
      <c r="M42" s="9" t="e">
        <f t="shared" si="6"/>
        <v>#REF!</v>
      </c>
      <c r="N42" s="9" t="e">
        <f t="shared" si="6"/>
        <v>#REF!</v>
      </c>
      <c r="O42" s="9" t="e">
        <f t="shared" si="6"/>
        <v>#REF!</v>
      </c>
      <c r="P42" s="9" t="e">
        <f>SUM(P6:P36)</f>
        <v>#REF!</v>
      </c>
      <c r="Q42" s="9" t="e">
        <f>SUM(Q6:Q38)</f>
        <v>#REF!</v>
      </c>
      <c r="R42" s="9"/>
      <c r="S42" s="9" t="e">
        <f>SUM(S6:S38)</f>
        <v>#REF!</v>
      </c>
      <c r="T42" s="9"/>
      <c r="U42" s="9"/>
      <c r="V42" s="9"/>
      <c r="W42" s="9">
        <f>SUM(W6:W35)</f>
        <v>0</v>
      </c>
      <c r="X42" s="9">
        <f>SUM(X6:X35)</f>
        <v>0</v>
      </c>
      <c r="Z42" s="9" t="e">
        <f>SUM(Z6:Z35)</f>
        <v>#REF!</v>
      </c>
    </row>
    <row r="45" spans="1:34" ht="17.5" x14ac:dyDescent="0.35">
      <c r="E45" s="4"/>
      <c r="F45" s="9" t="s">
        <v>59</v>
      </c>
      <c r="G45" s="9">
        <f>[3]TONTDEC20!$E$51</f>
        <v>600000</v>
      </c>
    </row>
    <row r="46" spans="1:34" ht="17.5" x14ac:dyDescent="0.35">
      <c r="E46" s="4"/>
      <c r="F46" s="9" t="s">
        <v>84</v>
      </c>
      <c r="G46" s="9" t="e">
        <f>+M42</f>
        <v>#REF!</v>
      </c>
    </row>
    <row r="47" spans="1:34" ht="17.5" x14ac:dyDescent="0.35">
      <c r="E47" s="4"/>
      <c r="F47" s="9" t="s">
        <v>8</v>
      </c>
      <c r="G47" s="9" t="e">
        <f>+G42</f>
        <v>#REF!</v>
      </c>
    </row>
    <row r="48" spans="1:34" ht="17.5" x14ac:dyDescent="0.35">
      <c r="E48" s="4"/>
      <c r="F48" s="9" t="s">
        <v>9</v>
      </c>
      <c r="G48" s="9" t="e">
        <f>+I42</f>
        <v>#N/A</v>
      </c>
    </row>
    <row r="49" spans="5:8" ht="17.5" x14ac:dyDescent="0.35">
      <c r="E49" s="4"/>
      <c r="F49" s="9" t="s">
        <v>10</v>
      </c>
      <c r="G49" s="9" t="e">
        <f>+J42</f>
        <v>#N/A</v>
      </c>
    </row>
    <row r="50" spans="5:8" ht="17.5" x14ac:dyDescent="0.35">
      <c r="E50" s="4"/>
      <c r="F50" s="9" t="s">
        <v>58</v>
      </c>
      <c r="G50" s="9" t="e">
        <f>+K42</f>
        <v>#N/A</v>
      </c>
    </row>
    <row r="51" spans="5:8" ht="17.5" x14ac:dyDescent="0.35">
      <c r="E51" s="4"/>
      <c r="F51" s="9" t="s">
        <v>12</v>
      </c>
      <c r="G51" s="9" t="e">
        <f>+L42</f>
        <v>#N/A</v>
      </c>
    </row>
    <row r="52" spans="5:8" ht="17.5" x14ac:dyDescent="0.35">
      <c r="E52" s="4"/>
      <c r="F52" s="9" t="s">
        <v>71</v>
      </c>
      <c r="G52" s="9">
        <f>+N41</f>
        <v>0</v>
      </c>
    </row>
    <row r="53" spans="5:8" ht="17.5" x14ac:dyDescent="0.35">
      <c r="E53" s="4"/>
      <c r="F53" s="9" t="s">
        <v>13</v>
      </c>
      <c r="G53" s="9" t="e">
        <f>+O42</f>
        <v>#REF!</v>
      </c>
    </row>
    <row r="54" spans="5:8" ht="17.5" x14ac:dyDescent="0.35">
      <c r="E54" s="4"/>
      <c r="F54" s="9" t="s">
        <v>85</v>
      </c>
      <c r="G54" s="9" t="e">
        <f>+P42</f>
        <v>#REF!</v>
      </c>
    </row>
    <row r="55" spans="5:8" ht="17.5" x14ac:dyDescent="0.35">
      <c r="E55" s="4"/>
      <c r="F55" s="9" t="s">
        <v>62</v>
      </c>
      <c r="G55" s="9" t="e">
        <f>+Q42</f>
        <v>#REF!</v>
      </c>
    </row>
    <row r="56" spans="5:8" ht="17.5" x14ac:dyDescent="0.35">
      <c r="E56" s="4"/>
      <c r="F56" s="9" t="s">
        <v>66</v>
      </c>
      <c r="G56" s="9" t="e">
        <f>+S42</f>
        <v>#REF!</v>
      </c>
    </row>
    <row r="57" spans="5:8" ht="17.5" x14ac:dyDescent="0.35">
      <c r="E57" s="4"/>
      <c r="F57" s="9" t="s">
        <v>65</v>
      </c>
      <c r="G57" s="9">
        <f>+W43</f>
        <v>0</v>
      </c>
    </row>
    <row r="58" spans="5:8" ht="17.5" x14ac:dyDescent="0.35">
      <c r="E58" s="4"/>
      <c r="F58" s="9" t="s">
        <v>14</v>
      </c>
      <c r="G58" s="9">
        <f>X42</f>
        <v>0</v>
      </c>
      <c r="H58" s="9"/>
    </row>
  </sheetData>
  <autoFilter ref="A5:U37" xr:uid="{00000000-0009-0000-0000-00002B000000}">
    <sortState ref="A5:L48">
      <sortCondition ref="B5:B48"/>
    </sortState>
  </autoFilter>
  <sortState ref="A6:Y38">
    <sortCondition ref="B6:B38"/>
  </sortState>
  <mergeCells count="1">
    <mergeCell ref="E4:I4"/>
  </mergeCells>
  <dataValidations disablePrompts="1" count="1">
    <dataValidation type="list" allowBlank="1" showInputMessage="1" showErrorMessage="1" sqref="T39:V40" xr:uid="{00000000-0002-0000-2B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Z49"/>
  <sheetViews>
    <sheetView zoomScaleNormal="100" zoomScaleSheetLayoutView="106" workbookViewId="0">
      <pane xSplit="2" ySplit="5" topLeftCell="R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V6" sqref="V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" customWidth="1"/>
    <col min="6" max="6" width="16.81640625" bestFit="1" customWidth="1"/>
    <col min="7" max="7" width="15.26953125" customWidth="1"/>
    <col min="8" max="8" width="15" bestFit="1" customWidth="1"/>
    <col min="9" max="10" width="15.26953125" customWidth="1"/>
    <col min="11" max="11" width="16.81640625" bestFit="1" customWidth="1"/>
    <col min="12" max="15" width="16.81640625" customWidth="1"/>
    <col min="16" max="20" width="20.7265625" customWidth="1"/>
    <col min="21" max="21" width="17.54296875" style="138" bestFit="1" customWidth="1"/>
    <col min="22" max="22" width="16.54296875" customWidth="1"/>
    <col min="23" max="23" width="12.453125" bestFit="1" customWidth="1"/>
    <col min="24" max="24" width="15" bestFit="1" customWidth="1"/>
  </cols>
  <sheetData>
    <row r="1" spans="1:26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3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6.5" thickBot="1" x14ac:dyDescent="0.65">
      <c r="A4" s="180" t="s">
        <v>247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 spans="1:26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35">
      <c r="A6" s="1" t="s">
        <v>16</v>
      </c>
      <c r="B6" s="1" t="str">
        <f>VLOOKUP(A6,[25]LISTADHERENT!A$5:H$60,3,0)</f>
        <v>ASELBY</v>
      </c>
      <c r="C6" s="6" t="e">
        <f>VLOOKUP($A6,#REF!,3,0)</f>
        <v>#REF!</v>
      </c>
      <c r="D6" s="6" t="e">
        <f>VLOOKUP($A6,#REF!,4,0)</f>
        <v>#REF!</v>
      </c>
      <c r="E6" s="6" t="e">
        <f>VLOOKUP($A6,#REF!,5,0)</f>
        <v>#REF!</v>
      </c>
      <c r="F6" s="6" t="e">
        <f>VLOOKUP($A6,#REF!,6,0)</f>
        <v>#REF!</v>
      </c>
      <c r="G6" s="6" t="e">
        <f>VLOOKUP($A6,#REF!,7,0)</f>
        <v>#REF!</v>
      </c>
      <c r="H6" s="6" t="e">
        <f>VLOOKUP($A6,#REF!,11,0)</f>
        <v>#REF!</v>
      </c>
      <c r="I6" s="43"/>
      <c r="J6" s="43"/>
      <c r="K6" s="43" t="e">
        <f>D6+G6+H6</f>
        <v>#REF!</v>
      </c>
      <c r="L6" s="43"/>
      <c r="M6" s="43"/>
      <c r="N6" s="43"/>
      <c r="O6" s="43">
        <f>M6+N6</f>
        <v>0</v>
      </c>
      <c r="P6" s="43"/>
      <c r="Q6" s="43"/>
      <c r="R6" s="43" t="e">
        <f>VLOOKUP($A6,#REF!,35,0)</f>
        <v>#REF!</v>
      </c>
      <c r="S6" s="43"/>
      <c r="T6" s="43"/>
      <c r="U6" s="43">
        <v>816544</v>
      </c>
      <c r="V6" s="44" t="e">
        <f>F6+N6</f>
        <v>#REF!</v>
      </c>
      <c r="W6" s="43">
        <v>0</v>
      </c>
      <c r="X6" s="11" t="e">
        <f>IF(Q6=0,70000,0)+Q6+R6+(600000-V6)</f>
        <v>#REF!</v>
      </c>
      <c r="Y6" s="2"/>
      <c r="Z6" s="2"/>
    </row>
    <row r="7" spans="1:26" x14ac:dyDescent="0.35">
      <c r="A7" s="1" t="s">
        <v>19</v>
      </c>
      <c r="B7" s="1" t="str">
        <f>VLOOKUP(A7,[25]LISTADHERENT!A$5:H$60,3,0)</f>
        <v>BOUTCHOUANG WILLIAM</v>
      </c>
      <c r="C7" s="6" t="e">
        <f>VLOOKUP($A7,#REF!,3,0)</f>
        <v>#REF!</v>
      </c>
      <c r="D7" s="6" t="e">
        <f>VLOOKUP($A7,#REF!,4,0)</f>
        <v>#REF!</v>
      </c>
      <c r="E7" s="6" t="e">
        <f>VLOOKUP($A7,#REF!,5,0)</f>
        <v>#REF!</v>
      </c>
      <c r="F7" s="6" t="e">
        <f>VLOOKUP($A7,#REF!,6,0)</f>
        <v>#REF!</v>
      </c>
      <c r="G7" s="6" t="e">
        <f>VLOOKUP($A7,#REF!,7,0)</f>
        <v>#REF!</v>
      </c>
      <c r="H7" s="6" t="e">
        <f>VLOOKUP($A7,#REF!,11,0)</f>
        <v>#REF!</v>
      </c>
      <c r="I7" s="43"/>
      <c r="J7" s="43"/>
      <c r="K7" s="43" t="e">
        <f t="shared" ref="K7:K36" si="0">D7+G7+H7</f>
        <v>#REF!</v>
      </c>
      <c r="L7" s="43"/>
      <c r="M7" s="43">
        <v>20000</v>
      </c>
      <c r="N7" s="43">
        <v>30000</v>
      </c>
      <c r="O7" s="43">
        <f t="shared" ref="O7:O36" si="1">M7+N7</f>
        <v>50000</v>
      </c>
      <c r="P7" s="43" t="e">
        <f>IF(Q7&lt;70000,K7-O7-(70000-Q7),K7-O7)</f>
        <v>#REF!</v>
      </c>
      <c r="Q7" s="43" t="e">
        <f>VLOOKUP($A7,#REF!,30,0)</f>
        <v>#REF!</v>
      </c>
      <c r="R7" s="43" t="e">
        <f>VLOOKUP($A7,#REF!,35,0)</f>
        <v>#REF!</v>
      </c>
      <c r="S7" s="43" t="e">
        <f>IF(Q7=0,P7-R7-Q7,P7-R7)-W7</f>
        <v>#REF!</v>
      </c>
      <c r="T7" s="43">
        <v>40000</v>
      </c>
      <c r="U7" s="43"/>
      <c r="V7" s="44" t="e">
        <f t="shared" ref="V7:V36" si="2">F7+N7</f>
        <v>#REF!</v>
      </c>
      <c r="W7" s="43">
        <v>0</v>
      </c>
      <c r="X7" s="11"/>
      <c r="Y7" s="2"/>
      <c r="Z7" s="2"/>
    </row>
    <row r="8" spans="1:26" x14ac:dyDescent="0.35">
      <c r="A8" s="1" t="s">
        <v>23</v>
      </c>
      <c r="B8" s="1" t="str">
        <f>VLOOKUP(A8,[25]LISTADHERENT!A$5:H$60,3,0)</f>
        <v xml:space="preserve">DJOMO JEAN PAUL </v>
      </c>
      <c r="C8" s="6" t="e">
        <f>VLOOKUP($A8,#REF!,3,0)</f>
        <v>#REF!</v>
      </c>
      <c r="D8" s="6" t="e">
        <f>VLOOKUP($A8,#REF!,4,0)</f>
        <v>#REF!</v>
      </c>
      <c r="E8" s="6" t="e">
        <f>VLOOKUP($A8,#REF!,5,0)</f>
        <v>#REF!</v>
      </c>
      <c r="F8" s="6" t="e">
        <f>VLOOKUP($A8,#REF!,6,0)</f>
        <v>#REF!</v>
      </c>
      <c r="G8" s="6" t="e">
        <f>VLOOKUP($A8,#REF!,7,0)</f>
        <v>#REF!</v>
      </c>
      <c r="H8" s="6" t="e">
        <f>VLOOKUP($A8,#REF!,11,0)</f>
        <v>#REF!</v>
      </c>
      <c r="I8" s="43"/>
      <c r="J8" s="43"/>
      <c r="K8" s="43" t="e">
        <f t="shared" si="0"/>
        <v>#REF!</v>
      </c>
      <c r="L8" s="43"/>
      <c r="M8" s="43">
        <v>20000</v>
      </c>
      <c r="N8" s="43">
        <v>30000</v>
      </c>
      <c r="O8" s="43">
        <f t="shared" si="1"/>
        <v>50000</v>
      </c>
      <c r="P8" s="43" t="e">
        <f>IF(Q8&lt;70000,K8-O8-(70000-Q8),K8-O8)+70000</f>
        <v>#REF!</v>
      </c>
      <c r="Q8" s="43" t="e">
        <f>VLOOKUP($A8,#REF!,30,0)</f>
        <v>#REF!</v>
      </c>
      <c r="R8" s="43" t="e">
        <f>VLOOKUP($A8,#REF!,35,0)</f>
        <v>#REF!</v>
      </c>
      <c r="S8" s="43" t="e">
        <f>IF(Q8=0,P8-R8-Q8,P8-R8)-W8</f>
        <v>#REF!</v>
      </c>
      <c r="T8" s="43">
        <v>50000</v>
      </c>
      <c r="U8" s="43"/>
      <c r="V8" s="44" t="e">
        <f t="shared" si="2"/>
        <v>#REF!</v>
      </c>
      <c r="W8" s="43">
        <v>0</v>
      </c>
      <c r="X8" s="11"/>
      <c r="Y8" s="2"/>
      <c r="Z8" s="2"/>
    </row>
    <row r="9" spans="1:26" x14ac:dyDescent="0.35">
      <c r="A9" s="1" t="s">
        <v>154</v>
      </c>
      <c r="B9" s="1" t="str">
        <f>VLOOKUP(A9,[25]LISTADHERENT!A$5:H$60,3,0)</f>
        <v>DJOMOU TCHANDA</v>
      </c>
      <c r="C9" s="6" t="e">
        <f>VLOOKUP($A9,#REF!,3,0)</f>
        <v>#REF!</v>
      </c>
      <c r="D9" s="6" t="e">
        <f>VLOOKUP($A9,#REF!,4,0)</f>
        <v>#REF!</v>
      </c>
      <c r="E9" s="6" t="e">
        <f>VLOOKUP($A9,#REF!,5,0)</f>
        <v>#REF!</v>
      </c>
      <c r="F9" s="6" t="e">
        <f>VLOOKUP($A9,#REF!,6,0)</f>
        <v>#REF!</v>
      </c>
      <c r="G9" s="6" t="e">
        <f>VLOOKUP($A9,#REF!,7,0)</f>
        <v>#REF!</v>
      </c>
      <c r="H9" s="6" t="e">
        <f>VLOOKUP($A9,#REF!,11,0)</f>
        <v>#REF!</v>
      </c>
      <c r="I9" s="43"/>
      <c r="J9" s="43"/>
      <c r="K9" s="43" t="e">
        <f t="shared" si="0"/>
        <v>#REF!</v>
      </c>
      <c r="L9" s="43"/>
      <c r="M9" s="43">
        <v>20000</v>
      </c>
      <c r="N9" s="43">
        <v>30000</v>
      </c>
      <c r="O9" s="43">
        <f t="shared" si="1"/>
        <v>50000</v>
      </c>
      <c r="P9" s="43" t="e">
        <f t="shared" ref="P9:P36" si="3">IF(Q9&lt;70000,K9-O9-(70000-Q9),K9-O9)</f>
        <v>#REF!</v>
      </c>
      <c r="Q9" s="43" t="e">
        <f>VLOOKUP($A9,#REF!,30,0)</f>
        <v>#REF!</v>
      </c>
      <c r="R9" s="43" t="e">
        <f>VLOOKUP($A9,#REF!,35,0)</f>
        <v>#REF!</v>
      </c>
      <c r="S9" s="43" t="e">
        <f t="shared" ref="S9:S36" si="4">IF(Q9=0,P9-R9-Q9,P9-R9)-W9</f>
        <v>#REF!</v>
      </c>
      <c r="T9" s="43">
        <v>0</v>
      </c>
      <c r="U9" s="43"/>
      <c r="V9" s="44" t="e">
        <f t="shared" si="2"/>
        <v>#REF!</v>
      </c>
      <c r="W9" s="43">
        <v>0</v>
      </c>
      <c r="X9" s="11"/>
      <c r="Y9" s="2"/>
      <c r="Z9" s="2"/>
    </row>
    <row r="10" spans="1:26" x14ac:dyDescent="0.35">
      <c r="A10" s="1" t="s">
        <v>24</v>
      </c>
      <c r="B10" s="1" t="str">
        <f>VLOOKUP(A10,[25]LISTADHERENT!A$5:H$60,3,0)</f>
        <v>DJOUKWE NANGUEN GUY BLAISE</v>
      </c>
      <c r="C10" s="6" t="e">
        <f>VLOOKUP($A10,#REF!,3,0)</f>
        <v>#REF!</v>
      </c>
      <c r="D10" s="6" t="e">
        <f>VLOOKUP($A10,#REF!,4,0)</f>
        <v>#REF!</v>
      </c>
      <c r="E10" s="6" t="e">
        <f>VLOOKUP($A10,#REF!,5,0)</f>
        <v>#REF!</v>
      </c>
      <c r="F10" s="6" t="e">
        <f>VLOOKUP($A10,#REF!,6,0)</f>
        <v>#REF!</v>
      </c>
      <c r="G10" s="6" t="e">
        <f>VLOOKUP($A10,#REF!,7,0)</f>
        <v>#REF!</v>
      </c>
      <c r="H10" s="6" t="e">
        <f>VLOOKUP($A10,#REF!,11,0)</f>
        <v>#REF!</v>
      </c>
      <c r="I10" s="43"/>
      <c r="J10" s="43"/>
      <c r="K10" s="43" t="e">
        <f t="shared" si="0"/>
        <v>#REF!</v>
      </c>
      <c r="L10" s="43"/>
      <c r="M10" s="43">
        <v>20000</v>
      </c>
      <c r="N10" s="43">
        <v>30000</v>
      </c>
      <c r="O10" s="43">
        <f t="shared" si="1"/>
        <v>50000</v>
      </c>
      <c r="P10" s="43" t="e">
        <f t="shared" si="3"/>
        <v>#REF!</v>
      </c>
      <c r="Q10" s="43" t="e">
        <f>VLOOKUP($A10,#REF!,30,0)</f>
        <v>#REF!</v>
      </c>
      <c r="R10" s="43" t="e">
        <f>VLOOKUP($A10,#REF!,35,0)</f>
        <v>#REF!</v>
      </c>
      <c r="S10" s="43" t="e">
        <f t="shared" si="4"/>
        <v>#REF!</v>
      </c>
      <c r="T10" s="43">
        <v>20000</v>
      </c>
      <c r="U10" s="43"/>
      <c r="V10" s="44" t="e">
        <f t="shared" si="2"/>
        <v>#REF!</v>
      </c>
      <c r="W10" s="43">
        <v>0</v>
      </c>
      <c r="X10" s="11"/>
      <c r="Y10" s="2"/>
      <c r="Z10" s="2"/>
    </row>
    <row r="11" spans="1:26" x14ac:dyDescent="0.35">
      <c r="A11" s="1" t="s">
        <v>25</v>
      </c>
      <c r="B11" s="1" t="str">
        <f>VLOOKUP(A11,[25]LISTADHERENT!A$5:H$60,3,0)</f>
        <v>DJUOMBESSY ANTOINE</v>
      </c>
      <c r="C11" s="6" t="e">
        <f>VLOOKUP($A11,#REF!,3,0)</f>
        <v>#REF!</v>
      </c>
      <c r="D11" s="6" t="e">
        <f>VLOOKUP($A11,#REF!,4,0)</f>
        <v>#REF!</v>
      </c>
      <c r="E11" s="6" t="e">
        <f>VLOOKUP($A11,#REF!,5,0)</f>
        <v>#REF!</v>
      </c>
      <c r="F11" s="6" t="e">
        <f>VLOOKUP($A11,#REF!,6,0)</f>
        <v>#REF!</v>
      </c>
      <c r="G11" s="6" t="e">
        <f>VLOOKUP($A11,#REF!,7,0)</f>
        <v>#REF!</v>
      </c>
      <c r="H11" s="6" t="e">
        <f>VLOOKUP($A11,#REF!,11,0)</f>
        <v>#REF!</v>
      </c>
      <c r="I11" s="43"/>
      <c r="J11" s="43"/>
      <c r="K11" s="43" t="e">
        <f t="shared" si="0"/>
        <v>#REF!</v>
      </c>
      <c r="L11" s="43"/>
      <c r="M11" s="43">
        <v>20000</v>
      </c>
      <c r="N11" s="43">
        <v>30000</v>
      </c>
      <c r="O11" s="43">
        <f t="shared" si="1"/>
        <v>50000</v>
      </c>
      <c r="P11" s="43" t="e">
        <f t="shared" si="3"/>
        <v>#REF!</v>
      </c>
      <c r="Q11" s="43" t="e">
        <f>VLOOKUP($A11,#REF!,30,0)</f>
        <v>#REF!</v>
      </c>
      <c r="R11" s="43" t="e">
        <f>VLOOKUP($A11,#REF!,35,0)</f>
        <v>#REF!</v>
      </c>
      <c r="S11" s="43" t="e">
        <f t="shared" si="4"/>
        <v>#REF!</v>
      </c>
      <c r="T11" s="43">
        <v>60000</v>
      </c>
      <c r="U11" s="43"/>
      <c r="V11" s="44" t="e">
        <f t="shared" si="2"/>
        <v>#REF!</v>
      </c>
      <c r="W11" s="43">
        <v>0</v>
      </c>
      <c r="X11" s="11"/>
      <c r="Y11" s="2"/>
      <c r="Z11" s="2"/>
    </row>
    <row r="12" spans="1:26" x14ac:dyDescent="0.35">
      <c r="A12" s="1" t="s">
        <v>79</v>
      </c>
      <c r="B12" s="1" t="str">
        <f>VLOOKUP(A12,[25]LISTADHERENT!A$5:H$60,3,0)</f>
        <v>DOMOU FABIEN</v>
      </c>
      <c r="C12" s="6" t="e">
        <f>VLOOKUP($A12,#REF!,3,0)</f>
        <v>#REF!</v>
      </c>
      <c r="D12" s="6" t="e">
        <f>VLOOKUP($A12,#REF!,4,0)</f>
        <v>#REF!</v>
      </c>
      <c r="E12" s="6" t="e">
        <f>VLOOKUP($A12,#REF!,5,0)</f>
        <v>#REF!</v>
      </c>
      <c r="F12" s="6" t="e">
        <f>VLOOKUP($A12,#REF!,6,0)</f>
        <v>#REF!</v>
      </c>
      <c r="G12" s="6" t="e">
        <f>VLOOKUP($A12,#REF!,7,0)</f>
        <v>#REF!</v>
      </c>
      <c r="H12" s="6" t="e">
        <f>VLOOKUP($A12,#REF!,11,0)</f>
        <v>#REF!</v>
      </c>
      <c r="I12" s="43"/>
      <c r="J12" s="43"/>
      <c r="K12" s="43" t="e">
        <f t="shared" si="0"/>
        <v>#REF!</v>
      </c>
      <c r="L12" s="43"/>
      <c r="M12" s="43">
        <v>20000</v>
      </c>
      <c r="N12" s="43">
        <v>30000</v>
      </c>
      <c r="O12" s="43">
        <f t="shared" si="1"/>
        <v>50000</v>
      </c>
      <c r="P12" s="43" t="e">
        <f t="shared" si="3"/>
        <v>#REF!</v>
      </c>
      <c r="Q12" s="43" t="e">
        <f>VLOOKUP($A12,#REF!,30,0)</f>
        <v>#REF!</v>
      </c>
      <c r="R12" s="43" t="e">
        <f>VLOOKUP($A12,#REF!,35,0)</f>
        <v>#REF!</v>
      </c>
      <c r="S12" s="43" t="e">
        <f t="shared" si="4"/>
        <v>#REF!</v>
      </c>
      <c r="T12" s="43">
        <v>115000</v>
      </c>
      <c r="U12" s="43"/>
      <c r="V12" s="44" t="e">
        <f t="shared" si="2"/>
        <v>#REF!</v>
      </c>
      <c r="W12" s="43">
        <v>0</v>
      </c>
      <c r="X12" s="11"/>
      <c r="Y12" s="2"/>
      <c r="Z12" s="2"/>
    </row>
    <row r="13" spans="1:26" x14ac:dyDescent="0.35">
      <c r="A13" s="1" t="s">
        <v>26</v>
      </c>
      <c r="B13" s="1" t="str">
        <f>VLOOKUP(A13,[25]LISTADHERENT!A$5:H$60,3,0)</f>
        <v>DONHOU DAVID</v>
      </c>
      <c r="C13" s="6" t="e">
        <f>VLOOKUP($A13,#REF!,3,0)</f>
        <v>#REF!</v>
      </c>
      <c r="D13" s="6" t="e">
        <f>VLOOKUP($A13,#REF!,4,0)</f>
        <v>#REF!</v>
      </c>
      <c r="E13" s="6" t="e">
        <f>VLOOKUP($A13,#REF!,5,0)</f>
        <v>#REF!</v>
      </c>
      <c r="F13" s="6" t="e">
        <f>VLOOKUP($A13,#REF!,6,0)</f>
        <v>#REF!</v>
      </c>
      <c r="G13" s="6" t="e">
        <f>VLOOKUP($A13,#REF!,7,0)</f>
        <v>#REF!</v>
      </c>
      <c r="H13" s="6" t="e">
        <f>VLOOKUP($A13,#REF!,11,0)</f>
        <v>#REF!</v>
      </c>
      <c r="I13" s="43"/>
      <c r="J13" s="43"/>
      <c r="K13" s="43" t="e">
        <f t="shared" si="0"/>
        <v>#REF!</v>
      </c>
      <c r="L13" s="43"/>
      <c r="M13" s="43">
        <v>20000</v>
      </c>
      <c r="N13" s="43">
        <v>30000</v>
      </c>
      <c r="O13" s="43">
        <f t="shared" si="1"/>
        <v>50000</v>
      </c>
      <c r="P13" s="43" t="e">
        <f t="shared" si="3"/>
        <v>#REF!</v>
      </c>
      <c r="Q13" s="43" t="e">
        <f>VLOOKUP($A13,#REF!,30,0)</f>
        <v>#REF!</v>
      </c>
      <c r="R13" s="43" t="e">
        <f>VLOOKUP($A13,#REF!,35,0)</f>
        <v>#REF!</v>
      </c>
      <c r="S13" s="43" t="e">
        <f t="shared" si="4"/>
        <v>#REF!</v>
      </c>
      <c r="T13" s="43">
        <v>0</v>
      </c>
      <c r="U13" s="43"/>
      <c r="V13" s="44" t="e">
        <f t="shared" si="2"/>
        <v>#REF!</v>
      </c>
      <c r="W13" s="43">
        <v>0</v>
      </c>
      <c r="X13" s="11"/>
      <c r="Y13" s="2"/>
      <c r="Z13" s="2"/>
    </row>
    <row r="14" spans="1:26" x14ac:dyDescent="0.35">
      <c r="A14" s="1" t="s">
        <v>27</v>
      </c>
      <c r="B14" s="1" t="str">
        <f>VLOOKUP(A14,[25]LISTADHERENT!A$5:H$60,3,0)</f>
        <v>FOTSO THOMAS</v>
      </c>
      <c r="C14" s="6" t="e">
        <f>VLOOKUP($A14,#REF!,3,0)</f>
        <v>#REF!</v>
      </c>
      <c r="D14" s="6" t="e">
        <f>VLOOKUP($A14,#REF!,4,0)</f>
        <v>#REF!</v>
      </c>
      <c r="E14" s="6" t="e">
        <f>VLOOKUP($A14,#REF!,5,0)</f>
        <v>#REF!</v>
      </c>
      <c r="F14" s="6" t="e">
        <f>VLOOKUP($A14,#REF!,6,0)</f>
        <v>#REF!</v>
      </c>
      <c r="G14" s="6" t="e">
        <f>VLOOKUP($A14,#REF!,7,0)</f>
        <v>#REF!</v>
      </c>
      <c r="H14" s="6" t="e">
        <f>VLOOKUP($A14,#REF!,11,0)</f>
        <v>#REF!</v>
      </c>
      <c r="I14" s="43"/>
      <c r="J14" s="43"/>
      <c r="K14" s="43" t="e">
        <f t="shared" si="0"/>
        <v>#REF!</v>
      </c>
      <c r="L14" s="43"/>
      <c r="M14" s="43"/>
      <c r="N14" s="43"/>
      <c r="O14" s="43">
        <f t="shared" si="1"/>
        <v>0</v>
      </c>
      <c r="P14" s="43">
        <v>0</v>
      </c>
      <c r="Q14" s="43" t="e">
        <f>VLOOKUP($A14,#REF!,30,0)</f>
        <v>#REF!</v>
      </c>
      <c r="R14" s="43" t="e">
        <f>VLOOKUP($A14,#REF!,35,0)</f>
        <v>#REF!</v>
      </c>
      <c r="S14" s="43" t="e">
        <f>IF(Q14=0,P14-R14-Q14,P14-R14)</f>
        <v>#REF!</v>
      </c>
      <c r="T14" s="43"/>
      <c r="U14" s="43"/>
      <c r="V14" s="44" t="e">
        <f t="shared" si="2"/>
        <v>#REF!</v>
      </c>
      <c r="W14" s="43">
        <v>122105.098582853</v>
      </c>
      <c r="X14" s="11" t="e">
        <f t="shared" ref="X14:X34" si="5">IF(Q14=0,70000,0)+Q14+R14+(600000-V14)</f>
        <v>#REF!</v>
      </c>
      <c r="Y14" s="2"/>
      <c r="Z14" s="2"/>
    </row>
    <row r="15" spans="1:26" ht="14.25" customHeight="1" x14ac:dyDescent="0.35">
      <c r="A15" s="1" t="s">
        <v>28</v>
      </c>
      <c r="B15" s="1" t="str">
        <f>VLOOKUP(A15,[25]LISTADHERENT!A$5:H$60,3,0)</f>
        <v>HENGUE PAUL OMER</v>
      </c>
      <c r="C15" s="6" t="e">
        <f>VLOOKUP($A15,#REF!,3,0)</f>
        <v>#REF!</v>
      </c>
      <c r="D15" s="6" t="e">
        <f>VLOOKUP($A15,#REF!,4,0)</f>
        <v>#REF!</v>
      </c>
      <c r="E15" s="6" t="e">
        <f>VLOOKUP($A15,#REF!,5,0)</f>
        <v>#REF!</v>
      </c>
      <c r="F15" s="6" t="e">
        <f>VLOOKUP($A15,#REF!,6,0)</f>
        <v>#REF!</v>
      </c>
      <c r="G15" s="6" t="e">
        <f>VLOOKUP($A15,#REF!,7,0)</f>
        <v>#REF!</v>
      </c>
      <c r="H15" s="6" t="e">
        <f>VLOOKUP($A15,#REF!,11,0)</f>
        <v>#REF!</v>
      </c>
      <c r="I15" s="43"/>
      <c r="J15" s="43"/>
      <c r="K15" s="43" t="e">
        <f t="shared" si="0"/>
        <v>#REF!</v>
      </c>
      <c r="L15" s="43"/>
      <c r="M15" s="43">
        <v>20000</v>
      </c>
      <c r="N15" s="43">
        <v>30000</v>
      </c>
      <c r="O15" s="43">
        <f t="shared" si="1"/>
        <v>50000</v>
      </c>
      <c r="P15" s="43" t="e">
        <f t="shared" si="3"/>
        <v>#REF!</v>
      </c>
      <c r="Q15" s="43" t="e">
        <f>VLOOKUP($A15,#REF!,30,0)</f>
        <v>#REF!</v>
      </c>
      <c r="R15" s="43" t="e">
        <f>VLOOKUP($A15,#REF!,35,0)</f>
        <v>#REF!</v>
      </c>
      <c r="S15" s="43" t="e">
        <f t="shared" si="4"/>
        <v>#REF!</v>
      </c>
      <c r="T15" s="43">
        <v>0</v>
      </c>
      <c r="U15" s="43"/>
      <c r="V15" s="44" t="e">
        <f t="shared" si="2"/>
        <v>#REF!</v>
      </c>
      <c r="W15" s="43">
        <v>0</v>
      </c>
      <c r="X15" s="11"/>
      <c r="Y15" s="2"/>
      <c r="Z15" s="2"/>
    </row>
    <row r="16" spans="1:26" x14ac:dyDescent="0.35">
      <c r="A16" s="1" t="s">
        <v>29</v>
      </c>
      <c r="B16" s="1" t="str">
        <f>VLOOKUP(A16,[25]LISTADHERENT!A$5:H$60,3,0)</f>
        <v>HOTCHO BENJAMIN</v>
      </c>
      <c r="C16" s="6" t="e">
        <f>VLOOKUP($A16,#REF!,3,0)</f>
        <v>#REF!</v>
      </c>
      <c r="D16" s="6" t="e">
        <f>VLOOKUP($A16,#REF!,4,0)</f>
        <v>#REF!</v>
      </c>
      <c r="E16" s="6" t="e">
        <f>VLOOKUP($A16,#REF!,5,0)</f>
        <v>#REF!</v>
      </c>
      <c r="F16" s="6" t="e">
        <f>VLOOKUP($A16,#REF!,6,0)</f>
        <v>#REF!</v>
      </c>
      <c r="G16" s="6" t="e">
        <f>VLOOKUP($A16,#REF!,7,0)</f>
        <v>#REF!</v>
      </c>
      <c r="H16" s="6" t="e">
        <f>VLOOKUP($A16,#REF!,11,0)</f>
        <v>#REF!</v>
      </c>
      <c r="I16" s="43"/>
      <c r="J16" s="43"/>
      <c r="K16" s="43" t="e">
        <f t="shared" si="0"/>
        <v>#REF!</v>
      </c>
      <c r="L16" s="43"/>
      <c r="M16" s="43">
        <v>20000</v>
      </c>
      <c r="N16" s="43">
        <v>30000</v>
      </c>
      <c r="O16" s="43">
        <f t="shared" si="1"/>
        <v>50000</v>
      </c>
      <c r="P16" s="43" t="e">
        <f t="shared" si="3"/>
        <v>#REF!</v>
      </c>
      <c r="Q16" s="43" t="e">
        <f>VLOOKUP($A16,#REF!,30,0)</f>
        <v>#REF!</v>
      </c>
      <c r="R16" s="43" t="e">
        <f>VLOOKUP($A16,#REF!,35,0)</f>
        <v>#REF!</v>
      </c>
      <c r="S16" s="43" t="e">
        <f>IF(Q16=0,P16-R16-Q16,P16-R16)-W16-500000</f>
        <v>#REF!</v>
      </c>
      <c r="T16" s="43">
        <v>100000</v>
      </c>
      <c r="U16" s="43"/>
      <c r="V16" s="44" t="e">
        <f>F16+N16+500000</f>
        <v>#REF!</v>
      </c>
      <c r="W16" s="43">
        <v>0</v>
      </c>
      <c r="X16" s="11"/>
      <c r="Y16" s="2"/>
      <c r="Z16" s="2"/>
    </row>
    <row r="17" spans="1:26" s="14" customFormat="1" ht="13.5" customHeight="1" x14ac:dyDescent="0.35">
      <c r="A17" s="1" t="s">
        <v>33</v>
      </c>
      <c r="B17" s="1" t="str">
        <f>VLOOKUP(A17,[25]LISTADHERENT!A$5:H$60,3,0)</f>
        <v>KOUAMOU MOISE</v>
      </c>
      <c r="C17" s="6" t="e">
        <f>VLOOKUP($A17,#REF!,3,0)</f>
        <v>#REF!</v>
      </c>
      <c r="D17" s="6" t="e">
        <f>VLOOKUP($A17,#REF!,4,0)</f>
        <v>#REF!</v>
      </c>
      <c r="E17" s="6" t="e">
        <f>VLOOKUP($A17,#REF!,5,0)</f>
        <v>#REF!</v>
      </c>
      <c r="F17" s="6" t="e">
        <f>VLOOKUP($A17,#REF!,6,0)</f>
        <v>#REF!</v>
      </c>
      <c r="G17" s="6" t="e">
        <f>VLOOKUP($A17,#REF!,7,0)</f>
        <v>#REF!</v>
      </c>
      <c r="H17" s="6" t="e">
        <f>VLOOKUP($A17,#REF!,11,0)</f>
        <v>#REF!</v>
      </c>
      <c r="I17" s="46"/>
      <c r="J17" s="43"/>
      <c r="K17" s="43" t="e">
        <f t="shared" si="0"/>
        <v>#REF!</v>
      </c>
      <c r="L17" s="46"/>
      <c r="M17" s="43">
        <v>20000</v>
      </c>
      <c r="N17" s="43">
        <v>30000</v>
      </c>
      <c r="O17" s="43">
        <f t="shared" si="1"/>
        <v>50000</v>
      </c>
      <c r="P17" s="43" t="e">
        <f t="shared" si="3"/>
        <v>#REF!</v>
      </c>
      <c r="Q17" s="43" t="e">
        <f>VLOOKUP($A17,#REF!,30,0)</f>
        <v>#REF!</v>
      </c>
      <c r="R17" s="43" t="e">
        <f>VLOOKUP($A17,#REF!,35,0)</f>
        <v>#REF!</v>
      </c>
      <c r="S17" s="43" t="e">
        <f t="shared" si="4"/>
        <v>#REF!</v>
      </c>
      <c r="T17" s="43"/>
      <c r="U17" s="43"/>
      <c r="V17" s="44" t="e">
        <f t="shared" si="2"/>
        <v>#REF!</v>
      </c>
      <c r="W17" s="43">
        <v>0</v>
      </c>
      <c r="X17" s="11"/>
      <c r="Y17" s="11"/>
      <c r="Z17" s="11"/>
    </row>
    <row r="18" spans="1:26" s="14" customFormat="1" x14ac:dyDescent="0.35">
      <c r="A18" s="1" t="s">
        <v>35</v>
      </c>
      <c r="B18" s="1" t="str">
        <f>VLOOKUP(A18,[25]LISTADHERENT!A$5:H$60,3,0)</f>
        <v>KOUATCHO MESSACK</v>
      </c>
      <c r="C18" s="6" t="e">
        <f>VLOOKUP($A18,#REF!,3,0)</f>
        <v>#REF!</v>
      </c>
      <c r="D18" s="6" t="e">
        <f>VLOOKUP($A18,#REF!,4,0)</f>
        <v>#REF!</v>
      </c>
      <c r="E18" s="6" t="e">
        <f>VLOOKUP($A18,#REF!,5,0)</f>
        <v>#REF!</v>
      </c>
      <c r="F18" s="6" t="e">
        <f>VLOOKUP($A18,#REF!,6,0)</f>
        <v>#REF!</v>
      </c>
      <c r="G18" s="6" t="e">
        <f>VLOOKUP($A18,#REF!,7,0)</f>
        <v>#REF!</v>
      </c>
      <c r="H18" s="6" t="e">
        <f>VLOOKUP($A18,#REF!,11,0)</f>
        <v>#REF!</v>
      </c>
      <c r="I18" s="46"/>
      <c r="J18" s="43"/>
      <c r="K18" s="43" t="e">
        <f t="shared" si="0"/>
        <v>#REF!</v>
      </c>
      <c r="L18" s="46"/>
      <c r="M18" s="43">
        <v>20000</v>
      </c>
      <c r="N18" s="43">
        <v>30000</v>
      </c>
      <c r="O18" s="43">
        <f t="shared" si="1"/>
        <v>50000</v>
      </c>
      <c r="P18" s="43" t="e">
        <f t="shared" si="3"/>
        <v>#REF!</v>
      </c>
      <c r="Q18" s="43" t="e">
        <f>VLOOKUP($A18,#REF!,30,0)</f>
        <v>#REF!</v>
      </c>
      <c r="R18" s="43" t="e">
        <f>VLOOKUP($A18,#REF!,35,0)</f>
        <v>#REF!</v>
      </c>
      <c r="S18" s="43" t="e">
        <f t="shared" si="4"/>
        <v>#REF!</v>
      </c>
      <c r="T18" s="43">
        <v>50000</v>
      </c>
      <c r="U18" s="43"/>
      <c r="V18" s="44" t="e">
        <f t="shared" si="2"/>
        <v>#REF!</v>
      </c>
      <c r="W18" s="43">
        <v>0</v>
      </c>
      <c r="X18" s="11"/>
      <c r="Y18" s="11"/>
      <c r="Z18" s="11"/>
    </row>
    <row r="19" spans="1:26" x14ac:dyDescent="0.35">
      <c r="A19" s="1" t="s">
        <v>36</v>
      </c>
      <c r="B19" s="1" t="str">
        <f>VLOOKUP(A19,[25]LISTADHERENT!A$5:H$60,3,0)</f>
        <v>LOWE JEAN</v>
      </c>
      <c r="C19" s="6" t="e">
        <f>VLOOKUP($A19,#REF!,3,0)</f>
        <v>#REF!</v>
      </c>
      <c r="D19" s="6" t="e">
        <f>VLOOKUP($A19,#REF!,4,0)</f>
        <v>#REF!</v>
      </c>
      <c r="E19" s="6" t="e">
        <f>VLOOKUP($A19,#REF!,5,0)</f>
        <v>#REF!</v>
      </c>
      <c r="F19" s="6" t="e">
        <f>VLOOKUP($A19,#REF!,6,0)</f>
        <v>#REF!</v>
      </c>
      <c r="G19" s="6" t="e">
        <f>VLOOKUP($A19,#REF!,7,0)</f>
        <v>#REF!</v>
      </c>
      <c r="H19" s="6" t="e">
        <f>VLOOKUP($A19,#REF!,11,0)</f>
        <v>#REF!</v>
      </c>
      <c r="I19" s="43"/>
      <c r="J19" s="43"/>
      <c r="K19" s="43" t="e">
        <f t="shared" si="0"/>
        <v>#REF!</v>
      </c>
      <c r="L19" s="43"/>
      <c r="M19" s="43">
        <v>20000</v>
      </c>
      <c r="N19" s="43">
        <v>30000</v>
      </c>
      <c r="O19" s="43">
        <f t="shared" si="1"/>
        <v>50000</v>
      </c>
      <c r="P19" s="43" t="e">
        <f t="shared" si="3"/>
        <v>#REF!</v>
      </c>
      <c r="Q19" s="43" t="e">
        <f>VLOOKUP($A19,#REF!,30,0)</f>
        <v>#REF!</v>
      </c>
      <c r="R19" s="43" t="e">
        <f>VLOOKUP($A19,#REF!,35,0)</f>
        <v>#REF!</v>
      </c>
      <c r="S19" s="43" t="e">
        <f t="shared" si="4"/>
        <v>#REF!</v>
      </c>
      <c r="T19" s="43">
        <v>47000</v>
      </c>
      <c r="U19" s="43"/>
      <c r="V19" s="44" t="e">
        <f t="shared" si="2"/>
        <v>#REF!</v>
      </c>
      <c r="W19" s="43">
        <v>14388.173915576999</v>
      </c>
      <c r="X19" s="11" t="e">
        <f t="shared" si="5"/>
        <v>#REF!</v>
      </c>
      <c r="Y19" s="2"/>
      <c r="Z19" s="2"/>
    </row>
    <row r="20" spans="1:26" x14ac:dyDescent="0.35">
      <c r="A20" s="1" t="s">
        <v>75</v>
      </c>
      <c r="B20" s="1" t="str">
        <f>VLOOKUP(A20,[25]LISTADHERENT!A$5:H$60,3,0)</f>
        <v>MBOGNING TUGMA GUY</v>
      </c>
      <c r="C20" s="6" t="e">
        <f>VLOOKUP($A20,#REF!,3,0)</f>
        <v>#REF!</v>
      </c>
      <c r="D20" s="6" t="e">
        <f>VLOOKUP($A20,#REF!,4,0)</f>
        <v>#REF!</v>
      </c>
      <c r="E20" s="6" t="e">
        <f>VLOOKUP($A20,#REF!,5,0)</f>
        <v>#REF!</v>
      </c>
      <c r="F20" s="6" t="e">
        <f>VLOOKUP($A20,#REF!,6,0)</f>
        <v>#REF!</v>
      </c>
      <c r="G20" s="6" t="e">
        <f>VLOOKUP($A20,#REF!,7,0)</f>
        <v>#REF!</v>
      </c>
      <c r="H20" s="6" t="e">
        <f>VLOOKUP($A20,#REF!,11,0)</f>
        <v>#REF!</v>
      </c>
      <c r="I20" s="43"/>
      <c r="J20" s="43"/>
      <c r="K20" s="43" t="e">
        <f t="shared" si="0"/>
        <v>#REF!</v>
      </c>
      <c r="L20" s="43"/>
      <c r="M20" s="43">
        <v>20000</v>
      </c>
      <c r="N20" s="43">
        <v>30000</v>
      </c>
      <c r="O20" s="43">
        <f t="shared" si="1"/>
        <v>50000</v>
      </c>
      <c r="P20" s="43" t="e">
        <f t="shared" si="3"/>
        <v>#REF!</v>
      </c>
      <c r="Q20" s="43" t="e">
        <f>VLOOKUP($A20,#REF!,30,0)</f>
        <v>#REF!</v>
      </c>
      <c r="R20" s="43" t="e">
        <f>VLOOKUP($A20,#REF!,35,0)</f>
        <v>#REF!</v>
      </c>
      <c r="S20" s="43" t="e">
        <f t="shared" si="4"/>
        <v>#REF!</v>
      </c>
      <c r="T20" s="43"/>
      <c r="U20" s="43"/>
      <c r="V20" s="44" t="e">
        <f t="shared" si="2"/>
        <v>#REF!</v>
      </c>
      <c r="W20" s="43">
        <v>0</v>
      </c>
      <c r="X20" s="11"/>
      <c r="Y20" s="2"/>
      <c r="Z20" s="2"/>
    </row>
    <row r="21" spans="1:26" x14ac:dyDescent="0.35">
      <c r="A21" s="1" t="s">
        <v>50</v>
      </c>
      <c r="B21" s="1" t="str">
        <f>VLOOKUP(A21,[25]LISTADHERENT!A$5:H$60,3,0)</f>
        <v>NANGUEN MARTIN</v>
      </c>
      <c r="C21" s="6" t="e">
        <f>VLOOKUP($A21,#REF!,3,0)</f>
        <v>#REF!</v>
      </c>
      <c r="D21" s="6" t="e">
        <f>VLOOKUP($A21,#REF!,4,0)</f>
        <v>#REF!</v>
      </c>
      <c r="E21" s="6" t="e">
        <f>VLOOKUP($A21,#REF!,5,0)</f>
        <v>#REF!</v>
      </c>
      <c r="F21" s="6" t="e">
        <f>VLOOKUP($A21,#REF!,6,0)</f>
        <v>#REF!</v>
      </c>
      <c r="G21" s="6" t="e">
        <f>VLOOKUP($A21,#REF!,7,0)</f>
        <v>#REF!</v>
      </c>
      <c r="H21" s="6" t="e">
        <f>VLOOKUP($A21,#REF!,11,0)</f>
        <v>#REF!</v>
      </c>
      <c r="I21" s="43"/>
      <c r="J21" s="43"/>
      <c r="K21" s="43" t="e">
        <f t="shared" si="0"/>
        <v>#REF!</v>
      </c>
      <c r="L21" s="43"/>
      <c r="M21" s="43">
        <v>20000</v>
      </c>
      <c r="N21" s="43">
        <v>30000</v>
      </c>
      <c r="O21" s="43">
        <f t="shared" si="1"/>
        <v>50000</v>
      </c>
      <c r="P21" s="43" t="e">
        <f t="shared" si="3"/>
        <v>#REF!</v>
      </c>
      <c r="Q21" s="43" t="e">
        <f>VLOOKUP($A21,#REF!,30,0)</f>
        <v>#REF!</v>
      </c>
      <c r="R21" s="43" t="e">
        <f>VLOOKUP($A21,#REF!,35,0)</f>
        <v>#REF!</v>
      </c>
      <c r="S21" s="43" t="e">
        <f t="shared" si="4"/>
        <v>#REF!</v>
      </c>
      <c r="T21" s="43"/>
      <c r="U21" s="43"/>
      <c r="V21" s="44" t="e">
        <f t="shared" si="2"/>
        <v>#REF!</v>
      </c>
      <c r="W21" s="43">
        <v>0</v>
      </c>
      <c r="X21" s="11"/>
      <c r="Y21" s="2" t="s">
        <v>22</v>
      </c>
      <c r="Z21" s="2"/>
    </row>
    <row r="22" spans="1:26" x14ac:dyDescent="0.35">
      <c r="A22" s="1" t="s">
        <v>37</v>
      </c>
      <c r="B22" s="1" t="str">
        <f>VLOOKUP(A22,[25]LISTADHERENT!A$5:H$60,3,0)</f>
        <v>NANKAM APPOLINAIRE</v>
      </c>
      <c r="C22" s="6" t="e">
        <f>VLOOKUP($A22,#REF!,3,0)</f>
        <v>#REF!</v>
      </c>
      <c r="D22" s="6" t="e">
        <f>VLOOKUP($A22,#REF!,4,0)</f>
        <v>#REF!</v>
      </c>
      <c r="E22" s="6" t="e">
        <f>VLOOKUP($A22,#REF!,5,0)</f>
        <v>#REF!</v>
      </c>
      <c r="F22" s="6" t="e">
        <f>VLOOKUP($A22,#REF!,6,0)</f>
        <v>#REF!</v>
      </c>
      <c r="G22" s="6" t="e">
        <f>VLOOKUP($A22,#REF!,7,0)</f>
        <v>#REF!</v>
      </c>
      <c r="H22" s="6" t="e">
        <f>VLOOKUP($A22,#REF!,11,0)</f>
        <v>#REF!</v>
      </c>
      <c r="I22" s="43"/>
      <c r="J22" s="43"/>
      <c r="K22" s="43" t="e">
        <f t="shared" si="0"/>
        <v>#REF!</v>
      </c>
      <c r="L22" s="43"/>
      <c r="M22" s="43">
        <v>20000</v>
      </c>
      <c r="N22" s="43">
        <v>30000</v>
      </c>
      <c r="O22" s="43">
        <f t="shared" si="1"/>
        <v>50000</v>
      </c>
      <c r="P22" s="43" t="e">
        <f t="shared" si="3"/>
        <v>#REF!</v>
      </c>
      <c r="Q22" s="43" t="e">
        <f>VLOOKUP($A22,#REF!,30,0)</f>
        <v>#REF!</v>
      </c>
      <c r="R22" s="43" t="e">
        <f>VLOOKUP($A22,#REF!,35,0)</f>
        <v>#REF!</v>
      </c>
      <c r="S22" s="43" t="e">
        <f t="shared" si="4"/>
        <v>#REF!</v>
      </c>
      <c r="T22" s="43"/>
      <c r="U22" s="43"/>
      <c r="V22" s="44" t="e">
        <f t="shared" si="2"/>
        <v>#REF!</v>
      </c>
      <c r="W22" s="43">
        <v>0</v>
      </c>
      <c r="X22" s="11"/>
      <c r="Y22" s="2"/>
      <c r="Z22" s="2"/>
    </row>
    <row r="23" spans="1:26" x14ac:dyDescent="0.35">
      <c r="A23" s="1" t="s">
        <v>38</v>
      </c>
      <c r="B23" s="1" t="str">
        <f>VLOOKUP(A23,[25]LISTADHERENT!A$5:H$60,3,0)</f>
        <v>NDJOMO ETIENNE</v>
      </c>
      <c r="C23" s="6" t="e">
        <f>VLOOKUP($A23,#REF!,3,0)</f>
        <v>#REF!</v>
      </c>
      <c r="D23" s="6" t="e">
        <f>VLOOKUP($A23,#REF!,4,0)</f>
        <v>#REF!</v>
      </c>
      <c r="E23" s="6" t="e">
        <f>VLOOKUP($A23,#REF!,5,0)</f>
        <v>#REF!</v>
      </c>
      <c r="F23" s="6" t="e">
        <f>VLOOKUP($A23,#REF!,6,0)</f>
        <v>#REF!</v>
      </c>
      <c r="G23" s="6" t="e">
        <f>VLOOKUP($A23,#REF!,7,0)</f>
        <v>#REF!</v>
      </c>
      <c r="H23" s="6" t="e">
        <f>VLOOKUP($A23,#REF!,11,0)</f>
        <v>#REF!</v>
      </c>
      <c r="I23" s="43"/>
      <c r="J23" s="43"/>
      <c r="K23" s="43" t="e">
        <f t="shared" si="0"/>
        <v>#REF!</v>
      </c>
      <c r="L23" s="43"/>
      <c r="M23" s="43">
        <v>20000</v>
      </c>
      <c r="N23" s="43">
        <v>30000</v>
      </c>
      <c r="O23" s="43">
        <f t="shared" si="1"/>
        <v>50000</v>
      </c>
      <c r="P23" s="43" t="e">
        <f t="shared" si="3"/>
        <v>#REF!</v>
      </c>
      <c r="Q23" s="43" t="e">
        <f>VLOOKUP($A23,#REF!,30,0)</f>
        <v>#REF!</v>
      </c>
      <c r="R23" s="43" t="e">
        <f>VLOOKUP($A23,#REF!,35,0)</f>
        <v>#REF!</v>
      </c>
      <c r="S23" s="43" t="e">
        <f t="shared" si="4"/>
        <v>#REF!</v>
      </c>
      <c r="T23" s="43">
        <v>100000</v>
      </c>
      <c r="U23" s="43"/>
      <c r="V23" s="44" t="e">
        <f t="shared" si="2"/>
        <v>#REF!</v>
      </c>
      <c r="W23" s="43">
        <v>0</v>
      </c>
      <c r="X23" s="11"/>
      <c r="Y23" s="2"/>
      <c r="Z23" s="2"/>
    </row>
    <row r="24" spans="1:26" x14ac:dyDescent="0.35">
      <c r="A24" s="1" t="s">
        <v>39</v>
      </c>
      <c r="B24" s="1" t="str">
        <f>VLOOKUP(A24,[25]LISTADHERENT!A$5:H$60,3,0)</f>
        <v>NGONDIEP CLAUDE</v>
      </c>
      <c r="C24" s="6" t="e">
        <f>VLOOKUP($A24,#REF!,3,0)</f>
        <v>#REF!</v>
      </c>
      <c r="D24" s="6" t="e">
        <f>VLOOKUP($A24,#REF!,4,0)</f>
        <v>#REF!</v>
      </c>
      <c r="E24" s="6" t="e">
        <f>VLOOKUP($A24,#REF!,5,0)</f>
        <v>#REF!</v>
      </c>
      <c r="F24" s="6" t="e">
        <f>VLOOKUP($A24,#REF!,6,0)</f>
        <v>#REF!</v>
      </c>
      <c r="G24" s="6" t="e">
        <f>VLOOKUP($A24,#REF!,7,0)</f>
        <v>#REF!</v>
      </c>
      <c r="H24" s="6" t="e">
        <f>VLOOKUP($A24,#REF!,11,0)</f>
        <v>#REF!</v>
      </c>
      <c r="I24" s="43"/>
      <c r="J24" s="43"/>
      <c r="K24" s="43" t="e">
        <f t="shared" si="0"/>
        <v>#REF!</v>
      </c>
      <c r="L24" s="43"/>
      <c r="M24" s="43">
        <v>20000</v>
      </c>
      <c r="N24" s="43">
        <v>30000</v>
      </c>
      <c r="O24" s="43">
        <f t="shared" si="1"/>
        <v>50000</v>
      </c>
      <c r="P24" s="43" t="e">
        <f t="shared" si="3"/>
        <v>#REF!</v>
      </c>
      <c r="Q24" s="43" t="e">
        <f>VLOOKUP($A24,#REF!,30,0)</f>
        <v>#REF!</v>
      </c>
      <c r="R24" s="43" t="e">
        <f>VLOOKUP($A24,#REF!,35,0)</f>
        <v>#REF!</v>
      </c>
      <c r="S24" s="43" t="e">
        <f t="shared" si="4"/>
        <v>#REF!</v>
      </c>
      <c r="T24" s="43">
        <v>150000</v>
      </c>
      <c r="U24" s="43"/>
      <c r="V24" s="44" t="e">
        <f t="shared" si="2"/>
        <v>#REF!</v>
      </c>
      <c r="W24" s="43">
        <v>0</v>
      </c>
      <c r="X24" s="11"/>
      <c r="Y24" s="2"/>
      <c r="Z24" s="2"/>
    </row>
    <row r="25" spans="1:26" x14ac:dyDescent="0.35">
      <c r="A25" s="1" t="s">
        <v>41</v>
      </c>
      <c r="B25" s="1" t="str">
        <f>VLOOKUP(A25,[25]LISTADHERENT!A$5:H$60,3,0)</f>
        <v>NGUIEMEGNI MATHIEU BLAISE</v>
      </c>
      <c r="C25" s="6" t="e">
        <f>VLOOKUP($A25,#REF!,3,0)</f>
        <v>#REF!</v>
      </c>
      <c r="D25" s="6" t="e">
        <f>VLOOKUP($A25,#REF!,4,0)</f>
        <v>#REF!</v>
      </c>
      <c r="E25" s="6" t="e">
        <f>VLOOKUP($A25,#REF!,5,0)</f>
        <v>#REF!</v>
      </c>
      <c r="F25" s="6" t="e">
        <f>VLOOKUP($A25,#REF!,6,0)</f>
        <v>#REF!</v>
      </c>
      <c r="G25" s="6" t="e">
        <f>VLOOKUP($A25,#REF!,7,0)</f>
        <v>#REF!</v>
      </c>
      <c r="H25" s="6" t="e">
        <f>VLOOKUP($A25,#REF!,11,0)</f>
        <v>#REF!</v>
      </c>
      <c r="I25" s="43"/>
      <c r="J25" s="43"/>
      <c r="K25" s="43" t="e">
        <f t="shared" si="0"/>
        <v>#REF!</v>
      </c>
      <c r="L25" s="43"/>
      <c r="M25" s="43">
        <v>20000</v>
      </c>
      <c r="N25" s="43">
        <v>30000</v>
      </c>
      <c r="O25" s="43">
        <f t="shared" si="1"/>
        <v>50000</v>
      </c>
      <c r="P25" s="43" t="e">
        <f t="shared" si="3"/>
        <v>#REF!</v>
      </c>
      <c r="Q25" s="43" t="e">
        <f>VLOOKUP($A25,#REF!,30,0)</f>
        <v>#REF!</v>
      </c>
      <c r="R25" s="43" t="e">
        <f>VLOOKUP($A25,#REF!,35,0)</f>
        <v>#REF!</v>
      </c>
      <c r="S25" s="43" t="e">
        <f t="shared" si="4"/>
        <v>#REF!</v>
      </c>
      <c r="T25" s="43">
        <v>100000</v>
      </c>
      <c r="U25" s="43"/>
      <c r="V25" s="44" t="e">
        <f t="shared" si="2"/>
        <v>#REF!</v>
      </c>
      <c r="W25" s="43">
        <v>0</v>
      </c>
      <c r="X25" s="11"/>
      <c r="Y25" s="2"/>
      <c r="Z25" s="2"/>
    </row>
    <row r="26" spans="1:26" x14ac:dyDescent="0.35">
      <c r="A26" s="1" t="s">
        <v>43</v>
      </c>
      <c r="B26" s="1" t="str">
        <f>VLOOKUP(A26,[25]LISTADHERENT!A$5:H$60,3,0)</f>
        <v>NKAMGANG JUSTIN DEJOLIE</v>
      </c>
      <c r="C26" s="6" t="e">
        <f>VLOOKUP($A26,#REF!,3,0)</f>
        <v>#REF!</v>
      </c>
      <c r="D26" s="6" t="e">
        <f>VLOOKUP($A26,#REF!,4,0)</f>
        <v>#REF!</v>
      </c>
      <c r="E26" s="6" t="e">
        <f>VLOOKUP($A26,#REF!,5,0)</f>
        <v>#REF!</v>
      </c>
      <c r="F26" s="6" t="e">
        <f>VLOOKUP($A26,#REF!,6,0)</f>
        <v>#REF!</v>
      </c>
      <c r="G26" s="6" t="e">
        <f>VLOOKUP($A26,#REF!,7,0)</f>
        <v>#REF!</v>
      </c>
      <c r="H26" s="6" t="e">
        <f>VLOOKUP($A26,#REF!,11,0)</f>
        <v>#REF!</v>
      </c>
      <c r="I26" s="43"/>
      <c r="J26" s="43"/>
      <c r="K26" s="43" t="e">
        <f t="shared" si="0"/>
        <v>#REF!</v>
      </c>
      <c r="L26" s="43"/>
      <c r="M26" s="43">
        <v>20000</v>
      </c>
      <c r="N26" s="43">
        <v>30000</v>
      </c>
      <c r="O26" s="43">
        <f t="shared" si="1"/>
        <v>50000</v>
      </c>
      <c r="P26" s="43" t="e">
        <f t="shared" si="3"/>
        <v>#REF!</v>
      </c>
      <c r="Q26" s="43" t="e">
        <f>VLOOKUP($A26,#REF!,30,0)</f>
        <v>#REF!</v>
      </c>
      <c r="R26" s="43" t="e">
        <f>VLOOKUP($A26,#REF!,35,0)</f>
        <v>#REF!</v>
      </c>
      <c r="S26" s="43" t="e">
        <f t="shared" si="4"/>
        <v>#REF!</v>
      </c>
      <c r="T26" s="43">
        <v>59000</v>
      </c>
      <c r="U26" s="43"/>
      <c r="V26" s="44" t="e">
        <f t="shared" si="2"/>
        <v>#REF!</v>
      </c>
      <c r="W26" s="43">
        <v>0</v>
      </c>
      <c r="X26" s="11"/>
      <c r="Y26" s="2"/>
      <c r="Z26" s="2"/>
    </row>
    <row r="27" spans="1:26" x14ac:dyDescent="0.35">
      <c r="A27" s="1" t="s">
        <v>30</v>
      </c>
      <c r="B27" s="1" t="str">
        <f>VLOOKUP(A27,[25]LISTADHERENT!A$5:H$60,3,0)</f>
        <v>NKEHE DAVID</v>
      </c>
      <c r="C27" s="6" t="e">
        <f>VLOOKUP($A27,#REF!,3,0)</f>
        <v>#REF!</v>
      </c>
      <c r="D27" s="6" t="e">
        <f>VLOOKUP($A27,#REF!,4,0)</f>
        <v>#REF!</v>
      </c>
      <c r="E27" s="6" t="e">
        <f>VLOOKUP($A27,#REF!,5,0)</f>
        <v>#REF!</v>
      </c>
      <c r="F27" s="6" t="e">
        <f>VLOOKUP($A27,#REF!,6,0)</f>
        <v>#REF!</v>
      </c>
      <c r="G27" s="6" t="e">
        <f>VLOOKUP($A27,#REF!,7,0)</f>
        <v>#REF!</v>
      </c>
      <c r="H27" s="6" t="e">
        <f>VLOOKUP($A27,#REF!,11,0)</f>
        <v>#REF!</v>
      </c>
      <c r="I27" s="43"/>
      <c r="J27" s="43"/>
      <c r="K27" s="43" t="e">
        <f t="shared" si="0"/>
        <v>#REF!</v>
      </c>
      <c r="L27" s="43"/>
      <c r="M27" s="43"/>
      <c r="N27" s="43"/>
      <c r="O27" s="43">
        <f t="shared" si="1"/>
        <v>0</v>
      </c>
      <c r="P27" s="43"/>
      <c r="Q27" s="43" t="e">
        <f>VLOOKUP($A27,#REF!,30,0)</f>
        <v>#REF!</v>
      </c>
      <c r="R27" s="43" t="e">
        <f>VLOOKUP($A27,#REF!,35,0)</f>
        <v>#REF!</v>
      </c>
      <c r="S27" s="43" t="e">
        <f>IF(Q27=0,P27-R27-Q27,P27-R27)</f>
        <v>#REF!</v>
      </c>
      <c r="T27" s="43"/>
      <c r="U27" s="43"/>
      <c r="V27" s="44" t="e">
        <f t="shared" si="2"/>
        <v>#REF!</v>
      </c>
      <c r="W27" s="43">
        <v>125025.722491623</v>
      </c>
      <c r="X27" s="11" t="e">
        <f t="shared" si="5"/>
        <v>#REF!</v>
      </c>
      <c r="Y27" s="2"/>
      <c r="Z27" s="2"/>
    </row>
    <row r="28" spans="1:26" x14ac:dyDescent="0.35">
      <c r="A28" s="1" t="s">
        <v>44</v>
      </c>
      <c r="B28" s="1" t="str">
        <f>VLOOKUP(A28,[25]LISTADHERENT!A$5:H$60,3,0)</f>
        <v>NKEPSEU DIEUDONNE</v>
      </c>
      <c r="C28" s="6" t="e">
        <f>VLOOKUP($A28,#REF!,3,0)</f>
        <v>#REF!</v>
      </c>
      <c r="D28" s="6" t="e">
        <f>VLOOKUP($A28,#REF!,4,0)</f>
        <v>#REF!</v>
      </c>
      <c r="E28" s="6" t="e">
        <f>VLOOKUP($A28,#REF!,5,0)</f>
        <v>#REF!</v>
      </c>
      <c r="F28" s="6" t="e">
        <f>VLOOKUP($A28,#REF!,6,0)</f>
        <v>#REF!</v>
      </c>
      <c r="G28" s="6" t="e">
        <f>VLOOKUP($A28,#REF!,7,0)</f>
        <v>#REF!</v>
      </c>
      <c r="H28" s="6" t="e">
        <f>VLOOKUP($A28,#REF!,11,0)</f>
        <v>#REF!</v>
      </c>
      <c r="I28" s="43"/>
      <c r="J28" s="43"/>
      <c r="K28" s="43" t="e">
        <f t="shared" si="0"/>
        <v>#REF!</v>
      </c>
      <c r="L28" s="43"/>
      <c r="M28" s="43">
        <v>20000</v>
      </c>
      <c r="N28" s="43">
        <v>30000</v>
      </c>
      <c r="O28" s="43">
        <f t="shared" si="1"/>
        <v>50000</v>
      </c>
      <c r="P28" s="43" t="e">
        <f t="shared" si="3"/>
        <v>#REF!</v>
      </c>
      <c r="Q28" s="43" t="e">
        <f>VLOOKUP($A28,#REF!,30,0)</f>
        <v>#REF!</v>
      </c>
      <c r="R28" s="43" t="e">
        <f>VLOOKUP($A28,#REF!,35,0)</f>
        <v>#REF!</v>
      </c>
      <c r="S28" s="43" t="e">
        <f t="shared" si="4"/>
        <v>#REF!</v>
      </c>
      <c r="T28" s="43">
        <v>70000</v>
      </c>
      <c r="U28" s="43"/>
      <c r="V28" s="44" t="e">
        <f t="shared" si="2"/>
        <v>#REF!</v>
      </c>
      <c r="W28" s="43">
        <v>0</v>
      </c>
      <c r="X28" s="11"/>
      <c r="Y28" s="2" t="s">
        <v>20</v>
      </c>
      <c r="Z28" s="2"/>
    </row>
    <row r="29" spans="1:26" s="14" customFormat="1" x14ac:dyDescent="0.35">
      <c r="A29" s="1" t="s">
        <v>45</v>
      </c>
      <c r="B29" s="1" t="str">
        <f>VLOOKUP(A29,[25]LISTADHERENT!A$5:H$60,3,0)</f>
        <v>PATEGO NJOSSU GUSTAVE</v>
      </c>
      <c r="C29" s="6" t="e">
        <f>VLOOKUP($A29,#REF!,3,0)</f>
        <v>#REF!</v>
      </c>
      <c r="D29" s="6" t="e">
        <f>VLOOKUP($A29,#REF!,4,0)</f>
        <v>#REF!</v>
      </c>
      <c r="E29" s="6" t="e">
        <f>VLOOKUP($A29,#REF!,5,0)</f>
        <v>#REF!</v>
      </c>
      <c r="F29" s="6" t="e">
        <f>VLOOKUP($A29,#REF!,6,0)</f>
        <v>#REF!</v>
      </c>
      <c r="G29" s="6" t="e">
        <f>VLOOKUP($A29,#REF!,7,0)</f>
        <v>#REF!</v>
      </c>
      <c r="H29" s="6" t="e">
        <f>VLOOKUP($A29,#REF!,11,0)</f>
        <v>#REF!</v>
      </c>
      <c r="I29" s="46"/>
      <c r="J29" s="46"/>
      <c r="K29" s="43" t="e">
        <f t="shared" si="0"/>
        <v>#REF!</v>
      </c>
      <c r="L29" s="46"/>
      <c r="M29" s="43">
        <v>20000</v>
      </c>
      <c r="N29" s="43">
        <v>30000</v>
      </c>
      <c r="O29" s="43">
        <f t="shared" si="1"/>
        <v>50000</v>
      </c>
      <c r="P29" s="43" t="e">
        <f t="shared" si="3"/>
        <v>#REF!</v>
      </c>
      <c r="Q29" s="43" t="e">
        <f>VLOOKUP($A29,#REF!,30,0)</f>
        <v>#REF!</v>
      </c>
      <c r="R29" s="43" t="e">
        <f>VLOOKUP($A29,#REF!,35,0)</f>
        <v>#REF!</v>
      </c>
      <c r="S29" s="43" t="e">
        <f t="shared" si="4"/>
        <v>#REF!</v>
      </c>
      <c r="T29" s="43">
        <v>50000</v>
      </c>
      <c r="U29" s="43"/>
      <c r="V29" s="44" t="e">
        <f t="shared" si="2"/>
        <v>#REF!</v>
      </c>
      <c r="W29" s="43">
        <v>0</v>
      </c>
      <c r="X29" s="11"/>
      <c r="Y29" s="11"/>
      <c r="Z29" s="11"/>
    </row>
    <row r="30" spans="1:26" ht="14.25" customHeight="1" x14ac:dyDescent="0.35">
      <c r="A30" s="1" t="s">
        <v>81</v>
      </c>
      <c r="B30" s="1" t="str">
        <f>VLOOKUP(A30,[25]LISTADHERENT!A$5:H$60,3,0)</f>
        <v>SIME BRICE</v>
      </c>
      <c r="C30" s="6" t="e">
        <f>VLOOKUP($A30,#REF!,3,0)</f>
        <v>#REF!</v>
      </c>
      <c r="D30" s="6" t="e">
        <f>VLOOKUP($A30,#REF!,4,0)</f>
        <v>#REF!</v>
      </c>
      <c r="E30" s="6" t="e">
        <f>VLOOKUP($A30,#REF!,5,0)</f>
        <v>#REF!</v>
      </c>
      <c r="F30" s="6" t="e">
        <f>VLOOKUP($A30,#REF!,6,0)</f>
        <v>#REF!</v>
      </c>
      <c r="G30" s="6" t="e">
        <f>VLOOKUP($A30,#REF!,7,0)</f>
        <v>#REF!</v>
      </c>
      <c r="H30" s="6" t="e">
        <f>VLOOKUP($A30,#REF!,11,0)</f>
        <v>#REF!</v>
      </c>
      <c r="I30" s="43"/>
      <c r="J30" s="43"/>
      <c r="K30" s="43" t="e">
        <f t="shared" si="0"/>
        <v>#REF!</v>
      </c>
      <c r="L30" s="43"/>
      <c r="M30" s="43">
        <v>20000</v>
      </c>
      <c r="N30" s="43">
        <v>30000</v>
      </c>
      <c r="O30" s="43">
        <f t="shared" si="1"/>
        <v>50000</v>
      </c>
      <c r="P30" s="43" t="e">
        <f t="shared" si="3"/>
        <v>#REF!</v>
      </c>
      <c r="Q30" s="43" t="e">
        <f>VLOOKUP($A30,#REF!,30,0)+100000</f>
        <v>#REF!</v>
      </c>
      <c r="R30" s="43" t="e">
        <f>VLOOKUP($A30,#REF!,35,0)</f>
        <v>#REF!</v>
      </c>
      <c r="S30" s="43" t="e">
        <f>IF(Q30=0,P30-R30-Q30,P30-R30)-W30-100000</f>
        <v>#REF!</v>
      </c>
      <c r="T30" s="43">
        <v>50000</v>
      </c>
      <c r="U30" s="43"/>
      <c r="V30" s="44" t="e">
        <f t="shared" si="2"/>
        <v>#REF!</v>
      </c>
      <c r="W30" s="43">
        <v>0</v>
      </c>
      <c r="X30" s="11"/>
      <c r="Y30" s="2"/>
      <c r="Z30" s="2"/>
    </row>
    <row r="31" spans="1:26" x14ac:dyDescent="0.35">
      <c r="A31" s="1" t="s">
        <v>47</v>
      </c>
      <c r="B31" s="1" t="str">
        <f>VLOOKUP(A31,[25]LISTADHERENT!A$5:H$60,3,0)</f>
        <v>SIMO FONGANG ERIC</v>
      </c>
      <c r="C31" s="6" t="e">
        <f>VLOOKUP($A31,#REF!,3,0)</f>
        <v>#REF!</v>
      </c>
      <c r="D31" s="6" t="e">
        <f>VLOOKUP($A31,#REF!,4,0)</f>
        <v>#REF!</v>
      </c>
      <c r="E31" s="6" t="e">
        <f>VLOOKUP($A31,#REF!,5,0)</f>
        <v>#REF!</v>
      </c>
      <c r="F31" s="6" t="e">
        <f>VLOOKUP($A31,#REF!,6,0)</f>
        <v>#REF!</v>
      </c>
      <c r="G31" s="6" t="e">
        <f>VLOOKUP($A31,#REF!,7,0)</f>
        <v>#REF!</v>
      </c>
      <c r="H31" s="6" t="e">
        <f>VLOOKUP($A31,#REF!,11,0)</f>
        <v>#REF!</v>
      </c>
      <c r="I31" s="43"/>
      <c r="J31" s="43"/>
      <c r="K31" s="43" t="e">
        <f t="shared" si="0"/>
        <v>#REF!</v>
      </c>
      <c r="L31" s="43"/>
      <c r="M31" s="43">
        <v>20000</v>
      </c>
      <c r="N31" s="43">
        <v>30000</v>
      </c>
      <c r="O31" s="43">
        <f t="shared" si="1"/>
        <v>50000</v>
      </c>
      <c r="P31" s="43"/>
      <c r="Q31" s="43" t="e">
        <f>VLOOKUP($A31,#REF!,30,0)</f>
        <v>#REF!</v>
      </c>
      <c r="R31" s="43" t="e">
        <f>VLOOKUP($A31,#REF!,35,0)</f>
        <v>#REF!</v>
      </c>
      <c r="S31" s="43" t="e">
        <f>IF(Q31=0,P31-R31-Q31,P31-R31)</f>
        <v>#REF!</v>
      </c>
      <c r="T31" s="43"/>
      <c r="U31" s="43"/>
      <c r="V31" s="44" t="e">
        <f t="shared" si="2"/>
        <v>#REF!</v>
      </c>
      <c r="W31" s="43">
        <v>96690.6257568859</v>
      </c>
      <c r="X31" s="11" t="e">
        <f t="shared" si="5"/>
        <v>#REF!</v>
      </c>
      <c r="Y31" s="2"/>
      <c r="Z31" s="2"/>
    </row>
    <row r="32" spans="1:26" x14ac:dyDescent="0.35">
      <c r="A32" s="1" t="s">
        <v>49</v>
      </c>
      <c r="B32" s="1" t="str">
        <f>VLOOKUP(A32,[25]LISTADHERENT!A$5:H$60,3,0)</f>
        <v>SIMO PIERRE</v>
      </c>
      <c r="C32" s="6" t="e">
        <f>VLOOKUP($A32,#REF!,3,0)</f>
        <v>#REF!</v>
      </c>
      <c r="D32" s="6" t="e">
        <f>VLOOKUP($A32,#REF!,4,0)</f>
        <v>#REF!</v>
      </c>
      <c r="E32" s="6" t="e">
        <f>VLOOKUP($A32,#REF!,5,0)</f>
        <v>#REF!</v>
      </c>
      <c r="F32" s="6" t="e">
        <f>VLOOKUP($A32,#REF!,6,0)</f>
        <v>#REF!</v>
      </c>
      <c r="G32" s="6" t="e">
        <f>VLOOKUP($A32,#REF!,7,0)</f>
        <v>#REF!</v>
      </c>
      <c r="H32" s="6" t="e">
        <f>VLOOKUP($A32,#REF!,11,0)</f>
        <v>#REF!</v>
      </c>
      <c r="I32" s="43"/>
      <c r="J32" s="43"/>
      <c r="K32" s="43" t="e">
        <f t="shared" si="0"/>
        <v>#REF!</v>
      </c>
      <c r="L32" s="43"/>
      <c r="M32" s="43">
        <v>20000</v>
      </c>
      <c r="N32" s="43">
        <v>30000</v>
      </c>
      <c r="O32" s="43">
        <f t="shared" si="1"/>
        <v>50000</v>
      </c>
      <c r="P32" s="43" t="e">
        <f t="shared" si="3"/>
        <v>#REF!</v>
      </c>
      <c r="Q32" s="43" t="e">
        <f>VLOOKUP($A32,#REF!,30,0)</f>
        <v>#REF!</v>
      </c>
      <c r="R32" s="43" t="e">
        <f>VLOOKUP($A32,#REF!,35,0)</f>
        <v>#REF!</v>
      </c>
      <c r="S32" s="43" t="e">
        <f t="shared" si="4"/>
        <v>#REF!</v>
      </c>
      <c r="T32" s="43">
        <v>100000</v>
      </c>
      <c r="U32" s="43"/>
      <c r="V32" s="44" t="e">
        <f t="shared" si="2"/>
        <v>#REF!</v>
      </c>
      <c r="W32" s="43">
        <v>0</v>
      </c>
      <c r="X32" s="11"/>
      <c r="Y32" s="2"/>
      <c r="Z32" s="2"/>
    </row>
    <row r="33" spans="1:26" x14ac:dyDescent="0.35">
      <c r="A33" s="1" t="s">
        <v>51</v>
      </c>
      <c r="B33" s="1" t="str">
        <f>VLOOKUP(A33,[25]LISTADHERENT!A$5:H$60,3,0)</f>
        <v>TCHOUAMOU MATHIEU</v>
      </c>
      <c r="C33" s="6" t="e">
        <f>VLOOKUP($A33,#REF!,3,0)</f>
        <v>#REF!</v>
      </c>
      <c r="D33" s="6" t="e">
        <f>VLOOKUP($A33,#REF!,4,0)</f>
        <v>#REF!</v>
      </c>
      <c r="E33" s="6" t="e">
        <f>VLOOKUP($A33,#REF!,5,0)</f>
        <v>#REF!</v>
      </c>
      <c r="F33" s="6" t="e">
        <f>VLOOKUP($A33,#REF!,6,0)</f>
        <v>#REF!</v>
      </c>
      <c r="G33" s="6" t="e">
        <f>VLOOKUP($A33,#REF!,7,0)</f>
        <v>#REF!</v>
      </c>
      <c r="H33" s="6" t="e">
        <f>VLOOKUP($A33,#REF!,11,0)</f>
        <v>#REF!</v>
      </c>
      <c r="I33" s="43"/>
      <c r="J33" s="43"/>
      <c r="K33" s="43" t="e">
        <f t="shared" si="0"/>
        <v>#REF!</v>
      </c>
      <c r="L33" s="43"/>
      <c r="M33" s="43">
        <v>20000</v>
      </c>
      <c r="N33" s="43">
        <v>30000</v>
      </c>
      <c r="O33" s="43">
        <f t="shared" si="1"/>
        <v>50000</v>
      </c>
      <c r="P33" s="43" t="e">
        <f t="shared" si="3"/>
        <v>#REF!</v>
      </c>
      <c r="Q33" s="43" t="e">
        <f>VLOOKUP($A33,#REF!,30,0)</f>
        <v>#REF!</v>
      </c>
      <c r="R33" s="43" t="e">
        <f>VLOOKUP($A33,#REF!,35,0)</f>
        <v>#REF!</v>
      </c>
      <c r="S33" s="43" t="e">
        <f t="shared" si="4"/>
        <v>#REF!</v>
      </c>
      <c r="T33" s="43">
        <v>40000</v>
      </c>
      <c r="U33" s="43"/>
      <c r="V33" s="44" t="e">
        <f t="shared" si="2"/>
        <v>#REF!</v>
      </c>
      <c r="W33" s="43">
        <v>0</v>
      </c>
      <c r="X33" s="11"/>
      <c r="Y33" s="2"/>
      <c r="Z33" s="2"/>
    </row>
    <row r="34" spans="1:26" ht="14.25" customHeight="1" x14ac:dyDescent="0.35">
      <c r="A34" s="1" t="s">
        <v>54</v>
      </c>
      <c r="B34" s="1" t="str">
        <f>VLOOKUP(A34,[25]LISTADHERENT!A$5:H$60,3,0)</f>
        <v>TIEYAM ERNEST</v>
      </c>
      <c r="C34" s="6" t="e">
        <f>VLOOKUP($A34,#REF!,3,0)</f>
        <v>#REF!</v>
      </c>
      <c r="D34" s="6" t="e">
        <f>VLOOKUP($A34,#REF!,4,0)</f>
        <v>#REF!</v>
      </c>
      <c r="E34" s="6" t="e">
        <f>VLOOKUP($A34,#REF!,5,0)</f>
        <v>#REF!</v>
      </c>
      <c r="F34" s="6" t="e">
        <f>VLOOKUP($A34,#REF!,6,0)</f>
        <v>#REF!</v>
      </c>
      <c r="G34" s="6" t="e">
        <f>VLOOKUP($A34,#REF!,7,0)</f>
        <v>#REF!</v>
      </c>
      <c r="H34" s="6" t="e">
        <f>VLOOKUP($A34,#REF!,11,0)</f>
        <v>#REF!</v>
      </c>
      <c r="I34" s="43"/>
      <c r="J34" s="43"/>
      <c r="K34" s="43" t="e">
        <f t="shared" si="0"/>
        <v>#REF!</v>
      </c>
      <c r="L34" s="43"/>
      <c r="M34" s="43"/>
      <c r="N34" s="43"/>
      <c r="O34" s="43">
        <f t="shared" si="1"/>
        <v>0</v>
      </c>
      <c r="P34" s="43"/>
      <c r="Q34" s="43" t="e">
        <f>VLOOKUP($A34,#REF!,30,0)</f>
        <v>#REF!</v>
      </c>
      <c r="R34" s="43" t="e">
        <f>VLOOKUP($A34,#REF!,35,0)</f>
        <v>#REF!</v>
      </c>
      <c r="S34" s="43" t="e">
        <f>IF(Q34=0,P34-R34-Q34,P34-R34)</f>
        <v>#REF!</v>
      </c>
      <c r="T34" s="43"/>
      <c r="U34" s="43"/>
      <c r="V34" s="44" t="e">
        <f t="shared" si="2"/>
        <v>#REF!</v>
      </c>
      <c r="W34" s="43">
        <v>124491.721682991</v>
      </c>
      <c r="X34" s="11" t="e">
        <f t="shared" si="5"/>
        <v>#REF!</v>
      </c>
      <c r="Y34" s="2"/>
      <c r="Z34" s="2"/>
    </row>
    <row r="35" spans="1:26" s="14" customFormat="1" ht="13.5" customHeight="1" x14ac:dyDescent="0.35">
      <c r="A35" s="1" t="s">
        <v>55</v>
      </c>
      <c r="B35" s="1" t="str">
        <f>VLOOKUP(A35,[25]LISTADHERENT!A$5:H$60,3,0)</f>
        <v>YEPMOU JEAN JACQUES</v>
      </c>
      <c r="C35" s="6" t="e">
        <f>VLOOKUP($A35,#REF!,3,0)</f>
        <v>#REF!</v>
      </c>
      <c r="D35" s="6" t="e">
        <f>VLOOKUP($A35,#REF!,4,0)</f>
        <v>#REF!</v>
      </c>
      <c r="E35" s="6" t="e">
        <f>VLOOKUP($A35,#REF!,5,0)</f>
        <v>#REF!</v>
      </c>
      <c r="F35" s="6" t="e">
        <f>VLOOKUP($A35,#REF!,6,0)</f>
        <v>#REF!</v>
      </c>
      <c r="G35" s="6" t="e">
        <f>VLOOKUP($A35,#REF!,7,0)</f>
        <v>#REF!</v>
      </c>
      <c r="H35" s="6" t="e">
        <f>VLOOKUP($A35,#REF!,11,0)</f>
        <v>#REF!</v>
      </c>
      <c r="I35" s="46"/>
      <c r="J35" s="46"/>
      <c r="K35" s="43" t="e">
        <f t="shared" si="0"/>
        <v>#REF!</v>
      </c>
      <c r="L35" s="46"/>
      <c r="M35" s="43">
        <v>20000</v>
      </c>
      <c r="N35" s="43">
        <v>30000</v>
      </c>
      <c r="O35" s="43">
        <f t="shared" si="1"/>
        <v>50000</v>
      </c>
      <c r="P35" s="43" t="e">
        <f>IF(Q35&lt;70000,K35-O35-(70000-Q35),K35-O35)-30000</f>
        <v>#REF!</v>
      </c>
      <c r="Q35" s="43" t="e">
        <f>VLOOKUP($A35,#REF!,30,0)</f>
        <v>#REF!</v>
      </c>
      <c r="R35" s="43" t="e">
        <f>VLOOKUP($A35,#REF!,35,0)</f>
        <v>#REF!</v>
      </c>
      <c r="S35" s="43" t="e">
        <f t="shared" si="4"/>
        <v>#REF!</v>
      </c>
      <c r="T35" s="43"/>
      <c r="U35" s="43"/>
      <c r="V35" s="44" t="e">
        <f t="shared" si="2"/>
        <v>#REF!</v>
      </c>
      <c r="W35" s="43">
        <v>0</v>
      </c>
      <c r="X35" s="11"/>
    </row>
    <row r="36" spans="1:26" x14ac:dyDescent="0.35">
      <c r="A36" s="1" t="s">
        <v>56</v>
      </c>
      <c r="B36" s="1" t="str">
        <f>VLOOKUP(A36,[25]LISTADHERENT!A$5:H$60,3,0)</f>
        <v>YOUMBI EMMANUEL</v>
      </c>
      <c r="C36" s="6" t="e">
        <f>VLOOKUP($A36,#REF!,3,0)</f>
        <v>#REF!</v>
      </c>
      <c r="D36" s="6" t="e">
        <f>VLOOKUP($A36,#REF!,4,0)</f>
        <v>#REF!</v>
      </c>
      <c r="E36" s="6" t="e">
        <f>VLOOKUP($A36,#REF!,5,0)</f>
        <v>#REF!</v>
      </c>
      <c r="F36" s="6" t="e">
        <f>VLOOKUP($A36,#REF!,6,0)</f>
        <v>#REF!</v>
      </c>
      <c r="G36" s="6" t="e">
        <f>VLOOKUP($A36,#REF!,7,0)</f>
        <v>#REF!</v>
      </c>
      <c r="H36" s="6" t="e">
        <f>VLOOKUP($A36,#REF!,11,0)</f>
        <v>#REF!</v>
      </c>
      <c r="I36" s="43"/>
      <c r="J36" s="43"/>
      <c r="K36" s="43" t="e">
        <f t="shared" si="0"/>
        <v>#REF!</v>
      </c>
      <c r="L36" s="43"/>
      <c r="M36" s="43">
        <v>20000</v>
      </c>
      <c r="N36" s="43">
        <v>30000</v>
      </c>
      <c r="O36" s="43">
        <f t="shared" si="1"/>
        <v>50000</v>
      </c>
      <c r="P36" s="43" t="e">
        <f t="shared" si="3"/>
        <v>#REF!</v>
      </c>
      <c r="Q36" s="43" t="e">
        <f>VLOOKUP($A36,#REF!,30,0)</f>
        <v>#REF!</v>
      </c>
      <c r="R36" s="43" t="e">
        <f>VLOOKUP($A36,#REF!,35,0)</f>
        <v>#REF!</v>
      </c>
      <c r="S36" s="43" t="e">
        <f t="shared" si="4"/>
        <v>#REF!</v>
      </c>
      <c r="T36" s="43"/>
      <c r="U36" s="43"/>
      <c r="V36" s="44" t="e">
        <f t="shared" si="2"/>
        <v>#REF!</v>
      </c>
      <c r="W36" s="43">
        <v>0</v>
      </c>
      <c r="X36" s="11"/>
    </row>
    <row r="37" spans="1:26" x14ac:dyDescent="0.35">
      <c r="A37" s="133"/>
      <c r="B37" s="1"/>
      <c r="C37" s="130"/>
      <c r="D37" s="130"/>
      <c r="E37" s="6"/>
      <c r="F37" s="6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43"/>
      <c r="T37" s="130"/>
      <c r="U37" s="130"/>
      <c r="V37" s="134"/>
      <c r="W37" s="43"/>
    </row>
    <row r="38" spans="1:26" ht="18" thickBot="1" x14ac:dyDescent="0.4">
      <c r="A38" s="53" t="s">
        <v>57</v>
      </c>
      <c r="B38" s="68"/>
      <c r="C38" s="73" t="e">
        <f>SUM(C6:C37)</f>
        <v>#REF!</v>
      </c>
      <c r="D38" s="73" t="e">
        <f t="shared" ref="D38:X38" si="6">SUM(D6:D37)</f>
        <v>#REF!</v>
      </c>
      <c r="E38" s="73" t="e">
        <f t="shared" si="6"/>
        <v>#REF!</v>
      </c>
      <c r="F38" s="73" t="e">
        <f t="shared" si="6"/>
        <v>#REF!</v>
      </c>
      <c r="G38" s="73" t="e">
        <f t="shared" si="6"/>
        <v>#REF!</v>
      </c>
      <c r="H38" s="73" t="e">
        <f t="shared" si="6"/>
        <v>#REF!</v>
      </c>
      <c r="I38" s="73">
        <f t="shared" si="6"/>
        <v>0</v>
      </c>
      <c r="J38" s="73">
        <f t="shared" si="6"/>
        <v>0</v>
      </c>
      <c r="K38" s="73" t="e">
        <f t="shared" si="6"/>
        <v>#REF!</v>
      </c>
      <c r="L38" s="73">
        <f t="shared" si="6"/>
        <v>0</v>
      </c>
      <c r="M38" s="73">
        <f t="shared" si="6"/>
        <v>540000</v>
      </c>
      <c r="N38" s="73">
        <f t="shared" si="6"/>
        <v>810000</v>
      </c>
      <c r="O38" s="73">
        <f t="shared" si="6"/>
        <v>1350000</v>
      </c>
      <c r="P38" s="73" t="e">
        <f t="shared" si="6"/>
        <v>#REF!</v>
      </c>
      <c r="Q38" s="73" t="e">
        <f t="shared" si="6"/>
        <v>#REF!</v>
      </c>
      <c r="R38" s="73" t="e">
        <f t="shared" si="6"/>
        <v>#REF!</v>
      </c>
      <c r="S38" s="73" t="e">
        <f t="shared" si="6"/>
        <v>#REF!</v>
      </c>
      <c r="T38" s="73">
        <f t="shared" si="6"/>
        <v>1201000</v>
      </c>
      <c r="U38" s="73">
        <f t="shared" si="6"/>
        <v>816544</v>
      </c>
      <c r="V38" s="73" t="e">
        <f t="shared" si="6"/>
        <v>#REF!</v>
      </c>
      <c r="W38" s="73">
        <f t="shared" si="6"/>
        <v>482701.34242992994</v>
      </c>
      <c r="X38" s="73" t="e">
        <f t="shared" si="6"/>
        <v>#REF!</v>
      </c>
    </row>
    <row r="39" spans="1:26" ht="15" thickTop="1" x14ac:dyDescent="0.35">
      <c r="G39" t="s">
        <v>311</v>
      </c>
    </row>
    <row r="40" spans="1:26" x14ac:dyDescent="0.35">
      <c r="E40" s="6">
        <v>30000</v>
      </c>
      <c r="F40" s="6"/>
      <c r="G40" s="6"/>
      <c r="H40" s="6"/>
      <c r="I40" s="6"/>
      <c r="J40" s="6"/>
      <c r="K40" s="6"/>
      <c r="L40" s="6"/>
    </row>
    <row r="41" spans="1:26" x14ac:dyDescent="0.35">
      <c r="F41" s="6">
        <v>23000</v>
      </c>
      <c r="G41" s="6">
        <v>2000</v>
      </c>
      <c r="H41" s="6">
        <f>F41+G41</f>
        <v>25000</v>
      </c>
      <c r="I41" s="6"/>
      <c r="J41" s="6"/>
      <c r="K41" s="6"/>
      <c r="L41" s="6"/>
      <c r="O41" s="2"/>
    </row>
    <row r="42" spans="1:26" x14ac:dyDescent="0.35">
      <c r="E42" t="s">
        <v>308</v>
      </c>
      <c r="F42" s="6">
        <v>500</v>
      </c>
      <c r="G42" s="6">
        <v>500</v>
      </c>
      <c r="H42" s="6">
        <f t="shared" ref="H42:H45" si="7">F42+G42</f>
        <v>1000</v>
      </c>
      <c r="I42" s="6"/>
      <c r="J42" s="6"/>
      <c r="K42" s="6"/>
      <c r="L42" s="6"/>
    </row>
    <row r="43" spans="1:26" x14ac:dyDescent="0.35">
      <c r="A43" s="1" t="s">
        <v>17</v>
      </c>
      <c r="B43" s="1" t="str">
        <f>VLOOKUP(A43,[25]LISTADHERENT!A$5:H$60,3,0)</f>
        <v>BAKOP ACHILLE</v>
      </c>
      <c r="C43" s="6" t="e">
        <f>VLOOKUP($A43,#REF!,3,0)</f>
        <v>#REF!</v>
      </c>
      <c r="E43" t="s">
        <v>309</v>
      </c>
      <c r="F43" s="6">
        <v>1000</v>
      </c>
      <c r="G43" s="6"/>
      <c r="H43" s="6">
        <f t="shared" si="7"/>
        <v>1000</v>
      </c>
      <c r="I43" s="6"/>
      <c r="J43" s="6"/>
      <c r="K43" s="6"/>
      <c r="L43" s="6"/>
    </row>
    <row r="44" spans="1:26" x14ac:dyDescent="0.35">
      <c r="A44" s="1" t="s">
        <v>301</v>
      </c>
      <c r="B44" s="1" t="str">
        <f>VLOOKUP(A44,[25]LISTADHERENT!A$5:H$60,3,0)</f>
        <v>HODIEP JULES</v>
      </c>
      <c r="C44" s="6" t="e">
        <f>VLOOKUP($A44,#REF!,3,0)</f>
        <v>#REF!</v>
      </c>
      <c r="E44" t="s">
        <v>310</v>
      </c>
      <c r="F44" s="6">
        <v>3000</v>
      </c>
      <c r="G44" s="6">
        <v>6000</v>
      </c>
      <c r="H44" s="6">
        <f t="shared" si="7"/>
        <v>9000</v>
      </c>
      <c r="I44" s="6">
        <f>H44*12</f>
        <v>108000</v>
      </c>
      <c r="J44" s="6"/>
      <c r="K44" s="6"/>
      <c r="L44" s="6"/>
    </row>
    <row r="45" spans="1:26" x14ac:dyDescent="0.35">
      <c r="A45" s="1" t="s">
        <v>300</v>
      </c>
      <c r="B45" s="1" t="str">
        <f>VLOOKUP(A45,[25]LISTADHERENT!A$5:H$60,3,0)</f>
        <v>NDOMBOU JEAN CLAUDE</v>
      </c>
      <c r="C45" s="6" t="e">
        <f>VLOOKUP($A45,#REF!,3,0)</f>
        <v>#REF!</v>
      </c>
      <c r="E45" t="s">
        <v>12</v>
      </c>
      <c r="F45" s="6">
        <v>2500</v>
      </c>
      <c r="G45" s="6">
        <v>1500</v>
      </c>
      <c r="H45" s="6">
        <f t="shared" si="7"/>
        <v>4000</v>
      </c>
      <c r="I45" s="6">
        <f>H45*26</f>
        <v>104000</v>
      </c>
      <c r="J45" s="6"/>
      <c r="K45" s="6"/>
      <c r="L45" s="6"/>
    </row>
    <row r="46" spans="1:26" x14ac:dyDescent="0.35">
      <c r="A46" s="1" t="s">
        <v>40</v>
      </c>
      <c r="B46" s="1" t="str">
        <f>VLOOKUP(A46,[25]LISTADHERENT!A$5:H$60,3,0)</f>
        <v>NGONGANG JEAN THEODORE</v>
      </c>
      <c r="C46" s="6" t="e">
        <f>VLOOKUP($A46,#REF!,3,0)</f>
        <v>#REF!</v>
      </c>
    </row>
    <row r="47" spans="1:26" x14ac:dyDescent="0.35">
      <c r="A47" s="1" t="s">
        <v>80</v>
      </c>
      <c r="B47" s="1" t="str">
        <f>VLOOKUP(A47,[25]LISTADHERENT!A$5:H$60,3,0)</f>
        <v>NGANHOU JEAN</v>
      </c>
      <c r="C47" s="6" t="e">
        <f>VLOOKUP($A47,#REF!,3,0)</f>
        <v>#REF!</v>
      </c>
      <c r="F47" s="6">
        <f t="shared" ref="F47:H47" si="8">SUM(F41:F46)</f>
        <v>30000</v>
      </c>
      <c r="G47" s="6">
        <f t="shared" si="8"/>
        <v>10000</v>
      </c>
      <c r="H47" s="6">
        <f t="shared" si="8"/>
        <v>40000</v>
      </c>
      <c r="I47" s="6"/>
      <c r="J47" s="6"/>
      <c r="K47" s="6"/>
    </row>
    <row r="49" spans="1:21" ht="17.5" x14ac:dyDescent="0.35">
      <c r="A49" s="1" t="s">
        <v>57</v>
      </c>
      <c r="B49" s="1"/>
      <c r="C49" s="9" t="e">
        <f>SUM(C43:C48)</f>
        <v>#REF!</v>
      </c>
      <c r="L49" s="138"/>
      <c r="M49" s="138"/>
      <c r="N49" s="2"/>
      <c r="O49" s="2"/>
      <c r="P49" s="2"/>
      <c r="Q49" s="2"/>
      <c r="R49" s="2"/>
      <c r="S49" s="2"/>
      <c r="T49" s="2"/>
      <c r="U49"/>
    </row>
  </sheetData>
  <autoFilter ref="A5:U38" xr:uid="{00000000-0009-0000-0000-00002C000000}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46</vt:i4>
      </vt:variant>
      <vt:variant>
        <vt:lpstr>Plages nommées</vt:lpstr>
      </vt:variant>
      <vt:variant>
        <vt:i4>11</vt:i4>
      </vt:variant>
    </vt:vector>
  </HeadingPairs>
  <TitlesOfParts>
    <vt:vector size="57" baseType="lpstr">
      <vt:lpstr>TAF</vt:lpstr>
      <vt:lpstr>MODEVERSEMENT</vt:lpstr>
      <vt:lpstr>MODET25000</vt:lpstr>
      <vt:lpstr>MVTDEC21</vt:lpstr>
      <vt:lpstr>MVTDEC22</vt:lpstr>
      <vt:lpstr>MVTDEC23</vt:lpstr>
      <vt:lpstr>MVTJANV24</vt:lpstr>
      <vt:lpstr>MVTFEV24</vt:lpstr>
      <vt:lpstr>MVTMARS24</vt:lpstr>
      <vt:lpstr>MVTAVRIL24</vt:lpstr>
      <vt:lpstr>MVTMAI24</vt:lpstr>
      <vt:lpstr>MVTJUIN24</vt:lpstr>
      <vt:lpstr>MVTJUIL24</vt:lpstr>
      <vt:lpstr>MVTAOUT24</vt:lpstr>
      <vt:lpstr>MVTSEPT24</vt:lpstr>
      <vt:lpstr>MVTOCT24</vt:lpstr>
      <vt:lpstr>MVTNOV24</vt:lpstr>
      <vt:lpstr>MVTDEC24</vt:lpstr>
      <vt:lpstr>MVTRESUME24</vt:lpstr>
      <vt:lpstr>MVTRESUME24EDIT</vt:lpstr>
      <vt:lpstr>MVTREPARTITION2022</vt:lpstr>
      <vt:lpstr>BILAN 2022</vt:lpstr>
      <vt:lpstr>MVTREPARTITIONEDIT (2)</vt:lpstr>
      <vt:lpstr>MVTREPARTITION2021 (2)</vt:lpstr>
      <vt:lpstr>MVTREPARTITION2021DEF</vt:lpstr>
      <vt:lpstr>PARTAGE INTERET T100</vt:lpstr>
      <vt:lpstr>CPTECHINGUE</vt:lpstr>
      <vt:lpstr>CPTEKEHEPDAVID)</vt:lpstr>
      <vt:lpstr>CPTEKOUAMOEMMANUEL</vt:lpstr>
      <vt:lpstr>CPTETCHOUANTE</vt:lpstr>
      <vt:lpstr>CPTENJEPDJIO</vt:lpstr>
      <vt:lpstr>CPTETCHOUTOU</vt:lpstr>
      <vt:lpstr>MVTRESUME2019</vt:lpstr>
      <vt:lpstr>CPTETYAMERNEST</vt:lpstr>
      <vt:lpstr>CPTEFOGANGERIC</vt:lpstr>
      <vt:lpstr>CPTEFOTSOTHOMAS</vt:lpstr>
      <vt:lpstr>VP KOUAMOPEGUY</vt:lpstr>
      <vt:lpstr>SITUATION KEPSEU</vt:lpstr>
      <vt:lpstr>BAKOPACHILLE</vt:lpstr>
      <vt:lpstr>Feuil1</vt:lpstr>
      <vt:lpstr>MVTRESUMEEDIT2019</vt:lpstr>
      <vt:lpstr>MVTRESUMETAB</vt:lpstr>
      <vt:lpstr>MVTRESUME20BACKUP</vt:lpstr>
      <vt:lpstr>GESTTRESORERIE</vt:lpstr>
      <vt:lpstr>MVTJANV212</vt:lpstr>
      <vt:lpstr>MVTREPARTITION2022 (2)</vt:lpstr>
      <vt:lpstr>'MVTREPARTITION2021 (2)'!Impression_des_titres</vt:lpstr>
      <vt:lpstr>MVTREPARTITION2021DEF!Impression_des_titres</vt:lpstr>
      <vt:lpstr>MVTREPARTITION2022!Impression_des_titres</vt:lpstr>
      <vt:lpstr>'MVTREPARTITION2022 (2)'!Impression_des_titres</vt:lpstr>
      <vt:lpstr>'MVTREPARTITIONEDIT (2)'!Impression_des_titres</vt:lpstr>
      <vt:lpstr>MVTRESUME24!Impression_des_titres</vt:lpstr>
      <vt:lpstr>MVTRESUME24EDIT!Impression_des_titres</vt:lpstr>
      <vt:lpstr>MVTRESUMEEDIT2019!Impression_des_titres</vt:lpstr>
      <vt:lpstr>MODEPAIDOK</vt:lpstr>
      <vt:lpstr>MODET25000!MODEVERSEMENTS</vt:lpstr>
      <vt:lpstr>MODEVERSEMENT!MODEVERSEMENTS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cp:lastPrinted>2020-12-03T08:08:57Z</cp:lastPrinted>
  <dcterms:created xsi:type="dcterms:W3CDTF">2017-07-22T11:02:10Z</dcterms:created>
  <dcterms:modified xsi:type="dcterms:W3CDTF">2025-12-19T07:43:47Z</dcterms:modified>
</cp:coreProperties>
</file>