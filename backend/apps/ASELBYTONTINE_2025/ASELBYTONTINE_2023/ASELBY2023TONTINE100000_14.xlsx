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firstSheet="9" activeTab="13"/>
  </bookViews>
  <sheets>
    <sheet name="MODEPAID" sheetId="3" r:id="rId1"/>
    <sheet name="TONTJANV23" sheetId="88" r:id="rId2"/>
    <sheet name="TONTFEV23" sheetId="89" r:id="rId3"/>
    <sheet name="TONTMARS23" sheetId="90" r:id="rId4"/>
    <sheet name="TONTAVRIL23" sheetId="91" r:id="rId5"/>
    <sheet name="TONTMAI23" sheetId="92" r:id="rId6"/>
    <sheet name="TONTJUIN23" sheetId="93" r:id="rId7"/>
    <sheet name="TONTJUIL23" sheetId="94" r:id="rId8"/>
    <sheet name="TONTAOUT23" sheetId="95" r:id="rId9"/>
    <sheet name="TONTSEPT23" sheetId="96" r:id="rId10"/>
    <sheet name="TONTOCT23" sheetId="97" r:id="rId11"/>
    <sheet name="TONTNOV23" sheetId="98" r:id="rId12"/>
    <sheet name="TONTDEC23" sheetId="99" r:id="rId13"/>
    <sheet name="TONTRESUME23" sheetId="100" r:id="rId14"/>
    <sheet name="SYNTHESE" sheetId="101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8" hidden="1">TONTAOUT23!$A$5:$P$17</definedName>
    <definedName name="_xlnm._FilterDatabase" localSheetId="4" hidden="1">TONTAVRIL23!$A$5:$P$17</definedName>
    <definedName name="_xlnm._FilterDatabase" localSheetId="12" hidden="1">TONTDEC23!$A$5:$P$17</definedName>
    <definedName name="_xlnm._FilterDatabase" localSheetId="2" hidden="1">TONTFEV23!$A$5:$P$17</definedName>
    <definedName name="_xlnm._FilterDatabase" localSheetId="1" hidden="1">TONTJANV23!$A$5:$P$17</definedName>
    <definedName name="_xlnm._FilterDatabase" localSheetId="7" hidden="1">TONTJUIL23!$A$5:$P$17</definedName>
    <definedName name="_xlnm._FilterDatabase" localSheetId="6" hidden="1">TONTJUIN23!$A$5:$P$17</definedName>
    <definedName name="_xlnm._FilterDatabase" localSheetId="5" hidden="1">TONTMAI23!$A$5:$P$17</definedName>
    <definedName name="_xlnm._FilterDatabase" localSheetId="3" hidden="1">TONTMARS23!$A$5:$P$17</definedName>
    <definedName name="_xlnm._FilterDatabase" localSheetId="11" hidden="1">TONTNOV23!$A$5:$P$17</definedName>
    <definedName name="_xlnm._FilterDatabase" localSheetId="10" hidden="1">TONTOCT23!$A$5:$P$17</definedName>
    <definedName name="_xlnm._FilterDatabase" localSheetId="13" hidden="1">TONTRESUME23!$A$5:$P$17</definedName>
    <definedName name="_xlnm._FilterDatabase" localSheetId="9" hidden="1">TONTSEPT23!$A$5:$P$17</definedName>
    <definedName name="BANQUE" localSheetId="8">#REF!</definedName>
    <definedName name="BANQUE" localSheetId="4">#REF!</definedName>
    <definedName name="BANQUE" localSheetId="12">#REF!</definedName>
    <definedName name="BANQUE" localSheetId="2">#REF!</definedName>
    <definedName name="BANQUE" localSheetId="1">#REF!</definedName>
    <definedName name="BANQUE" localSheetId="7">#REF!</definedName>
    <definedName name="BANQUE" localSheetId="6">#REF!</definedName>
    <definedName name="BANQUE" localSheetId="5">#REF!</definedName>
    <definedName name="BANQUE" localSheetId="3">#REF!</definedName>
    <definedName name="BANQUE" localSheetId="11">#REF!</definedName>
    <definedName name="BANQUE" localSheetId="10">#REF!</definedName>
    <definedName name="BANQUE" localSheetId="13">#REF!</definedName>
    <definedName name="BANQUE" localSheetId="9">#REF!</definedName>
    <definedName name="BANQUE">#REF!</definedName>
    <definedName name="MODEPAID" localSheetId="0">MODEPAID!$A$1:$A$3</definedName>
    <definedName name="MODEPAID" localSheetId="8">[1]Feuil2!$A$1:$A$3</definedName>
    <definedName name="MODEPAID" localSheetId="4">[1]Feuil2!$A$1:$A$3</definedName>
    <definedName name="MODEPAID" localSheetId="12">[1]Feuil2!$A$1:$A$3</definedName>
    <definedName name="MODEPAID" localSheetId="2">[1]Feuil2!$A$1:$A$3</definedName>
    <definedName name="MODEPAID" localSheetId="1">[1]Feuil2!$A$1:$A$3</definedName>
    <definedName name="MODEPAID" localSheetId="7">[1]Feuil2!$A$1:$A$3</definedName>
    <definedName name="MODEPAID" localSheetId="6">[1]Feuil2!$A$1:$A$3</definedName>
    <definedName name="MODEPAID" localSheetId="5">[1]Feuil2!$A$1:$A$3</definedName>
    <definedName name="MODEPAID" localSheetId="3">[1]Feuil2!$A$1:$A$3</definedName>
    <definedName name="MODEPAID" localSheetId="11">[1]Feuil2!$A$1:$A$3</definedName>
    <definedName name="MODEPAID" localSheetId="10">[1]Feuil2!$A$1:$A$3</definedName>
    <definedName name="MODEPAID" localSheetId="13">[1]Feuil2!$A$1:$A$3</definedName>
    <definedName name="MODEPAID" localSheetId="9">[1]Feuil2!$A$1:$A$3</definedName>
    <definedName name="MODEPAID">#REF!</definedName>
    <definedName name="MODET25000">[2]MODEVERSEMENT!$A$1:$A$3</definedName>
    <definedName name="MODEVERSEMENT" localSheetId="8">#REF!</definedName>
    <definedName name="MODEVERSEMENT" localSheetId="4">#REF!</definedName>
    <definedName name="MODEVERSEMENT" localSheetId="12">#REF!</definedName>
    <definedName name="MODEVERSEMENT" localSheetId="2">#REF!</definedName>
    <definedName name="MODEVERSEMENT" localSheetId="1">#REF!</definedName>
    <definedName name="MODEVERSEMENT" localSheetId="7">#REF!</definedName>
    <definedName name="MODEVERSEMENT" localSheetId="6">#REF!</definedName>
    <definedName name="MODEVERSEMENT" localSheetId="5">#REF!</definedName>
    <definedName name="MODEVERSEMENT" localSheetId="3">#REF!</definedName>
    <definedName name="MODEVERSEMENT" localSheetId="11">#REF!</definedName>
    <definedName name="MODEVERSEMENT" localSheetId="10">#REF!</definedName>
    <definedName name="MODEVERSEMENT" localSheetId="13">#REF!</definedName>
    <definedName name="MODEVERSEMENT" localSheetId="9">#REF!</definedName>
    <definedName name="MODEVERSEMENT">#REF!</definedName>
    <definedName name="MODEVERSEMENTS" localSheetId="8">[3]MODEVERSEMENT!$A$1:$A$3</definedName>
    <definedName name="MODEVERSEMENTS" localSheetId="4">[3]MODEVERSEMENT!$A$1:$A$3</definedName>
    <definedName name="MODEVERSEMENTS" localSheetId="12">[3]MODEVERSEMENT!$A$1:$A$3</definedName>
    <definedName name="MODEVERSEMENTS" localSheetId="2">[3]MODEVERSEMENT!$A$1:$A$3</definedName>
    <definedName name="MODEVERSEMENTS" localSheetId="1">[3]MODEVERSEMENT!$A$1:$A$3</definedName>
    <definedName name="MODEVERSEMENTS" localSheetId="7">[3]MODEVERSEMENT!$A$1:$A$3</definedName>
    <definedName name="MODEVERSEMENTS" localSheetId="6">[3]MODEVERSEMENT!$A$1:$A$3</definedName>
    <definedName name="MODEVERSEMENTS" localSheetId="5">[3]MODEVERSEMENT!$A$1:$A$3</definedName>
    <definedName name="MODEVERSEMENTS" localSheetId="3">[3]MODEVERSEMENT!$A$1:$A$3</definedName>
    <definedName name="MODEVERSEMENTS" localSheetId="11">[3]MODEVERSEMENT!$A$1:$A$3</definedName>
    <definedName name="MODEVERSEMENTS" localSheetId="10">[3]MODEVERSEMENT!$A$1:$A$3</definedName>
    <definedName name="MODEVERSEMENTS" localSheetId="13">[3]MODEVERSEMENT!$A$1:$A$3</definedName>
    <definedName name="MODEVERSEMENTS" localSheetId="9">[3]MODEVERSEMENT!$A$1:$A$3</definedName>
    <definedName name="MODEVERSEMENTS">[4]MODEVERSEMENT!$A$1:$A$3</definedName>
    <definedName name="MODPAID" localSheetId="8">TONTAOUT23!#REF!</definedName>
    <definedName name="MODPAID" localSheetId="4">TONTAVRIL23!#REF!</definedName>
    <definedName name="MODPAID" localSheetId="12">TONTDEC23!#REF!</definedName>
    <definedName name="MODPAID" localSheetId="2">TONTFEV23!#REF!</definedName>
    <definedName name="MODPAID" localSheetId="1">TONTJANV23!#REF!</definedName>
    <definedName name="MODPAID" localSheetId="7">TONTJUIL23!#REF!</definedName>
    <definedName name="MODPAID" localSheetId="6">TONTJUIN23!#REF!</definedName>
    <definedName name="MODPAID" localSheetId="5">TONTMAI23!#REF!</definedName>
    <definedName name="MODPAID" localSheetId="3">TONTMARS23!#REF!</definedName>
    <definedName name="MODPAID" localSheetId="11">TONTNOV23!#REF!</definedName>
    <definedName name="MODPAID" localSheetId="10">TONTOCT23!#REF!</definedName>
    <definedName name="MODPAID" localSheetId="13">TONTRESUME23!#REF!</definedName>
    <definedName name="MODPAID" localSheetId="9">TONTSEPT23!#REF!</definedName>
    <definedName name="VALMODEPAID" localSheetId="8">[5]MODEPAID!$A$1:$A$3</definedName>
    <definedName name="VALMODEPAID" localSheetId="4">[5]MODEPAID!$A$1:$A$3</definedName>
    <definedName name="VALMODEPAID" localSheetId="12">[5]MODEPAID!$A$1:$A$3</definedName>
    <definedName name="VALMODEPAID" localSheetId="2">[5]MODEPAID!$A$1:$A$3</definedName>
    <definedName name="VALMODEPAID" localSheetId="1">[5]MODEPAID!$A$1:$A$3</definedName>
    <definedName name="VALMODEPAID" localSheetId="7">[5]MODEPAID!$A$1:$A$3</definedName>
    <definedName name="VALMODEPAID" localSheetId="6">[5]MODEPAID!$A$1:$A$3</definedName>
    <definedName name="VALMODEPAID" localSheetId="5">[5]MODEPAID!$A$1:$A$3</definedName>
    <definedName name="VALMODEPAID" localSheetId="3">[5]MODEPAID!$A$1:$A$3</definedName>
    <definedName name="VALMODEPAID" localSheetId="11">[5]MODEPAID!$A$1:$A$3</definedName>
    <definedName name="VALMODEPAID" localSheetId="10">[5]MODEPAID!$A$1:$A$3</definedName>
    <definedName name="VALMODEPAID" localSheetId="13">[5]MODEPAID!$A$1:$A$3</definedName>
    <definedName name="VALMODEPAID" localSheetId="9">[5]MODEPAID!$A$1:$A$3</definedName>
    <definedName name="VALMODEPAID">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0" i="100" l="1"/>
  <c r="P17" i="99" l="1"/>
  <c r="M17" i="99" s="1"/>
  <c r="N17" i="99"/>
  <c r="I17" i="99"/>
  <c r="G17" i="99"/>
  <c r="F17" i="99"/>
  <c r="H17" i="99" s="1"/>
  <c r="P16" i="99"/>
  <c r="M16" i="99" s="1"/>
  <c r="N16" i="99"/>
  <c r="I16" i="99"/>
  <c r="G16" i="99"/>
  <c r="F16" i="99"/>
  <c r="H16" i="99" s="1"/>
  <c r="P15" i="99"/>
  <c r="M15" i="99" s="1"/>
  <c r="N15" i="99"/>
  <c r="I15" i="99"/>
  <c r="G15" i="99"/>
  <c r="F15" i="99"/>
  <c r="H15" i="99" s="1"/>
  <c r="P14" i="99"/>
  <c r="M14" i="99" s="1"/>
  <c r="N14" i="99"/>
  <c r="I14" i="99"/>
  <c r="G14" i="99"/>
  <c r="F14" i="99"/>
  <c r="H14" i="99" s="1"/>
  <c r="P13" i="99"/>
  <c r="M13" i="99" s="1"/>
  <c r="N13" i="99"/>
  <c r="I13" i="99"/>
  <c r="G13" i="99"/>
  <c r="F13" i="99"/>
  <c r="H13" i="99" s="1"/>
  <c r="P12" i="99"/>
  <c r="M12" i="99" s="1"/>
  <c r="N12" i="99"/>
  <c r="I12" i="99"/>
  <c r="G12" i="99"/>
  <c r="F12" i="99"/>
  <c r="H12" i="99" s="1"/>
  <c r="P11" i="99"/>
  <c r="M11" i="99" s="1"/>
  <c r="N11" i="99"/>
  <c r="I11" i="99"/>
  <c r="G11" i="99"/>
  <c r="F11" i="99"/>
  <c r="H11" i="99" s="1"/>
  <c r="P10" i="99"/>
  <c r="M10" i="99" s="1"/>
  <c r="N10" i="99"/>
  <c r="I10" i="99"/>
  <c r="G10" i="99"/>
  <c r="F10" i="99"/>
  <c r="H10" i="99" s="1"/>
  <c r="P9" i="99"/>
  <c r="M9" i="99" s="1"/>
  <c r="N9" i="99"/>
  <c r="I9" i="99"/>
  <c r="G9" i="99"/>
  <c r="F9" i="99"/>
  <c r="H9" i="99" s="1"/>
  <c r="P8" i="99"/>
  <c r="M8" i="99" s="1"/>
  <c r="N8" i="99"/>
  <c r="I8" i="99"/>
  <c r="G8" i="99"/>
  <c r="F8" i="99"/>
  <c r="H8" i="99" s="1"/>
  <c r="P7" i="99"/>
  <c r="M7" i="99" s="1"/>
  <c r="N7" i="99"/>
  <c r="I7" i="99"/>
  <c r="G7" i="99"/>
  <c r="F7" i="99"/>
  <c r="H7" i="99" s="1"/>
  <c r="P6" i="99"/>
  <c r="M6" i="99" s="1"/>
  <c r="N6" i="99"/>
  <c r="I6" i="99"/>
  <c r="G6" i="99"/>
  <c r="F6" i="99"/>
  <c r="H6" i="99" s="1"/>
  <c r="P17" i="98"/>
  <c r="M17" i="98" s="1"/>
  <c r="N17" i="98"/>
  <c r="I17" i="98"/>
  <c r="G17" i="98"/>
  <c r="F17" i="98"/>
  <c r="H17" i="98" s="1"/>
  <c r="P16" i="98"/>
  <c r="M16" i="98" s="1"/>
  <c r="N16" i="98"/>
  <c r="I16" i="98"/>
  <c r="G16" i="98"/>
  <c r="F16" i="98"/>
  <c r="H16" i="98" s="1"/>
  <c r="P15" i="98"/>
  <c r="M15" i="98" s="1"/>
  <c r="N15" i="98"/>
  <c r="I15" i="98"/>
  <c r="G15" i="98"/>
  <c r="F15" i="98"/>
  <c r="P14" i="98"/>
  <c r="M14" i="98" s="1"/>
  <c r="N14" i="98"/>
  <c r="I14" i="98"/>
  <c r="G14" i="98"/>
  <c r="F14" i="98"/>
  <c r="H14" i="98" s="1"/>
  <c r="P13" i="98"/>
  <c r="M13" i="98" s="1"/>
  <c r="N13" i="98"/>
  <c r="I13" i="98"/>
  <c r="G13" i="98"/>
  <c r="F13" i="98"/>
  <c r="H13" i="98" s="1"/>
  <c r="P12" i="98"/>
  <c r="M12" i="98" s="1"/>
  <c r="N12" i="98"/>
  <c r="I12" i="98"/>
  <c r="G12" i="98"/>
  <c r="F12" i="98"/>
  <c r="P11" i="98"/>
  <c r="M11" i="98" s="1"/>
  <c r="N11" i="98"/>
  <c r="I11" i="98"/>
  <c r="G11" i="98"/>
  <c r="F11" i="98"/>
  <c r="P10" i="98"/>
  <c r="M10" i="98" s="1"/>
  <c r="N10" i="98"/>
  <c r="I10" i="98"/>
  <c r="G10" i="98"/>
  <c r="F10" i="98"/>
  <c r="H10" i="98" s="1"/>
  <c r="P9" i="98"/>
  <c r="M9" i="98" s="1"/>
  <c r="N9" i="98"/>
  <c r="I9" i="98"/>
  <c r="G9" i="98"/>
  <c r="F9" i="98"/>
  <c r="H9" i="98" s="1"/>
  <c r="P8" i="98"/>
  <c r="N8" i="98"/>
  <c r="I8" i="98"/>
  <c r="G8" i="98"/>
  <c r="F8" i="98"/>
  <c r="P7" i="98"/>
  <c r="M7" i="98" s="1"/>
  <c r="N7" i="98"/>
  <c r="I7" i="98"/>
  <c r="G7" i="98"/>
  <c r="F7" i="98"/>
  <c r="P6" i="98"/>
  <c r="M6" i="98" s="1"/>
  <c r="N6" i="98"/>
  <c r="I6" i="98"/>
  <c r="G6" i="98"/>
  <c r="F6" i="98"/>
  <c r="P17" i="97"/>
  <c r="M17" i="97" s="1"/>
  <c r="N17" i="97"/>
  <c r="I17" i="97"/>
  <c r="G17" i="97"/>
  <c r="F17" i="97"/>
  <c r="H17" i="97" s="1"/>
  <c r="P16" i="97"/>
  <c r="O16" i="97" s="1"/>
  <c r="N16" i="97"/>
  <c r="I16" i="97"/>
  <c r="G16" i="97"/>
  <c r="F16" i="97"/>
  <c r="P15" i="97"/>
  <c r="M15" i="97" s="1"/>
  <c r="N15" i="97"/>
  <c r="I15" i="97"/>
  <c r="G15" i="97"/>
  <c r="F15" i="97"/>
  <c r="P14" i="97"/>
  <c r="M14" i="97" s="1"/>
  <c r="N14" i="97"/>
  <c r="I14" i="97"/>
  <c r="G14" i="97"/>
  <c r="F14" i="97"/>
  <c r="H14" i="97" s="1"/>
  <c r="P13" i="97"/>
  <c r="M13" i="97" s="1"/>
  <c r="N13" i="97"/>
  <c r="I13" i="97"/>
  <c r="G13" i="97"/>
  <c r="F13" i="97"/>
  <c r="P12" i="97"/>
  <c r="M12" i="97" s="1"/>
  <c r="N12" i="97"/>
  <c r="I12" i="97"/>
  <c r="G12" i="97"/>
  <c r="F12" i="97"/>
  <c r="P11" i="97"/>
  <c r="M11" i="97" s="1"/>
  <c r="N11" i="97"/>
  <c r="I11" i="97"/>
  <c r="G11" i="97"/>
  <c r="F11" i="97"/>
  <c r="P10" i="97"/>
  <c r="M10" i="97" s="1"/>
  <c r="N10" i="97"/>
  <c r="I10" i="97"/>
  <c r="G10" i="97"/>
  <c r="F10" i="97"/>
  <c r="H10" i="97" s="1"/>
  <c r="P9" i="97"/>
  <c r="M9" i="97" s="1"/>
  <c r="N9" i="97"/>
  <c r="I9" i="97"/>
  <c r="G9" i="97"/>
  <c r="F9" i="97"/>
  <c r="H9" i="97" s="1"/>
  <c r="P8" i="97"/>
  <c r="O8" i="97" s="1"/>
  <c r="N8" i="97"/>
  <c r="I8" i="97"/>
  <c r="G8" i="97"/>
  <c r="F8" i="97"/>
  <c r="P7" i="97"/>
  <c r="M7" i="97" s="1"/>
  <c r="N7" i="97"/>
  <c r="I7" i="97"/>
  <c r="G7" i="97"/>
  <c r="F7" i="97"/>
  <c r="P6" i="97"/>
  <c r="M6" i="97" s="1"/>
  <c r="N6" i="97"/>
  <c r="I6" i="97"/>
  <c r="G6" i="97"/>
  <c r="F6" i="97"/>
  <c r="H6" i="97" s="1"/>
  <c r="P17" i="96"/>
  <c r="M17" i="96" s="1"/>
  <c r="N17" i="96"/>
  <c r="I17" i="96"/>
  <c r="G17" i="96"/>
  <c r="F17" i="96"/>
  <c r="P16" i="96"/>
  <c r="M16" i="96" s="1"/>
  <c r="N16" i="96"/>
  <c r="I16" i="96"/>
  <c r="G16" i="96"/>
  <c r="F16" i="96"/>
  <c r="P15" i="96"/>
  <c r="M15" i="96" s="1"/>
  <c r="N15" i="96"/>
  <c r="I15" i="96"/>
  <c r="G15" i="96"/>
  <c r="F15" i="96"/>
  <c r="P14" i="96"/>
  <c r="M14" i="96" s="1"/>
  <c r="N14" i="96"/>
  <c r="I14" i="96"/>
  <c r="G14" i="96"/>
  <c r="F14" i="96"/>
  <c r="P13" i="96"/>
  <c r="M13" i="96" s="1"/>
  <c r="N13" i="96"/>
  <c r="I13" i="96"/>
  <c r="G13" i="96"/>
  <c r="F13" i="96"/>
  <c r="P12" i="96"/>
  <c r="M12" i="96" s="1"/>
  <c r="N12" i="96"/>
  <c r="I12" i="96"/>
  <c r="G12" i="96"/>
  <c r="F12" i="96"/>
  <c r="H12" i="96" s="1"/>
  <c r="P11" i="96"/>
  <c r="M11" i="96" s="1"/>
  <c r="N11" i="96"/>
  <c r="I11" i="96"/>
  <c r="G11" i="96"/>
  <c r="F11" i="96"/>
  <c r="P10" i="96"/>
  <c r="M10" i="96" s="1"/>
  <c r="N10" i="96"/>
  <c r="I10" i="96"/>
  <c r="G10" i="96"/>
  <c r="F10" i="96"/>
  <c r="P9" i="96"/>
  <c r="O9" i="96" s="1"/>
  <c r="N9" i="96"/>
  <c r="I9" i="96"/>
  <c r="G9" i="96"/>
  <c r="F9" i="96"/>
  <c r="P8" i="96"/>
  <c r="M8" i="96" s="1"/>
  <c r="N8" i="96"/>
  <c r="I8" i="96"/>
  <c r="G8" i="96"/>
  <c r="F8" i="96"/>
  <c r="H8" i="96" s="1"/>
  <c r="P7" i="96"/>
  <c r="M7" i="96" s="1"/>
  <c r="N7" i="96"/>
  <c r="I7" i="96"/>
  <c r="G7" i="96"/>
  <c r="F7" i="96"/>
  <c r="H7" i="96" s="1"/>
  <c r="P6" i="96"/>
  <c r="O6" i="96" s="1"/>
  <c r="N6" i="96"/>
  <c r="I6" i="96"/>
  <c r="G6" i="96"/>
  <c r="F6" i="96"/>
  <c r="P17" i="95"/>
  <c r="O17" i="95" s="1"/>
  <c r="N17" i="95"/>
  <c r="I17" i="95"/>
  <c r="G17" i="95"/>
  <c r="F17" i="95"/>
  <c r="H17" i="95" s="1"/>
  <c r="P16" i="95"/>
  <c r="M16" i="95" s="1"/>
  <c r="N16" i="95"/>
  <c r="I16" i="95"/>
  <c r="G16" i="95"/>
  <c r="F16" i="95"/>
  <c r="H16" i="95" s="1"/>
  <c r="P15" i="95"/>
  <c r="M15" i="95" s="1"/>
  <c r="N15" i="95"/>
  <c r="I15" i="95"/>
  <c r="G15" i="95"/>
  <c r="F15" i="95"/>
  <c r="H15" i="95" s="1"/>
  <c r="P14" i="95"/>
  <c r="O14" i="95" s="1"/>
  <c r="N14" i="95"/>
  <c r="I14" i="95"/>
  <c r="P13" i="95"/>
  <c r="M13" i="95" s="1"/>
  <c r="N13" i="95"/>
  <c r="I13" i="95"/>
  <c r="G13" i="95"/>
  <c r="F13" i="95"/>
  <c r="P12" i="95"/>
  <c r="M12" i="95" s="1"/>
  <c r="N12" i="95"/>
  <c r="I12" i="95"/>
  <c r="G12" i="95"/>
  <c r="F12" i="95"/>
  <c r="H12" i="95" s="1"/>
  <c r="P11" i="95"/>
  <c r="M11" i="95" s="1"/>
  <c r="N11" i="95"/>
  <c r="I11" i="95"/>
  <c r="G11" i="95"/>
  <c r="F11" i="95"/>
  <c r="P10" i="95"/>
  <c r="M10" i="95" s="1"/>
  <c r="N10" i="95"/>
  <c r="I10" i="95"/>
  <c r="G10" i="95"/>
  <c r="F10" i="95"/>
  <c r="P9" i="95"/>
  <c r="M9" i="95" s="1"/>
  <c r="N9" i="95"/>
  <c r="I9" i="95"/>
  <c r="G9" i="95"/>
  <c r="F9" i="95"/>
  <c r="P8" i="95"/>
  <c r="M8" i="95" s="1"/>
  <c r="N8" i="95"/>
  <c r="I8" i="95"/>
  <c r="G8" i="95"/>
  <c r="F8" i="95"/>
  <c r="H8" i="95" s="1"/>
  <c r="P7" i="95"/>
  <c r="M7" i="95" s="1"/>
  <c r="N7" i="95"/>
  <c r="I7" i="95"/>
  <c r="G7" i="95"/>
  <c r="F7" i="95"/>
  <c r="P6" i="95"/>
  <c r="M6" i="95" s="1"/>
  <c r="N6" i="95"/>
  <c r="I6" i="95"/>
  <c r="G6" i="95"/>
  <c r="F6" i="95"/>
  <c r="P17" i="94"/>
  <c r="M17" i="94" s="1"/>
  <c r="N17" i="94"/>
  <c r="I17" i="94"/>
  <c r="G17" i="94"/>
  <c r="F17" i="94"/>
  <c r="P16" i="94"/>
  <c r="M16" i="94" s="1"/>
  <c r="N16" i="94"/>
  <c r="I16" i="94"/>
  <c r="G16" i="94"/>
  <c r="F16" i="94"/>
  <c r="H16" i="94" s="1"/>
  <c r="P15" i="94"/>
  <c r="N15" i="94"/>
  <c r="I15" i="94"/>
  <c r="G15" i="94"/>
  <c r="F15" i="94"/>
  <c r="H15" i="94" s="1"/>
  <c r="P14" i="94"/>
  <c r="O14" i="94" s="1"/>
  <c r="N14" i="94"/>
  <c r="I14" i="94"/>
  <c r="G14" i="94"/>
  <c r="F14" i="94"/>
  <c r="P13" i="94"/>
  <c r="M13" i="94" s="1"/>
  <c r="N13" i="94"/>
  <c r="I13" i="94"/>
  <c r="G13" i="94"/>
  <c r="F13" i="94"/>
  <c r="H13" i="94" s="1"/>
  <c r="P12" i="94"/>
  <c r="N12" i="94"/>
  <c r="I12" i="94"/>
  <c r="G12" i="94"/>
  <c r="F12" i="94"/>
  <c r="H12" i="94" s="1"/>
  <c r="P11" i="94"/>
  <c r="N11" i="94"/>
  <c r="I11" i="94"/>
  <c r="G11" i="94"/>
  <c r="F11" i="94"/>
  <c r="H11" i="94" s="1"/>
  <c r="P10" i="94"/>
  <c r="M10" i="94" s="1"/>
  <c r="N10" i="94"/>
  <c r="I10" i="94"/>
  <c r="G10" i="94"/>
  <c r="F10" i="94"/>
  <c r="P9" i="94"/>
  <c r="N9" i="94"/>
  <c r="I9" i="94"/>
  <c r="G9" i="94"/>
  <c r="F9" i="94"/>
  <c r="H9" i="94" s="1"/>
  <c r="P8" i="94"/>
  <c r="N8" i="94"/>
  <c r="I8" i="94"/>
  <c r="G8" i="94"/>
  <c r="F8" i="94"/>
  <c r="H8" i="94" s="1"/>
  <c r="P7" i="94"/>
  <c r="N7" i="94"/>
  <c r="I7" i="94"/>
  <c r="G7" i="94"/>
  <c r="F7" i="94"/>
  <c r="H7" i="94" s="1"/>
  <c r="P6" i="94"/>
  <c r="N6" i="94"/>
  <c r="I6" i="94"/>
  <c r="G6" i="94"/>
  <c r="F6" i="94"/>
  <c r="P17" i="93"/>
  <c r="M17" i="93" s="1"/>
  <c r="N17" i="93"/>
  <c r="I17" i="93"/>
  <c r="G17" i="93"/>
  <c r="F17" i="93"/>
  <c r="H17" i="93" s="1"/>
  <c r="P16" i="93"/>
  <c r="M16" i="93" s="1"/>
  <c r="N16" i="93"/>
  <c r="I16" i="93"/>
  <c r="G16" i="93"/>
  <c r="F16" i="93"/>
  <c r="H16" i="93" s="1"/>
  <c r="P15" i="93"/>
  <c r="O15" i="93" s="1"/>
  <c r="N15" i="93"/>
  <c r="I15" i="93"/>
  <c r="G15" i="93"/>
  <c r="F15" i="93"/>
  <c r="H15" i="93" s="1"/>
  <c r="P14" i="93"/>
  <c r="M14" i="93" s="1"/>
  <c r="N14" i="93"/>
  <c r="I14" i="93"/>
  <c r="G14" i="93"/>
  <c r="F14" i="93"/>
  <c r="H14" i="93" s="1"/>
  <c r="P13" i="93"/>
  <c r="M13" i="93" s="1"/>
  <c r="N13" i="93"/>
  <c r="I13" i="93"/>
  <c r="G13" i="93"/>
  <c r="F13" i="93"/>
  <c r="H13" i="93" s="1"/>
  <c r="P12" i="93"/>
  <c r="N12" i="93"/>
  <c r="I12" i="93"/>
  <c r="G12" i="93"/>
  <c r="F12" i="93"/>
  <c r="P11" i="93"/>
  <c r="M11" i="93" s="1"/>
  <c r="N11" i="93"/>
  <c r="I11" i="93"/>
  <c r="G11" i="93"/>
  <c r="F11" i="93"/>
  <c r="H11" i="93" s="1"/>
  <c r="P10" i="93"/>
  <c r="M10" i="93" s="1"/>
  <c r="N10" i="93"/>
  <c r="I10" i="93"/>
  <c r="G10" i="93"/>
  <c r="F10" i="93"/>
  <c r="H10" i="93" s="1"/>
  <c r="P9" i="93"/>
  <c r="M9" i="93" s="1"/>
  <c r="N9" i="93"/>
  <c r="I9" i="93"/>
  <c r="G9" i="93"/>
  <c r="F9" i="93"/>
  <c r="P8" i="93"/>
  <c r="M8" i="93" s="1"/>
  <c r="N8" i="93"/>
  <c r="I8" i="93"/>
  <c r="G8" i="93"/>
  <c r="F8" i="93"/>
  <c r="H8" i="93" s="1"/>
  <c r="P7" i="93"/>
  <c r="M7" i="93" s="1"/>
  <c r="N7" i="93"/>
  <c r="I7" i="93"/>
  <c r="G7" i="93"/>
  <c r="F7" i="93"/>
  <c r="H7" i="93" s="1"/>
  <c r="P6" i="93"/>
  <c r="M6" i="93" s="1"/>
  <c r="N6" i="93"/>
  <c r="I6" i="93"/>
  <c r="G6" i="93"/>
  <c r="F6" i="93"/>
  <c r="H6" i="93" s="1"/>
  <c r="P17" i="92"/>
  <c r="O17" i="92" s="1"/>
  <c r="N17" i="92"/>
  <c r="I17" i="92"/>
  <c r="G17" i="92"/>
  <c r="F17" i="92"/>
  <c r="H17" i="92" s="1"/>
  <c r="P16" i="92"/>
  <c r="M16" i="92" s="1"/>
  <c r="N16" i="92"/>
  <c r="I16" i="92"/>
  <c r="G16" i="92"/>
  <c r="F16" i="92"/>
  <c r="H16" i="92" s="1"/>
  <c r="P15" i="92"/>
  <c r="M15" i="92" s="1"/>
  <c r="N15" i="92"/>
  <c r="I15" i="92"/>
  <c r="G15" i="92"/>
  <c r="F15" i="92"/>
  <c r="H15" i="92" s="1"/>
  <c r="P14" i="92"/>
  <c r="M14" i="92" s="1"/>
  <c r="N14" i="92"/>
  <c r="I14" i="92"/>
  <c r="G14" i="92"/>
  <c r="F14" i="92"/>
  <c r="H14" i="92" s="1"/>
  <c r="P13" i="92"/>
  <c r="O13" i="92" s="1"/>
  <c r="N13" i="92"/>
  <c r="I13" i="92"/>
  <c r="G13" i="92"/>
  <c r="F13" i="92"/>
  <c r="H13" i="92" s="1"/>
  <c r="P12" i="92"/>
  <c r="O12" i="92" s="1"/>
  <c r="N12" i="92"/>
  <c r="I12" i="92"/>
  <c r="G12" i="92"/>
  <c r="F12" i="92"/>
  <c r="H12" i="92" s="1"/>
  <c r="P11" i="92"/>
  <c r="M11" i="92" s="1"/>
  <c r="N11" i="92"/>
  <c r="I11" i="92"/>
  <c r="G11" i="92"/>
  <c r="F11" i="92"/>
  <c r="H11" i="92" s="1"/>
  <c r="P10" i="92"/>
  <c r="M10" i="92" s="1"/>
  <c r="N10" i="92"/>
  <c r="I10" i="92"/>
  <c r="G10" i="92"/>
  <c r="F10" i="92"/>
  <c r="H10" i="92" s="1"/>
  <c r="P9" i="92"/>
  <c r="M9" i="92" s="1"/>
  <c r="N9" i="92"/>
  <c r="I9" i="92"/>
  <c r="G9" i="92"/>
  <c r="F9" i="92"/>
  <c r="H9" i="92" s="1"/>
  <c r="P8" i="92"/>
  <c r="M8" i="92" s="1"/>
  <c r="N8" i="92"/>
  <c r="I8" i="92"/>
  <c r="G8" i="92"/>
  <c r="F8" i="92"/>
  <c r="H8" i="92" s="1"/>
  <c r="P7" i="92"/>
  <c r="M7" i="92" s="1"/>
  <c r="N7" i="92"/>
  <c r="I7" i="92"/>
  <c r="G7" i="92"/>
  <c r="F7" i="92"/>
  <c r="H7" i="92" s="1"/>
  <c r="P6" i="92"/>
  <c r="O6" i="92" s="1"/>
  <c r="N6" i="92"/>
  <c r="I6" i="92"/>
  <c r="G6" i="92"/>
  <c r="F6" i="92"/>
  <c r="H6" i="92" s="1"/>
  <c r="P17" i="91"/>
  <c r="M17" i="91" s="1"/>
  <c r="N17" i="91"/>
  <c r="I17" i="91"/>
  <c r="G17" i="91"/>
  <c r="F17" i="91"/>
  <c r="H17" i="91" s="1"/>
  <c r="P16" i="91"/>
  <c r="N16" i="91"/>
  <c r="I16" i="91"/>
  <c r="G16" i="91"/>
  <c r="F16" i="91"/>
  <c r="P15" i="91"/>
  <c r="N15" i="91"/>
  <c r="I15" i="91"/>
  <c r="G15" i="91"/>
  <c r="F15" i="91"/>
  <c r="H15" i="91" s="1"/>
  <c r="P14" i="91"/>
  <c r="M14" i="91" s="1"/>
  <c r="N14" i="91"/>
  <c r="I14" i="91"/>
  <c r="G14" i="91"/>
  <c r="F14" i="91"/>
  <c r="P13" i="91"/>
  <c r="M13" i="91" s="1"/>
  <c r="N13" i="91"/>
  <c r="I13" i="91"/>
  <c r="G13" i="91"/>
  <c r="F13" i="91"/>
  <c r="H13" i="91" s="1"/>
  <c r="P12" i="91"/>
  <c r="N12" i="91"/>
  <c r="I12" i="91"/>
  <c r="G12" i="91"/>
  <c r="F12" i="91"/>
  <c r="P11" i="91"/>
  <c r="M11" i="91" s="1"/>
  <c r="N11" i="91"/>
  <c r="I11" i="91"/>
  <c r="G11" i="91"/>
  <c r="F11" i="91"/>
  <c r="P10" i="91"/>
  <c r="M10" i="91" s="1"/>
  <c r="N10" i="91"/>
  <c r="I10" i="91"/>
  <c r="G10" i="91"/>
  <c r="F10" i="91"/>
  <c r="P9" i="91"/>
  <c r="M9" i="91" s="1"/>
  <c r="N9" i="91"/>
  <c r="I9" i="91"/>
  <c r="G9" i="91"/>
  <c r="F9" i="91"/>
  <c r="H9" i="91" s="1"/>
  <c r="P8" i="91"/>
  <c r="N8" i="91"/>
  <c r="I8" i="91"/>
  <c r="G8" i="91"/>
  <c r="F8" i="91"/>
  <c r="P7" i="91"/>
  <c r="N7" i="91"/>
  <c r="I7" i="91"/>
  <c r="G7" i="91"/>
  <c r="F7" i="91"/>
  <c r="H7" i="91" s="1"/>
  <c r="P6" i="91"/>
  <c r="M6" i="91" s="1"/>
  <c r="N6" i="91"/>
  <c r="I6" i="91"/>
  <c r="G6" i="91"/>
  <c r="F6" i="91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3" i="100"/>
  <c r="C17" i="99"/>
  <c r="C16" i="99"/>
  <c r="C15" i="99"/>
  <c r="C14" i="99"/>
  <c r="C13" i="99"/>
  <c r="C12" i="99"/>
  <c r="C11" i="99"/>
  <c r="C10" i="99"/>
  <c r="C9" i="99"/>
  <c r="C8" i="99"/>
  <c r="C7" i="99"/>
  <c r="C6" i="99"/>
  <c r="C3" i="99"/>
  <c r="C17" i="98"/>
  <c r="C16" i="98"/>
  <c r="C15" i="98"/>
  <c r="C14" i="98"/>
  <c r="C13" i="98"/>
  <c r="C12" i="98"/>
  <c r="C11" i="98"/>
  <c r="C10" i="98"/>
  <c r="C9" i="98"/>
  <c r="C8" i="98"/>
  <c r="C7" i="98"/>
  <c r="C6" i="98"/>
  <c r="C3" i="98"/>
  <c r="C17" i="97"/>
  <c r="C16" i="97"/>
  <c r="C15" i="97"/>
  <c r="C14" i="97"/>
  <c r="C13" i="97"/>
  <c r="C12" i="97"/>
  <c r="C11" i="97"/>
  <c r="C10" i="97"/>
  <c r="C9" i="97"/>
  <c r="C8" i="97"/>
  <c r="C7" i="97"/>
  <c r="C6" i="97"/>
  <c r="C3" i="97"/>
  <c r="C17" i="96"/>
  <c r="C16" i="96"/>
  <c r="C15" i="96"/>
  <c r="C14" i="96"/>
  <c r="C13" i="96"/>
  <c r="C12" i="96"/>
  <c r="C11" i="96"/>
  <c r="C10" i="96"/>
  <c r="C9" i="96"/>
  <c r="C8" i="96"/>
  <c r="C7" i="96"/>
  <c r="C6" i="96"/>
  <c r="C3" i="96"/>
  <c r="C17" i="95"/>
  <c r="C16" i="95"/>
  <c r="C15" i="95"/>
  <c r="C14" i="95"/>
  <c r="C13" i="95"/>
  <c r="C12" i="95"/>
  <c r="C11" i="95"/>
  <c r="C10" i="95"/>
  <c r="C9" i="95"/>
  <c r="C8" i="95"/>
  <c r="C7" i="95"/>
  <c r="C6" i="95"/>
  <c r="C3" i="95"/>
  <c r="C17" i="94"/>
  <c r="C16" i="94"/>
  <c r="C15" i="94"/>
  <c r="C14" i="94"/>
  <c r="C13" i="94"/>
  <c r="C12" i="94"/>
  <c r="C11" i="94"/>
  <c r="C10" i="94"/>
  <c r="C9" i="94"/>
  <c r="C8" i="94"/>
  <c r="C7" i="94"/>
  <c r="C6" i="94"/>
  <c r="C3" i="94"/>
  <c r="C17" i="93"/>
  <c r="C16" i="93"/>
  <c r="C15" i="93"/>
  <c r="C14" i="93"/>
  <c r="C13" i="93"/>
  <c r="C12" i="93"/>
  <c r="C11" i="93"/>
  <c r="C10" i="93"/>
  <c r="C9" i="93"/>
  <c r="C8" i="93"/>
  <c r="C7" i="93"/>
  <c r="C6" i="93"/>
  <c r="C3" i="93"/>
  <c r="C17" i="92"/>
  <c r="C16" i="92"/>
  <c r="C15" i="92"/>
  <c r="C14" i="92"/>
  <c r="C13" i="92"/>
  <c r="C12" i="92"/>
  <c r="C11" i="92"/>
  <c r="C10" i="92"/>
  <c r="C9" i="92"/>
  <c r="C8" i="92"/>
  <c r="C7" i="92"/>
  <c r="C6" i="92"/>
  <c r="C3" i="92"/>
  <c r="C17" i="91"/>
  <c r="C16" i="91"/>
  <c r="C15" i="91"/>
  <c r="C14" i="91"/>
  <c r="C13" i="91"/>
  <c r="C12" i="91"/>
  <c r="C11" i="91"/>
  <c r="C10" i="91"/>
  <c r="C9" i="91"/>
  <c r="C8" i="91"/>
  <c r="C7" i="91"/>
  <c r="C6" i="91"/>
  <c r="C3" i="91"/>
  <c r="F20" i="95" l="1"/>
  <c r="G20" i="95"/>
  <c r="O12" i="96"/>
  <c r="O15" i="96"/>
  <c r="O15" i="97"/>
  <c r="J6" i="99"/>
  <c r="J8" i="99"/>
  <c r="O11" i="97"/>
  <c r="O13" i="93"/>
  <c r="O16" i="96"/>
  <c r="O11" i="93"/>
  <c r="O17" i="93"/>
  <c r="O11" i="99"/>
  <c r="O17" i="96"/>
  <c r="O16" i="98"/>
  <c r="O13" i="99"/>
  <c r="J7" i="96"/>
  <c r="J9" i="96"/>
  <c r="O6" i="95"/>
  <c r="J11" i="97"/>
  <c r="J13" i="97"/>
  <c r="O8" i="95"/>
  <c r="O8" i="93"/>
  <c r="O16" i="95"/>
  <c r="O14" i="97"/>
  <c r="O11" i="96"/>
  <c r="O12" i="97"/>
  <c r="O12" i="98"/>
  <c r="O9" i="99"/>
  <c r="J17" i="97"/>
  <c r="J12" i="98"/>
  <c r="J6" i="96"/>
  <c r="J13" i="96"/>
  <c r="J14" i="97"/>
  <c r="J9" i="98"/>
  <c r="J13" i="98"/>
  <c r="J15" i="98"/>
  <c r="O7" i="96"/>
  <c r="O7" i="99"/>
  <c r="I20" i="96"/>
  <c r="I20" i="99"/>
  <c r="O9" i="95"/>
  <c r="O12" i="95"/>
  <c r="O6" i="97"/>
  <c r="J11" i="96"/>
  <c r="M6" i="96"/>
  <c r="M9" i="96"/>
  <c r="J10" i="97"/>
  <c r="J16" i="97"/>
  <c r="J7" i="98"/>
  <c r="J11" i="98"/>
  <c r="H8" i="98"/>
  <c r="J12" i="99"/>
  <c r="J16" i="99"/>
  <c r="O14" i="96"/>
  <c r="O7" i="93"/>
  <c r="O8" i="96"/>
  <c r="O10" i="97"/>
  <c r="J10" i="96"/>
  <c r="J6" i="97"/>
  <c r="J7" i="97"/>
  <c r="J9" i="97"/>
  <c r="O17" i="99"/>
  <c r="H11" i="95"/>
  <c r="M14" i="95"/>
  <c r="M17" i="95"/>
  <c r="N20" i="96"/>
  <c r="M8" i="97"/>
  <c r="J14" i="98"/>
  <c r="M16" i="97"/>
  <c r="H12" i="98"/>
  <c r="J13" i="99"/>
  <c r="I20" i="100"/>
  <c r="I20" i="92"/>
  <c r="N20" i="95"/>
  <c r="I20" i="97"/>
  <c r="O16" i="93"/>
  <c r="O13" i="96"/>
  <c r="O13" i="95"/>
  <c r="O7" i="97"/>
  <c r="O15" i="99"/>
  <c r="I20" i="95"/>
  <c r="H7" i="95"/>
  <c r="J14" i="96"/>
  <c r="J15" i="96"/>
  <c r="H11" i="96"/>
  <c r="J15" i="97"/>
  <c r="J8" i="98"/>
  <c r="H13" i="97"/>
  <c r="J16" i="98"/>
  <c r="J17" i="98"/>
  <c r="J17" i="96"/>
  <c r="O9" i="92"/>
  <c r="O7" i="95"/>
  <c r="H6" i="95"/>
  <c r="J8" i="96"/>
  <c r="H10" i="95"/>
  <c r="J12" i="96"/>
  <c r="H14" i="95"/>
  <c r="J16" i="96"/>
  <c r="H6" i="96"/>
  <c r="J8" i="97"/>
  <c r="H10" i="96"/>
  <c r="J12" i="97"/>
  <c r="H17" i="96"/>
  <c r="J6" i="98"/>
  <c r="H8" i="97"/>
  <c r="J10" i="98"/>
  <c r="H12" i="97"/>
  <c r="H16" i="97"/>
  <c r="J7" i="99"/>
  <c r="J11" i="99"/>
  <c r="J15" i="99"/>
  <c r="J14" i="99"/>
  <c r="O13" i="97"/>
  <c r="J13" i="92"/>
  <c r="G20" i="99"/>
  <c r="J10" i="99"/>
  <c r="O11" i="95"/>
  <c r="O15" i="95"/>
  <c r="H9" i="95"/>
  <c r="H13" i="95"/>
  <c r="H9" i="96"/>
  <c r="H13" i="96"/>
  <c r="H15" i="96"/>
  <c r="H16" i="96"/>
  <c r="H7" i="97"/>
  <c r="H11" i="97"/>
  <c r="H15" i="97"/>
  <c r="H6" i="98"/>
  <c r="J9" i="99"/>
  <c r="J17" i="99"/>
  <c r="O13" i="94"/>
  <c r="O14" i="98"/>
  <c r="J11" i="95"/>
  <c r="J12" i="95"/>
  <c r="M14" i="94"/>
  <c r="F20" i="96"/>
  <c r="O10" i="98"/>
  <c r="N20" i="93"/>
  <c r="F24" i="100"/>
  <c r="N20" i="100"/>
  <c r="O6" i="98"/>
  <c r="H14" i="96"/>
  <c r="O8" i="98"/>
  <c r="M8" i="98"/>
  <c r="G24" i="98" s="1"/>
  <c r="H7" i="98"/>
  <c r="H11" i="98"/>
  <c r="H15" i="98"/>
  <c r="O13" i="91"/>
  <c r="G20" i="92"/>
  <c r="N20" i="92"/>
  <c r="O17" i="91"/>
  <c r="G20" i="93"/>
  <c r="M15" i="93"/>
  <c r="O14" i="92"/>
  <c r="O17" i="94"/>
  <c r="M13" i="92"/>
  <c r="M17" i="92"/>
  <c r="H12" i="93"/>
  <c r="J12" i="94"/>
  <c r="F20" i="92"/>
  <c r="M15" i="91"/>
  <c r="O15" i="91"/>
  <c r="M12" i="93"/>
  <c r="O12" i="93"/>
  <c r="N20" i="94"/>
  <c r="J15" i="95"/>
  <c r="O11" i="91"/>
  <c r="O9" i="93"/>
  <c r="O10" i="94"/>
  <c r="H6" i="91"/>
  <c r="J6" i="92"/>
  <c r="O6" i="94"/>
  <c r="M6" i="94"/>
  <c r="O9" i="94"/>
  <c r="M9" i="94"/>
  <c r="J17" i="94"/>
  <c r="O9" i="91"/>
  <c r="P20" i="92"/>
  <c r="O8" i="92"/>
  <c r="O10" i="92"/>
  <c r="O16" i="92"/>
  <c r="F20" i="93"/>
  <c r="O16" i="94"/>
  <c r="G20" i="91"/>
  <c r="N20" i="91"/>
  <c r="J17" i="92"/>
  <c r="M6" i="92"/>
  <c r="M12" i="92"/>
  <c r="J9" i="94"/>
  <c r="H9" i="93"/>
  <c r="J17" i="95"/>
  <c r="H17" i="94"/>
  <c r="J13" i="94"/>
  <c r="I20" i="93"/>
  <c r="J8" i="94"/>
  <c r="J16" i="94"/>
  <c r="J9" i="93"/>
  <c r="J10" i="93"/>
  <c r="J12" i="93"/>
  <c r="J14" i="93"/>
  <c r="J16" i="93"/>
  <c r="J17" i="93"/>
  <c r="J6" i="94"/>
  <c r="J7" i="94"/>
  <c r="J10" i="94"/>
  <c r="J11" i="94"/>
  <c r="J14" i="94"/>
  <c r="J15" i="94"/>
  <c r="J7" i="95"/>
  <c r="I20" i="91"/>
  <c r="O8" i="94"/>
  <c r="M8" i="94"/>
  <c r="H10" i="94"/>
  <c r="J10" i="95"/>
  <c r="O7" i="94"/>
  <c r="M7" i="94"/>
  <c r="O12" i="94"/>
  <c r="M12" i="94"/>
  <c r="H14" i="94"/>
  <c r="J14" i="95"/>
  <c r="F20" i="91"/>
  <c r="H10" i="91"/>
  <c r="J10" i="92"/>
  <c r="H11" i="91"/>
  <c r="J11" i="92"/>
  <c r="H14" i="91"/>
  <c r="J14" i="92"/>
  <c r="J7" i="92"/>
  <c r="O11" i="94"/>
  <c r="M11" i="94"/>
  <c r="M8" i="91"/>
  <c r="O8" i="91"/>
  <c r="M12" i="91"/>
  <c r="O12" i="91"/>
  <c r="M16" i="91"/>
  <c r="O16" i="91"/>
  <c r="J6" i="93"/>
  <c r="J8" i="93"/>
  <c r="J13" i="93"/>
  <c r="H6" i="94"/>
  <c r="J6" i="95"/>
  <c r="M15" i="94"/>
  <c r="O15" i="94"/>
  <c r="G20" i="94"/>
  <c r="J8" i="92"/>
  <c r="H8" i="91"/>
  <c r="J12" i="92"/>
  <c r="H12" i="91"/>
  <c r="J16" i="92"/>
  <c r="H16" i="91"/>
  <c r="J15" i="92"/>
  <c r="I20" i="94"/>
  <c r="P20" i="94"/>
  <c r="J16" i="95"/>
  <c r="J8" i="95"/>
  <c r="O6" i="91"/>
  <c r="O10" i="91"/>
  <c r="O14" i="91"/>
  <c r="M7" i="91"/>
  <c r="O7" i="91"/>
  <c r="J7" i="93"/>
  <c r="J11" i="93"/>
  <c r="J15" i="93"/>
  <c r="J9" i="92"/>
  <c r="J9" i="95"/>
  <c r="J13" i="95"/>
  <c r="P20" i="98"/>
  <c r="O9" i="98"/>
  <c r="O17" i="98"/>
  <c r="O12" i="99"/>
  <c r="G20" i="98"/>
  <c r="F20" i="98"/>
  <c r="N20" i="99"/>
  <c r="O8" i="99"/>
  <c r="O16" i="99"/>
  <c r="F20" i="99"/>
  <c r="I20" i="98"/>
  <c r="N20" i="98"/>
  <c r="O13" i="98"/>
  <c r="G24" i="99"/>
  <c r="G23" i="99"/>
  <c r="O7" i="98"/>
  <c r="O11" i="98"/>
  <c r="O15" i="98"/>
  <c r="O6" i="99"/>
  <c r="O10" i="99"/>
  <c r="O14" i="99"/>
  <c r="F23" i="100"/>
  <c r="P20" i="99"/>
  <c r="F20" i="94"/>
  <c r="G20" i="96"/>
  <c r="P20" i="97"/>
  <c r="O10" i="95"/>
  <c r="P20" i="95"/>
  <c r="O10" i="96"/>
  <c r="G20" i="97"/>
  <c r="O9" i="97"/>
  <c r="O17" i="97"/>
  <c r="P20" i="96"/>
  <c r="N20" i="97"/>
  <c r="F20" i="97"/>
  <c r="O7" i="92"/>
  <c r="O11" i="92"/>
  <c r="O15" i="92"/>
  <c r="O6" i="93"/>
  <c r="O10" i="93"/>
  <c r="O14" i="93"/>
  <c r="F24" i="92"/>
  <c r="P20" i="93"/>
  <c r="F23" i="92"/>
  <c r="P20" i="91"/>
  <c r="N23" i="99" l="1"/>
  <c r="L23" i="98"/>
  <c r="G24" i="95"/>
  <c r="G24" i="96"/>
  <c r="G24" i="97"/>
  <c r="J20" i="98"/>
  <c r="G23" i="98"/>
  <c r="G26" i="98" s="1"/>
  <c r="O20" i="96"/>
  <c r="G23" i="96"/>
  <c r="G24" i="92"/>
  <c r="G23" i="95"/>
  <c r="J20" i="96"/>
  <c r="L23" i="97"/>
  <c r="G24" i="100"/>
  <c r="J20" i="99"/>
  <c r="F24" i="97"/>
  <c r="F23" i="96"/>
  <c r="F23" i="98"/>
  <c r="O20" i="95"/>
  <c r="J20" i="97"/>
  <c r="F24" i="96"/>
  <c r="F23" i="97"/>
  <c r="G23" i="93"/>
  <c r="F24" i="98"/>
  <c r="G23" i="100"/>
  <c r="G23" i="94"/>
  <c r="F26" i="100"/>
  <c r="G23" i="91"/>
  <c r="J20" i="94"/>
  <c r="F24" i="94"/>
  <c r="L23" i="91"/>
  <c r="J20" i="92"/>
  <c r="N23" i="91"/>
  <c r="G24" i="91"/>
  <c r="L23" i="94"/>
  <c r="O20" i="91"/>
  <c r="N23" i="94"/>
  <c r="O20" i="94"/>
  <c r="F23" i="94"/>
  <c r="J20" i="95"/>
  <c r="N23" i="93"/>
  <c r="N23" i="92"/>
  <c r="J20" i="93"/>
  <c r="L23" i="99"/>
  <c r="N23" i="98"/>
  <c r="N23" i="97"/>
  <c r="N23" i="96"/>
  <c r="O20" i="92"/>
  <c r="L23" i="92"/>
  <c r="O20" i="98"/>
  <c r="F24" i="99"/>
  <c r="F23" i="99"/>
  <c r="G26" i="99"/>
  <c r="N30" i="99" s="1"/>
  <c r="O20" i="99"/>
  <c r="F23" i="95"/>
  <c r="F24" i="95"/>
  <c r="O20" i="97"/>
  <c r="G24" i="94"/>
  <c r="L23" i="95"/>
  <c r="N23" i="95"/>
  <c r="G23" i="97"/>
  <c r="L23" i="96"/>
  <c r="F26" i="92"/>
  <c r="O20" i="93"/>
  <c r="G24" i="93"/>
  <c r="F24" i="93"/>
  <c r="F23" i="93"/>
  <c r="G23" i="92"/>
  <c r="L23" i="93"/>
  <c r="F24" i="91"/>
  <c r="F23" i="91"/>
  <c r="G26" i="95" l="1"/>
  <c r="G26" i="96"/>
  <c r="G26" i="92"/>
  <c r="G26" i="97"/>
  <c r="F26" i="96"/>
  <c r="G26" i="93"/>
  <c r="G26" i="100"/>
  <c r="F26" i="97"/>
  <c r="F26" i="98"/>
  <c r="G26" i="94"/>
  <c r="G26" i="91"/>
  <c r="F26" i="94"/>
  <c r="F26" i="93"/>
  <c r="F26" i="91"/>
  <c r="F26" i="99"/>
  <c r="F26" i="95"/>
  <c r="I17" i="90" l="1"/>
  <c r="G17" i="90"/>
  <c r="F17" i="90"/>
  <c r="I16" i="90"/>
  <c r="G16" i="90"/>
  <c r="F16" i="90"/>
  <c r="I15" i="90"/>
  <c r="G15" i="90"/>
  <c r="F15" i="90"/>
  <c r="I14" i="90"/>
  <c r="G14" i="90"/>
  <c r="F14" i="90"/>
  <c r="I13" i="90"/>
  <c r="G13" i="90"/>
  <c r="F13" i="90"/>
  <c r="I12" i="90"/>
  <c r="G12" i="90"/>
  <c r="F12" i="90"/>
  <c r="I11" i="90"/>
  <c r="G11" i="90"/>
  <c r="F11" i="90"/>
  <c r="I10" i="90"/>
  <c r="G10" i="90"/>
  <c r="F10" i="90"/>
  <c r="I9" i="90"/>
  <c r="G9" i="90"/>
  <c r="F9" i="90"/>
  <c r="I8" i="90"/>
  <c r="G8" i="90"/>
  <c r="F8" i="90"/>
  <c r="I7" i="90"/>
  <c r="G7" i="90"/>
  <c r="F7" i="90"/>
  <c r="I6" i="90"/>
  <c r="G6" i="90"/>
  <c r="F6" i="90"/>
  <c r="P17" i="90"/>
  <c r="M17" i="90" s="1"/>
  <c r="N17" i="90"/>
  <c r="P16" i="90"/>
  <c r="O16" i="90" s="1"/>
  <c r="N16" i="90"/>
  <c r="P15" i="90"/>
  <c r="M15" i="90" s="1"/>
  <c r="N15" i="90"/>
  <c r="P14" i="90"/>
  <c r="M14" i="90" s="1"/>
  <c r="N14" i="90"/>
  <c r="P13" i="90"/>
  <c r="M13" i="90" s="1"/>
  <c r="N13" i="90"/>
  <c r="P12" i="90"/>
  <c r="M12" i="90" s="1"/>
  <c r="N12" i="90"/>
  <c r="P11" i="90"/>
  <c r="M11" i="90" s="1"/>
  <c r="N11" i="90"/>
  <c r="P10" i="90"/>
  <c r="O10" i="90" s="1"/>
  <c r="N10" i="90"/>
  <c r="P9" i="90"/>
  <c r="M9" i="90" s="1"/>
  <c r="N9" i="90"/>
  <c r="P8" i="90"/>
  <c r="O8" i="90" s="1"/>
  <c r="N8" i="90"/>
  <c r="P7" i="90"/>
  <c r="M7" i="90" s="1"/>
  <c r="N7" i="90"/>
  <c r="P6" i="90"/>
  <c r="M6" i="90" s="1"/>
  <c r="N6" i="90"/>
  <c r="C17" i="90"/>
  <c r="C16" i="90"/>
  <c r="C15" i="90"/>
  <c r="C14" i="90"/>
  <c r="C13" i="90"/>
  <c r="C12" i="90"/>
  <c r="C11" i="90"/>
  <c r="C10" i="90"/>
  <c r="C9" i="90"/>
  <c r="C8" i="90"/>
  <c r="C7" i="90"/>
  <c r="C6" i="90"/>
  <c r="C3" i="90"/>
  <c r="J8" i="91" l="1"/>
  <c r="J12" i="91"/>
  <c r="J16" i="91"/>
  <c r="J7" i="91"/>
  <c r="J11" i="91"/>
  <c r="J15" i="91"/>
  <c r="H9" i="90"/>
  <c r="J9" i="91"/>
  <c r="H13" i="90"/>
  <c r="J13" i="91"/>
  <c r="H17" i="90"/>
  <c r="J17" i="91"/>
  <c r="H6" i="90"/>
  <c r="J6" i="91"/>
  <c r="H10" i="90"/>
  <c r="J10" i="91"/>
  <c r="H14" i="90"/>
  <c r="J14" i="91"/>
  <c r="H8" i="90"/>
  <c r="H12" i="90"/>
  <c r="H16" i="90"/>
  <c r="H7" i="90"/>
  <c r="H11" i="90"/>
  <c r="H15" i="90"/>
  <c r="F20" i="90"/>
  <c r="G20" i="90"/>
  <c r="I20" i="90"/>
  <c r="O13" i="90"/>
  <c r="O9" i="90"/>
  <c r="M8" i="90"/>
  <c r="O15" i="90"/>
  <c r="N20" i="90"/>
  <c r="O12" i="90"/>
  <c r="M16" i="90"/>
  <c r="O17" i="90"/>
  <c r="O14" i="90"/>
  <c r="O6" i="90"/>
  <c r="O7" i="90"/>
  <c r="M10" i="90"/>
  <c r="O11" i="90"/>
  <c r="P20" i="90"/>
  <c r="J20" i="88"/>
  <c r="J20" i="91" l="1"/>
  <c r="F24" i="90"/>
  <c r="F23" i="90"/>
  <c r="G24" i="90"/>
  <c r="N23" i="90"/>
  <c r="O20" i="90"/>
  <c r="L23" i="90"/>
  <c r="G23" i="90"/>
  <c r="P17" i="89"/>
  <c r="M17" i="89" s="1"/>
  <c r="N17" i="89"/>
  <c r="I17" i="89"/>
  <c r="G17" i="89"/>
  <c r="F17" i="89"/>
  <c r="P16" i="89"/>
  <c r="M16" i="89" s="1"/>
  <c r="N16" i="89"/>
  <c r="I16" i="89"/>
  <c r="G16" i="89"/>
  <c r="F16" i="89"/>
  <c r="P15" i="89"/>
  <c r="M15" i="89" s="1"/>
  <c r="N15" i="89"/>
  <c r="I15" i="89"/>
  <c r="G15" i="89"/>
  <c r="F15" i="89"/>
  <c r="P14" i="89"/>
  <c r="M14" i="89" s="1"/>
  <c r="N14" i="89"/>
  <c r="I14" i="89"/>
  <c r="G14" i="89"/>
  <c r="F14" i="89"/>
  <c r="P13" i="89"/>
  <c r="O13" i="89" s="1"/>
  <c r="N13" i="89"/>
  <c r="I13" i="89"/>
  <c r="G13" i="89"/>
  <c r="F13" i="89"/>
  <c r="P12" i="89"/>
  <c r="M12" i="89" s="1"/>
  <c r="N12" i="89"/>
  <c r="I12" i="89"/>
  <c r="G12" i="89"/>
  <c r="F12" i="89"/>
  <c r="P11" i="89"/>
  <c r="O11" i="89" s="1"/>
  <c r="N11" i="89"/>
  <c r="I11" i="89"/>
  <c r="G11" i="89"/>
  <c r="F11" i="89"/>
  <c r="P10" i="89"/>
  <c r="M10" i="89" s="1"/>
  <c r="N10" i="89"/>
  <c r="I10" i="89"/>
  <c r="G10" i="89"/>
  <c r="F10" i="89"/>
  <c r="P9" i="89"/>
  <c r="O9" i="89" s="1"/>
  <c r="N9" i="89"/>
  <c r="I9" i="89"/>
  <c r="G9" i="89"/>
  <c r="F9" i="89"/>
  <c r="P8" i="89"/>
  <c r="M8" i="89" s="1"/>
  <c r="N8" i="89"/>
  <c r="I8" i="89"/>
  <c r="G8" i="89"/>
  <c r="F8" i="89"/>
  <c r="P7" i="89"/>
  <c r="O7" i="89" s="1"/>
  <c r="N7" i="89"/>
  <c r="I7" i="89"/>
  <c r="G7" i="89"/>
  <c r="F7" i="89"/>
  <c r="P6" i="89"/>
  <c r="O6" i="89" s="1"/>
  <c r="N6" i="89"/>
  <c r="I6" i="89"/>
  <c r="G6" i="89"/>
  <c r="F6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3" i="89"/>
  <c r="J9" i="90" l="1"/>
  <c r="J13" i="90"/>
  <c r="J17" i="90"/>
  <c r="F26" i="90"/>
  <c r="J6" i="90"/>
  <c r="J10" i="90"/>
  <c r="J14" i="90"/>
  <c r="J7" i="90"/>
  <c r="J11" i="90"/>
  <c r="J15" i="90"/>
  <c r="J8" i="90"/>
  <c r="J12" i="90"/>
  <c r="J16" i="90"/>
  <c r="H8" i="89"/>
  <c r="H12" i="89"/>
  <c r="H16" i="89"/>
  <c r="H6" i="89"/>
  <c r="H14" i="89"/>
  <c r="H7" i="89"/>
  <c r="H11" i="89"/>
  <c r="H15" i="89"/>
  <c r="H17" i="89"/>
  <c r="H9" i="89"/>
  <c r="H13" i="89"/>
  <c r="H10" i="89"/>
  <c r="G26" i="90"/>
  <c r="O10" i="89"/>
  <c r="O15" i="89"/>
  <c r="I20" i="89"/>
  <c r="M13" i="89"/>
  <c r="M7" i="89"/>
  <c r="O17" i="89"/>
  <c r="G20" i="89"/>
  <c r="F20" i="89"/>
  <c r="M9" i="89"/>
  <c r="M11" i="89"/>
  <c r="P20" i="89"/>
  <c r="O12" i="89"/>
  <c r="N20" i="89"/>
  <c r="O8" i="89"/>
  <c r="O14" i="89"/>
  <c r="O16" i="89"/>
  <c r="M6" i="89"/>
  <c r="I7" i="88"/>
  <c r="I8" i="88"/>
  <c r="I9" i="88"/>
  <c r="I10" i="88"/>
  <c r="I11" i="88"/>
  <c r="I12" i="88"/>
  <c r="I13" i="88"/>
  <c r="I14" i="88"/>
  <c r="I15" i="88"/>
  <c r="I16" i="88"/>
  <c r="I17" i="88"/>
  <c r="I6" i="88"/>
  <c r="G7" i="88"/>
  <c r="G7" i="100" s="1"/>
  <c r="G8" i="88"/>
  <c r="G8" i="100" s="1"/>
  <c r="G9" i="88"/>
  <c r="G9" i="100" s="1"/>
  <c r="G10" i="88"/>
  <c r="G10" i="100" s="1"/>
  <c r="G11" i="88"/>
  <c r="G11" i="100" s="1"/>
  <c r="G12" i="88"/>
  <c r="G12" i="100" s="1"/>
  <c r="G13" i="88"/>
  <c r="G13" i="100" s="1"/>
  <c r="G14" i="88"/>
  <c r="G14" i="100" s="1"/>
  <c r="G15" i="88"/>
  <c r="G15" i="100" s="1"/>
  <c r="G16" i="88"/>
  <c r="G16" i="100" s="1"/>
  <c r="G17" i="88"/>
  <c r="G17" i="100" s="1"/>
  <c r="G6" i="88"/>
  <c r="G6" i="100" s="1"/>
  <c r="F7" i="88"/>
  <c r="F7" i="100" s="1"/>
  <c r="F8" i="88"/>
  <c r="F8" i="100" s="1"/>
  <c r="F9" i="88"/>
  <c r="F9" i="100" s="1"/>
  <c r="F10" i="88"/>
  <c r="F10" i="100" s="1"/>
  <c r="F11" i="88"/>
  <c r="F11" i="100" s="1"/>
  <c r="F12" i="88"/>
  <c r="F12" i="100" s="1"/>
  <c r="F13" i="88"/>
  <c r="F13" i="100" s="1"/>
  <c r="F14" i="88"/>
  <c r="F14" i="100" s="1"/>
  <c r="F15" i="88"/>
  <c r="F15" i="100" s="1"/>
  <c r="F16" i="88"/>
  <c r="F16" i="100" s="1"/>
  <c r="F17" i="88"/>
  <c r="F17" i="100" s="1"/>
  <c r="F6" i="88"/>
  <c r="F6" i="100" s="1"/>
  <c r="F20" i="100" l="1"/>
  <c r="G20" i="100"/>
  <c r="Q24" i="100" s="1"/>
  <c r="F24" i="89"/>
  <c r="F23" i="89"/>
  <c r="J20" i="90"/>
  <c r="I20" i="88"/>
  <c r="F20" i="88"/>
  <c r="G20" i="88"/>
  <c r="H17" i="88"/>
  <c r="J17" i="89"/>
  <c r="H9" i="88"/>
  <c r="J9" i="89"/>
  <c r="H16" i="88"/>
  <c r="J16" i="89"/>
  <c r="H15" i="88"/>
  <c r="J15" i="89"/>
  <c r="H11" i="88"/>
  <c r="J11" i="89"/>
  <c r="H7" i="88"/>
  <c r="J7" i="89"/>
  <c r="H6" i="88"/>
  <c r="J6" i="89"/>
  <c r="H14" i="88"/>
  <c r="J14" i="89"/>
  <c r="H10" i="88"/>
  <c r="J10" i="89"/>
  <c r="H13" i="88"/>
  <c r="J13" i="89"/>
  <c r="H12" i="88"/>
  <c r="J12" i="89"/>
  <c r="H8" i="88"/>
  <c r="J8" i="89"/>
  <c r="N23" i="89"/>
  <c r="O20" i="89"/>
  <c r="L23" i="89"/>
  <c r="G24" i="89"/>
  <c r="G23" i="89"/>
  <c r="C3" i="88"/>
  <c r="J8" i="100" l="1"/>
  <c r="J13" i="100"/>
  <c r="J14" i="100"/>
  <c r="J7" i="100"/>
  <c r="J15" i="100"/>
  <c r="J9" i="100"/>
  <c r="J12" i="100"/>
  <c r="J10" i="100"/>
  <c r="J6" i="100"/>
  <c r="J11" i="100"/>
  <c r="J16" i="100"/>
  <c r="J17" i="100"/>
  <c r="F26" i="89"/>
  <c r="H20" i="88"/>
  <c r="J20" i="89"/>
  <c r="G26" i="89"/>
  <c r="P9" i="88"/>
  <c r="P9" i="100" s="1"/>
  <c r="N9" i="88"/>
  <c r="K9" i="88"/>
  <c r="C9" i="88"/>
  <c r="P16" i="88"/>
  <c r="P16" i="100" s="1"/>
  <c r="N16" i="88"/>
  <c r="K16" i="88"/>
  <c r="C16" i="88"/>
  <c r="P7" i="88"/>
  <c r="P7" i="100" s="1"/>
  <c r="N7" i="88"/>
  <c r="K7" i="88"/>
  <c r="C7" i="88"/>
  <c r="P8" i="88"/>
  <c r="P8" i="100" s="1"/>
  <c r="P10" i="88"/>
  <c r="P11" i="88"/>
  <c r="P11" i="100" s="1"/>
  <c r="P12" i="88"/>
  <c r="P12" i="100" s="1"/>
  <c r="P13" i="88"/>
  <c r="P14" i="88"/>
  <c r="P14" i="100" s="1"/>
  <c r="P15" i="88"/>
  <c r="P17" i="88"/>
  <c r="P6" i="88"/>
  <c r="P6" i="100" s="1"/>
  <c r="N8" i="88"/>
  <c r="N10" i="88"/>
  <c r="N11" i="88"/>
  <c r="N12" i="88"/>
  <c r="N13" i="88"/>
  <c r="N14" i="88"/>
  <c r="N15" i="88"/>
  <c r="N17" i="88"/>
  <c r="N6" i="88"/>
  <c r="K8" i="88"/>
  <c r="K10" i="88"/>
  <c r="K11" i="88"/>
  <c r="K12" i="88"/>
  <c r="K13" i="88"/>
  <c r="K14" i="88"/>
  <c r="K15" i="88"/>
  <c r="K17" i="88"/>
  <c r="K6" i="88"/>
  <c r="L13" i="88" l="1"/>
  <c r="L16" i="88"/>
  <c r="L12" i="88"/>
  <c r="O10" i="88"/>
  <c r="O10" i="100" s="1"/>
  <c r="P10" i="100"/>
  <c r="L8" i="88"/>
  <c r="O15" i="88"/>
  <c r="O15" i="100" s="1"/>
  <c r="P15" i="100"/>
  <c r="L7" i="88"/>
  <c r="L9" i="88"/>
  <c r="L17" i="88"/>
  <c r="L15" i="88"/>
  <c r="L11" i="88"/>
  <c r="O13" i="88"/>
  <c r="O13" i="100" s="1"/>
  <c r="P13" i="100"/>
  <c r="J20" i="100"/>
  <c r="L14" i="88"/>
  <c r="L10" i="88"/>
  <c r="O17" i="88"/>
  <c r="O17" i="100" s="1"/>
  <c r="P17" i="100"/>
  <c r="E24" i="100"/>
  <c r="E23" i="100"/>
  <c r="L6" i="88"/>
  <c r="K20" i="88"/>
  <c r="N20" i="88"/>
  <c r="P20" i="88"/>
  <c r="M6" i="88"/>
  <c r="O6" i="88"/>
  <c r="O6" i="100" s="1"/>
  <c r="M8" i="88"/>
  <c r="O8" i="88"/>
  <c r="O8" i="100" s="1"/>
  <c r="M12" i="88"/>
  <c r="O12" i="88"/>
  <c r="O12" i="100" s="1"/>
  <c r="M11" i="88"/>
  <c r="O11" i="88"/>
  <c r="O11" i="100" s="1"/>
  <c r="M14" i="88"/>
  <c r="O14" i="88"/>
  <c r="O14" i="100" s="1"/>
  <c r="M7" i="88"/>
  <c r="O7" i="88"/>
  <c r="O7" i="100" s="1"/>
  <c r="M16" i="88"/>
  <c r="O16" i="88"/>
  <c r="O16" i="100" s="1"/>
  <c r="M9" i="88"/>
  <c r="O9" i="88"/>
  <c r="O9" i="100" s="1"/>
  <c r="M10" i="88"/>
  <c r="M13" i="88"/>
  <c r="M17" i="88"/>
  <c r="M15" i="88"/>
  <c r="C8" i="88"/>
  <c r="C10" i="88"/>
  <c r="C11" i="88"/>
  <c r="C12" i="88"/>
  <c r="C13" i="88"/>
  <c r="C14" i="88"/>
  <c r="C15" i="88"/>
  <c r="C17" i="88"/>
  <c r="C6" i="88"/>
  <c r="P20" i="100" l="1"/>
  <c r="Q26" i="100" s="1"/>
  <c r="N23" i="100"/>
  <c r="L23" i="100"/>
  <c r="O20" i="100"/>
  <c r="L20" i="88"/>
  <c r="E26" i="100"/>
  <c r="L30" i="100" s="1"/>
  <c r="O20" i="88"/>
  <c r="M20" i="88"/>
  <c r="G23" i="88"/>
  <c r="Q28" i="100" l="1"/>
  <c r="S13" i="100" s="1"/>
  <c r="E24" i="88"/>
  <c r="E23" i="88"/>
  <c r="S16" i="100" l="1"/>
  <c r="S9" i="100"/>
  <c r="S6" i="100"/>
  <c r="S17" i="100"/>
  <c r="S15" i="100"/>
  <c r="S14" i="100"/>
  <c r="S12" i="100"/>
  <c r="S11" i="100"/>
  <c r="S10" i="100"/>
  <c r="S7" i="100"/>
  <c r="S8" i="100"/>
  <c r="E26" i="88"/>
  <c r="S20" i="100" l="1"/>
  <c r="V20" i="100" s="1"/>
  <c r="L30" i="88"/>
  <c r="N30" i="88" s="1"/>
  <c r="L23" i="88"/>
  <c r="G24" i="88"/>
  <c r="G26" i="88" s="1"/>
  <c r="N23" i="88"/>
  <c r="F24" i="88" l="1"/>
  <c r="F23" i="88"/>
  <c r="F26" i="88" l="1"/>
  <c r="S24" i="100" l="1"/>
  <c r="T25" i="100" s="1"/>
  <c r="E17" i="92" l="1"/>
  <c r="E9" i="92"/>
  <c r="D9" i="92" s="1"/>
  <c r="B9" i="92" s="1"/>
  <c r="E6" i="92" l="1"/>
  <c r="E7" i="92"/>
  <c r="D7" i="92" s="1"/>
  <c r="B7" i="92" s="1"/>
  <c r="E10" i="92"/>
  <c r="D10" i="92" s="1"/>
  <c r="B10" i="92" s="1"/>
  <c r="E13" i="93"/>
  <c r="E16" i="92"/>
  <c r="E15" i="91"/>
  <c r="E9" i="91"/>
  <c r="E14" i="91"/>
  <c r="E17" i="91"/>
  <c r="E8" i="92"/>
  <c r="D8" i="92" s="1"/>
  <c r="B8" i="92" s="1"/>
  <c r="E11" i="92"/>
  <c r="D11" i="92" s="1"/>
  <c r="B11" i="92" s="1"/>
  <c r="E12" i="92"/>
  <c r="D12" i="92" s="1"/>
  <c r="B12" i="92" s="1"/>
  <c r="E15" i="92"/>
  <c r="D15" i="92" s="1"/>
  <c r="B15" i="92" s="1"/>
  <c r="E14" i="92"/>
  <c r="D17" i="92"/>
  <c r="B17" i="92" s="1"/>
  <c r="E8" i="93"/>
  <c r="E11" i="93"/>
  <c r="D11" i="93" s="1"/>
  <c r="B11" i="93" s="1"/>
  <c r="E12" i="93"/>
  <c r="D12" i="93" s="1"/>
  <c r="B12" i="93" s="1"/>
  <c r="E15" i="93"/>
  <c r="D15" i="93" s="1"/>
  <c r="B15" i="93" s="1"/>
  <c r="E8" i="91"/>
  <c r="E11" i="91"/>
  <c r="E12" i="91"/>
  <c r="D12" i="91" s="1"/>
  <c r="B12" i="91" s="1"/>
  <c r="D11" i="91" l="1"/>
  <c r="B11" i="91" s="1"/>
  <c r="D8" i="93"/>
  <c r="B8" i="93" s="1"/>
  <c r="D14" i="92"/>
  <c r="B14" i="92" s="1"/>
  <c r="D14" i="91"/>
  <c r="B14" i="91" s="1"/>
  <c r="D8" i="91"/>
  <c r="B8" i="91" s="1"/>
  <c r="E10" i="91"/>
  <c r="D10" i="91" s="1"/>
  <c r="B10" i="91" s="1"/>
  <c r="E6" i="91"/>
  <c r="E13" i="92"/>
  <c r="D13" i="92" s="1"/>
  <c r="B13" i="92" s="1"/>
  <c r="E7" i="91"/>
  <c r="D7" i="91" s="1"/>
  <c r="B7" i="91" s="1"/>
  <c r="D15" i="91"/>
  <c r="B15" i="91" s="1"/>
  <c r="D16" i="92"/>
  <c r="B16" i="92" s="1"/>
  <c r="D17" i="91"/>
  <c r="B17" i="91" s="1"/>
  <c r="D9" i="91"/>
  <c r="B9" i="91" s="1"/>
  <c r="E13" i="91"/>
  <c r="D13" i="91" s="1"/>
  <c r="B13" i="91" s="1"/>
  <c r="D6" i="92"/>
  <c r="D24" i="92" s="1"/>
  <c r="D26" i="92" s="1"/>
  <c r="D23" i="92"/>
  <c r="E16" i="91"/>
  <c r="D16" i="91" s="1"/>
  <c r="B16" i="91" s="1"/>
  <c r="D13" i="93"/>
  <c r="B13" i="93" s="1"/>
  <c r="D23" i="91" l="1"/>
  <c r="D6" i="91"/>
  <c r="B20" i="92"/>
  <c r="B6" i="92"/>
  <c r="B19" i="92" s="1"/>
  <c r="D20" i="92"/>
  <c r="E9" i="100" l="1"/>
  <c r="E9" i="90"/>
  <c r="D9" i="90" s="1"/>
  <c r="B9" i="90" s="1"/>
  <c r="E11" i="100"/>
  <c r="E11" i="90"/>
  <c r="D11" i="90" s="1"/>
  <c r="B11" i="90" s="1"/>
  <c r="E17" i="100"/>
  <c r="E17" i="90"/>
  <c r="D17" i="90" s="1"/>
  <c r="B17" i="90" s="1"/>
  <c r="E10" i="90"/>
  <c r="D10" i="90" s="1"/>
  <c r="B10" i="90" s="1"/>
  <c r="E10" i="100"/>
  <c r="E7" i="100"/>
  <c r="E7" i="90"/>
  <c r="D7" i="90" s="1"/>
  <c r="B7" i="90" s="1"/>
  <c r="E13" i="100"/>
  <c r="E13" i="90"/>
  <c r="D13" i="90" s="1"/>
  <c r="B13" i="90" s="1"/>
  <c r="E15" i="90"/>
  <c r="D15" i="90" s="1"/>
  <c r="B15" i="90" s="1"/>
  <c r="E15" i="100"/>
  <c r="E16" i="100"/>
  <c r="E16" i="90"/>
  <c r="D16" i="90" s="1"/>
  <c r="B16" i="90" s="1"/>
  <c r="E12" i="100"/>
  <c r="E12" i="90"/>
  <c r="D12" i="90" s="1"/>
  <c r="B12" i="90" s="1"/>
  <c r="E6" i="90"/>
  <c r="E6" i="100"/>
  <c r="E8" i="100"/>
  <c r="E8" i="90"/>
  <c r="D8" i="90" s="1"/>
  <c r="B8" i="90" s="1"/>
  <c r="E14" i="100"/>
  <c r="E14" i="90"/>
  <c r="D14" i="90" s="1"/>
  <c r="B14" i="90" s="1"/>
  <c r="D24" i="91"/>
  <c r="D26" i="91" s="1"/>
  <c r="D20" i="91"/>
  <c r="B20" i="91"/>
  <c r="B6" i="91"/>
  <c r="B19" i="91" s="1"/>
  <c r="L29" i="100" l="1"/>
  <c r="D6" i="90"/>
  <c r="D23" i="90"/>
  <c r="D24" i="90" l="1"/>
  <c r="D26" i="90" s="1"/>
  <c r="B20" i="90"/>
  <c r="D20" i="90"/>
  <c r="B6" i="90"/>
  <c r="B19" i="90" s="1"/>
  <c r="E17" i="89" l="1"/>
  <c r="E12" i="89"/>
  <c r="E9" i="89"/>
  <c r="E8" i="89"/>
  <c r="E11" i="89"/>
  <c r="D11" i="89" l="1"/>
  <c r="B11" i="89" s="1"/>
  <c r="D12" i="89"/>
  <c r="B12" i="89" s="1"/>
  <c r="E16" i="89"/>
  <c r="D16" i="89" s="1"/>
  <c r="B16" i="89" s="1"/>
  <c r="E10" i="89"/>
  <c r="D10" i="89" s="1"/>
  <c r="B10" i="89" s="1"/>
  <c r="D8" i="89"/>
  <c r="B8" i="89" s="1"/>
  <c r="D17" i="89"/>
  <c r="B17" i="89" s="1"/>
  <c r="E13" i="89"/>
  <c r="D13" i="89" s="1"/>
  <c r="B13" i="89" s="1"/>
  <c r="E7" i="89"/>
  <c r="D7" i="89" s="1"/>
  <c r="B7" i="89" s="1"/>
  <c r="E6" i="89"/>
  <c r="D9" i="89"/>
  <c r="B9" i="89" s="1"/>
  <c r="D6" i="89" l="1"/>
  <c r="B6" i="89" l="1"/>
  <c r="E14" i="88" l="1"/>
  <c r="E6" i="88" l="1"/>
  <c r="E17" i="88"/>
  <c r="E9" i="88"/>
  <c r="D9" i="88" s="1"/>
  <c r="E8" i="88"/>
  <c r="D8" i="88" s="1"/>
  <c r="E12" i="88"/>
  <c r="D14" i="88"/>
  <c r="E15" i="88"/>
  <c r="D17" i="88" l="1"/>
  <c r="D12" i="88"/>
  <c r="B12" i="88" s="1"/>
  <c r="B14" i="88"/>
  <c r="E7" i="88"/>
  <c r="D7" i="88" s="1"/>
  <c r="E16" i="88"/>
  <c r="D16" i="88" s="1"/>
  <c r="D15" i="88"/>
  <c r="B15" i="88" s="1"/>
  <c r="B9" i="88"/>
  <c r="E13" i="88"/>
  <c r="D13" i="88" s="1"/>
  <c r="E10" i="88"/>
  <c r="D10" i="88" s="1"/>
  <c r="B8" i="88"/>
  <c r="D6" i="88"/>
  <c r="B17" i="88"/>
  <c r="B6" i="88" l="1"/>
  <c r="B7" i="88"/>
  <c r="B13" i="88"/>
  <c r="B16" i="88"/>
  <c r="B10" i="88"/>
  <c r="E14" i="89" l="1"/>
  <c r="D14" i="89" l="1"/>
  <c r="E15" i="89"/>
  <c r="D15" i="89" l="1"/>
  <c r="B15" i="89" s="1"/>
  <c r="D23" i="89"/>
  <c r="B14" i="89"/>
  <c r="B19" i="89" s="1"/>
  <c r="B20" i="89"/>
  <c r="D20" i="89" l="1"/>
  <c r="D24" i="89"/>
  <c r="D26" i="89" s="1"/>
  <c r="E11" i="88" l="1"/>
  <c r="D11" i="88" l="1"/>
  <c r="D24" i="88" s="1"/>
  <c r="H24" i="88" s="1"/>
  <c r="D23" i="88"/>
  <c r="E20" i="88"/>
  <c r="L29" i="88" s="1"/>
  <c r="N29" i="88" s="1"/>
  <c r="H23" i="88" l="1"/>
  <c r="H26" i="88" s="1"/>
  <c r="D26" i="88"/>
  <c r="L22" i="88" s="1"/>
  <c r="B11" i="88"/>
  <c r="D20" i="88"/>
  <c r="B20" i="88"/>
  <c r="B19" i="88" l="1"/>
  <c r="L25" i="88"/>
  <c r="L27" i="88" s="1"/>
  <c r="N27" i="88" s="1"/>
  <c r="D3" i="88"/>
  <c r="M23" i="88" s="1"/>
  <c r="E11" i="97" l="1"/>
  <c r="D11" i="97" s="1"/>
  <c r="B11" i="97" s="1"/>
  <c r="E12" i="96"/>
  <c r="D12" i="96" s="1"/>
  <c r="B12" i="96" s="1"/>
  <c r="E17" i="97"/>
  <c r="E12" i="97"/>
  <c r="E17" i="96"/>
  <c r="E14" i="97"/>
  <c r="D14" i="97" s="1"/>
  <c r="B14" i="97" s="1"/>
  <c r="E15" i="97"/>
  <c r="D17" i="96" l="1"/>
  <c r="B17" i="96" s="1"/>
  <c r="E16" i="97"/>
  <c r="D16" i="97" s="1"/>
  <c r="B16" i="97" s="1"/>
  <c r="E7" i="96"/>
  <c r="D7" i="96" s="1"/>
  <c r="B7" i="96" s="1"/>
  <c r="D12" i="97"/>
  <c r="B12" i="97" s="1"/>
  <c r="D15" i="97"/>
  <c r="B15" i="97" s="1"/>
  <c r="D17" i="97"/>
  <c r="B17" i="97" s="1"/>
  <c r="E12" i="95"/>
  <c r="E14" i="95"/>
  <c r="D14" i="95" l="1"/>
  <c r="B14" i="95" s="1"/>
  <c r="D12" i="95"/>
  <c r="B12" i="95" s="1"/>
  <c r="E10" i="95"/>
  <c r="D10" i="95" s="1"/>
  <c r="B10" i="95" s="1"/>
  <c r="E14" i="94" l="1"/>
  <c r="D14" i="94" s="1"/>
  <c r="B14" i="94" s="1"/>
  <c r="E8" i="97" l="1"/>
  <c r="D8" i="97" s="1"/>
  <c r="B8" i="97" s="1"/>
  <c r="E9" i="97"/>
  <c r="D9" i="97" s="1"/>
  <c r="B9" i="97" s="1"/>
  <c r="E15" i="94"/>
  <c r="E12" i="94"/>
  <c r="E15" i="96"/>
  <c r="D15" i="96" s="1"/>
  <c r="B15" i="96" s="1"/>
  <c r="E15" i="95"/>
  <c r="D15" i="95" s="1"/>
  <c r="B15" i="95" s="1"/>
  <c r="D15" i="94" l="1"/>
  <c r="B15" i="94" s="1"/>
  <c r="E7" i="94"/>
  <c r="D7" i="94" s="1"/>
  <c r="B7" i="94" s="1"/>
  <c r="E7" i="93"/>
  <c r="D7" i="93" s="1"/>
  <c r="E13" i="95"/>
  <c r="D13" i="95" s="1"/>
  <c r="B13" i="95" s="1"/>
  <c r="D12" i="94"/>
  <c r="B7" i="93" l="1"/>
  <c r="B12" i="94"/>
  <c r="E15" i="98" l="1"/>
  <c r="D15" i="98" s="1"/>
  <c r="B15" i="98" s="1"/>
  <c r="E11" i="98"/>
  <c r="D11" i="98" s="1"/>
  <c r="B11" i="98" s="1"/>
  <c r="E17" i="98"/>
  <c r="D17" i="98" s="1"/>
  <c r="B17" i="98" s="1"/>
  <c r="E16" i="98" l="1"/>
  <c r="D16" i="98" s="1"/>
  <c r="B16" i="98" s="1"/>
  <c r="E7" i="98"/>
  <c r="D7" i="98" s="1"/>
  <c r="B7" i="98" s="1"/>
  <c r="K6" i="99" l="1"/>
  <c r="K8" i="99"/>
  <c r="L8" i="99" s="1"/>
  <c r="K7" i="96"/>
  <c r="L7" i="96" s="1"/>
  <c r="K9" i="96"/>
  <c r="L9" i="96" s="1"/>
  <c r="K11" i="97"/>
  <c r="L11" i="97" s="1"/>
  <c r="K13" i="97"/>
  <c r="L13" i="97" s="1"/>
  <c r="K17" i="97"/>
  <c r="L17" i="97" s="1"/>
  <c r="K12" i="98"/>
  <c r="L12" i="98" s="1"/>
  <c r="K6" i="96"/>
  <c r="K13" i="96"/>
  <c r="L13" i="96" s="1"/>
  <c r="K14" i="97"/>
  <c r="L14" i="97" s="1"/>
  <c r="K9" i="98"/>
  <c r="L9" i="98" s="1"/>
  <c r="K13" i="98"/>
  <c r="L13" i="98" s="1"/>
  <c r="K15" i="98"/>
  <c r="L15" i="98" s="1"/>
  <c r="K11" i="96"/>
  <c r="L11" i="96" s="1"/>
  <c r="K10" i="97"/>
  <c r="L10" i="97" s="1"/>
  <c r="K16" i="97"/>
  <c r="L16" i="97" s="1"/>
  <c r="K7" i="98"/>
  <c r="L7" i="98" s="1"/>
  <c r="K11" i="98"/>
  <c r="L11" i="98" s="1"/>
  <c r="K12" i="99"/>
  <c r="L12" i="99" s="1"/>
  <c r="K16" i="99"/>
  <c r="L16" i="99" s="1"/>
  <c r="K10" i="96"/>
  <c r="L10" i="96" s="1"/>
  <c r="K6" i="97"/>
  <c r="K7" i="97"/>
  <c r="L7" i="97" s="1"/>
  <c r="K9" i="97"/>
  <c r="L9" i="97" s="1"/>
  <c r="K14" i="98"/>
  <c r="L14" i="98" s="1"/>
  <c r="K13" i="99"/>
  <c r="L13" i="99" s="1"/>
  <c r="K14" i="96"/>
  <c r="L14" i="96" s="1"/>
  <c r="K15" i="96"/>
  <c r="L15" i="96" s="1"/>
  <c r="K15" i="97"/>
  <c r="L15" i="97" s="1"/>
  <c r="K8" i="98"/>
  <c r="L8" i="98" s="1"/>
  <c r="K16" i="98"/>
  <c r="L16" i="98" s="1"/>
  <c r="K17" i="98"/>
  <c r="L17" i="98" s="1"/>
  <c r="K17" i="96"/>
  <c r="L17" i="96" s="1"/>
  <c r="K8" i="96"/>
  <c r="L8" i="96" s="1"/>
  <c r="K12" i="96"/>
  <c r="L12" i="96" s="1"/>
  <c r="K16" i="96"/>
  <c r="L16" i="96" s="1"/>
  <c r="K8" i="97"/>
  <c r="L8" i="97" s="1"/>
  <c r="K12" i="97"/>
  <c r="L12" i="97" s="1"/>
  <c r="K6" i="98"/>
  <c r="K10" i="98"/>
  <c r="L10" i="98" s="1"/>
  <c r="K7" i="99"/>
  <c r="L7" i="99" s="1"/>
  <c r="K11" i="99"/>
  <c r="L11" i="99" s="1"/>
  <c r="K15" i="99"/>
  <c r="L15" i="99" s="1"/>
  <c r="K14" i="99"/>
  <c r="L14" i="99" s="1"/>
  <c r="K13" i="92"/>
  <c r="L13" i="92" s="1"/>
  <c r="K10" i="99"/>
  <c r="L10" i="99" s="1"/>
  <c r="K9" i="99"/>
  <c r="L9" i="99" s="1"/>
  <c r="K17" i="99"/>
  <c r="L17" i="99" s="1"/>
  <c r="K11" i="95"/>
  <c r="L11" i="95" s="1"/>
  <c r="K12" i="95"/>
  <c r="L12" i="95" s="1"/>
  <c r="K12" i="94"/>
  <c r="L12" i="94" s="1"/>
  <c r="K15" i="95"/>
  <c r="L15" i="95" s="1"/>
  <c r="K6" i="92"/>
  <c r="K17" i="94"/>
  <c r="L17" i="94" s="1"/>
  <c r="K17" i="92"/>
  <c r="L17" i="92" s="1"/>
  <c r="K9" i="94"/>
  <c r="L9" i="94" s="1"/>
  <c r="K17" i="95"/>
  <c r="L17" i="95" s="1"/>
  <c r="K13" i="94"/>
  <c r="L13" i="94" s="1"/>
  <c r="K8" i="94"/>
  <c r="L8" i="94" s="1"/>
  <c r="K16" i="94"/>
  <c r="L16" i="94" s="1"/>
  <c r="K9" i="93"/>
  <c r="L9" i="93" s="1"/>
  <c r="K10" i="93"/>
  <c r="L10" i="93" s="1"/>
  <c r="K12" i="93"/>
  <c r="L12" i="93" s="1"/>
  <c r="K14" i="93"/>
  <c r="L14" i="93" s="1"/>
  <c r="K16" i="93"/>
  <c r="L16" i="93" s="1"/>
  <c r="K17" i="93"/>
  <c r="L17" i="93" s="1"/>
  <c r="K6" i="94"/>
  <c r="K7" i="94"/>
  <c r="L7" i="94" s="1"/>
  <c r="K10" i="94"/>
  <c r="L10" i="94" s="1"/>
  <c r="K11" i="94"/>
  <c r="L11" i="94" s="1"/>
  <c r="K14" i="94"/>
  <c r="L14" i="94" s="1"/>
  <c r="K15" i="94"/>
  <c r="L15" i="94" s="1"/>
  <c r="K7" i="95"/>
  <c r="L7" i="95" s="1"/>
  <c r="K10" i="95"/>
  <c r="L10" i="95" s="1"/>
  <c r="K14" i="95"/>
  <c r="L14" i="95" s="1"/>
  <c r="K10" i="92"/>
  <c r="L10" i="92" s="1"/>
  <c r="K11" i="92"/>
  <c r="L11" i="92" s="1"/>
  <c r="K14" i="92"/>
  <c r="L14" i="92" s="1"/>
  <c r="K7" i="92"/>
  <c r="L7" i="92" s="1"/>
  <c r="K6" i="93"/>
  <c r="K8" i="93"/>
  <c r="L8" i="93" s="1"/>
  <c r="K13" i="93"/>
  <c r="L13" i="93" s="1"/>
  <c r="K6" i="95"/>
  <c r="K8" i="92"/>
  <c r="L8" i="92" s="1"/>
  <c r="K12" i="92"/>
  <c r="L12" i="92" s="1"/>
  <c r="K16" i="92"/>
  <c r="L16" i="92" s="1"/>
  <c r="K15" i="92"/>
  <c r="L15" i="92" s="1"/>
  <c r="K16" i="95"/>
  <c r="L16" i="95" s="1"/>
  <c r="K8" i="95"/>
  <c r="L8" i="95" s="1"/>
  <c r="K7" i="93"/>
  <c r="L7" i="93" s="1"/>
  <c r="K11" i="93"/>
  <c r="L11" i="93" s="1"/>
  <c r="K15" i="93"/>
  <c r="L15" i="93" s="1"/>
  <c r="K9" i="92"/>
  <c r="L9" i="92" s="1"/>
  <c r="K9" i="95"/>
  <c r="L9" i="95" s="1"/>
  <c r="K13" i="95"/>
  <c r="L13" i="95" s="1"/>
  <c r="K20" i="92" l="1"/>
  <c r="L6" i="92"/>
  <c r="K20" i="93"/>
  <c r="L6" i="93"/>
  <c r="L6" i="96"/>
  <c r="K20" i="96"/>
  <c r="L6" i="99"/>
  <c r="K20" i="99"/>
  <c r="K20" i="95"/>
  <c r="L6" i="95"/>
  <c r="K20" i="94"/>
  <c r="L6" i="94"/>
  <c r="K20" i="98"/>
  <c r="L6" i="98"/>
  <c r="K20" i="97"/>
  <c r="L6" i="97"/>
  <c r="E24" i="97" l="1"/>
  <c r="E23" i="97"/>
  <c r="E26" i="97" s="1"/>
  <c r="L30" i="97" s="1"/>
  <c r="E24" i="94"/>
  <c r="E23" i="94"/>
  <c r="E26" i="94" s="1"/>
  <c r="L30" i="94" s="1"/>
  <c r="E24" i="93"/>
  <c r="E23" i="93"/>
  <c r="E26" i="93" s="1"/>
  <c r="L30" i="93" s="1"/>
  <c r="E23" i="99"/>
  <c r="E24" i="99"/>
  <c r="E24" i="98"/>
  <c r="E23" i="98"/>
  <c r="E26" i="98" s="1"/>
  <c r="L30" i="98" s="1"/>
  <c r="E23" i="95"/>
  <c r="E24" i="95"/>
  <c r="E23" i="92"/>
  <c r="E24" i="92"/>
  <c r="H24" i="92" s="1"/>
  <c r="E24" i="96"/>
  <c r="E23" i="96"/>
  <c r="K8" i="91"/>
  <c r="L8" i="91" s="1"/>
  <c r="K12" i="91"/>
  <c r="L12" i="91" s="1"/>
  <c r="K16" i="91"/>
  <c r="L16" i="91" s="1"/>
  <c r="K7" i="91"/>
  <c r="L7" i="91" s="1"/>
  <c r="K11" i="91"/>
  <c r="L11" i="91" s="1"/>
  <c r="K15" i="91"/>
  <c r="L15" i="91" s="1"/>
  <c r="K9" i="91"/>
  <c r="L9" i="91" s="1"/>
  <c r="K13" i="91"/>
  <c r="L13" i="91" s="1"/>
  <c r="K17" i="91"/>
  <c r="L17" i="91" s="1"/>
  <c r="K6" i="91"/>
  <c r="K10" i="91"/>
  <c r="L10" i="91" s="1"/>
  <c r="K14" i="91"/>
  <c r="L14" i="91" s="1"/>
  <c r="E26" i="95" l="1"/>
  <c r="L30" i="95" s="1"/>
  <c r="E26" i="96"/>
  <c r="L30" i="96" s="1"/>
  <c r="E26" i="99"/>
  <c r="L30" i="99" s="1"/>
  <c r="L6" i="91"/>
  <c r="K20" i="91"/>
  <c r="E26" i="92"/>
  <c r="L30" i="92" s="1"/>
  <c r="L29" i="92"/>
  <c r="H23" i="92"/>
  <c r="H26" i="92" s="1"/>
  <c r="E23" i="91" l="1"/>
  <c r="E24" i="91"/>
  <c r="H24" i="91" s="1"/>
  <c r="K9" i="90"/>
  <c r="L9" i="90" s="1"/>
  <c r="K13" i="90"/>
  <c r="L13" i="90" s="1"/>
  <c r="K17" i="90"/>
  <c r="L17" i="90" s="1"/>
  <c r="K6" i="90"/>
  <c r="K10" i="90"/>
  <c r="L10" i="90" s="1"/>
  <c r="K14" i="90"/>
  <c r="L14" i="90" s="1"/>
  <c r="K7" i="90"/>
  <c r="L7" i="90" s="1"/>
  <c r="K11" i="90"/>
  <c r="L11" i="90" s="1"/>
  <c r="K15" i="90"/>
  <c r="L15" i="90" s="1"/>
  <c r="K8" i="90"/>
  <c r="L8" i="90" s="1"/>
  <c r="K12" i="90"/>
  <c r="L12" i="90" s="1"/>
  <c r="K16" i="90"/>
  <c r="L16" i="90" s="1"/>
  <c r="L6" i="90" l="1"/>
  <c r="K20" i="90"/>
  <c r="E26" i="91"/>
  <c r="L30" i="91" s="1"/>
  <c r="L29" i="91"/>
  <c r="H23" i="91"/>
  <c r="H26" i="91" s="1"/>
  <c r="K17" i="89"/>
  <c r="K9" i="89"/>
  <c r="K16" i="89"/>
  <c r="K15" i="89"/>
  <c r="K11" i="89"/>
  <c r="K7" i="89"/>
  <c r="K6" i="89"/>
  <c r="K14" i="89"/>
  <c r="K10" i="89"/>
  <c r="K13" i="89"/>
  <c r="K12" i="89"/>
  <c r="K8" i="89"/>
  <c r="K13" i="100" l="1"/>
  <c r="L13" i="89"/>
  <c r="L7" i="89"/>
  <c r="K7" i="100"/>
  <c r="L9" i="89"/>
  <c r="K9" i="100"/>
  <c r="K10" i="100"/>
  <c r="L10" i="89"/>
  <c r="L11" i="89"/>
  <c r="K11" i="100"/>
  <c r="K17" i="100"/>
  <c r="L17" i="89"/>
  <c r="L8" i="89"/>
  <c r="K8" i="100"/>
  <c r="L14" i="89"/>
  <c r="K14" i="100"/>
  <c r="L15" i="89"/>
  <c r="K15" i="100"/>
  <c r="K12" i="100"/>
  <c r="L12" i="89"/>
  <c r="K20" i="89"/>
  <c r="K6" i="100"/>
  <c r="L6" i="89"/>
  <c r="K16" i="100"/>
  <c r="L16" i="89"/>
  <c r="E23" i="90"/>
  <c r="E24" i="90"/>
  <c r="H24" i="90" s="1"/>
  <c r="E24" i="89" l="1"/>
  <c r="H24" i="89" s="1"/>
  <c r="E23" i="89"/>
  <c r="E26" i="90"/>
  <c r="L30" i="90" s="1"/>
  <c r="L29" i="90"/>
  <c r="H23" i="90"/>
  <c r="H26" i="90" s="1"/>
  <c r="K20" i="100"/>
  <c r="E26" i="89" l="1"/>
  <c r="L29" i="89"/>
  <c r="N29" i="89" s="1"/>
  <c r="H23" i="89"/>
  <c r="H26" i="89" s="1"/>
  <c r="N29" i="90" l="1"/>
  <c r="N29" i="91" s="1"/>
  <c r="N29" i="92" s="1"/>
  <c r="N29" i="100"/>
  <c r="L30" i="89"/>
  <c r="N30" i="89" s="1"/>
  <c r="L22" i="89"/>
  <c r="L25" i="89" l="1"/>
  <c r="L27" i="89" s="1"/>
  <c r="N27" i="89" s="1"/>
  <c r="L22" i="90" s="1"/>
  <c r="D3" i="89"/>
  <c r="M23" i="89" s="1"/>
  <c r="N30" i="100"/>
  <c r="N30" i="90"/>
  <c r="N30" i="91" s="1"/>
  <c r="N30" i="95" l="1"/>
  <c r="N30" i="93"/>
  <c r="N30" i="94" s="1"/>
  <c r="N30" i="96"/>
  <c r="N30" i="97" s="1"/>
  <c r="N30" i="98" s="1"/>
  <c r="N30" i="92"/>
  <c r="D3" i="90"/>
  <c r="M23" i="90" s="1"/>
  <c r="L25" i="90"/>
  <c r="L27" i="90" s="1"/>
  <c r="N27" i="90" s="1"/>
  <c r="L22" i="91" s="1"/>
  <c r="L25" i="91" l="1"/>
  <c r="L27" i="91" s="1"/>
  <c r="N27" i="91" s="1"/>
  <c r="L22" i="92" s="1"/>
  <c r="D3" i="91"/>
  <c r="M23" i="91" s="1"/>
  <c r="L25" i="92" l="1"/>
  <c r="L27" i="92" s="1"/>
  <c r="N27" i="92" s="1"/>
  <c r="D3" i="92"/>
  <c r="M23" i="92" s="1"/>
  <c r="E14" i="98" l="1"/>
  <c r="D14" i="98" s="1"/>
  <c r="B14" i="98" s="1"/>
  <c r="E12" i="99" l="1"/>
  <c r="D12" i="99" s="1"/>
  <c r="B12" i="99" s="1"/>
  <c r="E11" i="99" l="1"/>
  <c r="E14" i="99"/>
  <c r="E8" i="99"/>
  <c r="D14" i="99" l="1"/>
  <c r="B14" i="99" s="1"/>
  <c r="D11" i="99"/>
  <c r="B11" i="99" s="1"/>
  <c r="D8" i="99"/>
  <c r="B8" i="99" s="1"/>
  <c r="E13" i="99"/>
  <c r="D13" i="99" s="1"/>
  <c r="B13" i="99" s="1"/>
  <c r="E16" i="99"/>
  <c r="D16" i="99" s="1"/>
  <c r="B16" i="99" s="1"/>
  <c r="E15" i="99"/>
  <c r="D15" i="99" s="1"/>
  <c r="D15" i="100" l="1"/>
  <c r="B15" i="99"/>
  <c r="B15" i="100" s="1"/>
  <c r="E10" i="99"/>
  <c r="D10" i="99" s="1"/>
  <c r="B10" i="99" s="1"/>
  <c r="E7" i="99"/>
  <c r="D7" i="99" s="1"/>
  <c r="B7" i="99" s="1"/>
  <c r="E12" i="98" l="1"/>
  <c r="D12" i="98" s="1"/>
  <c r="B12" i="98" l="1"/>
  <c r="B12" i="100" s="1"/>
  <c r="D12" i="100"/>
  <c r="E14" i="96" l="1"/>
  <c r="D14" i="96" l="1"/>
  <c r="B14" i="96" s="1"/>
  <c r="E7" i="95"/>
  <c r="D7" i="95" s="1"/>
  <c r="E7" i="97"/>
  <c r="D7" i="97" s="1"/>
  <c r="B7" i="97" s="1"/>
  <c r="B7" i="95" l="1"/>
  <c r="B7" i="100" s="1"/>
  <c r="D7" i="100"/>
  <c r="E8" i="94" l="1"/>
  <c r="D8" i="94" s="1"/>
  <c r="B8" i="94" l="1"/>
  <c r="E11" i="96" l="1"/>
  <c r="D11" i="96" s="1"/>
  <c r="B11" i="96" s="1"/>
  <c r="E17" i="93"/>
  <c r="D17" i="93" s="1"/>
  <c r="E9" i="99"/>
  <c r="D9" i="99" s="1"/>
  <c r="B9" i="99" s="1"/>
  <c r="E11" i="95"/>
  <c r="E11" i="94"/>
  <c r="E14" i="93"/>
  <c r="D14" i="93" s="1"/>
  <c r="E17" i="95"/>
  <c r="D17" i="95" s="1"/>
  <c r="B17" i="95" s="1"/>
  <c r="E9" i="96"/>
  <c r="D9" i="96" s="1"/>
  <c r="B9" i="96" s="1"/>
  <c r="E17" i="99"/>
  <c r="E17" i="94"/>
  <c r="D17" i="94" s="1"/>
  <c r="B17" i="94" s="1"/>
  <c r="E8" i="96"/>
  <c r="D8" i="96" s="1"/>
  <c r="B8" i="96" s="1"/>
  <c r="E9" i="93"/>
  <c r="E9" i="94"/>
  <c r="D9" i="94" s="1"/>
  <c r="B9" i="94" s="1"/>
  <c r="E8" i="95"/>
  <c r="E9" i="95"/>
  <c r="E8" i="98"/>
  <c r="E9" i="98"/>
  <c r="D9" i="98" l="1"/>
  <c r="B9" i="98" s="1"/>
  <c r="D17" i="99"/>
  <c r="B17" i="99" s="1"/>
  <c r="E6" i="98"/>
  <c r="D9" i="95"/>
  <c r="B9" i="95" s="1"/>
  <c r="E6" i="95"/>
  <c r="E6" i="93"/>
  <c r="E10" i="93"/>
  <c r="D10" i="93" s="1"/>
  <c r="E6" i="99"/>
  <c r="E6" i="97"/>
  <c r="E10" i="94"/>
  <c r="D10" i="94" s="1"/>
  <c r="B10" i="94" s="1"/>
  <c r="D8" i="98"/>
  <c r="B8" i="98" s="1"/>
  <c r="E6" i="96"/>
  <c r="E16" i="94"/>
  <c r="D16" i="94" s="1"/>
  <c r="B16" i="94" s="1"/>
  <c r="E16" i="93"/>
  <c r="D16" i="93" s="1"/>
  <c r="E13" i="97"/>
  <c r="D13" i="97" s="1"/>
  <c r="B13" i="97" s="1"/>
  <c r="E10" i="97"/>
  <c r="D10" i="97" s="1"/>
  <c r="B10" i="97" s="1"/>
  <c r="E13" i="98"/>
  <c r="D13" i="98" s="1"/>
  <c r="B13" i="98" s="1"/>
  <c r="D11" i="95"/>
  <c r="B11" i="95" s="1"/>
  <c r="D11" i="94"/>
  <c r="E16" i="96"/>
  <c r="D16" i="96" s="1"/>
  <c r="B16" i="96" s="1"/>
  <c r="E10" i="96"/>
  <c r="D10" i="96" s="1"/>
  <c r="B10" i="96" s="1"/>
  <c r="D8" i="95"/>
  <c r="D9" i="93"/>
  <c r="E16" i="95"/>
  <c r="D16" i="95" s="1"/>
  <c r="B16" i="95" s="1"/>
  <c r="E6" i="94"/>
  <c r="B14" i="93"/>
  <c r="B14" i="100" s="1"/>
  <c r="D14" i="100"/>
  <c r="D23" i="100" s="1"/>
  <c r="E13" i="96"/>
  <c r="D13" i="96" s="1"/>
  <c r="B13" i="96" s="1"/>
  <c r="E13" i="94"/>
  <c r="D13" i="94" s="1"/>
  <c r="B17" i="93"/>
  <c r="B17" i="100" s="1"/>
  <c r="D17" i="100"/>
  <c r="E10" i="98"/>
  <c r="D10" i="98" s="1"/>
  <c r="B10" i="98" s="1"/>
  <c r="B8" i="95" l="1"/>
  <c r="B8" i="100" s="1"/>
  <c r="D8" i="100"/>
  <c r="B13" i="94"/>
  <c r="B13" i="100" s="1"/>
  <c r="D13" i="100"/>
  <c r="H23" i="100"/>
  <c r="B11" i="94"/>
  <c r="B11" i="100" s="1"/>
  <c r="D11" i="100"/>
  <c r="B16" i="93"/>
  <c r="B16" i="100" s="1"/>
  <c r="D16" i="100"/>
  <c r="D23" i="96"/>
  <c r="D6" i="96"/>
  <c r="L29" i="96"/>
  <c r="L29" i="99"/>
  <c r="D6" i="99"/>
  <c r="D23" i="99"/>
  <c r="L29" i="93"/>
  <c r="N29" i="93" s="1"/>
  <c r="D6" i="93"/>
  <c r="D24" i="93" s="1"/>
  <c r="H24" i="93" s="1"/>
  <c r="D23" i="93"/>
  <c r="L29" i="98"/>
  <c r="D6" i="98"/>
  <c r="D24" i="98" s="1"/>
  <c r="H24" i="98" s="1"/>
  <c r="D23" i="98"/>
  <c r="D23" i="94"/>
  <c r="L29" i="94"/>
  <c r="D6" i="94"/>
  <c r="D24" i="94" s="1"/>
  <c r="H24" i="94" s="1"/>
  <c r="B9" i="93"/>
  <c r="B9" i="100" s="1"/>
  <c r="D9" i="100"/>
  <c r="D23" i="97"/>
  <c r="D24" i="97"/>
  <c r="H24" i="97" s="1"/>
  <c r="D6" i="97"/>
  <c r="L29" i="97"/>
  <c r="B10" i="93"/>
  <c r="B10" i="100" s="1"/>
  <c r="D10" i="100"/>
  <c r="D6" i="95"/>
  <c r="L29" i="95"/>
  <c r="D23" i="95"/>
  <c r="D24" i="95"/>
  <c r="H24" i="95" s="1"/>
  <c r="B20" i="98" l="1"/>
  <c r="D20" i="98"/>
  <c r="B6" i="98"/>
  <c r="B19" i="98" s="1"/>
  <c r="N29" i="94"/>
  <c r="N29" i="95" s="1"/>
  <c r="N29" i="96" s="1"/>
  <c r="N29" i="97" s="1"/>
  <c r="N29" i="98" s="1"/>
  <c r="N29" i="99" s="1"/>
  <c r="B20" i="95"/>
  <c r="D20" i="95"/>
  <c r="B6" i="95"/>
  <c r="B19" i="95" s="1"/>
  <c r="D20" i="97"/>
  <c r="B6" i="97"/>
  <c r="B19" i="97" s="1"/>
  <c r="B20" i="97"/>
  <c r="H23" i="94"/>
  <c r="H26" i="94" s="1"/>
  <c r="D26" i="94"/>
  <c r="H23" i="99"/>
  <c r="D20" i="96"/>
  <c r="B20" i="96"/>
  <c r="B6" i="96"/>
  <c r="B19" i="96" s="1"/>
  <c r="H23" i="93"/>
  <c r="H26" i="93" s="1"/>
  <c r="D26" i="93"/>
  <c r="L22" i="93" s="1"/>
  <c r="D24" i="99"/>
  <c r="H24" i="99" s="1"/>
  <c r="D20" i="99"/>
  <c r="B6" i="99"/>
  <c r="B19" i="99" s="1"/>
  <c r="B20" i="99"/>
  <c r="D24" i="96"/>
  <c r="H24" i="96" s="1"/>
  <c r="H23" i="95"/>
  <c r="H26" i="95" s="1"/>
  <c r="D26" i="95"/>
  <c r="H23" i="97"/>
  <c r="H26" i="97" s="1"/>
  <c r="D26" i="97"/>
  <c r="B20" i="94"/>
  <c r="B6" i="94"/>
  <c r="B19" i="94" s="1"/>
  <c r="D20" i="94"/>
  <c r="H23" i="98"/>
  <c r="H26" i="98" s="1"/>
  <c r="D26" i="98"/>
  <c r="B20" i="93"/>
  <c r="B6" i="93"/>
  <c r="D20" i="93"/>
  <c r="D6" i="100"/>
  <c r="H23" i="96"/>
  <c r="H26" i="96" l="1"/>
  <c r="B19" i="93"/>
  <c r="B6" i="100"/>
  <c r="B19" i="100" s="1"/>
  <c r="L25" i="93"/>
  <c r="L27" i="93" s="1"/>
  <c r="N27" i="93" s="1"/>
  <c r="L22" i="94" s="1"/>
  <c r="D3" i="93"/>
  <c r="M23" i="93" s="1"/>
  <c r="D26" i="96"/>
  <c r="B20" i="100"/>
  <c r="D20" i="100"/>
  <c r="D24" i="100"/>
  <c r="D26" i="99"/>
  <c r="H26" i="99"/>
  <c r="L25" i="94" l="1"/>
  <c r="L27" i="94" s="1"/>
  <c r="N27" i="94" s="1"/>
  <c r="L22" i="95" s="1"/>
  <c r="D3" i="94"/>
  <c r="M23" i="94" s="1"/>
  <c r="H24" i="100"/>
  <c r="H26" i="100" s="1"/>
  <c r="D26" i="100"/>
  <c r="L22" i="100" s="1"/>
  <c r="L25" i="100" l="1"/>
  <c r="L27" i="100" s="1"/>
  <c r="N27" i="100" s="1"/>
  <c r="D3" i="100"/>
  <c r="M23" i="100" s="1"/>
  <c r="L25" i="95"/>
  <c r="L27" i="95" s="1"/>
  <c r="N27" i="95" s="1"/>
  <c r="L22" i="96" s="1"/>
  <c r="D3" i="95"/>
  <c r="M23" i="95" s="1"/>
  <c r="D3" i="96" l="1"/>
  <c r="M23" i="96" s="1"/>
  <c r="L25" i="96"/>
  <c r="L27" i="96" s="1"/>
  <c r="N27" i="96" s="1"/>
  <c r="L22" i="97" s="1"/>
  <c r="D3" i="97" l="1"/>
  <c r="M23" i="97" s="1"/>
  <c r="L25" i="97"/>
  <c r="L27" i="97" s="1"/>
  <c r="N27" i="97" s="1"/>
  <c r="Q27" i="97" l="1"/>
  <c r="L22" i="98"/>
  <c r="L25" i="98" l="1"/>
  <c r="L27" i="98" s="1"/>
  <c r="N27" i="98" s="1"/>
  <c r="L22" i="99" s="1"/>
  <c r="D3" i="98"/>
  <c r="M23" i="98" s="1"/>
  <c r="D3" i="99" l="1"/>
  <c r="M23" i="99" s="1"/>
  <c r="L25" i="99"/>
  <c r="L27" i="99" s="1"/>
  <c r="N27" i="99" s="1"/>
</calcChain>
</file>

<file path=xl/sharedStrings.xml><?xml version="1.0" encoding="utf-8"?>
<sst xmlns="http://schemas.openxmlformats.org/spreadsheetml/2006/main" count="728" uniqueCount="57">
  <si>
    <t>ASSOCIATION</t>
  </si>
  <si>
    <t>ASELBY</t>
  </si>
  <si>
    <t>ANNEE</t>
  </si>
  <si>
    <t>MATRICULE</t>
  </si>
  <si>
    <t>NOM ET PRENOM</t>
  </si>
  <si>
    <t>MONTANT TONTINE</t>
  </si>
  <si>
    <t>ECHEC</t>
  </si>
  <si>
    <t>BANQUE</t>
  </si>
  <si>
    <t>AS201619</t>
  </si>
  <si>
    <t>AS201622</t>
  </si>
  <si>
    <t>AS201624</t>
  </si>
  <si>
    <t>ESPECES</t>
  </si>
  <si>
    <t>INTERET PETIT LOT</t>
  </si>
  <si>
    <t>MODE VERSEMENT REMBOURSEMENT</t>
  </si>
  <si>
    <t>REMBOURSEMENT PETIT LOT</t>
  </si>
  <si>
    <t>INTERET LOT PRINCIPAL</t>
  </si>
  <si>
    <t>VENTE PETIT LOT</t>
  </si>
  <si>
    <t>MODE VERSEMENT VENTE PETIT LOT</t>
  </si>
  <si>
    <t>VENTE LOT PRINCIPAL</t>
  </si>
  <si>
    <t>SOLDE EN CAISSE</t>
  </si>
  <si>
    <t>AS201608</t>
  </si>
  <si>
    <t>AS201613</t>
  </si>
  <si>
    <t>AS201647</t>
  </si>
  <si>
    <t>AS201649</t>
  </si>
  <si>
    <t>PETIT LOT</t>
  </si>
  <si>
    <t>NUMERO CHEQUE</t>
  </si>
  <si>
    <t>TONTINE + REMB + INTERET VENTE</t>
  </si>
  <si>
    <t>AS201617</t>
  </si>
  <si>
    <t>RELIQUAT</t>
  </si>
  <si>
    <t>CUMUL</t>
  </si>
  <si>
    <t>NBREPART</t>
  </si>
  <si>
    <t>MODE VERSEMENT</t>
  </si>
  <si>
    <t>MONTANT A REMBOURSER PETIT LOT</t>
  </si>
  <si>
    <t>MODE VERSEMENTLOT PRINCIPAL</t>
  </si>
  <si>
    <t>MONTANT  LOT PRINCIPAL</t>
  </si>
  <si>
    <t>LOT PRINCIPAL</t>
  </si>
  <si>
    <t>ECHEC TONTINE MOIS</t>
  </si>
  <si>
    <t>ECHEC REMBOURSEMENT MOIS</t>
  </si>
  <si>
    <t>TONIINE</t>
  </si>
  <si>
    <t xml:space="preserve">TAUX TONTINE </t>
  </si>
  <si>
    <t>NBRE PART</t>
  </si>
  <si>
    <t>TOTAL PART</t>
  </si>
  <si>
    <t>NBRE ADHERENT</t>
  </si>
  <si>
    <t>PART VENDUE</t>
  </si>
  <si>
    <t>AS201626</t>
  </si>
  <si>
    <t>AS201648</t>
  </si>
  <si>
    <t>TOTAL</t>
  </si>
  <si>
    <t>AS201638</t>
  </si>
  <si>
    <t>AS201604</t>
  </si>
  <si>
    <t>MOIS OBTENTION</t>
  </si>
  <si>
    <t>MOIS OBTENTION 2</t>
  </si>
  <si>
    <t>SYNTHESE</t>
  </si>
  <si>
    <t>ACHAT HOTCHO</t>
  </si>
  <si>
    <t>REGISTRE</t>
  </si>
  <si>
    <t>INTERET A REPARTIR</t>
  </si>
  <si>
    <t>REPARTITION INTERET</t>
  </si>
  <si>
    <t>INTERET/ADHERENT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</si>
</sst>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sz val="14"/>
      <color rgb="FFFF0000"/>
      <name val="Britannic Bold"/>
      <family val="2"/>
    </font>
    <font>
      <b/>
      <sz val="11"/>
      <color theme="1"/>
      <name val="Calibri"/>
      <family val="2"/>
      <scheme val="minor"/>
    </font>
    <font>
      <sz val="14"/>
      <color rgb="FF00B050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JANV212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11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104000</v>
          </cell>
          <cell r="F7">
            <v>0</v>
          </cell>
          <cell r="G7">
            <v>0</v>
          </cell>
          <cell r="H7" t="str">
            <v>ESPECES</v>
          </cell>
          <cell r="I7">
            <v>64000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U7">
            <v>104000</v>
          </cell>
          <cell r="AQ7">
            <v>0</v>
          </cell>
          <cell r="AR7">
            <v>0</v>
          </cell>
          <cell r="AS7">
            <v>79000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160000</v>
          </cell>
          <cell r="E9">
            <v>0</v>
          </cell>
          <cell r="F9">
            <v>140000</v>
          </cell>
          <cell r="G9">
            <v>0</v>
          </cell>
          <cell r="H9" t="str">
            <v>BANQUE</v>
          </cell>
          <cell r="I9">
            <v>20000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U9">
            <v>160000</v>
          </cell>
          <cell r="AC9">
            <v>45000</v>
          </cell>
          <cell r="AF9" t="str">
            <v>BANQUE</v>
          </cell>
          <cell r="AK9">
            <v>50000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35000</v>
          </cell>
          <cell r="AW9">
            <v>255000</v>
          </cell>
          <cell r="AX9">
            <v>0</v>
          </cell>
          <cell r="AY9">
            <v>50000</v>
          </cell>
          <cell r="AZ9">
            <v>165000</v>
          </cell>
          <cell r="BA9">
            <v>50000</v>
          </cell>
          <cell r="BB9">
            <v>140000</v>
          </cell>
          <cell r="BD9">
            <v>115000</v>
          </cell>
          <cell r="BE9">
            <v>115000</v>
          </cell>
          <cell r="BF9">
            <v>0</v>
          </cell>
          <cell r="BG9">
            <v>11</v>
          </cell>
          <cell r="BN9" t="str">
            <v>AIDE UEEB ET CONT FEMME</v>
          </cell>
          <cell r="BO9" t="str">
            <v>FONDS DE ROULEMENT</v>
          </cell>
          <cell r="BQ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U10">
            <v>40000</v>
          </cell>
          <cell r="AI10">
            <v>60000</v>
          </cell>
          <cell r="AL10">
            <v>3000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Q11">
            <v>0</v>
          </cell>
          <cell r="U11">
            <v>115000</v>
          </cell>
          <cell r="AI11">
            <v>60000</v>
          </cell>
          <cell r="AL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60000</v>
          </cell>
          <cell r="AX11">
            <v>0</v>
          </cell>
          <cell r="AY11">
            <v>0</v>
          </cell>
          <cell r="AZ11">
            <v>60000</v>
          </cell>
          <cell r="BA11">
            <v>60000</v>
          </cell>
          <cell r="BD11">
            <v>0</v>
          </cell>
          <cell r="BF11">
            <v>0</v>
          </cell>
          <cell r="BG11">
            <v>11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Q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Q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11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180000</v>
          </cell>
          <cell r="E18">
            <v>35000</v>
          </cell>
          <cell r="F18">
            <v>70000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0</v>
          </cell>
          <cell r="U18">
            <v>215000</v>
          </cell>
          <cell r="AC18">
            <v>40000</v>
          </cell>
          <cell r="AE18">
            <v>125000</v>
          </cell>
          <cell r="AF18" t="str">
            <v>BANQUE</v>
          </cell>
          <cell r="AJ18">
            <v>100000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260000</v>
          </cell>
          <cell r="AX18">
            <v>100000</v>
          </cell>
          <cell r="AY18">
            <v>1075000</v>
          </cell>
          <cell r="AZ18">
            <v>1365000</v>
          </cell>
          <cell r="BB18">
            <v>70000</v>
          </cell>
          <cell r="BD18">
            <v>1365000</v>
          </cell>
          <cell r="BE18">
            <v>1365000</v>
          </cell>
          <cell r="BF18">
            <v>0</v>
          </cell>
          <cell r="BG18">
            <v>11</v>
          </cell>
          <cell r="BN18" t="str">
            <v>GRATIFICATION BUREAU 2021</v>
          </cell>
          <cell r="BO18" t="str">
            <v>PENALITE VERSEMENT ESPECES</v>
          </cell>
          <cell r="BQ18">
            <v>1075000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  <cell r="BN19" t="str">
            <v>ACHAT LAPTOP</v>
          </cell>
          <cell r="BO19" t="str">
            <v>PENALITE VERSEMENT ESPECES</v>
          </cell>
          <cell r="BQ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Q20">
            <v>0</v>
          </cell>
          <cell r="U20">
            <v>215000</v>
          </cell>
          <cell r="AE20">
            <v>125000</v>
          </cell>
          <cell r="AF20" t="str">
            <v>BANQUE</v>
          </cell>
          <cell r="AJ20">
            <v>105000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105000</v>
          </cell>
          <cell r="AY20">
            <v>1075000</v>
          </cell>
          <cell r="AZ20">
            <v>1180000</v>
          </cell>
          <cell r="BA20">
            <v>55000</v>
          </cell>
          <cell r="BD20">
            <v>1125000</v>
          </cell>
          <cell r="BE20">
            <v>986000</v>
          </cell>
          <cell r="BF20">
            <v>0</v>
          </cell>
          <cell r="BG20">
            <v>11</v>
          </cell>
          <cell r="BQ20">
            <v>190000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E21">
            <v>139000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5000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215000</v>
          </cell>
          <cell r="AD24">
            <v>105000</v>
          </cell>
          <cell r="AE24">
            <v>125000</v>
          </cell>
          <cell r="AF24" t="str">
            <v>BANQUE</v>
          </cell>
          <cell r="AI24">
            <v>25000</v>
          </cell>
          <cell r="AJ24">
            <v>100000</v>
          </cell>
          <cell r="AK24">
            <v>200000</v>
          </cell>
          <cell r="AL24">
            <v>1000</v>
          </cell>
          <cell r="AM24">
            <v>2000</v>
          </cell>
          <cell r="AN24">
            <v>8000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25000</v>
          </cell>
          <cell r="AX24">
            <v>895000</v>
          </cell>
          <cell r="AY24">
            <v>1275000</v>
          </cell>
          <cell r="AZ24">
            <v>2195000</v>
          </cell>
          <cell r="BD24">
            <v>2195000</v>
          </cell>
          <cell r="BE24">
            <v>2195000</v>
          </cell>
          <cell r="BF24">
            <v>0</v>
          </cell>
          <cell r="BG24">
            <v>11</v>
          </cell>
          <cell r="BN24" t="str">
            <v>GRATIFICATION BUREAU 2021</v>
          </cell>
          <cell r="BO24" t="str">
            <v>FRAIS EXEPTIONNEL</v>
          </cell>
          <cell r="BQ24">
            <v>1075000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10000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290000</v>
          </cell>
          <cell r="AI25">
            <v>30000</v>
          </cell>
          <cell r="AJ25">
            <v>100000</v>
          </cell>
          <cell r="AK25">
            <v>75000</v>
          </cell>
          <cell r="AL25">
            <v>1000</v>
          </cell>
          <cell r="AM25">
            <v>2000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30000</v>
          </cell>
          <cell r="AX25">
            <v>100000</v>
          </cell>
          <cell r="AY25">
            <v>75000</v>
          </cell>
          <cell r="AZ25">
            <v>205000</v>
          </cell>
          <cell r="BA25">
            <v>205000</v>
          </cell>
          <cell r="BD25">
            <v>0</v>
          </cell>
          <cell r="BF25">
            <v>0</v>
          </cell>
          <cell r="BG25">
            <v>11</v>
          </cell>
          <cell r="BN25" t="str">
            <v>DEVELOPPEMENT LAGWEU</v>
          </cell>
          <cell r="BO25" t="str">
            <v>FRAIS EXEPTIONNEL</v>
          </cell>
          <cell r="BQ25">
            <v>200000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U26">
            <v>40000</v>
          </cell>
          <cell r="AI26">
            <v>60000</v>
          </cell>
          <cell r="AL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11</v>
          </cell>
          <cell r="BN26" t="str">
            <v>DEUIL TCHEMNOU EMMANUEL</v>
          </cell>
          <cell r="BO26" t="str">
            <v>FRAIS EXEPTIONNEL</v>
          </cell>
          <cell r="BQ26">
            <v>795000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65000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U27">
            <v>65000</v>
          </cell>
          <cell r="W27">
            <v>25000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  <cell r="BQ27">
            <v>25000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65000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U29">
            <v>65000</v>
          </cell>
          <cell r="W29">
            <v>25000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115000</v>
          </cell>
          <cell r="F30">
            <v>0</v>
          </cell>
          <cell r="G30">
            <v>0</v>
          </cell>
          <cell r="H30" t="str">
            <v>ESPECES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250000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110000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U31">
            <v>250000</v>
          </cell>
          <cell r="AQ31">
            <v>0</v>
          </cell>
          <cell r="AR31">
            <v>0</v>
          </cell>
          <cell r="AS31">
            <v>125000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11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35000</v>
          </cell>
          <cell r="D34">
            <v>0</v>
          </cell>
          <cell r="E34">
            <v>100000</v>
          </cell>
          <cell r="F34">
            <v>0</v>
          </cell>
          <cell r="G34">
            <v>0</v>
          </cell>
          <cell r="H34" t="str">
            <v>ESPECES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U34">
            <v>65000</v>
          </cell>
          <cell r="W34">
            <v>25000</v>
          </cell>
          <cell r="AQ34">
            <v>0</v>
          </cell>
          <cell r="AR34">
            <v>0</v>
          </cell>
          <cell r="AS34">
            <v>15000</v>
          </cell>
          <cell r="AT34">
            <v>35000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35000</v>
          </cell>
          <cell r="D38">
            <v>3640000</v>
          </cell>
          <cell r="E38">
            <v>589000</v>
          </cell>
          <cell r="F38">
            <v>210000</v>
          </cell>
          <cell r="G38">
            <v>0</v>
          </cell>
          <cell r="H38">
            <v>0</v>
          </cell>
          <cell r="I38">
            <v>244000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4194000</v>
          </cell>
          <cell r="V38">
            <v>0</v>
          </cell>
          <cell r="W38">
            <v>75000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85000</v>
          </cell>
          <cell r="AD38">
            <v>105000</v>
          </cell>
          <cell r="AE38">
            <v>375000</v>
          </cell>
          <cell r="AF38">
            <v>0</v>
          </cell>
          <cell r="AG38">
            <v>0</v>
          </cell>
          <cell r="AI38">
            <v>235000</v>
          </cell>
          <cell r="AJ38">
            <v>405000</v>
          </cell>
          <cell r="AK38">
            <v>325000</v>
          </cell>
          <cell r="AL38">
            <v>9000</v>
          </cell>
          <cell r="AM38">
            <v>8000</v>
          </cell>
          <cell r="AN38">
            <v>13000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694000</v>
          </cell>
          <cell r="AT38">
            <v>35000</v>
          </cell>
          <cell r="AU38">
            <v>0</v>
          </cell>
          <cell r="AV38">
            <v>0</v>
          </cell>
          <cell r="AW38">
            <v>750000</v>
          </cell>
          <cell r="AX38">
            <v>1200000</v>
          </cell>
          <cell r="AY38">
            <v>3550000</v>
          </cell>
          <cell r="AZ38">
            <v>5396000</v>
          </cell>
          <cell r="BA38">
            <v>490000</v>
          </cell>
          <cell r="BB38">
            <v>210000</v>
          </cell>
          <cell r="BC38">
            <v>0</v>
          </cell>
          <cell r="BD38">
            <v>4906000</v>
          </cell>
          <cell r="BE38">
            <v>4906000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Y40" t="str">
            <v>CHINGUE</v>
          </cell>
          <cell r="Z40">
            <v>428899</v>
          </cell>
          <cell r="BA40">
            <v>619000</v>
          </cell>
          <cell r="BD40" t="str">
            <v>BORDEREAU</v>
          </cell>
          <cell r="BE40">
            <v>5024000</v>
          </cell>
        </row>
        <row r="41">
          <cell r="B41" t="str">
            <v>AS201643</v>
          </cell>
          <cell r="Y41" t="str">
            <v>NJIEPDIO DELUX</v>
          </cell>
          <cell r="Z41">
            <v>805000</v>
          </cell>
          <cell r="AZ41">
            <v>5024000</v>
          </cell>
          <cell r="BC41" t="str">
            <v>RETRAIT NGONGANG</v>
          </cell>
          <cell r="BD41">
            <v>257000</v>
          </cell>
          <cell r="BE41">
            <v>118000</v>
          </cell>
          <cell r="BN41" t="str">
            <v>TRANSPORT DELEGUE</v>
          </cell>
          <cell r="BO41" t="str">
            <v>MUTUELLE</v>
          </cell>
        </row>
        <row r="42">
          <cell r="C42" t="str">
            <v>BANQUE</v>
          </cell>
          <cell r="F42" t="str">
            <v>ESPECES</v>
          </cell>
          <cell r="Y42" t="str">
            <v>TCHOUANTE FRANCOIS</v>
          </cell>
          <cell r="Z42">
            <v>243805</v>
          </cell>
          <cell r="BN42" t="str">
            <v>REMBOURSEMENT FOND NGONGANG</v>
          </cell>
          <cell r="BP42">
            <v>257000</v>
          </cell>
        </row>
        <row r="43">
          <cell r="B43" t="str">
            <v>LIBELLE</v>
          </cell>
          <cell r="C43" t="str">
            <v>SORTIE</v>
          </cell>
          <cell r="D43" t="str">
            <v>ENTREE</v>
          </cell>
          <cell r="E43" t="str">
            <v>SOLDE</v>
          </cell>
          <cell r="F43" t="str">
            <v>ENTREE</v>
          </cell>
          <cell r="G43" t="str">
            <v>SORTIE</v>
          </cell>
          <cell r="H43" t="str">
            <v>SOLDE</v>
          </cell>
          <cell r="Y43" t="str">
            <v>TCHOUTCHOU</v>
          </cell>
          <cell r="Z43">
            <v>51454</v>
          </cell>
          <cell r="BN43" t="str">
            <v>S/TOTAL</v>
          </cell>
          <cell r="BP43">
            <v>257000</v>
          </cell>
        </row>
        <row r="44">
          <cell r="B44" t="str">
            <v>REPORT</v>
          </cell>
        </row>
        <row r="45">
          <cell r="B45" t="str">
            <v>TONTINE</v>
          </cell>
          <cell r="C45">
            <v>5396000</v>
          </cell>
          <cell r="D45">
            <v>3465000</v>
          </cell>
          <cell r="F45">
            <v>589000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828500</v>
          </cell>
          <cell r="BA6">
            <v>262500</v>
          </cell>
          <cell r="BD6">
            <v>566000</v>
          </cell>
          <cell r="BE6">
            <v>1206700</v>
          </cell>
          <cell r="BF6">
            <v>0</v>
          </cell>
          <cell r="BG6">
            <v>10</v>
          </cell>
          <cell r="BH6">
            <v>68500</v>
          </cell>
          <cell r="BI6">
            <v>0</v>
          </cell>
          <cell r="BJ6">
            <v>560000</v>
          </cell>
          <cell r="BM6">
            <v>200000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40000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N8" t="str">
            <v>COMMISSION</v>
          </cell>
          <cell r="BO8" t="str">
            <v>FONDS DE ROULEMENT</v>
          </cell>
          <cell r="BP8">
            <v>27500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120000</v>
          </cell>
          <cell r="E9">
            <v>80000</v>
          </cell>
          <cell r="F9">
            <v>0</v>
          </cell>
          <cell r="G9">
            <v>0</v>
          </cell>
          <cell r="H9" t="str">
            <v>BANQUE</v>
          </cell>
          <cell r="I9">
            <v>8000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52000</v>
          </cell>
          <cell r="U9">
            <v>200000</v>
          </cell>
          <cell r="AP9" t="str">
            <v>BANQUE</v>
          </cell>
          <cell r="AQ9">
            <v>0</v>
          </cell>
          <cell r="AR9">
            <v>0</v>
          </cell>
          <cell r="AS9">
            <v>23000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103000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63000</v>
          </cell>
          <cell r="U10">
            <v>103000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D10">
            <v>0</v>
          </cell>
          <cell r="BF10">
            <v>0</v>
          </cell>
          <cell r="BG10">
            <v>10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62000</v>
          </cell>
          <cell r="Q11">
            <v>0</v>
          </cell>
          <cell r="U11">
            <v>177000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10</v>
          </cell>
          <cell r="BN11" t="str">
            <v>PRODUCTION RAPPORT</v>
          </cell>
          <cell r="BO11" t="str">
            <v>FONDS DE ROULEMENT</v>
          </cell>
          <cell r="BP11">
            <v>35000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10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40000</v>
          </cell>
          <cell r="F13">
            <v>0</v>
          </cell>
          <cell r="G13">
            <v>0</v>
          </cell>
          <cell r="H13" t="str">
            <v>ESPECES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1000000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1250000</v>
          </cell>
          <cell r="AD16">
            <v>20000</v>
          </cell>
          <cell r="AE16">
            <v>28000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880000</v>
          </cell>
          <cell r="AY16">
            <v>1172000</v>
          </cell>
          <cell r="AZ16">
            <v>1052000</v>
          </cell>
          <cell r="BD16">
            <v>1052000</v>
          </cell>
          <cell r="BE16">
            <v>1052000</v>
          </cell>
          <cell r="BF16">
            <v>0</v>
          </cell>
          <cell r="BG16">
            <v>10</v>
          </cell>
          <cell r="BN16" t="str">
            <v>S/TOTAL</v>
          </cell>
          <cell r="BP16">
            <v>68500</v>
          </cell>
        </row>
        <row r="17">
          <cell r="A17" t="str">
            <v>AS201617</v>
          </cell>
          <cell r="B17" t="str">
            <v>KOUAMOU MOISE</v>
          </cell>
          <cell r="C17">
            <v>-70000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C17">
            <v>6500</v>
          </cell>
          <cell r="AE17">
            <v>28000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293500</v>
          </cell>
          <cell r="AX17">
            <v>0</v>
          </cell>
          <cell r="AY17">
            <v>1172000</v>
          </cell>
          <cell r="AZ17">
            <v>1465500</v>
          </cell>
          <cell r="BA17">
            <v>64500</v>
          </cell>
          <cell r="BB17">
            <v>70000</v>
          </cell>
          <cell r="BD17">
            <v>1331000</v>
          </cell>
          <cell r="BE17">
            <v>1331000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51000</v>
          </cell>
          <cell r="E18">
            <v>266000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0</v>
          </cell>
          <cell r="U18">
            <v>317000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10</v>
          </cell>
          <cell r="BN18" t="str">
            <v>GRATIFICATION BUREAU 2022</v>
          </cell>
          <cell r="BO18" t="str">
            <v>PENALITE VERSEMENT ESPECES</v>
          </cell>
          <cell r="BP18">
            <v>200000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40000</v>
          </cell>
          <cell r="F19">
            <v>0</v>
          </cell>
          <cell r="G19">
            <v>0</v>
          </cell>
          <cell r="H19" t="str">
            <v>ESPECES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107000</v>
          </cell>
          <cell r="E20">
            <v>215000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107000</v>
          </cell>
          <cell r="R20">
            <v>0</v>
          </cell>
          <cell r="U20">
            <v>322000</v>
          </cell>
          <cell r="AD20">
            <v>22000</v>
          </cell>
          <cell r="AF20" t="str">
            <v>BANQUE</v>
          </cell>
          <cell r="AI20">
            <v>31500</v>
          </cell>
          <cell r="AL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31500</v>
          </cell>
          <cell r="AX20">
            <v>878000</v>
          </cell>
          <cell r="AY20">
            <v>0</v>
          </cell>
          <cell r="AZ20">
            <v>409500</v>
          </cell>
          <cell r="BA20">
            <v>409500</v>
          </cell>
          <cell r="BD20">
            <v>0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N22" t="str">
            <v>S/TOTAL</v>
          </cell>
          <cell r="BP22">
            <v>200000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551000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26000</v>
          </cell>
          <cell r="Q24">
            <v>102000</v>
          </cell>
          <cell r="R24">
            <v>208000</v>
          </cell>
          <cell r="U24">
            <v>551000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10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451000</v>
          </cell>
          <cell r="E25">
            <v>50000</v>
          </cell>
          <cell r="F25">
            <v>70000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31000</v>
          </cell>
          <cell r="Q25">
            <v>102000</v>
          </cell>
          <cell r="R25">
            <v>78000</v>
          </cell>
          <cell r="U25">
            <v>501000</v>
          </cell>
          <cell r="AC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292500</v>
          </cell>
          <cell r="AX25">
            <v>0</v>
          </cell>
          <cell r="AY25">
            <v>0</v>
          </cell>
          <cell r="AZ25">
            <v>222500</v>
          </cell>
          <cell r="BB25">
            <v>70000</v>
          </cell>
          <cell r="BD25">
            <v>222500</v>
          </cell>
          <cell r="BE25">
            <v>222500</v>
          </cell>
          <cell r="BF25">
            <v>0</v>
          </cell>
          <cell r="BG25">
            <v>10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1070000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62000</v>
          </cell>
          <cell r="S26">
            <v>1000000</v>
          </cell>
          <cell r="T26" t="str">
            <v>BANQUE</v>
          </cell>
          <cell r="U26">
            <v>1102000</v>
          </cell>
          <cell r="Z26">
            <v>1000000</v>
          </cell>
          <cell r="AA26" t="str">
            <v>BANQUE</v>
          </cell>
          <cell r="AC26">
            <v>3500</v>
          </cell>
          <cell r="AF26" t="str">
            <v>BANQUE</v>
          </cell>
          <cell r="AI26">
            <v>40000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336500</v>
          </cell>
          <cell r="AX26">
            <v>0</v>
          </cell>
          <cell r="AY26">
            <v>0</v>
          </cell>
          <cell r="AZ26">
            <v>236500</v>
          </cell>
          <cell r="BA26">
            <v>236500</v>
          </cell>
          <cell r="BB26">
            <v>70000</v>
          </cell>
          <cell r="BD26">
            <v>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40000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10</v>
          </cell>
          <cell r="BN30" t="str">
            <v xml:space="preserve">DECES </v>
          </cell>
          <cell r="BO30" t="str">
            <v>MUTUELLE</v>
          </cell>
          <cell r="BP30">
            <v>560000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140000</v>
          </cell>
          <cell r="F31">
            <v>0</v>
          </cell>
          <cell r="G31">
            <v>0</v>
          </cell>
          <cell r="H31" t="str">
            <v>ESPECES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N32" t="str">
            <v>REMBOURSEMENT FONDS</v>
          </cell>
          <cell r="BO32" t="str">
            <v>FONDS DE CAISSE</v>
          </cell>
          <cell r="BQ32">
            <v>640700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N33" t="str">
            <v>S/TOTAL</v>
          </cell>
          <cell r="BP33">
            <v>560000</v>
          </cell>
        </row>
        <row r="34">
          <cell r="A34" t="str">
            <v>AS201658</v>
          </cell>
          <cell r="B34" t="str">
            <v>YANTCHOU GERVAIS</v>
          </cell>
          <cell r="C34">
            <v>60000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T34">
            <v>60000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-10000</v>
          </cell>
          <cell r="D38">
            <v>4475000</v>
          </cell>
          <cell r="E38">
            <v>1013000</v>
          </cell>
          <cell r="F38">
            <v>2140000</v>
          </cell>
          <cell r="G38">
            <v>0</v>
          </cell>
          <cell r="H38">
            <v>0</v>
          </cell>
          <cell r="I38">
            <v>58000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244000</v>
          </cell>
          <cell r="Q38">
            <v>413000</v>
          </cell>
          <cell r="R38">
            <v>338000</v>
          </cell>
          <cell r="S38">
            <v>2500000</v>
          </cell>
          <cell r="U38">
            <v>7428000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17500</v>
          </cell>
          <cell r="AD38">
            <v>42000</v>
          </cell>
          <cell r="AE38">
            <v>56000</v>
          </cell>
          <cell r="AF38">
            <v>0</v>
          </cell>
          <cell r="AG38">
            <v>0</v>
          </cell>
          <cell r="AI38">
            <v>111500</v>
          </cell>
          <cell r="AJ38">
            <v>0</v>
          </cell>
          <cell r="AK38">
            <v>0</v>
          </cell>
          <cell r="AL38">
            <v>3000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508000</v>
          </cell>
          <cell r="AT38">
            <v>60000</v>
          </cell>
          <cell r="AU38">
            <v>0</v>
          </cell>
          <cell r="AV38">
            <v>0</v>
          </cell>
          <cell r="AW38">
            <v>994000</v>
          </cell>
          <cell r="AX38">
            <v>1758000</v>
          </cell>
          <cell r="AY38">
            <v>2344000</v>
          </cell>
          <cell r="AZ38">
            <v>4254500</v>
          </cell>
          <cell r="BA38">
            <v>1013000</v>
          </cell>
          <cell r="BB38">
            <v>210000</v>
          </cell>
          <cell r="BC38">
            <v>0</v>
          </cell>
          <cell r="BD38">
            <v>3171500</v>
          </cell>
          <cell r="BE38">
            <v>3812200</v>
          </cell>
          <cell r="BF38">
            <v>30000</v>
          </cell>
          <cell r="BH38">
            <v>68500</v>
          </cell>
          <cell r="BI38">
            <v>0</v>
          </cell>
          <cell r="BJ38">
            <v>560000</v>
          </cell>
          <cell r="BK38">
            <v>0</v>
          </cell>
          <cell r="BL38">
            <v>0</v>
          </cell>
          <cell r="BM38">
            <v>200000</v>
          </cell>
          <cell r="BN38" t="str">
            <v>S/TOTAL</v>
          </cell>
          <cell r="BP38">
            <v>0</v>
          </cell>
        </row>
        <row r="40">
          <cell r="C40" t="str">
            <v>BANQUE</v>
          </cell>
          <cell r="F40" t="str">
            <v>ESPECES</v>
          </cell>
          <cell r="BA40">
            <v>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828500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4254500</v>
          </cell>
          <cell r="D43">
            <v>4300000</v>
          </cell>
          <cell r="F43">
            <v>1013000</v>
          </cell>
        </row>
        <row r="45">
          <cell r="BO45">
            <v>640700</v>
          </cell>
          <cell r="BP45" t="str">
            <v>FONDS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-1644000</v>
          </cell>
          <cell r="BE6">
            <v>1858000</v>
          </cell>
          <cell r="BF6">
            <v>0</v>
          </cell>
          <cell r="BG6">
            <v>9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9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9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0</v>
          </cell>
          <cell r="F9">
            <v>690000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690000</v>
          </cell>
          <cell r="T9" t="str">
            <v>BANQUE</v>
          </cell>
          <cell r="U9">
            <v>830000</v>
          </cell>
          <cell r="AE9">
            <v>10000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1190000</v>
          </cell>
          <cell r="AZ9">
            <v>500000</v>
          </cell>
          <cell r="BD9">
            <v>500000</v>
          </cell>
          <cell r="BE9">
            <v>500000</v>
          </cell>
          <cell r="BF9">
            <v>0</v>
          </cell>
          <cell r="BG9">
            <v>9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82000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41000</v>
          </cell>
          <cell r="U10">
            <v>82000</v>
          </cell>
          <cell r="AQ10">
            <v>0</v>
          </cell>
          <cell r="AR10">
            <v>0</v>
          </cell>
          <cell r="AS10">
            <v>16000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9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-100000</v>
          </cell>
          <cell r="D11">
            <v>912500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892500</v>
          </cell>
          <cell r="T11" t="str">
            <v>BANQUE</v>
          </cell>
          <cell r="U11">
            <v>1012500</v>
          </cell>
          <cell r="AD11">
            <v>7500</v>
          </cell>
          <cell r="AQ11">
            <v>0</v>
          </cell>
          <cell r="AR11">
            <v>0</v>
          </cell>
          <cell r="AS11">
            <v>20000</v>
          </cell>
          <cell r="AW11">
            <v>0</v>
          </cell>
          <cell r="AX11">
            <v>892500</v>
          </cell>
          <cell r="AY11">
            <v>0</v>
          </cell>
          <cell r="AZ11">
            <v>892500</v>
          </cell>
          <cell r="BA11">
            <v>50000</v>
          </cell>
          <cell r="BD11">
            <v>842500</v>
          </cell>
          <cell r="BF11">
            <v>0</v>
          </cell>
          <cell r="BG11">
            <v>9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  <cell r="BD12">
            <v>1190000</v>
          </cell>
          <cell r="BE12">
            <v>1190000</v>
          </cell>
          <cell r="BF12">
            <v>0</v>
          </cell>
          <cell r="BG12">
            <v>9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70000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C13">
            <v>10000</v>
          </cell>
          <cell r="AQ13">
            <v>0</v>
          </cell>
          <cell r="AR13">
            <v>0</v>
          </cell>
          <cell r="AS13">
            <v>15000</v>
          </cell>
          <cell r="AW13">
            <v>290000</v>
          </cell>
          <cell r="AX13">
            <v>0</v>
          </cell>
          <cell r="AY13">
            <v>0</v>
          </cell>
          <cell r="AZ13">
            <v>220000</v>
          </cell>
          <cell r="BB13">
            <v>70000</v>
          </cell>
          <cell r="BD13">
            <v>220000</v>
          </cell>
          <cell r="BE13">
            <v>220000</v>
          </cell>
          <cell r="BF13">
            <v>0</v>
          </cell>
          <cell r="BG13">
            <v>9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164000</v>
          </cell>
          <cell r="AN16">
            <v>1000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164000</v>
          </cell>
          <cell r="AZ16">
            <v>164000</v>
          </cell>
          <cell r="BA16">
            <v>44000</v>
          </cell>
          <cell r="BD16">
            <v>120000</v>
          </cell>
          <cell r="BE16">
            <v>220000</v>
          </cell>
          <cell r="BF16">
            <v>0</v>
          </cell>
          <cell r="BG16">
            <v>9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K17">
            <v>200000</v>
          </cell>
          <cell r="AN17">
            <v>2000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100000</v>
          </cell>
          <cell r="BD17">
            <v>100000</v>
          </cell>
          <cell r="BE17">
            <v>100000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1000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214000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300000</v>
          </cell>
          <cell r="BE18">
            <v>200000</v>
          </cell>
          <cell r="BF18">
            <v>0</v>
          </cell>
          <cell r="BG18">
            <v>9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93000</v>
          </cell>
          <cell r="D20">
            <v>403500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-7000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32500</v>
          </cell>
          <cell r="Q20">
            <v>0</v>
          </cell>
          <cell r="R20">
            <v>0</v>
          </cell>
          <cell r="U20">
            <v>240500</v>
          </cell>
          <cell r="AC20">
            <v>11000</v>
          </cell>
          <cell r="AK20">
            <v>200000</v>
          </cell>
          <cell r="AN20">
            <v>2000</v>
          </cell>
          <cell r="AQ20">
            <v>0</v>
          </cell>
          <cell r="AR20">
            <v>0</v>
          </cell>
          <cell r="AS20">
            <v>8000</v>
          </cell>
          <cell r="AW20">
            <v>289000</v>
          </cell>
          <cell r="AX20">
            <v>0</v>
          </cell>
          <cell r="AY20">
            <v>200000</v>
          </cell>
          <cell r="AZ20">
            <v>489000</v>
          </cell>
          <cell r="BA20">
            <v>105000</v>
          </cell>
          <cell r="BB20">
            <v>70000</v>
          </cell>
          <cell r="BD20">
            <v>314000</v>
          </cell>
          <cell r="BE20">
            <v>314000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9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>
            <v>100000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-3000</v>
          </cell>
          <cell r="D24">
            <v>0</v>
          </cell>
          <cell r="E24">
            <v>215000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218000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290000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0</v>
          </cell>
          <cell r="BF25">
            <v>0</v>
          </cell>
          <cell r="BG25">
            <v>9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84000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41000</v>
          </cell>
          <cell r="U26">
            <v>84000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9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9</v>
          </cell>
          <cell r="BN27" t="str">
            <v>RETRAIT COMPTE FOYER</v>
          </cell>
          <cell r="BQ27">
            <v>1750000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-70000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C31">
            <v>11000</v>
          </cell>
          <cell r="AQ31">
            <v>0</v>
          </cell>
          <cell r="AR31">
            <v>0</v>
          </cell>
          <cell r="AS31">
            <v>15000</v>
          </cell>
          <cell r="AW31">
            <v>289000</v>
          </cell>
          <cell r="AX31">
            <v>0</v>
          </cell>
          <cell r="AY31">
            <v>0</v>
          </cell>
          <cell r="AZ31">
            <v>289000</v>
          </cell>
          <cell r="BB31">
            <v>70000</v>
          </cell>
          <cell r="BD31">
            <v>219000</v>
          </cell>
          <cell r="BE31">
            <v>219000</v>
          </cell>
          <cell r="BF31">
            <v>0</v>
          </cell>
          <cell r="BG31">
            <v>9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Z32">
            <v>200000</v>
          </cell>
          <cell r="AA32" t="str">
            <v>BANQUE</v>
          </cell>
          <cell r="AD32">
            <v>7500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194000</v>
          </cell>
          <cell r="BD32">
            <v>194000</v>
          </cell>
          <cell r="BE32">
            <v>86500</v>
          </cell>
          <cell r="BF32">
            <v>6000</v>
          </cell>
          <cell r="BG32">
            <v>3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25000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35000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75000</v>
          </cell>
          <cell r="AQ34">
            <v>0</v>
          </cell>
          <cell r="AR34">
            <v>0</v>
          </cell>
          <cell r="AS34">
            <v>50000</v>
          </cell>
          <cell r="AT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</row>
        <row r="35">
          <cell r="A35" t="str">
            <v>AS201646</v>
          </cell>
          <cell r="B35" t="str">
            <v>YEPMOU JEAN JACQUES</v>
          </cell>
          <cell r="C35">
            <v>-6000</v>
          </cell>
          <cell r="D35">
            <v>34000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9000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-70000</v>
          </cell>
          <cell r="D38">
            <v>4752000</v>
          </cell>
          <cell r="E38">
            <v>299000</v>
          </cell>
          <cell r="F38">
            <v>760000</v>
          </cell>
          <cell r="G38">
            <v>6000</v>
          </cell>
          <cell r="H38">
            <v>0</v>
          </cell>
          <cell r="I38">
            <v>93000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114500</v>
          </cell>
          <cell r="Q38">
            <v>0</v>
          </cell>
          <cell r="R38">
            <v>0</v>
          </cell>
          <cell r="S38">
            <v>1582500</v>
          </cell>
          <cell r="U38">
            <v>5671000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200000</v>
          </cell>
          <cell r="AA38">
            <v>0</v>
          </cell>
          <cell r="AC38">
            <v>32000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964000</v>
          </cell>
          <cell r="AL38">
            <v>0</v>
          </cell>
          <cell r="AM38">
            <v>0</v>
          </cell>
          <cell r="AN38">
            <v>9000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527000</v>
          </cell>
          <cell r="AT38">
            <v>25000</v>
          </cell>
          <cell r="AU38">
            <v>0</v>
          </cell>
          <cell r="AV38">
            <v>0</v>
          </cell>
          <cell r="AW38">
            <v>868000</v>
          </cell>
          <cell r="AX38">
            <v>892500</v>
          </cell>
          <cell r="AY38">
            <v>3344000</v>
          </cell>
          <cell r="AZ38">
            <v>4644500</v>
          </cell>
          <cell r="BA38">
            <v>399000</v>
          </cell>
          <cell r="BB38">
            <v>210000</v>
          </cell>
          <cell r="BC38">
            <v>0</v>
          </cell>
          <cell r="BD38">
            <v>2455500</v>
          </cell>
          <cell r="BE38">
            <v>5007500</v>
          </cell>
          <cell r="BF38">
            <v>6000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39">
          <cell r="BD39" t="str">
            <v>RETRAIT CPTE FOYER</v>
          </cell>
          <cell r="BE39">
            <v>1750000</v>
          </cell>
        </row>
        <row r="40">
          <cell r="C40" t="str">
            <v>BANQUE</v>
          </cell>
          <cell r="F40" t="str">
            <v>ESPECES</v>
          </cell>
          <cell r="AZ40" t="str">
            <v>TOTAL CENTRALISATION</v>
          </cell>
          <cell r="BA40">
            <v>299000</v>
          </cell>
          <cell r="BD40" t="str">
            <v>TOTAL BORDEREAU</v>
          </cell>
          <cell r="BE40">
            <v>5005000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106000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4644500</v>
          </cell>
          <cell r="D43">
            <v>4537000</v>
          </cell>
          <cell r="F43">
            <v>299000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D8">
            <v>490000</v>
          </cell>
          <cell r="BE8">
            <v>490000</v>
          </cell>
          <cell r="BF8">
            <v>10000</v>
          </cell>
          <cell r="BG8">
            <v>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U9">
            <v>145000</v>
          </cell>
          <cell r="AI9">
            <v>22500</v>
          </cell>
          <cell r="AL9">
            <v>500</v>
          </cell>
          <cell r="AQ9">
            <v>0</v>
          </cell>
          <cell r="AR9">
            <v>0</v>
          </cell>
          <cell r="AS9">
            <v>20000</v>
          </cell>
          <cell r="AW9">
            <v>22500</v>
          </cell>
          <cell r="AX9">
            <v>0</v>
          </cell>
          <cell r="AY9">
            <v>0</v>
          </cell>
          <cell r="AZ9">
            <v>22500</v>
          </cell>
          <cell r="BA9">
            <v>22500</v>
          </cell>
          <cell r="BD9">
            <v>0</v>
          </cell>
          <cell r="BF9">
            <v>0</v>
          </cell>
          <cell r="BG9">
            <v>8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-70000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C10">
            <v>11000</v>
          </cell>
          <cell r="AI10">
            <v>60000</v>
          </cell>
          <cell r="AL10">
            <v>2000</v>
          </cell>
          <cell r="AQ10">
            <v>0</v>
          </cell>
          <cell r="AR10">
            <v>0</v>
          </cell>
          <cell r="AS10">
            <v>15000</v>
          </cell>
          <cell r="AW10">
            <v>349000</v>
          </cell>
          <cell r="AX10">
            <v>0</v>
          </cell>
          <cell r="AY10">
            <v>0</v>
          </cell>
          <cell r="AZ10">
            <v>349000</v>
          </cell>
          <cell r="BA10">
            <v>60000</v>
          </cell>
          <cell r="BB10">
            <v>70000</v>
          </cell>
          <cell r="BD10">
            <v>219000</v>
          </cell>
          <cell r="BE10">
            <v>219000</v>
          </cell>
          <cell r="BF10">
            <v>0</v>
          </cell>
          <cell r="BG10">
            <v>8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-157500</v>
          </cell>
          <cell r="D11">
            <v>115000</v>
          </cell>
          <cell r="E11">
            <v>0</v>
          </cell>
          <cell r="F11">
            <v>70000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157500</v>
          </cell>
          <cell r="U11">
            <v>272500</v>
          </cell>
          <cell r="Z11">
            <v>1000000</v>
          </cell>
          <cell r="AA11" t="str">
            <v>BANQUE</v>
          </cell>
          <cell r="AC11">
            <v>10000</v>
          </cell>
          <cell r="AJ11">
            <v>150000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132500</v>
          </cell>
          <cell r="AX11">
            <v>150000</v>
          </cell>
          <cell r="AY11">
            <v>0</v>
          </cell>
          <cell r="AZ11">
            <v>1132500</v>
          </cell>
          <cell r="BB11">
            <v>70000</v>
          </cell>
          <cell r="BD11">
            <v>1132500</v>
          </cell>
          <cell r="BE11">
            <v>1132500</v>
          </cell>
          <cell r="BF11">
            <v>80000</v>
          </cell>
          <cell r="BG11">
            <v>8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8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415000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165000</v>
          </cell>
          <cell r="U16">
            <v>415000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8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202000</v>
          </cell>
          <cell r="U17">
            <v>342000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2000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419000</v>
          </cell>
          <cell r="AD18">
            <v>13000</v>
          </cell>
          <cell r="AJ18">
            <v>100000</v>
          </cell>
          <cell r="AM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17000</v>
          </cell>
          <cell r="AW18">
            <v>0</v>
          </cell>
          <cell r="AX18">
            <v>987000</v>
          </cell>
          <cell r="AY18">
            <v>0</v>
          </cell>
          <cell r="AZ18">
            <v>100000</v>
          </cell>
          <cell r="BD18">
            <v>100000</v>
          </cell>
          <cell r="BE18">
            <v>100000</v>
          </cell>
          <cell r="BF18">
            <v>0</v>
          </cell>
          <cell r="BG18">
            <v>8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-1000000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1040000</v>
          </cell>
          <cell r="Z19">
            <v>300000</v>
          </cell>
          <cell r="AA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175000</v>
          </cell>
          <cell r="BD19">
            <v>175000</v>
          </cell>
          <cell r="BE19">
            <v>175000</v>
          </cell>
          <cell r="BF19">
            <v>12000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422000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5000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422000</v>
          </cell>
          <cell r="AP20" t="str">
            <v>BANQUE</v>
          </cell>
          <cell r="AQ20">
            <v>0</v>
          </cell>
          <cell r="AR20">
            <v>0</v>
          </cell>
          <cell r="AS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D20">
            <v>0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220000</v>
          </cell>
          <cell r="AQ24">
            <v>0</v>
          </cell>
          <cell r="AR24">
            <v>0</v>
          </cell>
          <cell r="AS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8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E25">
            <v>20000</v>
          </cell>
          <cell r="AF25" t="str">
            <v>BANQUE</v>
          </cell>
          <cell r="AK25">
            <v>93000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1273000</v>
          </cell>
          <cell r="AZ25">
            <v>1273000</v>
          </cell>
          <cell r="BD25">
            <v>1273000</v>
          </cell>
          <cell r="BE25">
            <v>1273000</v>
          </cell>
          <cell r="BF25">
            <v>0</v>
          </cell>
          <cell r="BG25">
            <v>8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8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120000</v>
          </cell>
          <cell r="D29">
            <v>160000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T29">
            <v>120000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8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-200000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200000</v>
          </cell>
          <cell r="T32" t="str">
            <v>BANQUE</v>
          </cell>
          <cell r="U32">
            <v>315000</v>
          </cell>
          <cell r="Z32">
            <v>700000</v>
          </cell>
          <cell r="AA32" t="str">
            <v>BANQUE</v>
          </cell>
          <cell r="AJ32">
            <v>138000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138000</v>
          </cell>
          <cell r="AY32">
            <v>0</v>
          </cell>
          <cell r="AZ32">
            <v>596000</v>
          </cell>
          <cell r="BA32">
            <v>86500</v>
          </cell>
          <cell r="BD32">
            <v>509500</v>
          </cell>
          <cell r="BE32">
            <v>509500</v>
          </cell>
          <cell r="BF32">
            <v>42000</v>
          </cell>
          <cell r="BG32">
            <v>6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43000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100000</v>
          </cell>
          <cell r="F34">
            <v>0</v>
          </cell>
          <cell r="G34">
            <v>3000</v>
          </cell>
          <cell r="H34" t="str">
            <v>ESPECES</v>
          </cell>
          <cell r="I34">
            <v>57000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4000</v>
          </cell>
          <cell r="AS35">
            <v>14000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Z36">
            <v>1000000</v>
          </cell>
          <cell r="AA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940000</v>
          </cell>
          <cell r="BD36">
            <v>940000</v>
          </cell>
          <cell r="BE36">
            <v>940000</v>
          </cell>
          <cell r="BF36">
            <v>60000</v>
          </cell>
          <cell r="BG36">
            <v>6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-1307500</v>
          </cell>
          <cell r="D38">
            <v>4835000</v>
          </cell>
          <cell r="E38">
            <v>269000</v>
          </cell>
          <cell r="F38">
            <v>70000</v>
          </cell>
          <cell r="G38">
            <v>12000</v>
          </cell>
          <cell r="H38">
            <v>0</v>
          </cell>
          <cell r="I38">
            <v>124000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973000</v>
          </cell>
          <cell r="S38">
            <v>1357500</v>
          </cell>
          <cell r="U38">
            <v>6341500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3500000</v>
          </cell>
          <cell r="AA38">
            <v>0</v>
          </cell>
          <cell r="AC38">
            <v>21000</v>
          </cell>
          <cell r="AD38">
            <v>13000</v>
          </cell>
          <cell r="AE38">
            <v>20000</v>
          </cell>
          <cell r="AF38">
            <v>0</v>
          </cell>
          <cell r="AG38">
            <v>0</v>
          </cell>
          <cell r="AI38">
            <v>142500</v>
          </cell>
          <cell r="AJ38">
            <v>388000</v>
          </cell>
          <cell r="AK38">
            <v>93000</v>
          </cell>
          <cell r="AL38">
            <v>3500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4000</v>
          </cell>
          <cell r="AS38">
            <v>573000</v>
          </cell>
          <cell r="AT38">
            <v>120000</v>
          </cell>
          <cell r="AU38">
            <v>0</v>
          </cell>
          <cell r="AV38">
            <v>0</v>
          </cell>
          <cell r="AW38">
            <v>564000</v>
          </cell>
          <cell r="AX38">
            <v>1275000</v>
          </cell>
          <cell r="AY38">
            <v>1273000</v>
          </cell>
          <cell r="AZ38">
            <v>5244000</v>
          </cell>
          <cell r="BA38">
            <v>229000</v>
          </cell>
          <cell r="BB38">
            <v>140000</v>
          </cell>
          <cell r="BC38">
            <v>0</v>
          </cell>
          <cell r="BD38">
            <v>4945000</v>
          </cell>
          <cell r="BE38">
            <v>4945000</v>
          </cell>
          <cell r="BF38">
            <v>204000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106000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5244000</v>
          </cell>
          <cell r="D43">
            <v>4620000</v>
          </cell>
          <cell r="F43">
            <v>269000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303000</v>
          </cell>
          <cell r="BA6">
            <v>3000</v>
          </cell>
          <cell r="BD6">
            <v>306000</v>
          </cell>
          <cell r="BE6">
            <v>276000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200000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H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23000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23000</v>
          </cell>
          <cell r="R9">
            <v>0</v>
          </cell>
          <cell r="U9">
            <v>168000</v>
          </cell>
          <cell r="AK9">
            <v>50000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20000</v>
          </cell>
          <cell r="AW9">
            <v>0</v>
          </cell>
          <cell r="AX9">
            <v>0</v>
          </cell>
          <cell r="AY9">
            <v>50000</v>
          </cell>
          <cell r="AZ9">
            <v>50000</v>
          </cell>
          <cell r="BA9">
            <v>50000</v>
          </cell>
          <cell r="BD9">
            <v>690000</v>
          </cell>
          <cell r="BE9">
            <v>690000</v>
          </cell>
          <cell r="BF9">
            <v>0</v>
          </cell>
          <cell r="BG9">
            <v>7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105000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62000</v>
          </cell>
          <cell r="U10">
            <v>105000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267000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267000</v>
          </cell>
          <cell r="AI11">
            <v>29500</v>
          </cell>
          <cell r="AJ11">
            <v>100000</v>
          </cell>
          <cell r="AL11">
            <v>1500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29500</v>
          </cell>
          <cell r="AX11">
            <v>100000</v>
          </cell>
          <cell r="AY11">
            <v>0</v>
          </cell>
          <cell r="AZ11">
            <v>129500</v>
          </cell>
          <cell r="BA11">
            <v>50000</v>
          </cell>
          <cell r="BD11">
            <v>79500</v>
          </cell>
          <cell r="BE11">
            <v>79500</v>
          </cell>
          <cell r="BF11">
            <v>0</v>
          </cell>
          <cell r="BG11">
            <v>7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420000</v>
          </cell>
          <cell r="E12">
            <v>0</v>
          </cell>
          <cell r="F12">
            <v>70000</v>
          </cell>
          <cell r="G12">
            <v>0</v>
          </cell>
          <cell r="H12" t="str">
            <v>BANQUE</v>
          </cell>
          <cell r="I12">
            <v>105000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420000</v>
          </cell>
          <cell r="AD12">
            <v>10000</v>
          </cell>
          <cell r="AF12" t="str">
            <v>BANQUE</v>
          </cell>
          <cell r="AJ12">
            <v>38000</v>
          </cell>
          <cell r="AK12">
            <v>200000</v>
          </cell>
          <cell r="AM12">
            <v>1000</v>
          </cell>
          <cell r="AN12">
            <v>2000</v>
          </cell>
          <cell r="AQ12">
            <v>0</v>
          </cell>
          <cell r="AR12">
            <v>0</v>
          </cell>
          <cell r="AS12">
            <v>120000</v>
          </cell>
          <cell r="AW12">
            <v>0</v>
          </cell>
          <cell r="AX12">
            <v>928000</v>
          </cell>
          <cell r="AY12">
            <v>200000</v>
          </cell>
          <cell r="AZ12">
            <v>1058000</v>
          </cell>
          <cell r="BA12">
            <v>23000</v>
          </cell>
          <cell r="BB12">
            <v>70000</v>
          </cell>
          <cell r="BD12">
            <v>1035000</v>
          </cell>
          <cell r="BE12">
            <v>1035000</v>
          </cell>
          <cell r="BF12">
            <v>0</v>
          </cell>
          <cell r="BG12">
            <v>7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118000</v>
          </cell>
          <cell r="F15">
            <v>0</v>
          </cell>
          <cell r="G15">
            <v>3000</v>
          </cell>
          <cell r="H15" t="str">
            <v>ESPECES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230000</v>
          </cell>
          <cell r="E16">
            <v>0</v>
          </cell>
          <cell r="F16">
            <v>70000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230000</v>
          </cell>
          <cell r="AC16">
            <v>2500</v>
          </cell>
          <cell r="AF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297500</v>
          </cell>
          <cell r="AX16">
            <v>0</v>
          </cell>
          <cell r="AY16">
            <v>0</v>
          </cell>
          <cell r="AZ16">
            <v>227500</v>
          </cell>
          <cell r="BB16">
            <v>70000</v>
          </cell>
          <cell r="BD16">
            <v>227500</v>
          </cell>
          <cell r="BE16">
            <v>227500</v>
          </cell>
          <cell r="BF16">
            <v>0</v>
          </cell>
          <cell r="BG16">
            <v>7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101000</v>
          </cell>
          <cell r="R18">
            <v>0</v>
          </cell>
          <cell r="U18">
            <v>315000</v>
          </cell>
          <cell r="AP18" t="str">
            <v>BANQUE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7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70000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C19">
            <v>3000</v>
          </cell>
          <cell r="AF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297000</v>
          </cell>
          <cell r="AX19">
            <v>0</v>
          </cell>
          <cell r="AY19">
            <v>0</v>
          </cell>
          <cell r="AZ19">
            <v>227000</v>
          </cell>
          <cell r="BB19">
            <v>70000</v>
          </cell>
          <cell r="BD19">
            <v>227000</v>
          </cell>
          <cell r="BE19">
            <v>227000</v>
          </cell>
          <cell r="BF19">
            <v>0</v>
          </cell>
          <cell r="BG19">
            <v>7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215000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200000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0</v>
          </cell>
          <cell r="F24">
            <v>70000</v>
          </cell>
          <cell r="G24">
            <v>0</v>
          </cell>
          <cell r="H24" t="str">
            <v>BANQUE</v>
          </cell>
          <cell r="I24">
            <v>-5000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210000</v>
          </cell>
          <cell r="AC24">
            <v>3000</v>
          </cell>
          <cell r="AF24" t="str">
            <v>BANQUE</v>
          </cell>
          <cell r="AQ24">
            <v>0</v>
          </cell>
          <cell r="AR24">
            <v>0</v>
          </cell>
          <cell r="AS24">
            <v>10000</v>
          </cell>
          <cell r="AW24">
            <v>297000</v>
          </cell>
          <cell r="AX24">
            <v>0</v>
          </cell>
          <cell r="AY24">
            <v>0</v>
          </cell>
          <cell r="AZ24">
            <v>227000</v>
          </cell>
          <cell r="BB24">
            <v>70000</v>
          </cell>
          <cell r="BD24">
            <v>227000</v>
          </cell>
          <cell r="BE24">
            <v>227000</v>
          </cell>
          <cell r="BF24">
            <v>0</v>
          </cell>
          <cell r="BG24">
            <v>7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99000</v>
          </cell>
          <cell r="U25">
            <v>407000</v>
          </cell>
          <cell r="AD25">
            <v>15000</v>
          </cell>
          <cell r="AF25" t="str">
            <v>BANQUE</v>
          </cell>
          <cell r="AJ25">
            <v>50000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33000</v>
          </cell>
          <cell r="AW25">
            <v>0</v>
          </cell>
          <cell r="AX25">
            <v>935000</v>
          </cell>
          <cell r="AY25">
            <v>0</v>
          </cell>
          <cell r="AZ25">
            <v>935000</v>
          </cell>
          <cell r="BA25">
            <v>50000</v>
          </cell>
          <cell r="BD25">
            <v>836000</v>
          </cell>
          <cell r="BE25">
            <v>836000</v>
          </cell>
          <cell r="BF25">
            <v>0</v>
          </cell>
          <cell r="BG25">
            <v>7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E26">
            <v>0</v>
          </cell>
          <cell r="BF26">
            <v>30000</v>
          </cell>
          <cell r="BG26">
            <v>7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120000</v>
          </cell>
          <cell r="D27">
            <v>560000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400000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440000</v>
          </cell>
          <cell r="AQ27">
            <v>0</v>
          </cell>
          <cell r="AR27">
            <v>0</v>
          </cell>
          <cell r="AS27">
            <v>415000</v>
          </cell>
          <cell r="AT27">
            <v>120000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N30" t="str">
            <v xml:space="preserve">DECES </v>
          </cell>
          <cell r="BO30" t="str">
            <v>MUTUELLE</v>
          </cell>
          <cell r="BP30">
            <v>200000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E31">
            <v>10000</v>
          </cell>
          <cell r="AF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1190000</v>
          </cell>
          <cell r="AZ31">
            <v>1190000</v>
          </cell>
          <cell r="BD31">
            <v>1190000</v>
          </cell>
          <cell r="BE31">
            <v>1190000</v>
          </cell>
          <cell r="BF31">
            <v>0</v>
          </cell>
          <cell r="BG31">
            <v>7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255000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140000</v>
          </cell>
          <cell r="U32">
            <v>255000</v>
          </cell>
          <cell r="AJ32">
            <v>100000</v>
          </cell>
          <cell r="AM32">
            <v>2000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7</v>
          </cell>
        </row>
        <row r="33">
          <cell r="A33" t="str">
            <v>AS201643</v>
          </cell>
          <cell r="B33" t="str">
            <v>TCHOUTOU NANA CLAUDE</v>
          </cell>
          <cell r="C33">
            <v>-3000</v>
          </cell>
          <cell r="D33">
            <v>0</v>
          </cell>
          <cell r="E33">
            <v>40000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N33" t="str">
            <v>S/TOTAL</v>
          </cell>
          <cell r="BP33">
            <v>200000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</row>
        <row r="35">
          <cell r="A35" t="str">
            <v>AS201646</v>
          </cell>
          <cell r="B35" t="str">
            <v>YEPMOU JEAN JACQUES</v>
          </cell>
          <cell r="C35">
            <v>43000</v>
          </cell>
          <cell r="D35">
            <v>0</v>
          </cell>
          <cell r="E35">
            <v>86000</v>
          </cell>
          <cell r="F35">
            <v>0</v>
          </cell>
          <cell r="G35">
            <v>3000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43000</v>
          </cell>
          <cell r="AQ35">
            <v>0</v>
          </cell>
          <cell r="AR35">
            <v>0</v>
          </cell>
          <cell r="AS35">
            <v>23000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160000</v>
          </cell>
          <cell r="D38">
            <v>4819000</v>
          </cell>
          <cell r="E38">
            <v>476000</v>
          </cell>
          <cell r="F38">
            <v>280000</v>
          </cell>
          <cell r="G38">
            <v>15000</v>
          </cell>
          <cell r="H38">
            <v>0</v>
          </cell>
          <cell r="I38">
            <v>607000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146000</v>
          </cell>
          <cell r="Q38">
            <v>393000</v>
          </cell>
          <cell r="R38">
            <v>99000</v>
          </cell>
          <cell r="S38">
            <v>0</v>
          </cell>
          <cell r="U38">
            <v>5135000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</v>
          </cell>
          <cell r="AD38">
            <v>25000</v>
          </cell>
          <cell r="AE38">
            <v>10000</v>
          </cell>
          <cell r="AF38">
            <v>0</v>
          </cell>
          <cell r="AG38">
            <v>0</v>
          </cell>
          <cell r="AI38">
            <v>29500</v>
          </cell>
          <cell r="AJ38">
            <v>288000</v>
          </cell>
          <cell r="AK38">
            <v>450000</v>
          </cell>
          <cell r="AL38">
            <v>1500</v>
          </cell>
          <cell r="AM38">
            <v>6000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1062000</v>
          </cell>
          <cell r="AT38">
            <v>120000</v>
          </cell>
          <cell r="AU38">
            <v>0</v>
          </cell>
          <cell r="AV38">
            <v>0</v>
          </cell>
          <cell r="AW38">
            <v>921000</v>
          </cell>
          <cell r="AX38">
            <v>2063000</v>
          </cell>
          <cell r="AY38">
            <v>1640000</v>
          </cell>
          <cell r="AZ38">
            <v>4617000</v>
          </cell>
          <cell r="BA38">
            <v>476000</v>
          </cell>
          <cell r="BB38">
            <v>280000</v>
          </cell>
          <cell r="BC38">
            <v>0</v>
          </cell>
          <cell r="BD38">
            <v>4818000</v>
          </cell>
          <cell r="BE38">
            <v>4788000</v>
          </cell>
          <cell r="BF38">
            <v>30000</v>
          </cell>
          <cell r="BH38">
            <v>6000</v>
          </cell>
          <cell r="BI38">
            <v>0</v>
          </cell>
          <cell r="BJ38">
            <v>200000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  <cell r="BD40">
            <v>30000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306000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4617000</v>
          </cell>
          <cell r="D43">
            <v>4604000</v>
          </cell>
          <cell r="F43">
            <v>476000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144000</v>
          </cell>
          <cell r="BD6">
            <v>144000</v>
          </cell>
          <cell r="BE6">
            <v>109000</v>
          </cell>
          <cell r="BF6">
            <v>0</v>
          </cell>
          <cell r="BG6">
            <v>6</v>
          </cell>
          <cell r="BH6">
            <v>24000</v>
          </cell>
          <cell r="BI6">
            <v>20000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Z7">
            <v>600000</v>
          </cell>
          <cell r="AA7" t="str">
            <v>BANQUE</v>
          </cell>
          <cell r="AI7">
            <v>30000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30000</v>
          </cell>
          <cell r="AX7">
            <v>0</v>
          </cell>
          <cell r="AY7">
            <v>0</v>
          </cell>
          <cell r="AZ7">
            <v>594000</v>
          </cell>
          <cell r="BD7">
            <v>594000</v>
          </cell>
          <cell r="BE7">
            <v>594000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N8" t="str">
            <v>COMMISSION</v>
          </cell>
          <cell r="BO8" t="str">
            <v>FONDS DE ROULEMENT</v>
          </cell>
          <cell r="BP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191000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51000</v>
          </cell>
          <cell r="U9">
            <v>191000</v>
          </cell>
          <cell r="AK9">
            <v>184000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184000</v>
          </cell>
          <cell r="AZ9">
            <v>184000</v>
          </cell>
          <cell r="BD9">
            <v>184000</v>
          </cell>
          <cell r="BE9">
            <v>184000</v>
          </cell>
          <cell r="BF9">
            <v>0</v>
          </cell>
          <cell r="BG9">
            <v>6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6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-500</v>
          </cell>
          <cell r="D11">
            <v>251500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4000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31000</v>
          </cell>
          <cell r="Q11">
            <v>102000</v>
          </cell>
          <cell r="U11">
            <v>252000</v>
          </cell>
          <cell r="AI11">
            <v>30000</v>
          </cell>
          <cell r="AJ11">
            <v>100000</v>
          </cell>
          <cell r="AL11">
            <v>500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19000</v>
          </cell>
          <cell r="AW11">
            <v>30000</v>
          </cell>
          <cell r="AX11">
            <v>100000</v>
          </cell>
          <cell r="AY11">
            <v>0</v>
          </cell>
          <cell r="AZ11">
            <v>130000</v>
          </cell>
          <cell r="BA11">
            <v>50000</v>
          </cell>
          <cell r="BD11">
            <v>80000</v>
          </cell>
          <cell r="BE11">
            <v>80000</v>
          </cell>
          <cell r="BF11">
            <v>0</v>
          </cell>
          <cell r="BG11">
            <v>6</v>
          </cell>
          <cell r="BN11" t="str">
            <v>PRODUCTION RAPPORT</v>
          </cell>
          <cell r="BO11" t="str">
            <v>FONDS DE ROULEMENT</v>
          </cell>
          <cell r="BP11">
            <v>3000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590500</v>
          </cell>
          <cell r="E12">
            <v>0</v>
          </cell>
          <cell r="F12">
            <v>1000000</v>
          </cell>
          <cell r="G12">
            <v>0</v>
          </cell>
          <cell r="H12" t="str">
            <v>BANQUE</v>
          </cell>
          <cell r="I12">
            <v>34500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39000</v>
          </cell>
          <cell r="R12">
            <v>202000</v>
          </cell>
          <cell r="S12">
            <v>1000000</v>
          </cell>
          <cell r="T12" t="str">
            <v>BANQUE</v>
          </cell>
          <cell r="U12">
            <v>1590500</v>
          </cell>
          <cell r="Z12">
            <v>705000</v>
          </cell>
          <cell r="AA12" t="str">
            <v>BANQUE</v>
          </cell>
          <cell r="AC12">
            <v>5000</v>
          </cell>
          <cell r="AI12">
            <v>30000</v>
          </cell>
          <cell r="AL12">
            <v>500</v>
          </cell>
          <cell r="AP12" t="str">
            <v>BANQUE</v>
          </cell>
          <cell r="AQ12">
            <v>0</v>
          </cell>
          <cell r="AR12">
            <v>0</v>
          </cell>
          <cell r="AS12">
            <v>49500</v>
          </cell>
          <cell r="AW12">
            <v>325000</v>
          </cell>
          <cell r="AX12">
            <v>0</v>
          </cell>
          <cell r="AY12">
            <v>0</v>
          </cell>
          <cell r="AZ12">
            <v>1800</v>
          </cell>
          <cell r="BD12">
            <v>0</v>
          </cell>
          <cell r="BF12">
            <v>28200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6</v>
          </cell>
          <cell r="BN16" t="str">
            <v>S/TOTAL</v>
          </cell>
          <cell r="BP16">
            <v>24000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1215000</v>
          </cell>
          <cell r="Z18">
            <v>250000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240000</v>
          </cell>
          <cell r="BD18">
            <v>240000</v>
          </cell>
          <cell r="BE18">
            <v>240000</v>
          </cell>
          <cell r="BF18">
            <v>10000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997500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214000</v>
          </cell>
          <cell r="AJ20">
            <v>100000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14000</v>
          </cell>
          <cell r="AW20">
            <v>0</v>
          </cell>
          <cell r="AX20">
            <v>100000</v>
          </cell>
          <cell r="AY20">
            <v>200000</v>
          </cell>
          <cell r="AZ20">
            <v>300000</v>
          </cell>
          <cell r="BA20">
            <v>9000</v>
          </cell>
          <cell r="BD20">
            <v>291000</v>
          </cell>
          <cell r="BE20">
            <v>291000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70000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C22">
            <v>4500</v>
          </cell>
          <cell r="AQ22">
            <v>0</v>
          </cell>
          <cell r="AR22">
            <v>0</v>
          </cell>
          <cell r="AS22">
            <v>15000</v>
          </cell>
          <cell r="AW22">
            <v>295500</v>
          </cell>
          <cell r="AX22">
            <v>0</v>
          </cell>
          <cell r="AY22">
            <v>0</v>
          </cell>
          <cell r="AZ22">
            <v>225500</v>
          </cell>
          <cell r="BB22">
            <v>70000</v>
          </cell>
          <cell r="BD22">
            <v>225500</v>
          </cell>
          <cell r="BE22">
            <v>225500</v>
          </cell>
          <cell r="BF22">
            <v>0</v>
          </cell>
          <cell r="BG22">
            <v>6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>
            <v>1390000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60000</v>
          </cell>
          <cell r="AX24">
            <v>0</v>
          </cell>
          <cell r="AY24">
            <v>0</v>
          </cell>
          <cell r="AZ24">
            <v>60000</v>
          </cell>
          <cell r="BD24">
            <v>60000</v>
          </cell>
          <cell r="BE24">
            <v>60000</v>
          </cell>
          <cell r="BF24">
            <v>0</v>
          </cell>
          <cell r="BG24">
            <v>6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0</v>
          </cell>
          <cell r="U25">
            <v>350000</v>
          </cell>
          <cell r="AJ25">
            <v>100000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100000</v>
          </cell>
          <cell r="AY25">
            <v>0</v>
          </cell>
          <cell r="AZ25">
            <v>100000</v>
          </cell>
          <cell r="BD25">
            <v>100000</v>
          </cell>
          <cell r="BE25">
            <v>100000</v>
          </cell>
          <cell r="BF25">
            <v>0</v>
          </cell>
          <cell r="BG25">
            <v>6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40000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6</v>
          </cell>
          <cell r="BN26" t="str">
            <v>SOUTIEN GERBY</v>
          </cell>
          <cell r="BO26" t="str">
            <v>FRAIS EXEPTIONNEL</v>
          </cell>
          <cell r="BP26">
            <v>20000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5000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45000</v>
          </cell>
          <cell r="AQ27">
            <v>0</v>
          </cell>
          <cell r="AR27">
            <v>0</v>
          </cell>
          <cell r="AS27">
            <v>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N28" t="str">
            <v>S/TOTAL</v>
          </cell>
          <cell r="BP28">
            <v>20000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217000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U32">
            <v>217000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D32">
            <v>100000</v>
          </cell>
          <cell r="BE32">
            <v>100000</v>
          </cell>
          <cell r="BF32">
            <v>0</v>
          </cell>
          <cell r="BG32">
            <v>6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D36">
            <v>7500</v>
          </cell>
          <cell r="AE36">
            <v>10000</v>
          </cell>
          <cell r="AF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892500</v>
          </cell>
          <cell r="AY36">
            <v>1190000</v>
          </cell>
          <cell r="AZ36">
            <v>2082500</v>
          </cell>
          <cell r="BD36">
            <v>2082500</v>
          </cell>
          <cell r="BE36">
            <v>2082500</v>
          </cell>
          <cell r="BF36">
            <v>0</v>
          </cell>
          <cell r="BG36">
            <v>6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-500</v>
          </cell>
          <cell r="D38">
            <v>7054500</v>
          </cell>
          <cell r="E38">
            <v>43000</v>
          </cell>
          <cell r="F38">
            <v>1070000</v>
          </cell>
          <cell r="G38">
            <v>3000</v>
          </cell>
          <cell r="H38">
            <v>0</v>
          </cell>
          <cell r="I38">
            <v>156500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31000</v>
          </cell>
          <cell r="Q38">
            <v>294000</v>
          </cell>
          <cell r="R38">
            <v>455000</v>
          </cell>
          <cell r="S38">
            <v>2500000</v>
          </cell>
          <cell r="U38">
            <v>7314500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1555000</v>
          </cell>
          <cell r="AA38">
            <v>0</v>
          </cell>
          <cell r="AC38">
            <v>9500</v>
          </cell>
          <cell r="AD38">
            <v>7500</v>
          </cell>
          <cell r="AE38">
            <v>20000</v>
          </cell>
          <cell r="AF38">
            <v>0</v>
          </cell>
          <cell r="AG38">
            <v>0</v>
          </cell>
          <cell r="AI38">
            <v>150000</v>
          </cell>
          <cell r="AJ38">
            <v>400000</v>
          </cell>
          <cell r="AK38">
            <v>584000</v>
          </cell>
          <cell r="AL38">
            <v>2500</v>
          </cell>
          <cell r="AM38">
            <v>8000</v>
          </cell>
          <cell r="AN38">
            <v>5500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606500</v>
          </cell>
          <cell r="AT38">
            <v>0</v>
          </cell>
          <cell r="AU38">
            <v>0</v>
          </cell>
          <cell r="AV38">
            <v>0</v>
          </cell>
          <cell r="AW38">
            <v>740500</v>
          </cell>
          <cell r="AX38">
            <v>1292500</v>
          </cell>
          <cell r="AY38">
            <v>2964000</v>
          </cell>
          <cell r="AZ38">
            <v>5551800</v>
          </cell>
          <cell r="BA38">
            <v>59000</v>
          </cell>
          <cell r="BB38">
            <v>70000</v>
          </cell>
          <cell r="BC38">
            <v>0</v>
          </cell>
          <cell r="BD38">
            <v>5491000</v>
          </cell>
          <cell r="BE38">
            <v>5456000</v>
          </cell>
          <cell r="BF38">
            <v>74200</v>
          </cell>
          <cell r="BH38">
            <v>24000</v>
          </cell>
          <cell r="BI38">
            <v>20000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39">
          <cell r="AZ39" t="str">
            <v>CENTRALISATION CAISSE</v>
          </cell>
          <cell r="BA39">
            <v>94000</v>
          </cell>
        </row>
        <row r="40">
          <cell r="C40" t="str">
            <v>BANQUE</v>
          </cell>
          <cell r="F40" t="str">
            <v>ESPECES</v>
          </cell>
          <cell r="BA40">
            <v>35000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144000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5551800</v>
          </cell>
          <cell r="D43">
            <v>6839500</v>
          </cell>
          <cell r="F43">
            <v>43000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E6">
            <v>156000</v>
          </cell>
          <cell r="BF6">
            <v>0</v>
          </cell>
          <cell r="BG6">
            <v>5</v>
          </cell>
          <cell r="BH6">
            <v>6000</v>
          </cell>
          <cell r="BI6">
            <v>50000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33500</v>
          </cell>
          <cell r="F7">
            <v>140000</v>
          </cell>
          <cell r="G7">
            <v>3000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30500</v>
          </cell>
          <cell r="U7">
            <v>73500</v>
          </cell>
          <cell r="AC7">
            <v>3000</v>
          </cell>
          <cell r="AF7" t="str">
            <v>BANQUE</v>
          </cell>
          <cell r="AQ7">
            <v>0</v>
          </cell>
          <cell r="AR7">
            <v>0</v>
          </cell>
          <cell r="AS7">
            <v>12000</v>
          </cell>
          <cell r="AW7">
            <v>297000</v>
          </cell>
          <cell r="AX7">
            <v>0</v>
          </cell>
          <cell r="AY7">
            <v>0</v>
          </cell>
          <cell r="AZ7">
            <v>157000</v>
          </cell>
          <cell r="BB7">
            <v>140000</v>
          </cell>
          <cell r="BD7">
            <v>157000</v>
          </cell>
          <cell r="BE7">
            <v>157000</v>
          </cell>
          <cell r="BF7">
            <v>0</v>
          </cell>
          <cell r="BG7">
            <v>5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241000</v>
          </cell>
          <cell r="E9">
            <v>87500</v>
          </cell>
          <cell r="F9">
            <v>0</v>
          </cell>
          <cell r="G9">
            <v>3000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185500</v>
          </cell>
          <cell r="U9">
            <v>328500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D9">
            <v>0</v>
          </cell>
          <cell r="BF9">
            <v>0</v>
          </cell>
          <cell r="BG9">
            <v>5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165000</v>
          </cell>
          <cell r="E11">
            <v>85500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102000</v>
          </cell>
          <cell r="U11">
            <v>250500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5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0</v>
          </cell>
          <cell r="U12">
            <v>360000</v>
          </cell>
          <cell r="AQ12">
            <v>0</v>
          </cell>
          <cell r="AR12">
            <v>0</v>
          </cell>
          <cell r="AS12">
            <v>31300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5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5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C15">
            <v>2500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15000</v>
          </cell>
          <cell r="AW15">
            <v>297500</v>
          </cell>
          <cell r="AX15">
            <v>892500</v>
          </cell>
          <cell r="AY15">
            <v>0</v>
          </cell>
          <cell r="AZ15">
            <v>1120000</v>
          </cell>
          <cell r="BB15">
            <v>70000</v>
          </cell>
          <cell r="BD15">
            <v>1120000</v>
          </cell>
          <cell r="BE15">
            <v>1120000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5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Z17">
            <v>1000000</v>
          </cell>
          <cell r="AA17" t="str">
            <v>BANQUE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100000</v>
          </cell>
          <cell r="AZ17">
            <v>1050000</v>
          </cell>
          <cell r="BD17">
            <v>1050000</v>
          </cell>
          <cell r="BE17">
            <v>1050000</v>
          </cell>
          <cell r="BF17">
            <v>50000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102000</v>
          </cell>
          <cell r="R20">
            <v>202000</v>
          </cell>
          <cell r="U20">
            <v>519000</v>
          </cell>
          <cell r="AJ20">
            <v>75000</v>
          </cell>
          <cell r="AK20">
            <v>289500</v>
          </cell>
          <cell r="AM20">
            <v>1000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75000</v>
          </cell>
          <cell r="AY20">
            <v>289500</v>
          </cell>
          <cell r="AZ20">
            <v>364500</v>
          </cell>
          <cell r="BA20">
            <v>112500</v>
          </cell>
          <cell r="BD20">
            <v>252000</v>
          </cell>
          <cell r="BE20">
            <v>252000</v>
          </cell>
          <cell r="BF20">
            <v>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-122000</v>
          </cell>
          <cell r="D24">
            <v>159000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281000</v>
          </cell>
          <cell r="AI24">
            <v>61000</v>
          </cell>
          <cell r="AJ24">
            <v>167000</v>
          </cell>
          <cell r="AK24">
            <v>100000</v>
          </cell>
          <cell r="AL24">
            <v>2000</v>
          </cell>
          <cell r="AM24">
            <v>2000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20000</v>
          </cell>
          <cell r="AW24">
            <v>61000</v>
          </cell>
          <cell r="AX24">
            <v>167000</v>
          </cell>
          <cell r="AY24">
            <v>100000</v>
          </cell>
          <cell r="AZ24">
            <v>267000</v>
          </cell>
          <cell r="BD24">
            <v>46000</v>
          </cell>
          <cell r="BE24">
            <v>46000</v>
          </cell>
          <cell r="BF24">
            <v>0</v>
          </cell>
          <cell r="BG24">
            <v>5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102000</v>
          </cell>
          <cell r="R25">
            <v>0</v>
          </cell>
          <cell r="U25">
            <v>400000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>
            <v>100000</v>
          </cell>
          <cell r="BF25">
            <v>0</v>
          </cell>
          <cell r="BG25">
            <v>5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5</v>
          </cell>
          <cell r="BN26" t="str">
            <v>CARBURANT HENGUE ET KOUAMO</v>
          </cell>
          <cell r="BO26" t="str">
            <v>FRAIS EXEPTIONNEL</v>
          </cell>
          <cell r="BP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N28" t="str">
            <v>S/TOTAL</v>
          </cell>
          <cell r="BP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365000</v>
          </cell>
          <cell r="E32">
            <v>102000</v>
          </cell>
          <cell r="F32">
            <v>70000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S32">
            <v>250000</v>
          </cell>
          <cell r="U32">
            <v>467000</v>
          </cell>
          <cell r="AC32">
            <v>2500</v>
          </cell>
          <cell r="AF32" t="str">
            <v>BANQUE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297500</v>
          </cell>
          <cell r="AX32">
            <v>75000</v>
          </cell>
          <cell r="AY32">
            <v>0</v>
          </cell>
          <cell r="AZ32">
            <v>302500</v>
          </cell>
          <cell r="BA32">
            <v>75000</v>
          </cell>
          <cell r="BB32">
            <v>70000</v>
          </cell>
          <cell r="BD32">
            <v>227500</v>
          </cell>
          <cell r="BE32">
            <v>227500</v>
          </cell>
          <cell r="BF32">
            <v>0</v>
          </cell>
          <cell r="BG32">
            <v>5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5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-122000</v>
          </cell>
          <cell r="D38">
            <v>4916000</v>
          </cell>
          <cell r="E38">
            <v>394500</v>
          </cell>
          <cell r="F38">
            <v>280000</v>
          </cell>
          <cell r="G38">
            <v>15000</v>
          </cell>
          <cell r="H38">
            <v>0</v>
          </cell>
          <cell r="I38">
            <v>142500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152500</v>
          </cell>
          <cell r="Q38">
            <v>408000</v>
          </cell>
          <cell r="R38">
            <v>589500</v>
          </cell>
          <cell r="S38">
            <v>250000</v>
          </cell>
          <cell r="U38">
            <v>5432500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8000</v>
          </cell>
          <cell r="AD38">
            <v>7500</v>
          </cell>
          <cell r="AE38">
            <v>0</v>
          </cell>
          <cell r="AF38">
            <v>0</v>
          </cell>
          <cell r="AG38">
            <v>0</v>
          </cell>
          <cell r="AI38">
            <v>61000</v>
          </cell>
          <cell r="AJ38">
            <v>317000</v>
          </cell>
          <cell r="AK38">
            <v>789500</v>
          </cell>
          <cell r="AL38">
            <v>2000</v>
          </cell>
          <cell r="AM38">
            <v>4000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588300</v>
          </cell>
          <cell r="AT38">
            <v>0</v>
          </cell>
          <cell r="AU38">
            <v>0</v>
          </cell>
          <cell r="AV38">
            <v>0</v>
          </cell>
          <cell r="AW38">
            <v>953000</v>
          </cell>
          <cell r="AX38">
            <v>1209500</v>
          </cell>
          <cell r="AY38">
            <v>789500</v>
          </cell>
          <cell r="AZ38">
            <v>3717000</v>
          </cell>
          <cell r="BA38">
            <v>387500</v>
          </cell>
          <cell r="BB38">
            <v>280000</v>
          </cell>
          <cell r="BC38">
            <v>0</v>
          </cell>
          <cell r="BD38">
            <v>3108500</v>
          </cell>
          <cell r="BE38">
            <v>3108500</v>
          </cell>
          <cell r="BF38">
            <v>50000</v>
          </cell>
          <cell r="BH38">
            <v>6000</v>
          </cell>
          <cell r="BI38">
            <v>50000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156000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3717000</v>
          </cell>
          <cell r="D43">
            <v>4701000</v>
          </cell>
          <cell r="F43">
            <v>394500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760000</v>
          </cell>
          <cell r="BD6">
            <v>760000</v>
          </cell>
          <cell r="BE6">
            <v>106000</v>
          </cell>
          <cell r="BF6">
            <v>0</v>
          </cell>
          <cell r="BG6">
            <v>4</v>
          </cell>
          <cell r="BH6">
            <v>45000</v>
          </cell>
          <cell r="BI6">
            <v>155000</v>
          </cell>
          <cell r="BJ6">
            <v>560000</v>
          </cell>
          <cell r="BM6">
            <v>0</v>
          </cell>
          <cell r="BN6" t="str">
            <v>ACHAT FOURNITURE (ECHARPE)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4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4</v>
          </cell>
          <cell r="BN8" t="str">
            <v>COMMISSION</v>
          </cell>
          <cell r="BO8" t="str">
            <v>FONDS DE ROULEMENT</v>
          </cell>
          <cell r="BP8">
            <v>33000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202000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300000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300000</v>
          </cell>
          <cell r="AZ9">
            <v>300000</v>
          </cell>
          <cell r="BA9">
            <v>300000</v>
          </cell>
          <cell r="BD9">
            <v>0</v>
          </cell>
          <cell r="BF9">
            <v>0</v>
          </cell>
          <cell r="BG9">
            <v>4</v>
          </cell>
          <cell r="BN9" t="str">
            <v>ECHARPE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115000</v>
          </cell>
          <cell r="AI11">
            <v>61500</v>
          </cell>
          <cell r="AJ11">
            <v>167000</v>
          </cell>
          <cell r="AL11">
            <v>1000</v>
          </cell>
          <cell r="AM11">
            <v>2000</v>
          </cell>
          <cell r="AN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61500</v>
          </cell>
          <cell r="AX11">
            <v>167000</v>
          </cell>
          <cell r="AY11">
            <v>0</v>
          </cell>
          <cell r="AZ11">
            <v>228500</v>
          </cell>
          <cell r="BD11">
            <v>228500</v>
          </cell>
          <cell r="BE11">
            <v>228500</v>
          </cell>
          <cell r="BF11">
            <v>0</v>
          </cell>
          <cell r="BG11">
            <v>4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F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  <cell r="BD12">
            <v>1190000</v>
          </cell>
          <cell r="BE12">
            <v>1190000</v>
          </cell>
          <cell r="BF12">
            <v>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N13" t="str">
            <v>TAXI BANQUE</v>
          </cell>
          <cell r="BO13" t="str">
            <v>FONDS DE ROULEMENT</v>
          </cell>
          <cell r="BP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4</v>
          </cell>
          <cell r="BN16" t="str">
            <v>S/TOTAL</v>
          </cell>
          <cell r="BP16">
            <v>45000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241000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101000</v>
          </cell>
          <cell r="U17">
            <v>241000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300000</v>
          </cell>
          <cell r="T19" t="str">
            <v>BANQUE</v>
          </cell>
          <cell r="U19">
            <v>340000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586500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4000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76000</v>
          </cell>
          <cell r="R20">
            <v>291500</v>
          </cell>
          <cell r="U20">
            <v>586500</v>
          </cell>
          <cell r="AI20">
            <v>60000</v>
          </cell>
          <cell r="AJ20">
            <v>150000</v>
          </cell>
          <cell r="AK20">
            <v>100000</v>
          </cell>
          <cell r="AL20">
            <v>1000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19000</v>
          </cell>
          <cell r="AW20">
            <v>60000</v>
          </cell>
          <cell r="AX20">
            <v>150000</v>
          </cell>
          <cell r="AY20">
            <v>100000</v>
          </cell>
          <cell r="AZ20">
            <v>310000</v>
          </cell>
          <cell r="BD20">
            <v>310000</v>
          </cell>
          <cell r="BE20">
            <v>310000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297500</v>
          </cell>
          <cell r="AX21">
            <v>0</v>
          </cell>
          <cell r="AY21">
            <v>0</v>
          </cell>
          <cell r="AZ21">
            <v>227500</v>
          </cell>
          <cell r="BB21">
            <v>70000</v>
          </cell>
          <cell r="BD21">
            <v>227500</v>
          </cell>
          <cell r="BE21">
            <v>227500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-576000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6000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846000</v>
          </cell>
          <cell r="Z23">
            <v>600000</v>
          </cell>
          <cell r="AA23" t="str">
            <v>BANQUE</v>
          </cell>
          <cell r="AE23">
            <v>10000</v>
          </cell>
          <cell r="AF23" t="str">
            <v>BANQUE</v>
          </cell>
          <cell r="AQ23">
            <v>0</v>
          </cell>
          <cell r="AR23">
            <v>0</v>
          </cell>
          <cell r="AS23">
            <v>21000</v>
          </cell>
          <cell r="AW23">
            <v>0</v>
          </cell>
          <cell r="AX23">
            <v>0</v>
          </cell>
          <cell r="AY23">
            <v>1190000</v>
          </cell>
          <cell r="AZ23">
            <v>1190000</v>
          </cell>
          <cell r="BD23">
            <v>1190000</v>
          </cell>
          <cell r="BE23">
            <v>1290000</v>
          </cell>
          <cell r="BF23">
            <v>24000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-230000</v>
          </cell>
          <cell r="D24">
            <v>320000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4000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169000</v>
          </cell>
          <cell r="R24">
            <v>101000</v>
          </cell>
          <cell r="U24">
            <v>550000</v>
          </cell>
          <cell r="AJ24">
            <v>167000</v>
          </cell>
          <cell r="AM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19000</v>
          </cell>
          <cell r="AW24">
            <v>0</v>
          </cell>
          <cell r="AX24">
            <v>167000</v>
          </cell>
          <cell r="AY24">
            <v>0</v>
          </cell>
          <cell r="AZ24">
            <v>167000</v>
          </cell>
          <cell r="BD24">
            <v>0</v>
          </cell>
          <cell r="BF24">
            <v>0</v>
          </cell>
          <cell r="BG24">
            <v>4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400000</v>
          </cell>
          <cell r="AD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892500</v>
          </cell>
          <cell r="AY25">
            <v>0</v>
          </cell>
          <cell r="AZ25">
            <v>892500</v>
          </cell>
          <cell r="BD25">
            <v>892500</v>
          </cell>
          <cell r="BE25">
            <v>892500</v>
          </cell>
          <cell r="BF25">
            <v>0</v>
          </cell>
          <cell r="BG25">
            <v>4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-1000000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48000</v>
          </cell>
          <cell r="BD26">
            <v>12000</v>
          </cell>
          <cell r="BE26">
            <v>12000</v>
          </cell>
          <cell r="BF26">
            <v>40000</v>
          </cell>
          <cell r="BG26">
            <v>4</v>
          </cell>
          <cell r="BN26" t="str">
            <v>CONFECTION ECHARPE</v>
          </cell>
          <cell r="BO26" t="str">
            <v>FRAIS EXEPTIONNEL</v>
          </cell>
          <cell r="BP26">
            <v>155000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4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4</v>
          </cell>
          <cell r="BN28" t="str">
            <v>S/TOTAL</v>
          </cell>
          <cell r="BP28">
            <v>155000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C30">
            <v>3000</v>
          </cell>
          <cell r="AD30">
            <v>7500</v>
          </cell>
          <cell r="AF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297000</v>
          </cell>
          <cell r="AX30">
            <v>892500</v>
          </cell>
          <cell r="AY30">
            <v>0</v>
          </cell>
          <cell r="AZ30">
            <v>1119500</v>
          </cell>
          <cell r="BB30">
            <v>70000</v>
          </cell>
          <cell r="BD30">
            <v>1119500</v>
          </cell>
          <cell r="BE30">
            <v>1119500</v>
          </cell>
          <cell r="BF30">
            <v>0</v>
          </cell>
          <cell r="BG30">
            <v>4</v>
          </cell>
          <cell r="BN30" t="str">
            <v xml:space="preserve">DECES </v>
          </cell>
          <cell r="BO30" t="str">
            <v>MUTUELLE</v>
          </cell>
          <cell r="BP30">
            <v>560000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441000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S32">
            <v>250000</v>
          </cell>
          <cell r="T32" t="str">
            <v>BANQUE</v>
          </cell>
          <cell r="U32">
            <v>441000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75000</v>
          </cell>
          <cell r="AY32">
            <v>0</v>
          </cell>
          <cell r="AZ32">
            <v>175000</v>
          </cell>
          <cell r="BD32">
            <v>175000</v>
          </cell>
          <cell r="BE32">
            <v>75000</v>
          </cell>
          <cell r="BF32">
            <v>0</v>
          </cell>
          <cell r="BG32">
            <v>4</v>
          </cell>
          <cell r="BK32">
            <v>100000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N33" t="str">
            <v>S/TOTAL</v>
          </cell>
          <cell r="BP33">
            <v>560000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-1806000</v>
          </cell>
          <cell r="D38">
            <v>5288500</v>
          </cell>
          <cell r="E38">
            <v>245000</v>
          </cell>
          <cell r="F38">
            <v>140000</v>
          </cell>
          <cell r="G38">
            <v>3000</v>
          </cell>
          <cell r="H38">
            <v>0</v>
          </cell>
          <cell r="I38">
            <v>133000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61000</v>
          </cell>
          <cell r="Q38">
            <v>321000</v>
          </cell>
          <cell r="R38">
            <v>796500</v>
          </cell>
          <cell r="S38">
            <v>2150000</v>
          </cell>
          <cell r="U38">
            <v>7339500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1600000</v>
          </cell>
          <cell r="AA38">
            <v>0</v>
          </cell>
          <cell r="AC38">
            <v>5500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181500</v>
          </cell>
          <cell r="AJ38">
            <v>559000</v>
          </cell>
          <cell r="AK38">
            <v>400000</v>
          </cell>
          <cell r="AL38">
            <v>3000</v>
          </cell>
          <cell r="AM38">
            <v>9000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583000</v>
          </cell>
          <cell r="AT38">
            <v>0</v>
          </cell>
          <cell r="AU38">
            <v>0</v>
          </cell>
          <cell r="AV38">
            <v>0</v>
          </cell>
          <cell r="AW38">
            <v>776000</v>
          </cell>
          <cell r="AX38">
            <v>2344000</v>
          </cell>
          <cell r="AY38">
            <v>2780000</v>
          </cell>
          <cell r="AZ38">
            <v>6620000</v>
          </cell>
          <cell r="BA38">
            <v>348000</v>
          </cell>
          <cell r="BB38">
            <v>140000</v>
          </cell>
          <cell r="BC38">
            <v>0</v>
          </cell>
          <cell r="BD38">
            <v>6105000</v>
          </cell>
          <cell r="BE38">
            <v>5451000</v>
          </cell>
          <cell r="BF38">
            <v>64000</v>
          </cell>
          <cell r="BH38">
            <v>45000</v>
          </cell>
          <cell r="BI38">
            <v>155000</v>
          </cell>
          <cell r="BJ38">
            <v>560000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  <cell r="AZ40" t="str">
            <v>CENTRALISATION CAISSE</v>
          </cell>
          <cell r="BA40">
            <v>248000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860000</v>
          </cell>
        </row>
        <row r="42">
          <cell r="B42" t="str">
            <v>REPORT</v>
          </cell>
          <cell r="BA42">
            <v>-100000</v>
          </cell>
        </row>
        <row r="43">
          <cell r="B43" t="str">
            <v>TONTINE</v>
          </cell>
          <cell r="C43">
            <v>6620000</v>
          </cell>
          <cell r="D43">
            <v>5073500</v>
          </cell>
          <cell r="F43">
            <v>245000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246000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E8">
            <v>892500</v>
          </cell>
          <cell r="BF8">
            <v>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441000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303000</v>
          </cell>
          <cell r="U9">
            <v>441000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13000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>
            <v>200000</v>
          </cell>
          <cell r="BF9">
            <v>0</v>
          </cell>
          <cell r="BG9">
            <v>3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3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347000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62500</v>
          </cell>
          <cell r="Q11">
            <v>169000</v>
          </cell>
          <cell r="U11">
            <v>347000</v>
          </cell>
          <cell r="AJ11">
            <v>58000</v>
          </cell>
          <cell r="AM11">
            <v>1000</v>
          </cell>
          <cell r="AQ11">
            <v>0</v>
          </cell>
          <cell r="AR11">
            <v>0</v>
          </cell>
          <cell r="AS11">
            <v>15500</v>
          </cell>
          <cell r="AW11">
            <v>0</v>
          </cell>
          <cell r="AX11">
            <v>58000</v>
          </cell>
          <cell r="AY11">
            <v>0</v>
          </cell>
          <cell r="AZ11">
            <v>58000</v>
          </cell>
          <cell r="BA11">
            <v>58000</v>
          </cell>
          <cell r="BD11">
            <v>0</v>
          </cell>
          <cell r="BF11">
            <v>0</v>
          </cell>
          <cell r="BG11">
            <v>3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>
            <v>200000</v>
          </cell>
          <cell r="BF12">
            <v>0</v>
          </cell>
          <cell r="BG12">
            <v>3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200000</v>
          </cell>
          <cell r="AN16">
            <v>2000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200000</v>
          </cell>
          <cell r="BA16">
            <v>9000</v>
          </cell>
          <cell r="BD16">
            <v>191000</v>
          </cell>
          <cell r="BE16">
            <v>191000</v>
          </cell>
          <cell r="BF16">
            <v>0</v>
          </cell>
          <cell r="BG16">
            <v>3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100000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</v>
          </cell>
          <cell r="T18" t="str">
            <v>BANQUE</v>
          </cell>
          <cell r="U18">
            <v>315000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D18">
            <v>100000</v>
          </cell>
          <cell r="BE18">
            <v>100000</v>
          </cell>
          <cell r="BF18">
            <v>0</v>
          </cell>
          <cell r="BG18">
            <v>3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528500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152000</v>
          </cell>
          <cell r="R20">
            <v>101000</v>
          </cell>
          <cell r="U20">
            <v>528500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14500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  <cell r="BD20">
            <v>200000</v>
          </cell>
          <cell r="BE20">
            <v>200000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892500</v>
          </cell>
          <cell r="U22">
            <v>1007500</v>
          </cell>
          <cell r="AD22">
            <v>7500</v>
          </cell>
          <cell r="AF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70000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C23">
            <v>2500</v>
          </cell>
          <cell r="AF23" t="str">
            <v>BANQUE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25000</v>
          </cell>
          <cell r="AW23">
            <v>297500</v>
          </cell>
          <cell r="AX23">
            <v>0</v>
          </cell>
          <cell r="AY23">
            <v>100000</v>
          </cell>
          <cell r="AZ23">
            <v>327500</v>
          </cell>
          <cell r="BA23">
            <v>100000</v>
          </cell>
          <cell r="BB23">
            <v>70000</v>
          </cell>
          <cell r="BD23">
            <v>227500</v>
          </cell>
          <cell r="BE23">
            <v>227500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-171000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171000</v>
          </cell>
          <cell r="R24">
            <v>0</v>
          </cell>
          <cell r="U24">
            <v>386000</v>
          </cell>
          <cell r="AK24">
            <v>200000</v>
          </cell>
          <cell r="AN24">
            <v>2000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200000</v>
          </cell>
          <cell r="BE24">
            <v>200000</v>
          </cell>
          <cell r="BF24">
            <v>0</v>
          </cell>
          <cell r="BG24">
            <v>3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150000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440000</v>
          </cell>
          <cell r="AK25">
            <v>200000</v>
          </cell>
          <cell r="AN25">
            <v>2000</v>
          </cell>
          <cell r="AQ25">
            <v>0</v>
          </cell>
          <cell r="AR25">
            <v>0</v>
          </cell>
          <cell r="AS25">
            <v>165000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>
            <v>200000</v>
          </cell>
          <cell r="BF25">
            <v>0</v>
          </cell>
          <cell r="BG25">
            <v>3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D26">
            <v>50000</v>
          </cell>
          <cell r="E26">
            <v>94000</v>
          </cell>
          <cell r="F26">
            <v>0</v>
          </cell>
          <cell r="G26">
            <v>3000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I26">
            <v>17000</v>
          </cell>
          <cell r="AL26">
            <v>500</v>
          </cell>
          <cell r="AQ26">
            <v>0</v>
          </cell>
          <cell r="AR26">
            <v>0</v>
          </cell>
          <cell r="AS26">
            <v>15000</v>
          </cell>
          <cell r="AW26">
            <v>17000</v>
          </cell>
          <cell r="AX26">
            <v>0</v>
          </cell>
          <cell r="AY26">
            <v>0</v>
          </cell>
          <cell r="AZ26">
            <v>17000</v>
          </cell>
          <cell r="BA26">
            <v>17000</v>
          </cell>
          <cell r="BD26">
            <v>0</v>
          </cell>
          <cell r="BF26">
            <v>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-127500</v>
          </cell>
          <cell r="D27">
            <v>50000</v>
          </cell>
          <cell r="E27">
            <v>0</v>
          </cell>
          <cell r="F27">
            <v>70000</v>
          </cell>
          <cell r="G27">
            <v>0</v>
          </cell>
          <cell r="H27" t="str">
            <v>BANQUE</v>
          </cell>
          <cell r="I27">
            <v>137500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177500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152500</v>
          </cell>
          <cell r="AW27">
            <v>297500</v>
          </cell>
          <cell r="AX27">
            <v>0</v>
          </cell>
          <cell r="AY27">
            <v>0</v>
          </cell>
          <cell r="AZ27">
            <v>227500</v>
          </cell>
          <cell r="BB27">
            <v>70000</v>
          </cell>
          <cell r="BD27">
            <v>100000</v>
          </cell>
          <cell r="BE27">
            <v>100000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-177500</v>
          </cell>
          <cell r="D29">
            <v>40000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177500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217500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192500</v>
          </cell>
          <cell r="AW29">
            <v>297500</v>
          </cell>
          <cell r="AX29">
            <v>0</v>
          </cell>
          <cell r="AY29">
            <v>0</v>
          </cell>
          <cell r="AZ29">
            <v>227500</v>
          </cell>
          <cell r="BA29">
            <v>50000</v>
          </cell>
          <cell r="BB29">
            <v>70000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3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  <cell r="BD31">
            <v>0</v>
          </cell>
          <cell r="BF31">
            <v>0</v>
          </cell>
          <cell r="BG31">
            <v>3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191000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U32">
            <v>191000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3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3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400000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110000</v>
          </cell>
          <cell r="T36" t="str">
            <v>BANQUE</v>
          </cell>
          <cell r="U36">
            <v>400000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-436000</v>
          </cell>
          <cell r="D38">
            <v>5127500</v>
          </cell>
          <cell r="E38">
            <v>194000</v>
          </cell>
          <cell r="F38">
            <v>1102500</v>
          </cell>
          <cell r="G38">
            <v>3000</v>
          </cell>
          <cell r="H38">
            <v>0</v>
          </cell>
          <cell r="I38">
            <v>513000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184500</v>
          </cell>
          <cell r="Q38">
            <v>568000</v>
          </cell>
          <cell r="R38">
            <v>404000</v>
          </cell>
          <cell r="S38">
            <v>1102500</v>
          </cell>
          <cell r="U38">
            <v>6650000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17000</v>
          </cell>
          <cell r="AJ38">
            <v>58000</v>
          </cell>
          <cell r="AK38">
            <v>1430000</v>
          </cell>
          <cell r="AL38">
            <v>500</v>
          </cell>
          <cell r="AM38">
            <v>1000</v>
          </cell>
          <cell r="AN38">
            <v>15000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963000</v>
          </cell>
          <cell r="AT38">
            <v>0</v>
          </cell>
          <cell r="AU38">
            <v>0</v>
          </cell>
          <cell r="AV38">
            <v>0</v>
          </cell>
          <cell r="AW38">
            <v>909500</v>
          </cell>
          <cell r="AX38">
            <v>1843000</v>
          </cell>
          <cell r="AY38">
            <v>1430000</v>
          </cell>
          <cell r="AZ38">
            <v>3186000</v>
          </cell>
          <cell r="BA38">
            <v>264000</v>
          </cell>
          <cell r="BB38">
            <v>210000</v>
          </cell>
          <cell r="BC38">
            <v>0</v>
          </cell>
          <cell r="BD38">
            <v>2617000</v>
          </cell>
          <cell r="BE38">
            <v>2757000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106000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3186000</v>
          </cell>
          <cell r="D43">
            <v>4912500</v>
          </cell>
          <cell r="F43">
            <v>194000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713500</v>
          </cell>
          <cell r="BD6">
            <v>713500</v>
          </cell>
          <cell r="BE6">
            <v>749500</v>
          </cell>
          <cell r="BF6">
            <v>0</v>
          </cell>
          <cell r="BG6">
            <v>2</v>
          </cell>
          <cell r="BH6">
            <v>13500</v>
          </cell>
          <cell r="BI6">
            <v>600000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I7">
            <v>27500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27500</v>
          </cell>
          <cell r="AX7">
            <v>0</v>
          </cell>
          <cell r="AY7">
            <v>0</v>
          </cell>
          <cell r="AZ7">
            <v>27500</v>
          </cell>
          <cell r="BA7">
            <v>27500</v>
          </cell>
          <cell r="BD7">
            <v>0</v>
          </cell>
          <cell r="BF7">
            <v>0</v>
          </cell>
          <cell r="BG7">
            <v>2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115000</v>
          </cell>
          <cell r="F8">
            <v>70000</v>
          </cell>
          <cell r="G8">
            <v>0</v>
          </cell>
          <cell r="H8" t="str">
            <v>ESPECES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297500</v>
          </cell>
          <cell r="AX8">
            <v>0</v>
          </cell>
          <cell r="AY8">
            <v>0</v>
          </cell>
          <cell r="AZ8">
            <v>227500</v>
          </cell>
          <cell r="BB8">
            <v>70000</v>
          </cell>
          <cell r="BD8">
            <v>227500</v>
          </cell>
          <cell r="BE8">
            <v>227500</v>
          </cell>
          <cell r="BF8">
            <v>0</v>
          </cell>
          <cell r="BG8">
            <v>2</v>
          </cell>
          <cell r="BN8" t="str">
            <v>COMMISSION</v>
          </cell>
          <cell r="BO8" t="str">
            <v>FONDS DE ROULEMENT</v>
          </cell>
          <cell r="BP8">
            <v>7500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>
            <v>100000</v>
          </cell>
          <cell r="BF9">
            <v>0</v>
          </cell>
          <cell r="BG9">
            <v>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59000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59000</v>
          </cell>
          <cell r="U11">
            <v>174000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75000</v>
          </cell>
          <cell r="AY11">
            <v>0</v>
          </cell>
          <cell r="AZ11">
            <v>75000</v>
          </cell>
          <cell r="BA11">
            <v>75000</v>
          </cell>
          <cell r="BD11">
            <v>0</v>
          </cell>
          <cell r="BF11">
            <v>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>
            <v>200000</v>
          </cell>
          <cell r="BF12">
            <v>0</v>
          </cell>
          <cell r="BG12">
            <v>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136500</v>
          </cell>
          <cell r="D16">
            <v>452000</v>
          </cell>
          <cell r="E16">
            <v>136500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U16">
            <v>452000</v>
          </cell>
          <cell r="Z16">
            <v>500000</v>
          </cell>
          <cell r="AA16" t="str">
            <v>BANQUE</v>
          </cell>
          <cell r="AK16">
            <v>200000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700000</v>
          </cell>
          <cell r="BD16">
            <v>700000</v>
          </cell>
          <cell r="BE16">
            <v>700000</v>
          </cell>
          <cell r="BF16">
            <v>0</v>
          </cell>
          <cell r="BN16" t="str">
            <v>S/TOTAL</v>
          </cell>
          <cell r="BP16">
            <v>13500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456000</v>
          </cell>
          <cell r="E18">
            <v>10000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150000</v>
          </cell>
          <cell r="T18" t="str">
            <v>BANQUE</v>
          </cell>
          <cell r="U18">
            <v>466000</v>
          </cell>
          <cell r="Z18">
            <v>1000000</v>
          </cell>
          <cell r="AA18" t="str">
            <v>BANQUE</v>
          </cell>
          <cell r="AJ18">
            <v>150000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150000</v>
          </cell>
          <cell r="AY18">
            <v>0</v>
          </cell>
          <cell r="AZ18">
            <v>1130000</v>
          </cell>
          <cell r="BA18">
            <v>100000</v>
          </cell>
          <cell r="BD18">
            <v>1030000</v>
          </cell>
          <cell r="BE18">
            <v>1130000</v>
          </cell>
          <cell r="BF18">
            <v>20000</v>
          </cell>
          <cell r="BG18">
            <v>2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417000</v>
          </cell>
          <cell r="AI20">
            <v>30000</v>
          </cell>
          <cell r="AJ20">
            <v>150000</v>
          </cell>
          <cell r="AK20">
            <v>200000</v>
          </cell>
          <cell r="AL20">
            <v>500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30000</v>
          </cell>
          <cell r="AX20">
            <v>150000</v>
          </cell>
          <cell r="AY20">
            <v>200000</v>
          </cell>
          <cell r="AZ20">
            <v>380000</v>
          </cell>
          <cell r="BA20">
            <v>57000</v>
          </cell>
          <cell r="BD20">
            <v>323000</v>
          </cell>
          <cell r="BE20">
            <v>323000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351000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101000</v>
          </cell>
          <cell r="U23">
            <v>351000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400000</v>
          </cell>
          <cell r="E24">
            <v>17000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417000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A24">
            <v>70000</v>
          </cell>
          <cell r="BD24">
            <v>130000</v>
          </cell>
          <cell r="BE24">
            <v>130000</v>
          </cell>
          <cell r="BF24">
            <v>0</v>
          </cell>
          <cell r="BG24">
            <v>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>
            <v>200000</v>
          </cell>
          <cell r="BF25">
            <v>0</v>
          </cell>
          <cell r="BG25">
            <v>2</v>
          </cell>
          <cell r="BN25" t="str">
            <v>NUIT DES ELITES</v>
          </cell>
          <cell r="BO25" t="str">
            <v>FRAIS EXEPTIONNEL</v>
          </cell>
          <cell r="BP25">
            <v>600000</v>
          </cell>
        </row>
        <row r="26">
          <cell r="A26" t="str">
            <v>AS201628</v>
          </cell>
          <cell r="B26" t="str">
            <v>NKAMGANG JUSTIN DEJOLIE</v>
          </cell>
          <cell r="C26">
            <v>101000</v>
          </cell>
          <cell r="D26">
            <v>0</v>
          </cell>
          <cell r="E26">
            <v>158500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17500</v>
          </cell>
          <cell r="U26">
            <v>57500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E28">
            <v>500000</v>
          </cell>
          <cell r="BF28">
            <v>0</v>
          </cell>
          <cell r="BG28">
            <v>2</v>
          </cell>
          <cell r="BN28" t="str">
            <v>S/TOTAL</v>
          </cell>
          <cell r="BP28">
            <v>600000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U31">
            <v>171000</v>
          </cell>
          <cell r="AI31">
            <v>30000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30000</v>
          </cell>
          <cell r="AX31">
            <v>0</v>
          </cell>
          <cell r="AY31">
            <v>0</v>
          </cell>
          <cell r="AZ31">
            <v>30000</v>
          </cell>
          <cell r="BD31">
            <v>30000</v>
          </cell>
          <cell r="BE31">
            <v>30000</v>
          </cell>
          <cell r="BF31">
            <v>0</v>
          </cell>
          <cell r="BG31">
            <v>2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-227500</v>
          </cell>
          <cell r="D34">
            <v>80000</v>
          </cell>
          <cell r="E34">
            <v>0</v>
          </cell>
          <cell r="F34">
            <v>70000</v>
          </cell>
          <cell r="G34">
            <v>0</v>
          </cell>
          <cell r="H34" t="str">
            <v>BANQUE</v>
          </cell>
          <cell r="I34">
            <v>267500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307500</v>
          </cell>
          <cell r="AC34">
            <v>2500</v>
          </cell>
          <cell r="AF34" t="str">
            <v>BANQUE</v>
          </cell>
          <cell r="AQ34">
            <v>0</v>
          </cell>
          <cell r="AR34">
            <v>0</v>
          </cell>
          <cell r="AS34">
            <v>282500</v>
          </cell>
          <cell r="AW34">
            <v>297500</v>
          </cell>
          <cell r="AX34">
            <v>0</v>
          </cell>
          <cell r="AY34">
            <v>0</v>
          </cell>
          <cell r="AZ34">
            <v>227500</v>
          </cell>
          <cell r="BB34">
            <v>70000</v>
          </cell>
          <cell r="BD34">
            <v>0</v>
          </cell>
          <cell r="BF34">
            <v>0</v>
          </cell>
          <cell r="BG34">
            <v>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880000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590000</v>
          </cell>
          <cell r="T36" t="str">
            <v>BANQUE</v>
          </cell>
          <cell r="U36">
            <v>880000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10000</v>
          </cell>
          <cell r="D38">
            <v>5946000</v>
          </cell>
          <cell r="E38">
            <v>536000</v>
          </cell>
          <cell r="F38">
            <v>140000</v>
          </cell>
          <cell r="G38">
            <v>0</v>
          </cell>
          <cell r="H38">
            <v>0</v>
          </cell>
          <cell r="I38">
            <v>335500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17500</v>
          </cell>
          <cell r="Q38">
            <v>59000</v>
          </cell>
          <cell r="R38">
            <v>1445000</v>
          </cell>
          <cell r="S38">
            <v>740000</v>
          </cell>
          <cell r="U38">
            <v>6472000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1500000</v>
          </cell>
          <cell r="AA38">
            <v>0</v>
          </cell>
          <cell r="AC38">
            <v>5000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I38">
            <v>147500</v>
          </cell>
          <cell r="AJ38">
            <v>375000</v>
          </cell>
          <cell r="AK38">
            <v>1200000</v>
          </cell>
          <cell r="AL38">
            <v>2500</v>
          </cell>
          <cell r="AM38">
            <v>5000</v>
          </cell>
          <cell r="AN38">
            <v>12000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785500</v>
          </cell>
          <cell r="AT38">
            <v>0</v>
          </cell>
          <cell r="AU38">
            <v>0</v>
          </cell>
          <cell r="AV38">
            <v>0</v>
          </cell>
          <cell r="AW38">
            <v>742500</v>
          </cell>
          <cell r="AX38">
            <v>375000</v>
          </cell>
          <cell r="AY38">
            <v>1200000</v>
          </cell>
          <cell r="AZ38">
            <v>4371000</v>
          </cell>
          <cell r="BA38">
            <v>389500</v>
          </cell>
          <cell r="BB38">
            <v>140000</v>
          </cell>
          <cell r="BC38">
            <v>0</v>
          </cell>
          <cell r="BD38">
            <v>3754000</v>
          </cell>
          <cell r="BE38">
            <v>4290000</v>
          </cell>
          <cell r="BF38">
            <v>20000</v>
          </cell>
          <cell r="BH38">
            <v>13500</v>
          </cell>
          <cell r="BI38">
            <v>600000</v>
          </cell>
          <cell r="BJ38">
            <v>0</v>
          </cell>
          <cell r="BK38">
            <v>100000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713500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4371000</v>
          </cell>
          <cell r="D43">
            <v>5731000</v>
          </cell>
          <cell r="F43">
            <v>536000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-1074000</v>
          </cell>
          <cell r="BD6">
            <v>-1074000</v>
          </cell>
          <cell r="BE6" t="str">
            <v>OK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0</v>
          </cell>
          <cell r="BK6">
            <v>110000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68000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28000</v>
          </cell>
          <cell r="U7">
            <v>68000</v>
          </cell>
          <cell r="AI7">
            <v>28000</v>
          </cell>
          <cell r="AL7">
            <v>1000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28000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D8">
            <v>100000</v>
          </cell>
          <cell r="BE8" t="str">
            <v>OK</v>
          </cell>
          <cell r="BF8">
            <v>0</v>
          </cell>
          <cell r="BG8">
            <v>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191000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76000</v>
          </cell>
          <cell r="U11">
            <v>191000</v>
          </cell>
          <cell r="AJ11">
            <v>76000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76000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J12">
            <v>50000</v>
          </cell>
          <cell r="AK12">
            <v>202000</v>
          </cell>
          <cell r="AM12">
            <v>1000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50000</v>
          </cell>
          <cell r="AY12">
            <v>202000</v>
          </cell>
          <cell r="AZ12">
            <v>50000</v>
          </cell>
          <cell r="BA12">
            <v>50000</v>
          </cell>
          <cell r="BD12">
            <v>0</v>
          </cell>
          <cell r="BF12">
            <v>0</v>
          </cell>
          <cell r="BG12">
            <v>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-70000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C14">
            <v>2500</v>
          </cell>
          <cell r="AQ14">
            <v>0</v>
          </cell>
          <cell r="AR14">
            <v>0</v>
          </cell>
          <cell r="AS14">
            <v>15000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B14">
            <v>70000</v>
          </cell>
          <cell r="BD14">
            <v>227500</v>
          </cell>
          <cell r="BE14" t="str">
            <v>OK</v>
          </cell>
          <cell r="BF14">
            <v>0</v>
          </cell>
          <cell r="BG14">
            <v>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-136500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S16">
            <v>136500</v>
          </cell>
          <cell r="U16">
            <v>588500</v>
          </cell>
          <cell r="AK16">
            <v>202000</v>
          </cell>
          <cell r="AN16">
            <v>4000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202000</v>
          </cell>
          <cell r="AZ16">
            <v>0</v>
          </cell>
          <cell r="BD16">
            <v>0</v>
          </cell>
          <cell r="BF16">
            <v>0</v>
          </cell>
          <cell r="BG16">
            <v>1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367000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152000</v>
          </cell>
          <cell r="R18">
            <v>0</v>
          </cell>
          <cell r="U18">
            <v>367000</v>
          </cell>
          <cell r="AI18">
            <v>30000</v>
          </cell>
          <cell r="AJ18">
            <v>200000</v>
          </cell>
          <cell r="AL18">
            <v>500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30000</v>
          </cell>
          <cell r="AX18">
            <v>200000</v>
          </cell>
          <cell r="AY18">
            <v>0</v>
          </cell>
          <cell r="AZ18">
            <v>230000</v>
          </cell>
          <cell r="BA18">
            <v>47500</v>
          </cell>
          <cell r="BD18">
            <v>182500</v>
          </cell>
          <cell r="BE18" t="str">
            <v>OK</v>
          </cell>
          <cell r="BF18">
            <v>0</v>
          </cell>
          <cell r="BG18">
            <v>1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599500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152000</v>
          </cell>
          <cell r="R20">
            <v>202000</v>
          </cell>
          <cell r="U20">
            <v>599500</v>
          </cell>
          <cell r="AJ20">
            <v>303000</v>
          </cell>
          <cell r="AK20">
            <v>302000</v>
          </cell>
          <cell r="AM20">
            <v>4000</v>
          </cell>
          <cell r="AN20">
            <v>5000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303000</v>
          </cell>
          <cell r="AY20">
            <v>302000</v>
          </cell>
          <cell r="AZ20">
            <v>100000</v>
          </cell>
          <cell r="BD20">
            <v>100000</v>
          </cell>
          <cell r="BF20">
            <v>0</v>
          </cell>
          <cell r="BG20">
            <v>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3000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420000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18000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200000</v>
          </cell>
          <cell r="BE24" t="str">
            <v>OK</v>
          </cell>
          <cell r="BF24">
            <v>0</v>
          </cell>
          <cell r="BG24">
            <v>1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1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0</v>
          </cell>
          <cell r="G26">
            <v>3000</v>
          </cell>
          <cell r="H26" t="str">
            <v>ESPECES</v>
          </cell>
          <cell r="I26">
            <v>-2000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102000</v>
          </cell>
          <cell r="AQ26">
            <v>0</v>
          </cell>
          <cell r="AR26">
            <v>0</v>
          </cell>
          <cell r="AS26">
            <v>13000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</row>
        <row r="28">
          <cell r="A28" t="str">
            <v>AS201633</v>
          </cell>
          <cell r="B28" t="str">
            <v>PATEGO NJOSSU GUSTAVE</v>
          </cell>
          <cell r="C28">
            <v>-70000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15000</v>
          </cell>
          <cell r="AW28">
            <v>297500</v>
          </cell>
          <cell r="AX28">
            <v>892500</v>
          </cell>
          <cell r="AY28">
            <v>0</v>
          </cell>
          <cell r="AZ28">
            <v>545000</v>
          </cell>
          <cell r="BB28">
            <v>70000</v>
          </cell>
          <cell r="BD28">
            <v>475000</v>
          </cell>
          <cell r="BE28" t="str">
            <v>OK</v>
          </cell>
          <cell r="BF28">
            <v>0</v>
          </cell>
          <cell r="BG28">
            <v>1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500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30500</v>
          </cell>
          <cell r="R31">
            <v>0</v>
          </cell>
          <cell r="U31">
            <v>171000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15500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  <cell r="BD31">
            <v>0</v>
          </cell>
          <cell r="BE31" t="str">
            <v>OK</v>
          </cell>
          <cell r="BF31">
            <v>0</v>
          </cell>
          <cell r="BG31">
            <v>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D32">
            <v>100000</v>
          </cell>
          <cell r="BE32" t="str">
            <v>OK</v>
          </cell>
          <cell r="BF32">
            <v>0</v>
          </cell>
          <cell r="BG32">
            <v>1</v>
          </cell>
        </row>
        <row r="33">
          <cell r="A33" t="str">
            <v>AS201643</v>
          </cell>
          <cell r="B33" t="str">
            <v>TCHOUTOU NANA CLAUDE</v>
          </cell>
          <cell r="C33">
            <v>80000</v>
          </cell>
          <cell r="D33">
            <v>120000</v>
          </cell>
          <cell r="E33">
            <v>0</v>
          </cell>
          <cell r="F33">
            <v>0</v>
          </cell>
          <cell r="G33">
            <v>12000</v>
          </cell>
          <cell r="H33" t="str">
            <v>BANQUE</v>
          </cell>
          <cell r="I33">
            <v>-12000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3000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70000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70000</v>
          </cell>
          <cell r="AQ34">
            <v>0</v>
          </cell>
          <cell r="AR34">
            <v>0</v>
          </cell>
          <cell r="AS34">
            <v>45000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3000</v>
          </cell>
          <cell r="H35" t="str">
            <v>ESPECES</v>
          </cell>
          <cell r="I35">
            <v>-3000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12000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  <cell r="BN35" t="str">
            <v>COLLATION</v>
          </cell>
          <cell r="BO35" t="str">
            <v>COLLATION</v>
          </cell>
          <cell r="BP35">
            <v>110000</v>
          </cell>
        </row>
        <row r="36">
          <cell r="A36" t="str">
            <v>AS201647</v>
          </cell>
          <cell r="B36" t="str">
            <v>YOUMBI EMMANUEL</v>
          </cell>
          <cell r="C36">
            <v>-70000</v>
          </cell>
          <cell r="D36">
            <v>593000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303000</v>
          </cell>
          <cell r="T36" t="str">
            <v>BANQUE</v>
          </cell>
          <cell r="U36">
            <v>593000</v>
          </cell>
          <cell r="AC36">
            <v>2500</v>
          </cell>
          <cell r="AD36">
            <v>7500</v>
          </cell>
          <cell r="AQ36">
            <v>0</v>
          </cell>
          <cell r="AR36">
            <v>0</v>
          </cell>
          <cell r="AS36">
            <v>15000</v>
          </cell>
          <cell r="AW36">
            <v>297500</v>
          </cell>
          <cell r="AX36">
            <v>892500</v>
          </cell>
          <cell r="AY36">
            <v>0</v>
          </cell>
          <cell r="AZ36">
            <v>1190000</v>
          </cell>
          <cell r="BB36">
            <v>70000</v>
          </cell>
          <cell r="BD36">
            <v>1120000</v>
          </cell>
          <cell r="BE36" t="str">
            <v>OK</v>
          </cell>
          <cell r="BF36">
            <v>0</v>
          </cell>
          <cell r="BG36">
            <v>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-266500</v>
          </cell>
          <cell r="D38">
            <v>5960500</v>
          </cell>
          <cell r="E38">
            <v>142000</v>
          </cell>
          <cell r="F38">
            <v>0</v>
          </cell>
          <cell r="G38">
            <v>18000</v>
          </cell>
          <cell r="H38">
            <v>0</v>
          </cell>
          <cell r="I38">
            <v>84500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150000</v>
          </cell>
          <cell r="Q38">
            <v>380000</v>
          </cell>
          <cell r="R38">
            <v>1212000</v>
          </cell>
          <cell r="S38">
            <v>439500</v>
          </cell>
          <cell r="U38">
            <v>6159000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58000</v>
          </cell>
          <cell r="AJ38">
            <v>829000</v>
          </cell>
          <cell r="AK38">
            <v>1136000</v>
          </cell>
          <cell r="AL38">
            <v>1500</v>
          </cell>
          <cell r="AM38">
            <v>10000</v>
          </cell>
          <cell r="AN38">
            <v>18000</v>
          </cell>
          <cell r="AQ38">
            <v>0</v>
          </cell>
          <cell r="AR38">
            <v>0</v>
          </cell>
          <cell r="AS38">
            <v>534500</v>
          </cell>
          <cell r="AT38">
            <v>0</v>
          </cell>
          <cell r="AU38">
            <v>0</v>
          </cell>
          <cell r="AV38">
            <v>0</v>
          </cell>
          <cell r="AW38">
            <v>950500</v>
          </cell>
          <cell r="AX38">
            <v>2614000</v>
          </cell>
          <cell r="AY38">
            <v>1136000</v>
          </cell>
          <cell r="AZ38">
            <v>1968500</v>
          </cell>
          <cell r="BA38">
            <v>127500</v>
          </cell>
          <cell r="BB38">
            <v>210000</v>
          </cell>
          <cell r="BC38">
            <v>0</v>
          </cell>
          <cell r="BD38">
            <v>1631000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110000</v>
          </cell>
          <cell r="BL38">
            <v>0</v>
          </cell>
          <cell r="BM38">
            <v>0</v>
          </cell>
          <cell r="BN38" t="str">
            <v>S/TOTAL</v>
          </cell>
          <cell r="BP38">
            <v>110000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116000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1968500</v>
          </cell>
          <cell r="D43">
            <v>5717500</v>
          </cell>
          <cell r="F43">
            <v>142000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D6">
            <v>2088500</v>
          </cell>
          <cell r="BF6">
            <v>0</v>
          </cell>
          <cell r="BG6">
            <v>12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  <cell r="BD7">
            <v>564000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D8">
            <v>485000</v>
          </cell>
          <cell r="BF8">
            <v>15000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D9">
            <v>880000</v>
          </cell>
          <cell r="BF9">
            <v>120000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929000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D11">
            <v>980000</v>
          </cell>
          <cell r="BF11">
            <v>20000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D12">
            <v>1090000</v>
          </cell>
          <cell r="BF12">
            <v>60000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  <cell r="BD13">
            <v>901000</v>
          </cell>
          <cell r="BF13">
            <v>120000</v>
          </cell>
          <cell r="BG13">
            <v>12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  <cell r="BD16">
            <v>763500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  <cell r="BD18">
            <v>950000</v>
          </cell>
          <cell r="BF18">
            <v>50000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  <cell r="BD21">
            <v>282000</v>
          </cell>
          <cell r="BF21">
            <v>18000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933000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690000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678000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1180000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D26">
            <v>970000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  <cell r="BD30">
            <v>168000</v>
          </cell>
          <cell r="BF30">
            <v>60000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  <cell r="BD31">
            <v>465000</v>
          </cell>
          <cell r="BF31">
            <v>15000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12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  <cell r="BD33">
            <v>176000</v>
          </cell>
          <cell r="BF33">
            <v>0</v>
          </cell>
          <cell r="BG33">
            <v>12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  <cell r="BD34">
            <v>616000</v>
          </cell>
          <cell r="BF34">
            <v>84000</v>
          </cell>
          <cell r="BG34">
            <v>12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  <cell r="BD35">
            <v>227500</v>
          </cell>
          <cell r="BF35">
            <v>0</v>
          </cell>
          <cell r="BG35">
            <v>12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653800</v>
          </cell>
          <cell r="AT38">
            <v>0</v>
          </cell>
          <cell r="AU38">
            <v>0</v>
          </cell>
          <cell r="AV38">
            <v>0</v>
          </cell>
          <cell r="AW38">
            <v>595000</v>
          </cell>
          <cell r="AX38">
            <v>892500</v>
          </cell>
          <cell r="AY38">
            <v>1190000</v>
          </cell>
          <cell r="AZ38">
            <v>16699000</v>
          </cell>
          <cell r="BA38">
            <v>0</v>
          </cell>
          <cell r="BB38">
            <v>140000</v>
          </cell>
          <cell r="BC38">
            <v>0</v>
          </cell>
          <cell r="BD38">
            <v>16956500</v>
          </cell>
          <cell r="BF38">
            <v>1198000</v>
          </cell>
          <cell r="BH38">
            <v>6000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 t="str">
            <v>S/TOTAL</v>
          </cell>
          <cell r="BP38">
            <v>100000</v>
          </cell>
        </row>
        <row r="40">
          <cell r="C40" t="str">
            <v>BANQUE</v>
          </cell>
          <cell r="F40" t="str">
            <v>ESPECES</v>
          </cell>
        </row>
        <row r="41">
          <cell r="B41" t="str">
            <v>LIBELLE</v>
          </cell>
          <cell r="C41" t="str">
            <v>SORTIE</v>
          </cell>
          <cell r="D41" t="str">
            <v>ENTREE</v>
          </cell>
          <cell r="E41" t="str">
            <v>SOLDE</v>
          </cell>
          <cell r="F41" t="str">
            <v>ENTREE</v>
          </cell>
          <cell r="G41" t="str">
            <v>SORTIE</v>
          </cell>
          <cell r="H41" t="str">
            <v>SOLDE</v>
          </cell>
          <cell r="BN41" t="str">
            <v>S/TOTAL</v>
          </cell>
          <cell r="BP41">
            <v>106000</v>
          </cell>
        </row>
        <row r="42">
          <cell r="B42" t="str">
            <v>REPORT</v>
          </cell>
        </row>
        <row r="43">
          <cell r="B43" t="str">
            <v>TONTINE</v>
          </cell>
          <cell r="C43">
            <v>16699000</v>
          </cell>
          <cell r="D43">
            <v>11263000</v>
          </cell>
          <cell r="F43">
            <v>8171000</v>
          </cell>
        </row>
      </sheetData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8">
          <cell r="X38">
            <v>28999.999999999913</v>
          </cell>
        </row>
      </sheetData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3">
          <cell r="U23">
            <v>17499.999999999942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7</v>
      </c>
    </row>
    <row r="2" spans="1:1" x14ac:dyDescent="0.25">
      <c r="A2" t="s">
        <v>11</v>
      </c>
    </row>
    <row r="3" spans="1:1" x14ac:dyDescent="0.25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F15" activePane="bottomRight" state="frozen"/>
      <selection activeCell="G6" sqref="G6:G39"/>
      <selection pane="topRight" activeCell="G6" sqref="G6:G39"/>
      <selection pane="bottomLeft" activeCell="G6" sqref="G6:G39"/>
      <selection pane="bottomRight" activeCell="N18" sqref="N18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3</v>
      </c>
      <c r="E3" s="1"/>
      <c r="L3" s="1"/>
      <c r="M3" s="1"/>
    </row>
    <row r="4" spans="1:16" s="12" customFormat="1" ht="18" x14ac:dyDescent="0.25">
      <c r="B4" s="13"/>
      <c r="C4" s="20">
        <v>44939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IF(D6=0,0,VLOOKUP($A6,[6]HISTOJANV23!$A$6:$BQ$45,14,0))</f>
        <v>1</v>
      </c>
      <c r="C6" s="1" t="str">
        <f>VLOOKUP(A6,[7]LISTADHERENT!A$5:H$60,3,0)</f>
        <v>ASELBY</v>
      </c>
      <c r="D6" s="7">
        <f>IF(E6="ECHEC",0,VLOOKUP($A6,[6]HISTOJANV23!$A$6:$BB$45,15,0))</f>
        <v>100000</v>
      </c>
      <c r="E6" s="7" t="str">
        <f>VLOOKUP($A6,[6]HISTOJANV23!$A$6:$BB$45,8,0)</f>
        <v>BANQUE</v>
      </c>
      <c r="F6" s="7">
        <f>VLOOKUP($A6,[6]HISTOJANV23!$A$6:$BB$45,37,0)</f>
        <v>0</v>
      </c>
      <c r="G6" s="7">
        <f>VLOOKUP($A6,[6]HISTOJANV23!$A$6:$BB$45,40,0)</f>
        <v>0</v>
      </c>
      <c r="H6" s="7" t="str">
        <f>IF(F6&lt;&gt;0,VLOOKUP($A6,[6]HISTOJANV23!$A$6:$BB$45,42,0),"ECHEC")</f>
        <v>ECHEC</v>
      </c>
      <c r="I6" s="7">
        <f>VLOOKUP($A6,[6]HISTOJANV23!$A$6:$BB$45,41,0)</f>
        <v>0</v>
      </c>
      <c r="J6"/>
      <c r="K6" s="7">
        <f>VLOOKUP($A6,[6]HISTOJANV23!$A$6:$BB$45,18,0)</f>
        <v>0</v>
      </c>
      <c r="L6" s="7" t="str">
        <f>IF(K6&lt;&gt;0,VLOOKUP($A6,[6]HISTOJANV23!$A$6:$BB$45,42,0),"ECHEC")</f>
        <v>ECHEC</v>
      </c>
      <c r="M6" s="7" t="str">
        <f>IF(P6&lt;&gt;0,VLOOKUP($A6,[6]HISTOJANV23!$A$6:$BB$45,32,0),"ECHEC")</f>
        <v>ECHEC</v>
      </c>
      <c r="N6" s="7">
        <f>VLOOKUP($A6,[6]HISTOJANV23!$A$6:$BB$45,33,0)</f>
        <v>0</v>
      </c>
      <c r="O6" s="7">
        <f t="shared" ref="O6:O17" si="0">IF(P6=0,0,($C$3-P6))</f>
        <v>0</v>
      </c>
      <c r="P6" s="7">
        <f>VLOOKUP($A6,[6]HISTOJANV23!$A$6:$BB$45,31,0)</f>
        <v>0</v>
      </c>
    </row>
    <row r="7" spans="1:16" x14ac:dyDescent="0.25">
      <c r="A7" s="1" t="s">
        <v>48</v>
      </c>
      <c r="B7" s="7">
        <f>IF(D7=0,0,VLOOKUP($A7,[6]HISTOJANV23!$A$6:$BQ$45,14,0))</f>
        <v>1</v>
      </c>
      <c r="C7" s="1" t="str">
        <f>VLOOKUP(A7,[7]LISTADHERENT!A$5:H$60,3,0)</f>
        <v xml:space="preserve">DJOMO JEAN PAUL </v>
      </c>
      <c r="D7" s="7">
        <f>IF(E7="ECHEC",0,VLOOKUP($A7,[6]HISTOJANV23!$A$6:$BB$45,15,0))</f>
        <v>100000</v>
      </c>
      <c r="E7" s="7" t="str">
        <f>VLOOKUP($A7,[6]HISTOJANV23!$A$6:$BB$45,8,0)</f>
        <v>BANQUE</v>
      </c>
      <c r="F7" s="7">
        <f>VLOOKUP($A7,[6]HISTOJANV23!$A$6:$BB$45,37,0)</f>
        <v>50000</v>
      </c>
      <c r="G7" s="7">
        <f>VLOOKUP($A7,[6]HISTOJANV23!$A$6:$BB$45,40,0)</f>
        <v>2000</v>
      </c>
      <c r="H7" s="7" t="str">
        <f>IF(F7&lt;&gt;0,VLOOKUP($A7,[6]HISTOJANV23!$A$6:$BB$45,42,0),"ECHEC")</f>
        <v>BANQUE</v>
      </c>
      <c r="I7" s="7">
        <f>VLOOKUP($A7,[6]HISTOJANV23!$A$6:$BB$45,41,0)</f>
        <v>0</v>
      </c>
      <c r="J7"/>
      <c r="K7" s="7">
        <f>VLOOKUP($A7,[6]HISTOJANV23!$A$6:$BB$45,18,0)</f>
        <v>0</v>
      </c>
      <c r="L7" s="7" t="str">
        <f>IF(K7&lt;&gt;0,VLOOKUP($A7,[6]HISTOJANV23!$A$6:$BB$45,42,0),"ECHEC")</f>
        <v>ECHEC</v>
      </c>
      <c r="M7" s="7" t="str">
        <f>IF(P7&lt;&gt;0,VLOOKUP($A7,[6]HISTOJANV23!$A$6:$BB$45,32,0),"ECHEC")</f>
        <v>ECHEC</v>
      </c>
      <c r="N7" s="7">
        <f>VLOOKUP($A7,[6]HISTOJANV23!$A$6:$BB$45,33,0)</f>
        <v>0</v>
      </c>
      <c r="O7" s="7">
        <f t="shared" si="0"/>
        <v>0</v>
      </c>
      <c r="P7" s="7">
        <f>VLOOKUP($A7,[6]HISTOJANV23!$A$6:$BB$45,31,0)</f>
        <v>0</v>
      </c>
    </row>
    <row r="8" spans="1:16" x14ac:dyDescent="0.25">
      <c r="A8" s="1" t="s">
        <v>20</v>
      </c>
      <c r="B8" s="7">
        <f>IF(D8=0,0,VLOOKUP($A8,[6]HISTOJANV23!$A$6:$BQ$45,14,0))</f>
        <v>2</v>
      </c>
      <c r="C8" s="1" t="str">
        <f>VLOOKUP(A8,[7]LISTADHERENT!A$5:H$60,3,0)</f>
        <v>DJUOMBESSY ANTOINE</v>
      </c>
      <c r="D8" s="7">
        <f>IF(E8="ECHEC",0,VLOOKUP($A8,[6]HISTOJANV23!$A$6:$BB$45,15,0))</f>
        <v>200000</v>
      </c>
      <c r="E8" s="7" t="str">
        <f>VLOOKUP($A8,[6]HISTOJANV23!$A$6:$BB$45,8,0)</f>
        <v>BANQUE</v>
      </c>
      <c r="F8" s="7">
        <f>VLOOKUP($A8,[6]HISTOJANV23!$A$6:$BB$45,37,0)</f>
        <v>0</v>
      </c>
      <c r="G8" s="7">
        <f>VLOOKUP($A8,[6]HISTOJANV23!$A$6:$BB$45,40,0)</f>
        <v>0</v>
      </c>
      <c r="H8" s="7" t="str">
        <f>IF(F8&lt;&gt;0,VLOOKUP($A8,[6]HISTOJANV23!$A$6:$BB$45,42,0),"ECHEC")</f>
        <v>ECHEC</v>
      </c>
      <c r="I8" s="7">
        <f>VLOOKUP($A8,[6]HISTOJANV23!$A$6:$BB$45,41,0)</f>
        <v>0</v>
      </c>
      <c r="J8"/>
      <c r="K8" s="7">
        <f>VLOOKUP($A8,[6]HISTOJANV23!$A$6:$BB$45,18,0)</f>
        <v>0</v>
      </c>
      <c r="L8" s="7" t="str">
        <f>IF(K8&lt;&gt;0,VLOOKUP($A8,[6]HISTOJANV23!$A$6:$BB$45,42,0),"ECHEC")</f>
        <v>ECHEC</v>
      </c>
      <c r="M8" s="7" t="str">
        <f>IF(P8&lt;&gt;0,VLOOKUP($A8,[6]HISTOJANV23!$A$6:$BB$45,32,0),"ECHEC")</f>
        <v>ECHEC</v>
      </c>
      <c r="N8" s="7">
        <f>VLOOKUP($A8,[6]HISTOJANV23!$A$6:$BB$45,33,0)</f>
        <v>0</v>
      </c>
      <c r="O8" s="7">
        <f t="shared" si="0"/>
        <v>0</v>
      </c>
      <c r="P8" s="7">
        <f>VLOOKUP($A8,[6]HISTOJANV23!$A$6:$BB$45,31,0)</f>
        <v>0</v>
      </c>
    </row>
    <row r="9" spans="1:16" x14ac:dyDescent="0.25">
      <c r="A9" s="1" t="s">
        <v>21</v>
      </c>
      <c r="B9" s="7">
        <f>IF(D9=0,0,VLOOKUP($A9,[6]HISTOJANV23!$A$6:$BQ$45,14,0))</f>
        <v>1</v>
      </c>
      <c r="C9" s="1" t="str">
        <f>VLOOKUP(A9,[7]LISTADHERENT!A$5:H$60,3,0)</f>
        <v>HOTCHO BENJAMIN</v>
      </c>
      <c r="D9" s="7">
        <f>IF(E9="ECHEC",0,VLOOKUP($A9,[6]HISTOJANV23!$A$6:$BB$45,15,0))</f>
        <v>100000</v>
      </c>
      <c r="E9" s="7" t="str">
        <f>VLOOKUP($A9,[6]HISTOJANV23!$A$6:$BB$45,8,0)</f>
        <v>BANQUE</v>
      </c>
      <c r="F9" s="7">
        <f>VLOOKUP($A9,[6]HISTOJANV23!$A$6:$BB$45,37,0)</f>
        <v>0</v>
      </c>
      <c r="G9" s="7">
        <f>VLOOKUP($A9,[6]HISTOJANV23!$A$6:$BB$45,40,0)</f>
        <v>0</v>
      </c>
      <c r="H9" s="7" t="str">
        <f>IF(F9&lt;&gt;0,VLOOKUP($A9,[6]HISTOJANV23!$A$6:$BB$45,42,0),"ECHEC")</f>
        <v>ECHEC</v>
      </c>
      <c r="I9" s="7">
        <f>VLOOKUP($A9,[6]HISTOJANV23!$A$6:$BB$45,41,0)</f>
        <v>0</v>
      </c>
      <c r="J9"/>
      <c r="K9" s="7">
        <f>VLOOKUP($A9,[6]HISTOJANV23!$A$6:$BB$45,18,0)</f>
        <v>0</v>
      </c>
      <c r="L9" s="7" t="str">
        <f>IF(K9&lt;&gt;0,VLOOKUP($A9,[6]HISTOJANV23!$A$6:$BB$45,42,0),"ECHEC")</f>
        <v>ECHEC</v>
      </c>
      <c r="M9" s="7" t="str">
        <f>IF(P9&lt;&gt;0,VLOOKUP($A9,[6]HISTOJANV23!$A$6:$BB$45,32,0),"ECHEC")</f>
        <v>ECHEC</v>
      </c>
      <c r="N9" s="7">
        <f>VLOOKUP($A9,[6]HISTOJANV23!$A$6:$BB$45,33,0)</f>
        <v>0</v>
      </c>
      <c r="O9" s="7">
        <f t="shared" si="0"/>
        <v>0</v>
      </c>
      <c r="P9" s="7">
        <f>VLOOKUP($A9,[6]HISTOJANV23!$A$6:$BB$45,31,0)</f>
        <v>0</v>
      </c>
    </row>
    <row r="10" spans="1:16" x14ac:dyDescent="0.25">
      <c r="A10" s="1" t="s">
        <v>27</v>
      </c>
      <c r="B10" s="7">
        <f>IF(D10=0,0,VLOOKUP($A10,[6]HISTOJANV23!$A$6:$BQ$45,14,0))</f>
        <v>1</v>
      </c>
      <c r="C10" s="1" t="str">
        <f>VLOOKUP(A10,[7]LISTADHERENT!A$5:H$60,3,0)</f>
        <v>KOUAMOU MOISE</v>
      </c>
      <c r="D10" s="7">
        <f>IF(E10="ECHEC",0,VLOOKUP($A10,[6]HISTOJANV23!$A$6:$BB$45,15,0))</f>
        <v>100000</v>
      </c>
      <c r="E10" s="7" t="str">
        <f>VLOOKUP($A10,[6]HISTOJANV23!$A$6:$BB$45,8,0)</f>
        <v>BANQUE</v>
      </c>
      <c r="F10" s="7">
        <f>VLOOKUP($A10,[6]HISTOJANV23!$A$6:$BB$45,37,0)</f>
        <v>0</v>
      </c>
      <c r="G10" s="7">
        <f>VLOOKUP($A10,[6]HISTOJANV23!$A$6:$BB$45,40,0)</f>
        <v>0</v>
      </c>
      <c r="H10" s="7" t="str">
        <f>IF(F10&lt;&gt;0,VLOOKUP($A10,[6]HISTOJANV23!$A$6:$BB$45,42,0),"ECHEC")</f>
        <v>ECHEC</v>
      </c>
      <c r="I10" s="7">
        <f>VLOOKUP($A10,[6]HISTOJANV23!$A$6:$BB$45,41,0)</f>
        <v>0</v>
      </c>
      <c r="J10"/>
      <c r="K10" s="7">
        <f>VLOOKUP($A10,[6]HISTOJANV23!$A$6:$BB$45,18,0)</f>
        <v>0</v>
      </c>
      <c r="L10" s="7" t="str">
        <f>IF(K10&lt;&gt;0,VLOOKUP($A10,[6]HISTOJANV23!$A$6:$BB$45,42,0),"ECHEC")</f>
        <v>ECHEC</v>
      </c>
      <c r="M10" s="7" t="str">
        <f>IF(P10&lt;&gt;0,VLOOKUP($A10,[6]HISTOJANV23!$A$6:$BB$45,32,0),"ECHEC")</f>
        <v>ECHEC</v>
      </c>
      <c r="N10" s="7">
        <f>VLOOKUP($A10,[6]HISTOJANV23!$A$6:$BB$45,33,0)</f>
        <v>0</v>
      </c>
      <c r="O10" s="7">
        <f t="shared" si="0"/>
        <v>0</v>
      </c>
      <c r="P10" s="7">
        <f>VLOOKUP($A10,[6]HISTOJANV23!$A$6:$BB$45,31,0)</f>
        <v>0</v>
      </c>
    </row>
    <row r="11" spans="1:16" x14ac:dyDescent="0.25">
      <c r="A11" s="1" t="s">
        <v>8</v>
      </c>
      <c r="B11" s="7">
        <f>IF(D11=0,0,VLOOKUP($A11,[6]HISTOJANV23!$A$6:$BQ$45,14,0))</f>
        <v>1</v>
      </c>
      <c r="C11" s="1" t="str">
        <f>VLOOKUP(A11,[7]LISTADHERENT!A$5:H$60,3,0)</f>
        <v>KOUATCHO MESSACK</v>
      </c>
      <c r="D11" s="7">
        <f>IF(E11="ECHEC",0,VLOOKUP($A11,[6]HISTOJANV23!$A$6:$BB$45,15,0))</f>
        <v>100000</v>
      </c>
      <c r="E11" s="7" t="str">
        <f>VLOOKUP($A11,[6]HISTOJANV23!$A$6:$BB$45,8,0)</f>
        <v>BANQUE</v>
      </c>
      <c r="F11" s="7">
        <f>VLOOKUP($A11,[6]HISTOJANV23!$A$6:$BB$45,37,0)</f>
        <v>0</v>
      </c>
      <c r="G11" s="7">
        <f>VLOOKUP($A11,[6]HISTOJANV23!$A$6:$BB$45,40,0)</f>
        <v>0</v>
      </c>
      <c r="H11" s="7" t="str">
        <f>IF(F11&lt;&gt;0,VLOOKUP($A11,[6]HISTOJANV23!$A$6:$BB$45,42,0),"ECHEC")</f>
        <v>ECHEC</v>
      </c>
      <c r="I11" s="7">
        <f>VLOOKUP($A11,[6]HISTOJANV23!$A$6:$BB$45,41,0)</f>
        <v>0</v>
      </c>
      <c r="J11"/>
      <c r="K11" s="7">
        <f>VLOOKUP($A11,[6]HISTOJANV23!$A$6:$BB$45,18,0)</f>
        <v>0</v>
      </c>
      <c r="L11" s="7" t="str">
        <f>IF(K11&lt;&gt;0,VLOOKUP($A11,[6]HISTOJANV23!$A$6:$BB$45,42,0),"ECHEC")</f>
        <v>ECHEC</v>
      </c>
      <c r="M11" s="7" t="str">
        <f>IF(P11&lt;&gt;0,VLOOKUP($A11,[6]HISTOJANV23!$A$6:$BB$45,32,0),"ECHEC")</f>
        <v>BANQUE</v>
      </c>
      <c r="N11" s="7">
        <f>VLOOKUP($A11,[6]HISTOJANV23!$A$6:$BB$45,33,0)</f>
        <v>0</v>
      </c>
      <c r="O11" s="7">
        <f t="shared" si="0"/>
        <v>1075000</v>
      </c>
      <c r="P11" s="7">
        <f>VLOOKUP($A11,[6]HISTOJANV23!$A$6:$BB$45,31,0)</f>
        <v>125000</v>
      </c>
    </row>
    <row r="12" spans="1:16" x14ac:dyDescent="0.25">
      <c r="A12" s="1" t="s">
        <v>23</v>
      </c>
      <c r="B12" s="7">
        <f>IF(D12=0,0,VLOOKUP($A12,[6]HISTOJANV23!$A$6:$BQ$45,14,0))</f>
        <v>1</v>
      </c>
      <c r="C12" s="1" t="str">
        <f>VLOOKUP(A12,[7]LISTADHERENT!A$5:H$60,3,0)</f>
        <v>MBOGNING TUGMA GUY</v>
      </c>
      <c r="D12" s="7">
        <f>IF(E12="ECHEC",0,VLOOKUP($A12,[6]HISTOJANV23!$A$6:$BB$45,15,0))</f>
        <v>100000</v>
      </c>
      <c r="E12" s="7" t="str">
        <f>VLOOKUP($A12,[6]HISTOJANV23!$A$6:$BB$45,8,0)</f>
        <v>BANQUE</v>
      </c>
      <c r="F12" s="7">
        <f>VLOOKUP($A12,[6]HISTOJANV23!$A$6:$BB$45,37,0)</f>
        <v>0</v>
      </c>
      <c r="G12" s="7">
        <f>VLOOKUP($A12,[6]HISTOJANV23!$A$6:$BB$45,40,0)</f>
        <v>0</v>
      </c>
      <c r="H12" s="7" t="str">
        <f>IF(F12&lt;&gt;0,VLOOKUP($A12,[6]HISTOJANV23!$A$6:$BB$45,42,0),"ECHEC")</f>
        <v>ECHEC</v>
      </c>
      <c r="I12" s="7">
        <f>VLOOKUP($A12,[6]HISTOJANV23!$A$6:$BB$45,41,0)</f>
        <v>0</v>
      </c>
      <c r="J12"/>
      <c r="K12" s="7">
        <f>VLOOKUP($A12,[6]HISTOJANV23!$A$6:$BB$45,18,0)</f>
        <v>0</v>
      </c>
      <c r="L12" s="7" t="str">
        <f>IF(K12&lt;&gt;0,VLOOKUP($A12,[6]HISTOJANV23!$A$6:$BB$45,42,0),"ECHEC")</f>
        <v>ECHEC</v>
      </c>
      <c r="M12" s="7" t="str">
        <f>IF(P12&lt;&gt;0,VLOOKUP($A12,[6]HISTOJANV23!$A$6:$BB$45,32,0),"ECHEC")</f>
        <v>BANQUE</v>
      </c>
      <c r="N12" s="7">
        <f>VLOOKUP($A12,[6]HISTOJANV23!$A$6:$BB$45,33,0)</f>
        <v>0</v>
      </c>
      <c r="O12" s="7">
        <f t="shared" si="0"/>
        <v>1075000</v>
      </c>
      <c r="P12" s="7">
        <f>VLOOKUP($A12,[6]HISTOJANV23!$A$6:$BB$45,31,0)</f>
        <v>125000</v>
      </c>
    </row>
    <row r="13" spans="1:16" x14ac:dyDescent="0.25">
      <c r="A13" s="1" t="s">
        <v>9</v>
      </c>
      <c r="B13" s="7">
        <f>IF(D13=0,0,VLOOKUP($A13,[6]HISTOJANV23!$A$6:$BQ$45,14,0))</f>
        <v>2</v>
      </c>
      <c r="C13" s="1" t="str">
        <f>VLOOKUP(A13,[7]LISTADHERENT!A$5:H$60,3,0)</f>
        <v>NDJOMO ETIENNE</v>
      </c>
      <c r="D13" s="7">
        <f>IF(E13="ECHEC",0,VLOOKUP($A13,[6]HISTOJANV23!$A$6:$BB$45,15,0))</f>
        <v>200000</v>
      </c>
      <c r="E13" s="7" t="str">
        <f>VLOOKUP($A13,[6]HISTOJANV23!$A$6:$BB$45,8,0)</f>
        <v>BANQUE</v>
      </c>
      <c r="F13" s="7">
        <f>VLOOKUP($A13,[6]HISTOJANV23!$A$6:$BB$45,37,0)</f>
        <v>0</v>
      </c>
      <c r="G13" s="7">
        <f>VLOOKUP($A13,[6]HISTOJANV23!$A$6:$BB$45,40,0)</f>
        <v>0</v>
      </c>
      <c r="H13" s="7" t="str">
        <f>IF(F13&lt;&gt;0,VLOOKUP($A13,[6]HISTOJANV23!$A$6:$BB$45,42,0),"ECHEC")</f>
        <v>ECHEC</v>
      </c>
      <c r="I13" s="7">
        <f>VLOOKUP($A13,[6]HISTOJANV23!$A$6:$BB$45,41,0)</f>
        <v>0</v>
      </c>
      <c r="J13"/>
      <c r="K13" s="7">
        <f>VLOOKUP($A13,[6]HISTOJANV23!$A$6:$BB$45,18,0)</f>
        <v>0</v>
      </c>
      <c r="L13" s="7" t="str">
        <f>IF(K13&lt;&gt;0,VLOOKUP($A13,[6]HISTOJANV23!$A$6:$BB$45,42,0),"ECHEC")</f>
        <v>ECHEC</v>
      </c>
      <c r="M13" s="7" t="str">
        <f>IF(P13&lt;&gt;0,VLOOKUP($A13,[6]HISTOJANV23!$A$6:$BB$45,32,0),"ECHEC")</f>
        <v>ECHEC</v>
      </c>
      <c r="N13" s="7">
        <f>VLOOKUP($A13,[6]HISTOJANV23!$A$6:$BB$45,33,0)</f>
        <v>0</v>
      </c>
      <c r="O13" s="7">
        <f t="shared" si="0"/>
        <v>0</v>
      </c>
      <c r="P13" s="7">
        <f>VLOOKUP($A13,[6]HISTOJANV23!$A$6:$BB$45,31,0)</f>
        <v>0</v>
      </c>
    </row>
    <row r="14" spans="1:16" x14ac:dyDescent="0.25">
      <c r="A14" s="1" t="s">
        <v>10</v>
      </c>
      <c r="B14" s="7">
        <f>IF(D14=0,0,VLOOKUP($A14,[6]HISTOJANV23!$A$6:$BQ$45,14,0))</f>
        <v>1</v>
      </c>
      <c r="C14" s="1" t="str">
        <f>VLOOKUP(A14,[7]LISTADHERENT!A$5:H$60,3,0)</f>
        <v>NGONDIEP CLAUDE</v>
      </c>
      <c r="D14" s="7">
        <f>IF(E14="ECHEC",0,VLOOKUP($A14,[6]HISTOJANV23!$A$6:$BB$45,15,0))</f>
        <v>100000</v>
      </c>
      <c r="E14" s="7" t="str">
        <f>VLOOKUP($A14,[6]HISTOJANV23!$A$6:$BB$45,8,0)</f>
        <v>BANQUE</v>
      </c>
      <c r="F14" s="7">
        <f>VLOOKUP($A14,[6]HISTOJANV23!$A$6:$BB$45,37,0)</f>
        <v>200000</v>
      </c>
      <c r="G14" s="7">
        <f>VLOOKUP($A14,[6]HISTOJANV23!$A$6:$BB$45,40,0)</f>
        <v>8000</v>
      </c>
      <c r="H14" s="7" t="str">
        <f>IF(F14&lt;&gt;0,VLOOKUP($A14,[6]HISTOJANV23!$A$6:$BB$45,42,0),"ECHEC")</f>
        <v>BANQUE</v>
      </c>
      <c r="I14" s="7">
        <f>VLOOKUP($A14,[6]HISTOJANV23!$A$6:$BB$45,41,0)</f>
        <v>0</v>
      </c>
      <c r="J14"/>
      <c r="K14" s="7">
        <f>VLOOKUP($A14,[6]HISTOJANV23!$A$6:$BB$45,18,0)</f>
        <v>0</v>
      </c>
      <c r="L14" s="7" t="str">
        <f>IF(K14&lt;&gt;0,VLOOKUP($A14,[6]HISTOJANV23!$A$6:$BB$45,42,0),"ECHEC")</f>
        <v>ECHEC</v>
      </c>
      <c r="M14" s="7" t="str">
        <f>IF(P14&lt;&gt;0,VLOOKUP($A14,[6]HISTOJANV23!$A$6:$BB$45,32,0),"ECHEC")</f>
        <v>BANQUE</v>
      </c>
      <c r="N14" s="7">
        <f>VLOOKUP($A14,[6]HISTOJANV23!$A$6:$BB$45,33,0)</f>
        <v>0</v>
      </c>
      <c r="O14" s="7">
        <f t="shared" si="0"/>
        <v>1075000</v>
      </c>
      <c r="P14" s="7">
        <f>VLOOKUP($A14,[6]HISTOJANV23!$A$6:$BB$45,31,0)</f>
        <v>125000</v>
      </c>
    </row>
    <row r="15" spans="1:16" x14ac:dyDescent="0.25">
      <c r="A15" s="1" t="s">
        <v>44</v>
      </c>
      <c r="B15" s="7">
        <f>IF(D15=0,0,VLOOKUP($A15,[6]HISTOJANV23!$A$6:$BQ$45,14,0))</f>
        <v>1</v>
      </c>
      <c r="C15" s="1" t="str">
        <f>VLOOKUP(A15,[7]LISTADHERENT!A$5:H$60,3,0)</f>
        <v>NGUIEMEGNI MATHIEU BLAISE</v>
      </c>
      <c r="D15" s="7">
        <f>IF(E15="ECHEC",0,VLOOKUP($A15,[6]HISTOJANV23!$A$6:$BB$45,15,0))</f>
        <v>100000</v>
      </c>
      <c r="E15" s="7" t="str">
        <f>VLOOKUP($A15,[6]HISTOJANV23!$A$6:$BB$45,8,0)</f>
        <v>BANQUE</v>
      </c>
      <c r="F15" s="7">
        <f>VLOOKUP($A15,[6]HISTOJANV23!$A$6:$BB$45,37,0)</f>
        <v>75000</v>
      </c>
      <c r="G15" s="7">
        <f>VLOOKUP($A15,[6]HISTOJANV23!$A$6:$BB$45,40,0)</f>
        <v>3000</v>
      </c>
      <c r="H15" s="7" t="str">
        <f>IF(F15&lt;&gt;0,VLOOKUP($A15,[6]HISTOJANV23!$A$6:$BB$45,42,0),"ECHEC")</f>
        <v>BANQUE</v>
      </c>
      <c r="I15" s="7">
        <f>VLOOKUP($A15,[6]HISTOJANV23!$A$6:$BB$45,41,0)</f>
        <v>0</v>
      </c>
      <c r="J15"/>
      <c r="K15" s="7">
        <f>VLOOKUP($A15,[6]HISTOJANV23!$A$6:$BB$45,18,0)</f>
        <v>0</v>
      </c>
      <c r="L15" s="7" t="str">
        <f>IF(K15&lt;&gt;0,VLOOKUP($A15,[6]HISTOJANV23!$A$6:$BB$45,42,0),"ECHEC")</f>
        <v>ECHEC</v>
      </c>
      <c r="M15" s="7" t="str">
        <f>IF(P15&lt;&gt;0,VLOOKUP($A15,[6]HISTOJANV23!$A$6:$BB$45,32,0),"ECHEC")</f>
        <v>ECHEC</v>
      </c>
      <c r="N15" s="7">
        <f>VLOOKUP($A15,[6]HISTOJANV23!$A$6:$BB$45,33,0)</f>
        <v>0</v>
      </c>
      <c r="O15" s="7">
        <f t="shared" si="0"/>
        <v>0</v>
      </c>
      <c r="P15" s="7">
        <f>VLOOKUP($A15,[6]HISTOJANV23!$A$6:$BB$45,31,0)</f>
        <v>0</v>
      </c>
    </row>
    <row r="16" spans="1:16" x14ac:dyDescent="0.25">
      <c r="A16" s="1" t="s">
        <v>47</v>
      </c>
      <c r="B16" s="7">
        <f>IF(D16=0,0,VLOOKUP($A16,[6]HISTOJANV23!$A$6:$BQ$45,14,0))</f>
        <v>1</v>
      </c>
      <c r="C16" s="1" t="str">
        <f>VLOOKUP(A16,[7]LISTADHERENT!A$5:H$60,3,0)</f>
        <v>SIMO PIERRE</v>
      </c>
      <c r="D16" s="7">
        <f>IF(E16="ECHEC",0,VLOOKUP($A16,[6]HISTOJANV23!$A$6:$BB$45,15,0))</f>
        <v>100000</v>
      </c>
      <c r="E16" s="7" t="str">
        <f>VLOOKUP($A16,[6]HISTOJANV23!$A$6:$BB$45,8,0)</f>
        <v>BANQUE</v>
      </c>
      <c r="F16" s="7">
        <f>VLOOKUP($A16,[6]HISTOJANV23!$A$6:$BB$45,37,0)</f>
        <v>0</v>
      </c>
      <c r="G16" s="7">
        <f>VLOOKUP($A16,[6]HISTOJANV23!$A$6:$BB$45,40,0)</f>
        <v>0</v>
      </c>
      <c r="H16" s="7" t="str">
        <f>IF(F16&lt;&gt;0,VLOOKUP($A16,[6]HISTOJANV23!$A$6:$BB$45,42,0),"ECHEC")</f>
        <v>ECHEC</v>
      </c>
      <c r="I16" s="7">
        <f>VLOOKUP($A16,[6]HISTOJANV23!$A$6:$BB$45,41,0)</f>
        <v>0</v>
      </c>
      <c r="J16"/>
      <c r="K16" s="7">
        <f>VLOOKUP($A16,[6]HISTOJANV23!$A$6:$BB$45,18,0)</f>
        <v>0</v>
      </c>
      <c r="L16" s="7" t="str">
        <f>IF(K16&lt;&gt;0,VLOOKUP($A16,[6]HISTOJANV23!$A$6:$BB$45,42,0),"ECHEC")</f>
        <v>ECHEC</v>
      </c>
      <c r="M16" s="7" t="str">
        <f>IF(P16&lt;&gt;0,VLOOKUP($A16,[6]HISTOJANV23!$A$6:$BB$45,32,0),"ECHEC")</f>
        <v>ECHEC</v>
      </c>
      <c r="N16" s="7">
        <f>VLOOKUP($A16,[6]HISTOJANV23!$A$6:$BB$45,33,0)</f>
        <v>0</v>
      </c>
      <c r="O16" s="7">
        <f t="shared" si="0"/>
        <v>0</v>
      </c>
      <c r="P16" s="7">
        <f>VLOOKUP($A16,[6]HISTOJANV23!$A$6:$BB$45,31,0)</f>
        <v>0</v>
      </c>
    </row>
    <row r="17" spans="1:16" x14ac:dyDescent="0.25">
      <c r="A17" s="1" t="s">
        <v>22</v>
      </c>
      <c r="B17" s="7">
        <f>IF(D17=0,0,VLOOKUP($A17,[6]HISTOJANV23!$A$6:$BQ$45,14,0))</f>
        <v>1</v>
      </c>
      <c r="C17" s="1" t="str">
        <f>VLOOKUP(A17,[7]LISTADHERENT!A$5:H$60,3,0)</f>
        <v>YOUMBI EMMANUEL</v>
      </c>
      <c r="D17" s="7">
        <f>IF(E17="ECHEC",0,VLOOKUP($A17,[6]HISTOJANV23!$A$6:$BB$45,15,0))</f>
        <v>100000</v>
      </c>
      <c r="E17" s="7" t="str">
        <f>VLOOKUP($A17,[6]HISTOJANV23!$A$6:$BB$45,8,0)</f>
        <v>BANQUE</v>
      </c>
      <c r="F17" s="7">
        <f>VLOOKUP($A17,[6]HISTOJANV23!$A$6:$BB$45,37,0)</f>
        <v>0</v>
      </c>
      <c r="G17" s="7">
        <f>VLOOKUP($A17,[6]HISTOJANV23!$A$6:$BB$45,40,0)</f>
        <v>0</v>
      </c>
      <c r="H17" s="7" t="str">
        <f>IF(F17&lt;&gt;0,VLOOKUP($A17,[6]HISTOJANV23!$A$6:$BB$45,42,0),"ECHEC")</f>
        <v>ECHEC</v>
      </c>
      <c r="I17" s="7">
        <f>VLOOKUP($A17,[6]HISTOJANV23!$A$6:$BB$45,41,0)</f>
        <v>0</v>
      </c>
      <c r="J17"/>
      <c r="K17" s="7">
        <f>VLOOKUP($A17,[6]HISTOJANV23!$A$6:$BB$45,18,0)</f>
        <v>0</v>
      </c>
      <c r="L17" s="7" t="str">
        <f>IF(K17&lt;&gt;0,VLOOKUP($A17,[6]HISTOJANV23!$A$6:$BB$45,42,0),"ECHEC")</f>
        <v>ECHEC</v>
      </c>
      <c r="M17" s="7" t="str">
        <f>IF(P17&lt;&gt;0,VLOOKUP($A17,[6]HISTOJANV23!$A$6:$BB$45,32,0),"ECHEC")</f>
        <v>ECHEC</v>
      </c>
      <c r="N17" s="7">
        <f>VLOOKUP($A17,[6]HISTOJANV23!$A$6:$BB$45,33,0)</f>
        <v>0</v>
      </c>
      <c r="O17" s="7">
        <f t="shared" si="0"/>
        <v>0</v>
      </c>
      <c r="P17" s="7">
        <f>VLOOKUP($A17,[6]HISTOJANV23!$A$6:$BB$45,31,0)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>
        <f t="shared" ref="E20:P20" si="1">SUM(E6:E18)</f>
        <v>0</v>
      </c>
      <c r="F20" s="8">
        <f t="shared" si="1"/>
        <v>325000</v>
      </c>
      <c r="G20" s="8">
        <f t="shared" si="1"/>
        <v>13000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8">
        <f t="shared" si="1"/>
        <v>3225000</v>
      </c>
      <c r="P20" s="8">
        <f t="shared" si="1"/>
        <v>375000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</f>
        <v>4175000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3600000</v>
      </c>
      <c r="M23" s="8">
        <f>D3</f>
        <v>3</v>
      </c>
      <c r="N23" s="8">
        <f>COUNTIF(O8:O17,"&gt;0")</f>
        <v>3</v>
      </c>
      <c r="O23" s="8"/>
    </row>
    <row r="24" spans="1:16" s="2" customFormat="1" ht="18" x14ac:dyDescent="0.25">
      <c r="C24" s="8" t="s">
        <v>7</v>
      </c>
      <c r="D24" s="8">
        <f>SUMIFS(D6:D18,E6:E18,"BANQUE")+2400000</f>
        <v>3800000</v>
      </c>
      <c r="E24" s="8">
        <f>SUMIFS(K6:K18,L6:L18,"BANQUE")</f>
        <v>0</v>
      </c>
      <c r="F24" s="8">
        <f>SUMIFS(F6:F18,H6:H18,"BANQUE")</f>
        <v>325000</v>
      </c>
      <c r="G24" s="8">
        <f>SUMIFS(O6:O18,M6:M18,"BANQUE")</f>
        <v>3225000</v>
      </c>
      <c r="H24" s="8">
        <f>D24+E24-F24-G24</f>
        <v>250000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575000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3800000</v>
      </c>
      <c r="E26" s="8">
        <f>E23+E24</f>
        <v>0</v>
      </c>
      <c r="F26" s="8">
        <f>F23+F24</f>
        <v>325000</v>
      </c>
      <c r="G26" s="8">
        <f t="shared" ref="G26:H26" si="2">G23+G24</f>
        <v>3225000</v>
      </c>
      <c r="H26" s="8">
        <f t="shared" si="2"/>
        <v>250000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250000</v>
      </c>
      <c r="M27"/>
      <c r="N27" s="8">
        <f>L27</f>
        <v>250000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E15" activePane="bottomRight" state="frozen"/>
      <selection activeCell="G6" sqref="G6:G39"/>
      <selection pane="topRight" activeCell="G6" sqref="G6:G39"/>
      <selection pane="bottomLeft" activeCell="G6" sqref="G6:G39"/>
      <selection pane="bottomRight" activeCell="L22" sqref="L22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2</v>
      </c>
      <c r="E3" s="1"/>
      <c r="L3" s="1"/>
      <c r="M3" s="1"/>
    </row>
    <row r="4" spans="1:16" s="12" customFormat="1" ht="18" x14ac:dyDescent="0.25">
      <c r="B4" s="13"/>
      <c r="C4" s="20">
        <v>44970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IF(D6=0,0,VLOOKUP($A6,[6]HISTOFEV23!$A$6:$BQ$45,14,0))</f>
        <v>1</v>
      </c>
      <c r="C6" s="1" t="str">
        <f>VLOOKUP(A6,[7]LISTADHERENT!A$5:H$60,3,0)</f>
        <v>ASELBY</v>
      </c>
      <c r="D6" s="7">
        <f>IF(E6="ECHEC",0,VLOOKUP($A6,[6]HISTOFEV23!$A$6:$BB$45,15,0))</f>
        <v>100000</v>
      </c>
      <c r="E6" s="7" t="str">
        <f>VLOOKUP($A6,[6]HISTOFEV23!$A$6:$BB$45,8,0)</f>
        <v>BANQUE</v>
      </c>
      <c r="F6" s="7">
        <f>VLOOKUP($A6,[6]HISTOFEV23!$A$6:$BB$45,37,0)</f>
        <v>0</v>
      </c>
      <c r="G6" s="7">
        <f>VLOOKUP($A6,[6]HISTOFEV23!$A$6:$BB$45,40,0)</f>
        <v>0</v>
      </c>
      <c r="H6" s="7" t="str">
        <f>IF(F6&lt;&gt;0,VLOOKUP($A6,[6]HISTOFEV23!$A$6:$BB$45,42,0),"ECHEC")</f>
        <v>ECHEC</v>
      </c>
      <c r="I6" s="7">
        <f>VLOOKUP($A6,[6]HISTOFEV23!$A$6:$BB$45,41,0)</f>
        <v>0</v>
      </c>
      <c r="J6" s="7">
        <f>TONTJANV23!F6+TONTJANV23!G6</f>
        <v>0</v>
      </c>
      <c r="K6" s="7">
        <f>VLOOKUP($A6,[6]HISTOFEV23!$A$6:$BB$45,18,0)</f>
        <v>0</v>
      </c>
      <c r="L6" s="7" t="str">
        <f>IF(K6&lt;&gt;0,VLOOKUP($A6,[6]HISTOFEV23!$A$6:$BB$45,42,0),"ECHEC")</f>
        <v>ECHEC</v>
      </c>
      <c r="M6" s="7" t="str">
        <f>IF(P6&lt;&gt;0,VLOOKUP($A6,[6]HISTOFEV23!$A$6:$BB$45,32,0),"ECHEC")</f>
        <v>ECHEC</v>
      </c>
      <c r="N6" s="7">
        <f>VLOOKUP($A6,[6]HISTOFEV23!$A$6:$BB$45,33,0)</f>
        <v>0</v>
      </c>
      <c r="O6" s="7">
        <f t="shared" ref="O6:O17" si="0">IF(P6=0,0,($C$3-P6))</f>
        <v>0</v>
      </c>
      <c r="P6" s="7">
        <f>VLOOKUP($A6,[6]HISTOFEV23!$A$6:$BB$45,31,0)</f>
        <v>0</v>
      </c>
    </row>
    <row r="7" spans="1:16" x14ac:dyDescent="0.25">
      <c r="A7" s="1" t="s">
        <v>48</v>
      </c>
      <c r="B7" s="7">
        <f>IF(D7=0,0,VLOOKUP($A7,[6]HISTOFEV23!$A$6:$BQ$45,14,0))</f>
        <v>1</v>
      </c>
      <c r="C7" s="1" t="str">
        <f>VLOOKUP(A7,[7]LISTADHERENT!A$5:H$60,3,0)</f>
        <v xml:space="preserve">DJOMO JEAN PAUL </v>
      </c>
      <c r="D7" s="7">
        <f>IF(E7="ECHEC",0,VLOOKUP($A7,[6]HISTOFEV23!$A$6:$BB$45,15,0))</f>
        <v>100000</v>
      </c>
      <c r="E7" s="7" t="str">
        <f>VLOOKUP($A7,[6]HISTOFEV23!$A$6:$BB$45,8,0)</f>
        <v>BANQUE</v>
      </c>
      <c r="F7" s="7">
        <f>VLOOKUP($A7,[6]HISTOFEV23!$A$6:$BB$45,37,0)</f>
        <v>0</v>
      </c>
      <c r="G7" s="7">
        <f>VLOOKUP($A7,[6]HISTOFEV23!$A$6:$BB$45,40,0)</f>
        <v>0</v>
      </c>
      <c r="H7" s="7" t="str">
        <f>IF(F7&lt;&gt;0,VLOOKUP($A7,[6]HISTOFEV23!$A$6:$BB$45,42,0),"ECHEC")</f>
        <v>ECHEC</v>
      </c>
      <c r="I7" s="7">
        <f>VLOOKUP($A7,[6]HISTOFEV23!$A$6:$BB$45,41,0)</f>
        <v>0</v>
      </c>
      <c r="J7" s="7">
        <f>TONTJANV23!F7+TONTJANV23!G7</f>
        <v>52000</v>
      </c>
      <c r="K7" s="7">
        <f>VLOOKUP($A7,[6]HISTOFEV23!$A$6:$BB$45,18,0)</f>
        <v>52000</v>
      </c>
      <c r="L7" s="7" t="str">
        <f>IF(K7&lt;&gt;0,VLOOKUP($A7,[6]HISTOFEV23!$A$6:$BB$45,42,0),"ECHEC")</f>
        <v>BANQUE</v>
      </c>
      <c r="M7" s="7" t="str">
        <f>IF(P7&lt;&gt;0,VLOOKUP($A7,[6]HISTOFEV23!$A$6:$BB$45,32,0),"ECHEC")</f>
        <v>ECHEC</v>
      </c>
      <c r="N7" s="7">
        <f>VLOOKUP($A7,[6]HISTOFEV23!$A$6:$BB$45,33,0)</f>
        <v>0</v>
      </c>
      <c r="O7" s="7">
        <f t="shared" si="0"/>
        <v>0</v>
      </c>
      <c r="P7" s="7">
        <f>VLOOKUP($A7,[6]HISTOFEV23!$A$6:$BB$45,31,0)</f>
        <v>0</v>
      </c>
    </row>
    <row r="8" spans="1:16" x14ac:dyDescent="0.25">
      <c r="A8" s="1" t="s">
        <v>20</v>
      </c>
      <c r="B8" s="7">
        <f>IF(D8=0,0,VLOOKUP($A8,[6]HISTOFEV23!$A$6:$BQ$45,14,0))</f>
        <v>2</v>
      </c>
      <c r="C8" s="1" t="str">
        <f>VLOOKUP(A8,[7]LISTADHERENT!A$5:H$60,3,0)</f>
        <v>DJUOMBESSY ANTOINE</v>
      </c>
      <c r="D8" s="7">
        <f>IF(E8="ECHEC",0,VLOOKUP($A8,[6]HISTOFEV23!$A$6:$BB$45,15,0))</f>
        <v>200000</v>
      </c>
      <c r="E8" s="7" t="str">
        <f>VLOOKUP($A8,[6]HISTOFEV23!$A$6:$BB$45,8,0)</f>
        <v>BANQUE</v>
      </c>
      <c r="F8" s="7">
        <f>VLOOKUP($A8,[6]HISTOFEV23!$A$6:$BB$45,37,0)</f>
        <v>0</v>
      </c>
      <c r="G8" s="7">
        <f>VLOOKUP($A8,[6]HISTOFEV23!$A$6:$BB$45,40,0)</f>
        <v>0</v>
      </c>
      <c r="H8" s="7" t="str">
        <f>IF(F8&lt;&gt;0,VLOOKUP($A8,[6]HISTOFEV23!$A$6:$BB$45,42,0),"ECHEC")</f>
        <v>ECHEC</v>
      </c>
      <c r="I8" s="7">
        <f>VLOOKUP($A8,[6]HISTOFEV23!$A$6:$BB$45,41,0)</f>
        <v>0</v>
      </c>
      <c r="J8" s="7">
        <f>TONTJANV23!F8+TONTJANV23!G8</f>
        <v>0</v>
      </c>
      <c r="K8" s="7">
        <f>VLOOKUP($A8,[6]HISTOFEV23!$A$6:$BB$45,18,0)</f>
        <v>0</v>
      </c>
      <c r="L8" s="7" t="str">
        <f>IF(K8&lt;&gt;0,VLOOKUP($A8,[6]HISTOFEV23!$A$6:$BB$45,42,0),"ECHEC")</f>
        <v>ECHEC</v>
      </c>
      <c r="M8" s="7" t="str">
        <f>IF(P8&lt;&gt;0,VLOOKUP($A8,[6]HISTOFEV23!$A$6:$BB$45,32,0),"ECHEC")</f>
        <v>ECHEC</v>
      </c>
      <c r="N8" s="7">
        <f>VLOOKUP($A8,[6]HISTOFEV23!$A$6:$BB$45,33,0)</f>
        <v>0</v>
      </c>
      <c r="O8" s="7">
        <f t="shared" si="0"/>
        <v>0</v>
      </c>
      <c r="P8" s="7">
        <f>VLOOKUP($A8,[6]HISTOFEV23!$A$6:$BB$45,31,0)</f>
        <v>0</v>
      </c>
    </row>
    <row r="9" spans="1:16" x14ac:dyDescent="0.25">
      <c r="A9" s="1" t="s">
        <v>21</v>
      </c>
      <c r="B9" s="7">
        <f>IF(D9=0,0,VLOOKUP($A9,[6]HISTOFEV23!$A$6:$BQ$45,14,0))</f>
        <v>1</v>
      </c>
      <c r="C9" s="1" t="str">
        <f>VLOOKUP(A9,[7]LISTADHERENT!A$5:H$60,3,0)</f>
        <v>HOTCHO BENJAMIN</v>
      </c>
      <c r="D9" s="7">
        <f>IF(E9="ECHEC",0,VLOOKUP($A9,[6]HISTOFEV23!$A$6:$BB$45,15,0))</f>
        <v>100000</v>
      </c>
      <c r="E9" s="7" t="str">
        <f>VLOOKUP($A9,[6]HISTOFEV23!$A$6:$BB$45,8,0)</f>
        <v>BANQUE</v>
      </c>
      <c r="F9" s="7">
        <f>VLOOKUP($A9,[6]HISTOFEV23!$A$6:$BB$45,37,0)</f>
        <v>0</v>
      </c>
      <c r="G9" s="7">
        <f>VLOOKUP($A9,[6]HISTOFEV23!$A$6:$BB$45,40,0)</f>
        <v>0</v>
      </c>
      <c r="H9" s="7" t="str">
        <f>IF(F9&lt;&gt;0,VLOOKUP($A9,[6]HISTOFEV23!$A$6:$BB$45,42,0),"ECHEC")</f>
        <v>ECHEC</v>
      </c>
      <c r="I9" s="7">
        <f>VLOOKUP($A9,[6]HISTOFEV23!$A$6:$BB$45,41,0)</f>
        <v>0</v>
      </c>
      <c r="J9" s="7">
        <f>TONTJANV23!F9+TONTJANV23!G9</f>
        <v>0</v>
      </c>
      <c r="K9" s="7">
        <f>VLOOKUP($A9,[6]HISTOFEV23!$A$6:$BB$45,18,0)</f>
        <v>0</v>
      </c>
      <c r="L9" s="7" t="str">
        <f>IF(K9&lt;&gt;0,VLOOKUP($A9,[6]HISTOFEV23!$A$6:$BB$45,42,0),"ECHEC")</f>
        <v>ECHEC</v>
      </c>
      <c r="M9" s="7" t="str">
        <f>IF(P9&lt;&gt;0,VLOOKUP($A9,[6]HISTOFEV23!$A$6:$BB$45,32,0),"ECHEC")</f>
        <v>BANQUE</v>
      </c>
      <c r="N9" s="7">
        <f>VLOOKUP($A9,[6]HISTOFEV23!$A$6:$BB$45,33,0)</f>
        <v>0</v>
      </c>
      <c r="O9" s="7">
        <f t="shared" si="0"/>
        <v>1172000</v>
      </c>
      <c r="P9" s="7">
        <f>VLOOKUP($A9,[6]HISTOFEV23!$A$6:$BB$45,31,0)</f>
        <v>28000</v>
      </c>
    </row>
    <row r="10" spans="1:16" x14ac:dyDescent="0.25">
      <c r="A10" s="1" t="s">
        <v>27</v>
      </c>
      <c r="B10" s="7">
        <f>IF(D10=0,0,VLOOKUP($A10,[6]HISTOFEV23!$A$6:$BQ$45,14,0))</f>
        <v>1</v>
      </c>
      <c r="C10" s="1" t="str">
        <f>VLOOKUP(A10,[7]LISTADHERENT!A$5:H$60,3,0)</f>
        <v>KOUAMOU MOISE</v>
      </c>
      <c r="D10" s="7">
        <f>IF(E10="ECHEC",0,VLOOKUP($A10,[6]HISTOFEV23!$A$6:$BB$45,15,0))</f>
        <v>100000</v>
      </c>
      <c r="E10" s="7" t="str">
        <f>VLOOKUP($A10,[6]HISTOFEV23!$A$6:$BB$45,8,0)</f>
        <v>BANQUE</v>
      </c>
      <c r="F10" s="7">
        <f>VLOOKUP($A10,[6]HISTOFEV23!$A$6:$BB$45,37,0)</f>
        <v>0</v>
      </c>
      <c r="G10" s="7">
        <f>VLOOKUP($A10,[6]HISTOFEV23!$A$6:$BB$45,40,0)</f>
        <v>0</v>
      </c>
      <c r="H10" s="7" t="str">
        <f>IF(F10&lt;&gt;0,VLOOKUP($A10,[6]HISTOFEV23!$A$6:$BB$45,42,0),"ECHEC")</f>
        <v>ECHEC</v>
      </c>
      <c r="I10" s="7">
        <f>VLOOKUP($A10,[6]HISTOFEV23!$A$6:$BB$45,41,0)</f>
        <v>0</v>
      </c>
      <c r="J10" s="7">
        <f>TONTJANV23!F10+TONTJANV23!G10</f>
        <v>0</v>
      </c>
      <c r="K10" s="7">
        <f>VLOOKUP($A10,[6]HISTOFEV23!$A$6:$BB$45,18,0)</f>
        <v>0</v>
      </c>
      <c r="L10" s="7" t="str">
        <f>IF(K10&lt;&gt;0,VLOOKUP($A10,[6]HISTOFEV23!$A$6:$BB$45,42,0),"ECHEC")</f>
        <v>ECHEC</v>
      </c>
      <c r="M10" s="7" t="str">
        <f>IF(P10&lt;&gt;0,VLOOKUP($A10,[6]HISTOFEV23!$A$6:$BB$45,32,0),"ECHEC")</f>
        <v>BANQUE</v>
      </c>
      <c r="N10" s="7">
        <f>VLOOKUP($A10,[6]HISTOFEV23!$A$6:$BB$45,33,0)</f>
        <v>0</v>
      </c>
      <c r="O10" s="7">
        <f t="shared" si="0"/>
        <v>1172000</v>
      </c>
      <c r="P10" s="7">
        <f>VLOOKUP($A10,[6]HISTOFEV23!$A$6:$BB$45,31,0)</f>
        <v>28000</v>
      </c>
    </row>
    <row r="11" spans="1:16" x14ac:dyDescent="0.25">
      <c r="A11" s="1" t="s">
        <v>8</v>
      </c>
      <c r="B11" s="7">
        <f>IF(D11=0,0,VLOOKUP($A11,[6]HISTOFEV23!$A$6:$BQ$45,14,0))</f>
        <v>1</v>
      </c>
      <c r="C11" s="1" t="str">
        <f>VLOOKUP(A11,[7]LISTADHERENT!A$5:H$60,3,0)</f>
        <v>KOUATCHO MESSACK</v>
      </c>
      <c r="D11" s="7">
        <f>IF(E11="ECHEC",0,VLOOKUP($A11,[6]HISTOFEV23!$A$6:$BB$45,15,0))</f>
        <v>100000</v>
      </c>
      <c r="E11" s="7" t="str">
        <f>VLOOKUP($A11,[6]HISTOFEV23!$A$6:$BB$45,8,0)</f>
        <v>BANQUE</v>
      </c>
      <c r="F11" s="7">
        <f>VLOOKUP($A11,[6]HISTOFEV23!$A$6:$BB$45,37,0)</f>
        <v>0</v>
      </c>
      <c r="G11" s="7">
        <f>VLOOKUP($A11,[6]HISTOFEV23!$A$6:$BB$45,40,0)</f>
        <v>0</v>
      </c>
      <c r="H11" s="7" t="str">
        <f>IF(F11&lt;&gt;0,VLOOKUP($A11,[6]HISTOFEV23!$A$6:$BB$45,42,0),"ECHEC")</f>
        <v>ECHEC</v>
      </c>
      <c r="I11" s="7">
        <f>VLOOKUP($A11,[6]HISTOFEV23!$A$6:$BB$45,41,0)</f>
        <v>0</v>
      </c>
      <c r="J11" s="7">
        <f>TONTJANV23!F11+TONTJANV23!G11</f>
        <v>0</v>
      </c>
      <c r="K11" s="7">
        <f>VLOOKUP($A11,[6]HISTOFEV23!$A$6:$BB$45,18,0)</f>
        <v>0</v>
      </c>
      <c r="L11" s="7" t="str">
        <f>IF(K11&lt;&gt;0,VLOOKUP($A11,[6]HISTOFEV23!$A$6:$BB$45,42,0),"ECHEC")</f>
        <v>ECHEC</v>
      </c>
      <c r="M11" s="7" t="str">
        <f>IF(P11&lt;&gt;0,VLOOKUP($A11,[6]HISTOFEV23!$A$6:$BB$45,32,0),"ECHEC")</f>
        <v>ECHEC</v>
      </c>
      <c r="N11" s="7">
        <f>VLOOKUP($A11,[6]HISTOFEV23!$A$6:$BB$45,33,0)</f>
        <v>0</v>
      </c>
      <c r="O11" s="7">
        <f t="shared" si="0"/>
        <v>0</v>
      </c>
      <c r="P11" s="7">
        <f>VLOOKUP($A11,[6]HISTOFEV23!$A$6:$BB$45,31,0)</f>
        <v>0</v>
      </c>
    </row>
    <row r="12" spans="1:16" x14ac:dyDescent="0.25">
      <c r="A12" s="1" t="s">
        <v>23</v>
      </c>
      <c r="B12" s="7">
        <f>IF(D12=0,0,VLOOKUP($A12,[6]HISTOFEV23!$A$6:$BQ$45,14,0))</f>
        <v>1</v>
      </c>
      <c r="C12" s="1" t="str">
        <f>VLOOKUP(A12,[7]LISTADHERENT!A$5:H$60,3,0)</f>
        <v>MBOGNING TUGMA GUY</v>
      </c>
      <c r="D12" s="7">
        <f>IF(E12="ECHEC",0,VLOOKUP($A12,[6]HISTOFEV23!$A$6:$BB$45,15,0))</f>
        <v>100000</v>
      </c>
      <c r="E12" s="7" t="str">
        <f>VLOOKUP($A12,[6]HISTOFEV23!$A$6:$BB$45,8,0)</f>
        <v>BANQUE</v>
      </c>
      <c r="F12" s="7">
        <f>VLOOKUP($A12,[6]HISTOFEV23!$A$6:$BB$45,37,0)</f>
        <v>0</v>
      </c>
      <c r="G12" s="7">
        <f>VLOOKUP($A12,[6]HISTOFEV23!$A$6:$BB$45,40,0)</f>
        <v>0</v>
      </c>
      <c r="H12" s="7" t="str">
        <f>IF(F12&lt;&gt;0,VLOOKUP($A12,[6]HISTOFEV23!$A$6:$BB$45,42,0),"ECHEC")</f>
        <v>ECHEC</v>
      </c>
      <c r="I12" s="7">
        <f>VLOOKUP($A12,[6]HISTOFEV23!$A$6:$BB$45,41,0)</f>
        <v>0</v>
      </c>
      <c r="J12" s="7">
        <f>TONTJANV23!F12+TONTJANV23!G12</f>
        <v>0</v>
      </c>
      <c r="K12" s="7">
        <f>VLOOKUP($A12,[6]HISTOFEV23!$A$6:$BB$45,18,0)</f>
        <v>0</v>
      </c>
      <c r="L12" s="7" t="str">
        <f>IF(K12&lt;&gt;0,VLOOKUP($A12,[6]HISTOFEV23!$A$6:$BB$45,42,0),"ECHEC")</f>
        <v>ECHEC</v>
      </c>
      <c r="M12" s="7" t="str">
        <f>IF(P12&lt;&gt;0,VLOOKUP($A12,[6]HISTOFEV23!$A$6:$BB$45,32,0),"ECHEC")</f>
        <v>ECHEC</v>
      </c>
      <c r="N12" s="7">
        <f>VLOOKUP($A12,[6]HISTOFEV23!$A$6:$BB$45,33,0)</f>
        <v>0</v>
      </c>
      <c r="O12" s="7">
        <f t="shared" si="0"/>
        <v>0</v>
      </c>
      <c r="P12" s="7">
        <f>VLOOKUP($A12,[6]HISTOFEV23!$A$6:$BB$45,31,0)</f>
        <v>0</v>
      </c>
    </row>
    <row r="13" spans="1:16" x14ac:dyDescent="0.25">
      <c r="A13" s="1" t="s">
        <v>9</v>
      </c>
      <c r="B13" s="7">
        <f>IF(D13=0,0,VLOOKUP($A13,[6]HISTOFEV23!$A$6:$BQ$45,14,0))</f>
        <v>2</v>
      </c>
      <c r="C13" s="1" t="str">
        <f>VLOOKUP(A13,[7]LISTADHERENT!A$5:H$60,3,0)</f>
        <v>NDJOMO ETIENNE</v>
      </c>
      <c r="D13" s="7">
        <f>IF(E13="ECHEC",0,VLOOKUP($A13,[6]HISTOFEV23!$A$6:$BB$45,15,0))</f>
        <v>200000</v>
      </c>
      <c r="E13" s="7" t="str">
        <f>VLOOKUP($A13,[6]HISTOFEV23!$A$6:$BB$45,8,0)</f>
        <v>BANQUE</v>
      </c>
      <c r="F13" s="7">
        <f>VLOOKUP($A13,[6]HISTOFEV23!$A$6:$BB$45,37,0)</f>
        <v>0</v>
      </c>
      <c r="G13" s="7">
        <f>VLOOKUP($A13,[6]HISTOFEV23!$A$6:$BB$45,40,0)</f>
        <v>0</v>
      </c>
      <c r="H13" s="7" t="str">
        <f>IF(F13&lt;&gt;0,VLOOKUP($A13,[6]HISTOFEV23!$A$6:$BB$45,42,0),"ECHEC")</f>
        <v>ECHEC</v>
      </c>
      <c r="I13" s="7">
        <f>VLOOKUP($A13,[6]HISTOFEV23!$A$6:$BB$45,41,0)</f>
        <v>0</v>
      </c>
      <c r="J13" s="7">
        <f>TONTJANV23!F13+TONTJANV23!G13</f>
        <v>0</v>
      </c>
      <c r="K13" s="7">
        <f>VLOOKUP($A13,[6]HISTOFEV23!$A$6:$BB$45,18,0)</f>
        <v>0</v>
      </c>
      <c r="L13" s="7" t="str">
        <f>IF(K13&lt;&gt;0,VLOOKUP($A13,[6]HISTOFEV23!$A$6:$BB$45,42,0),"ECHEC")</f>
        <v>ECHEC</v>
      </c>
      <c r="M13" s="7" t="str">
        <f>IF(P13&lt;&gt;0,VLOOKUP($A13,[6]HISTOFEV23!$A$6:$BB$45,32,0),"ECHEC")</f>
        <v>ECHEC</v>
      </c>
      <c r="N13" s="7">
        <f>VLOOKUP($A13,[6]HISTOFEV23!$A$6:$BB$45,33,0)</f>
        <v>0</v>
      </c>
      <c r="O13" s="7">
        <f t="shared" si="0"/>
        <v>0</v>
      </c>
      <c r="P13" s="7">
        <f>VLOOKUP($A13,[6]HISTOFEV23!$A$6:$BB$45,31,0)</f>
        <v>0</v>
      </c>
    </row>
    <row r="14" spans="1:16" x14ac:dyDescent="0.25">
      <c r="A14" s="1" t="s">
        <v>10</v>
      </c>
      <c r="B14" s="7">
        <f>IF(D14=0,0,VLOOKUP($A14,[6]HISTOFEV23!$A$6:$BQ$45,14,0))</f>
        <v>1</v>
      </c>
      <c r="C14" s="1" t="str">
        <f>VLOOKUP(A14,[7]LISTADHERENT!A$5:H$60,3,0)</f>
        <v>NGONDIEP CLAUDE</v>
      </c>
      <c r="D14" s="7">
        <f>IF(E14="ECHEC",0,VLOOKUP($A14,[6]HISTOFEV23!$A$6:$BB$45,15,0))</f>
        <v>100000</v>
      </c>
      <c r="E14" s="7" t="str">
        <f>VLOOKUP($A14,[6]HISTOFEV23!$A$6:$BB$45,8,0)</f>
        <v>BANQUE</v>
      </c>
      <c r="F14" s="7">
        <f>VLOOKUP($A14,[6]HISTOFEV23!$A$6:$BB$45,37,0)</f>
        <v>0</v>
      </c>
      <c r="G14" s="7">
        <f>VLOOKUP($A14,[6]HISTOFEV23!$A$6:$BB$45,40,0)</f>
        <v>0</v>
      </c>
      <c r="H14" s="7" t="str">
        <f>IF(F14&lt;&gt;0,VLOOKUP($A14,[6]HISTOFEV23!$A$6:$BB$45,42,0),"ECHEC")</f>
        <v>ECHEC</v>
      </c>
      <c r="I14" s="7">
        <f>VLOOKUP($A14,[6]HISTOFEV23!$A$6:$BB$45,41,0)</f>
        <v>0</v>
      </c>
      <c r="J14" s="7">
        <f>TONTJANV23!F14+TONTJANV23!G14</f>
        <v>208000</v>
      </c>
      <c r="K14" s="7">
        <f>VLOOKUP($A14,[6]HISTOFEV23!$A$6:$BB$45,18,0)</f>
        <v>208000</v>
      </c>
      <c r="L14" s="7" t="str">
        <f>IF(K14&lt;&gt;0,VLOOKUP($A14,[6]HISTOFEV23!$A$6:$BB$45,42,0),"ECHEC")</f>
        <v>BANQUE</v>
      </c>
      <c r="M14" s="7" t="str">
        <f>IF(P14&lt;&gt;0,VLOOKUP($A14,[6]HISTOFEV23!$A$6:$BB$45,32,0),"ECHEC")</f>
        <v>ECHEC</v>
      </c>
      <c r="N14" s="7">
        <f>VLOOKUP($A14,[6]HISTOFEV23!$A$6:$BB$45,33,0)</f>
        <v>0</v>
      </c>
      <c r="O14" s="7">
        <f t="shared" si="0"/>
        <v>0</v>
      </c>
      <c r="P14" s="7">
        <f>VLOOKUP($A14,[6]HISTOFEV23!$A$6:$BB$45,31,0)</f>
        <v>0</v>
      </c>
    </row>
    <row r="15" spans="1:16" x14ac:dyDescent="0.25">
      <c r="A15" s="1" t="s">
        <v>44</v>
      </c>
      <c r="B15" s="7">
        <f>IF(D15=0,0,VLOOKUP($A15,[6]HISTOFEV23!$A$6:$BQ$45,14,0))</f>
        <v>1</v>
      </c>
      <c r="C15" s="1" t="str">
        <f>VLOOKUP(A15,[7]LISTADHERENT!A$5:H$60,3,0)</f>
        <v>NGUIEMEGNI MATHIEU BLAISE</v>
      </c>
      <c r="D15" s="7">
        <f>IF(E15="ECHEC",0,VLOOKUP($A15,[6]HISTOFEV23!$A$6:$BB$45,15,0))</f>
        <v>100000</v>
      </c>
      <c r="E15" s="7" t="str">
        <f>VLOOKUP($A15,[6]HISTOFEV23!$A$6:$BB$45,8,0)</f>
        <v>BANQUE</v>
      </c>
      <c r="F15" s="7">
        <f>VLOOKUP($A15,[6]HISTOFEV23!$A$6:$BB$45,37,0)</f>
        <v>0</v>
      </c>
      <c r="G15" s="7">
        <f>VLOOKUP($A15,[6]HISTOFEV23!$A$6:$BB$45,40,0)</f>
        <v>0</v>
      </c>
      <c r="H15" s="7" t="str">
        <f>IF(F15&lt;&gt;0,VLOOKUP($A15,[6]HISTOFEV23!$A$6:$BB$45,42,0),"ECHEC")</f>
        <v>ECHEC</v>
      </c>
      <c r="I15" s="7">
        <f>VLOOKUP($A15,[6]HISTOFEV23!$A$6:$BB$45,41,0)</f>
        <v>0</v>
      </c>
      <c r="J15" s="7">
        <f>TONTJANV23!F15+TONTJANV23!G15</f>
        <v>78000</v>
      </c>
      <c r="K15" s="7">
        <f>VLOOKUP($A15,[6]HISTOFEV23!$A$6:$BB$45,18,0)</f>
        <v>78000</v>
      </c>
      <c r="L15" s="7" t="str">
        <f>IF(K15&lt;&gt;0,VLOOKUP($A15,[6]HISTOFEV23!$A$6:$BB$45,42,0),"ECHEC")</f>
        <v>BANQUE</v>
      </c>
      <c r="M15" s="7" t="str">
        <f>IF(P15&lt;&gt;0,VLOOKUP($A15,[6]HISTOFEV23!$A$6:$BB$45,32,0),"ECHEC")</f>
        <v>ECHEC</v>
      </c>
      <c r="N15" s="7">
        <f>VLOOKUP($A15,[6]HISTOFEV23!$A$6:$BB$45,33,0)</f>
        <v>0</v>
      </c>
      <c r="O15" s="7">
        <f t="shared" si="0"/>
        <v>0</v>
      </c>
      <c r="P15" s="7">
        <f>VLOOKUP($A15,[6]HISTOFEV23!$A$6:$BB$45,31,0)</f>
        <v>0</v>
      </c>
    </row>
    <row r="16" spans="1:16" x14ac:dyDescent="0.25">
      <c r="A16" s="1" t="s">
        <v>47</v>
      </c>
      <c r="B16" s="7">
        <f>IF(D16=0,0,VLOOKUP($A16,[6]HISTOFEV23!$A$6:$BQ$45,14,0))</f>
        <v>1</v>
      </c>
      <c r="C16" s="1" t="str">
        <f>VLOOKUP(A16,[7]LISTADHERENT!A$5:H$60,3,0)</f>
        <v>SIMO PIERRE</v>
      </c>
      <c r="D16" s="7">
        <f>IF(E16="ECHEC",0,VLOOKUP($A16,[6]HISTOFEV23!$A$6:$BB$45,15,0))</f>
        <v>100000</v>
      </c>
      <c r="E16" s="7" t="str">
        <f>VLOOKUP($A16,[6]HISTOFEV23!$A$6:$BB$45,8,0)</f>
        <v>ESPECES</v>
      </c>
      <c r="F16" s="7">
        <f>VLOOKUP($A16,[6]HISTOFEV23!$A$6:$BB$45,37,0)</f>
        <v>0</v>
      </c>
      <c r="G16" s="7">
        <f>VLOOKUP($A16,[6]HISTOFEV23!$A$6:$BB$45,40,0)</f>
        <v>0</v>
      </c>
      <c r="H16" s="7" t="str">
        <f>IF(F16&lt;&gt;0,VLOOKUP($A16,[6]HISTOFEV23!$A$6:$BB$45,42,0),"ECHEC")</f>
        <v>ECHEC</v>
      </c>
      <c r="I16" s="7">
        <f>VLOOKUP($A16,[6]HISTOFEV23!$A$6:$BB$45,41,0)</f>
        <v>0</v>
      </c>
      <c r="J16" s="7">
        <f>TONTJANV23!F16+TONTJANV23!G16</f>
        <v>0</v>
      </c>
      <c r="K16" s="7">
        <f>VLOOKUP($A16,[6]HISTOFEV23!$A$6:$BB$45,18,0)</f>
        <v>0</v>
      </c>
      <c r="L16" s="7" t="str">
        <f>IF(K16&lt;&gt;0,VLOOKUP($A16,[6]HISTOFEV23!$A$6:$BB$45,42,0),"ECHEC")</f>
        <v>ECHEC</v>
      </c>
      <c r="M16" s="7" t="str">
        <f>IF(P16&lt;&gt;0,VLOOKUP($A16,[6]HISTOFEV23!$A$6:$BB$45,32,0),"ECHEC")</f>
        <v>ECHEC</v>
      </c>
      <c r="N16" s="7">
        <f>VLOOKUP($A16,[6]HISTOFEV23!$A$6:$BB$45,33,0)</f>
        <v>0</v>
      </c>
      <c r="O16" s="7">
        <f t="shared" si="0"/>
        <v>0</v>
      </c>
      <c r="P16" s="7">
        <f>VLOOKUP($A16,[6]HISTOFEV23!$A$6:$BB$45,31,0)</f>
        <v>0</v>
      </c>
    </row>
    <row r="17" spans="1:16" x14ac:dyDescent="0.25">
      <c r="A17" s="1" t="s">
        <v>22</v>
      </c>
      <c r="B17" s="7">
        <f>IF(D17=0,0,VLOOKUP($A17,[6]HISTOFEV23!$A$6:$BQ$45,14,0))</f>
        <v>1</v>
      </c>
      <c r="C17" s="1" t="str">
        <f>VLOOKUP(A17,[7]LISTADHERENT!A$5:H$60,3,0)</f>
        <v>YOUMBI EMMANUEL</v>
      </c>
      <c r="D17" s="7">
        <f>IF(E17="ECHEC",0,VLOOKUP($A17,[6]HISTOFEV23!$A$6:$BB$45,15,0))</f>
        <v>100000</v>
      </c>
      <c r="E17" s="7" t="str">
        <f>VLOOKUP($A17,[6]HISTOFEV23!$A$6:$BB$45,8,0)</f>
        <v>BANQUE</v>
      </c>
      <c r="F17" s="7">
        <f>VLOOKUP($A17,[6]HISTOFEV23!$A$6:$BB$45,37,0)</f>
        <v>0</v>
      </c>
      <c r="G17" s="7">
        <f>VLOOKUP($A17,[6]HISTOFEV23!$A$6:$BB$45,40,0)</f>
        <v>0</v>
      </c>
      <c r="H17" s="7" t="str">
        <f>IF(F17&lt;&gt;0,VLOOKUP($A17,[6]HISTOFEV23!$A$6:$BB$45,42,0),"ECHEC")</f>
        <v>ECHEC</v>
      </c>
      <c r="I17" s="7">
        <f>VLOOKUP($A17,[6]HISTOFEV23!$A$6:$BB$45,41,0)</f>
        <v>0</v>
      </c>
      <c r="J17" s="7">
        <f>TONTJANV23!F17+TONTJANV23!G17</f>
        <v>0</v>
      </c>
      <c r="K17" s="7">
        <f>VLOOKUP($A17,[6]HISTOFEV23!$A$6:$BB$45,18,0)</f>
        <v>0</v>
      </c>
      <c r="L17" s="7" t="str">
        <f>IF(K17&lt;&gt;0,VLOOKUP($A17,[6]HISTOFEV23!$A$6:$BB$45,42,0),"ECHEC")</f>
        <v>ECHEC</v>
      </c>
      <c r="M17" s="7" t="str">
        <f>IF(P17&lt;&gt;0,VLOOKUP($A17,[6]HISTOFEV23!$A$6:$BB$45,32,0),"ECHEC")</f>
        <v>ECHEC</v>
      </c>
      <c r="N17" s="7">
        <f>VLOOKUP($A17,[6]HISTOFEV23!$A$6:$BB$45,33,0)</f>
        <v>0</v>
      </c>
      <c r="O17" s="7">
        <f t="shared" si="0"/>
        <v>0</v>
      </c>
      <c r="P17" s="7">
        <f>VLOOKUP($A17,[6]HISTOFEV23!$A$6:$BB$45,31,0)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0</v>
      </c>
      <c r="G20" s="8">
        <f>SUM(G6:G18)</f>
        <v>0</v>
      </c>
      <c r="H20" s="8"/>
      <c r="I20" s="8">
        <f>SUM(I6:I18)</f>
        <v>0</v>
      </c>
      <c r="J20" s="8">
        <f>SUM(J6:J18)</f>
        <v>338000</v>
      </c>
      <c r="K20" s="8">
        <f>SUM(K6:K18)</f>
        <v>338000</v>
      </c>
      <c r="L20" s="8"/>
      <c r="M20" s="8"/>
      <c r="N20" s="8">
        <f>SUM(N6:N18)</f>
        <v>0</v>
      </c>
      <c r="O20" s="8">
        <f>SUM(O6:O18)</f>
        <v>2344000</v>
      </c>
      <c r="P20" s="8">
        <f>SUM(P6:P18)</f>
        <v>56000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D26+E26+P20+TONTJANV23!N27</f>
        <v>3244000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100000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100000</v>
      </c>
      <c r="I23" s="8"/>
      <c r="K23" s="8" t="s">
        <v>35</v>
      </c>
      <c r="L23" s="8">
        <f>C3*COUNTIF(O6:O18,"&gt;0")</f>
        <v>2400000</v>
      </c>
      <c r="M23" s="8">
        <f>D3</f>
        <v>2</v>
      </c>
      <c r="N23" s="8">
        <f>COUNTIF(O8:O17,"&gt;0")</f>
        <v>2</v>
      </c>
      <c r="O23" s="8"/>
    </row>
    <row r="24" spans="1:16" s="2" customFormat="1" ht="18" x14ac:dyDescent="0.25">
      <c r="C24" s="8" t="s">
        <v>7</v>
      </c>
      <c r="D24" s="8">
        <f>SUMIFS(D6:D18,E6:E18,"BANQUE")+1200000</f>
        <v>2500000</v>
      </c>
      <c r="E24" s="8">
        <f>SUMIFS(K6:K18,L6:L18,"BANQUE")</f>
        <v>338000</v>
      </c>
      <c r="F24" s="8">
        <f>SUMIFS(F6:F18,H6:H18,"BANQUE")</f>
        <v>0</v>
      </c>
      <c r="G24" s="8">
        <f>SUMIFS(O6:O18,M6:M18,"BANQUE")</f>
        <v>2344000</v>
      </c>
      <c r="H24" s="8">
        <f>D24+E24-F24-G24</f>
        <v>494000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844000</v>
      </c>
      <c r="M25" s="8">
        <v>816000</v>
      </c>
      <c r="N25" s="17">
        <v>28000</v>
      </c>
      <c r="O25" s="8" t="s">
        <v>52</v>
      </c>
    </row>
    <row r="26" spans="1:16" s="2" customFormat="1" ht="18" x14ac:dyDescent="0.25">
      <c r="C26" s="8" t="s">
        <v>46</v>
      </c>
      <c r="D26" s="8">
        <f>D23+D24</f>
        <v>2600000</v>
      </c>
      <c r="E26" s="8">
        <f>E23+E24</f>
        <v>338000</v>
      </c>
      <c r="F26" s="8">
        <f>F23+F24</f>
        <v>0</v>
      </c>
      <c r="G26" s="8">
        <f t="shared" ref="G26:H26" si="1">G23+G24</f>
        <v>2344000</v>
      </c>
      <c r="H26" s="8">
        <f t="shared" si="1"/>
        <v>594000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844000</v>
      </c>
      <c r="M27"/>
      <c r="N27" s="8">
        <f>TONTFEV23!L27</f>
        <v>844000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F29" s="2"/>
      <c r="K29" s="8" t="s">
        <v>36</v>
      </c>
      <c r="L29" s="8">
        <f>COUNTIFS(E6:E24,"ECHEC")*100000</f>
        <v>0</v>
      </c>
      <c r="N29" s="8">
        <f>TONTJANV23!N29+TONTFEV23!L29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TONTJANV23!N30+TONTFEV23!L30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F24" activePane="bottomRight" state="frozen"/>
      <selection activeCell="J14" sqref="J14"/>
      <selection pane="topRight" activeCell="J14" sqref="J14"/>
      <selection pane="bottomLeft" activeCell="J14" sqref="J14"/>
      <selection pane="bottomRight" activeCell="L25" sqref="L25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2</v>
      </c>
      <c r="E3" s="1"/>
      <c r="L3" s="1"/>
      <c r="M3" s="1"/>
    </row>
    <row r="4" spans="1:16" s="12" customFormat="1" ht="18" x14ac:dyDescent="0.25">
      <c r="B4" s="13"/>
      <c r="C4" s="20">
        <v>44998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IF(D6=0,0,VLOOKUP($A6,[6]HISTOMARS23!$A$6:$BQ$45,14,0))</f>
        <v>1</v>
      </c>
      <c r="C6" s="1" t="str">
        <f>VLOOKUP(A6,[7]LISTADHERENT!A$5:H$60,3,0)</f>
        <v>ASELBY</v>
      </c>
      <c r="D6" s="7">
        <f>IF(E6="ECHEC",0,VLOOKUP($A6,[6]HISTOMARS23!$A$6:$BB$45,15,0))</f>
        <v>100000</v>
      </c>
      <c r="E6" s="7" t="str">
        <f>VLOOKUP($A6,[6]HISTOMARS23!$A$6:$BB$45,8,0)</f>
        <v>BANQUE</v>
      </c>
      <c r="F6" s="7">
        <f>VLOOKUP($A6,[6]HISTOMARS23!$A$6:$BB$45,37,0)</f>
        <v>0</v>
      </c>
      <c r="G6" s="7">
        <f>VLOOKUP($A6,[6]HISTOMARS23!$A$6:$BB$45,40,0)</f>
        <v>0</v>
      </c>
      <c r="H6" s="7" t="str">
        <f>IF(F6&lt;&gt;0,VLOOKUP($A6,[6]HISTOMARS23!$A$6:$BB$45,42,0),"ECHEC")</f>
        <v>ECHEC</v>
      </c>
      <c r="I6" s="7">
        <f>VLOOKUP($A6,[6]HISTOMARS23!$A$6:$BB$45,41,0)</f>
        <v>0</v>
      </c>
      <c r="J6" s="7">
        <f>TONTFEV23!F6+TONTFEV23!G6</f>
        <v>0</v>
      </c>
      <c r="K6" s="7">
        <f>VLOOKUP($A6,[6]HISTOMARS23!$A$6:$BB$45,18,0)</f>
        <v>0</v>
      </c>
      <c r="L6" s="7" t="str">
        <f>IF(K6&lt;&gt;0,VLOOKUP($A6,[6]HISTOMARS23!$A$6:$BB$45,42,0),"ECHEC")</f>
        <v>ECHEC</v>
      </c>
      <c r="M6" s="7" t="str">
        <f>IF(P6&lt;&gt;0,VLOOKUP($A6,[6]HISTOMARS23!$A$6:$BB$45,32,0),"ECHEC")</f>
        <v>ECHEC</v>
      </c>
      <c r="N6" s="7">
        <f>VLOOKUP($A6,[6]HISTOMARS23!$A$6:$BB$45,33,0)</f>
        <v>0</v>
      </c>
      <c r="O6" s="7">
        <f t="shared" ref="O6:O17" si="0">IF(P6=0,0,($C$3-P6))</f>
        <v>0</v>
      </c>
      <c r="P6" s="7">
        <f>VLOOKUP($A6,[6]HISTOMARS23!$A$6:$BB$45,31,0)</f>
        <v>0</v>
      </c>
    </row>
    <row r="7" spans="1:16" x14ac:dyDescent="0.25">
      <c r="A7" s="1" t="s">
        <v>48</v>
      </c>
      <c r="B7" s="7">
        <f>IF(D7=0,0,VLOOKUP($A7,[6]HISTOMARS23!$A$6:$BQ$45,14,0))</f>
        <v>1</v>
      </c>
      <c r="C7" s="1" t="str">
        <f>VLOOKUP(A7,[7]LISTADHERENT!A$5:H$60,3,0)</f>
        <v xml:space="preserve">DJOMO JEAN PAUL </v>
      </c>
      <c r="D7" s="7">
        <f>IF(E7="ECHEC",0,VLOOKUP($A7,[6]HISTOMARS23!$A$6:$BB$45,15,0))</f>
        <v>100000</v>
      </c>
      <c r="E7" s="7" t="str">
        <f>VLOOKUP($A7,[6]HISTOMARS23!$A$6:$BB$45,8,0)</f>
        <v>BANQUE</v>
      </c>
      <c r="F7" s="7">
        <f>VLOOKUP($A7,[6]HISTOMARS23!$A$6:$BB$45,37,0)</f>
        <v>0</v>
      </c>
      <c r="G7" s="7">
        <f>VLOOKUP($A7,[6]HISTOMARS23!$A$6:$BB$45,40,0)</f>
        <v>0</v>
      </c>
      <c r="H7" s="7" t="str">
        <f>IF(F7&lt;&gt;0,VLOOKUP($A7,[6]HISTOMARS23!$A$6:$BB$45,42,0),"ECHEC")</f>
        <v>ECHEC</v>
      </c>
      <c r="I7" s="7">
        <f>VLOOKUP($A7,[6]HISTOMARS23!$A$6:$BB$45,41,0)</f>
        <v>0</v>
      </c>
      <c r="J7" s="7">
        <f>TONTFEV23!F7+TONTFEV23!G7</f>
        <v>0</v>
      </c>
      <c r="K7" s="7">
        <f>VLOOKUP($A7,[6]HISTOMARS23!$A$6:$BB$45,18,0)</f>
        <v>0</v>
      </c>
      <c r="L7" s="7" t="str">
        <f>IF(K7&lt;&gt;0,VLOOKUP($A7,[6]HISTOMARS23!$A$6:$BB$45,42,0),"ECHEC")</f>
        <v>ECHEC</v>
      </c>
      <c r="M7" s="7">
        <f>IF(P7&lt;&gt;0,VLOOKUP($A7,[6]HISTOMARS23!$A$6:$BB$45,32,0),"ECHEC")</f>
        <v>0</v>
      </c>
      <c r="N7" s="7">
        <f>VLOOKUP($A7,[6]HISTOMARS23!$A$6:$BB$45,33,0)</f>
        <v>0</v>
      </c>
      <c r="O7" s="7">
        <f t="shared" si="0"/>
        <v>1190000</v>
      </c>
      <c r="P7" s="7">
        <f>VLOOKUP($A7,[6]HISTOMARS23!$A$6:$BB$45,31,0)</f>
        <v>10000</v>
      </c>
    </row>
    <row r="8" spans="1:16" x14ac:dyDescent="0.25">
      <c r="A8" s="1" t="s">
        <v>20</v>
      </c>
      <c r="B8" s="7">
        <f>IF(D8=0,0,VLOOKUP($A8,[6]HISTOMARS23!$A$6:$BQ$45,14,0))</f>
        <v>2</v>
      </c>
      <c r="C8" s="1" t="str">
        <f>VLOOKUP(A8,[7]LISTADHERENT!A$5:H$60,3,0)</f>
        <v>DJUOMBESSY ANTOINE</v>
      </c>
      <c r="D8" s="7">
        <f>IF(E8="ECHEC",0,VLOOKUP($A8,[6]HISTOMARS23!$A$6:$BB$45,15,0))</f>
        <v>200000</v>
      </c>
      <c r="E8" s="7" t="str">
        <f>VLOOKUP($A8,[6]HISTOMARS23!$A$6:$BB$45,8,0)</f>
        <v>BANQUE</v>
      </c>
      <c r="F8" s="7">
        <f>VLOOKUP($A8,[6]HISTOMARS23!$A$6:$BB$45,37,0)</f>
        <v>0</v>
      </c>
      <c r="G8" s="7">
        <f>VLOOKUP($A8,[6]HISTOMARS23!$A$6:$BB$45,40,0)</f>
        <v>0</v>
      </c>
      <c r="H8" s="7" t="str">
        <f>IF(F8&lt;&gt;0,VLOOKUP($A8,[6]HISTOMARS23!$A$6:$BB$45,42,0),"ECHEC")</f>
        <v>ECHEC</v>
      </c>
      <c r="I8" s="7">
        <f>VLOOKUP($A8,[6]HISTOMARS23!$A$6:$BB$45,41,0)</f>
        <v>0</v>
      </c>
      <c r="J8" s="7">
        <f>TONTFEV23!F8+TONTFEV23!G8</f>
        <v>0</v>
      </c>
      <c r="K8" s="7">
        <f>VLOOKUP($A8,[6]HISTOMARS23!$A$6:$BB$45,18,0)</f>
        <v>0</v>
      </c>
      <c r="L8" s="7" t="str">
        <f>IF(K8&lt;&gt;0,VLOOKUP($A8,[6]HISTOMARS23!$A$6:$BB$45,42,0),"ECHEC")</f>
        <v>ECHEC</v>
      </c>
      <c r="M8" s="7">
        <f>IF(P8&lt;&gt;0,VLOOKUP($A8,[6]HISTOMARS23!$A$6:$BB$45,32,0),"ECHEC")</f>
        <v>0</v>
      </c>
      <c r="N8" s="7">
        <f>VLOOKUP($A8,[6]HISTOMARS23!$A$6:$BB$45,33,0)</f>
        <v>0</v>
      </c>
      <c r="O8" s="7">
        <f t="shared" si="0"/>
        <v>1190000</v>
      </c>
      <c r="P8" s="7">
        <f>VLOOKUP($A8,[6]HISTOMARS23!$A$6:$BB$45,31,0)</f>
        <v>10000</v>
      </c>
    </row>
    <row r="9" spans="1:16" x14ac:dyDescent="0.25">
      <c r="A9" s="1" t="s">
        <v>21</v>
      </c>
      <c r="B9" s="7">
        <f>IF(D9=0,0,VLOOKUP($A9,[6]HISTOMARS23!$A$6:$BQ$45,14,0))</f>
        <v>1</v>
      </c>
      <c r="C9" s="1" t="str">
        <f>VLOOKUP(A9,[7]LISTADHERENT!A$5:H$60,3,0)</f>
        <v>HOTCHO BENJAMIN</v>
      </c>
      <c r="D9" s="7">
        <f>IF(E9="ECHEC",0,VLOOKUP($A9,[6]HISTOMARS23!$A$6:$BB$45,15,0))</f>
        <v>100000</v>
      </c>
      <c r="E9" s="7" t="str">
        <f>VLOOKUP($A9,[6]HISTOMARS23!$A$6:$BB$45,8,0)</f>
        <v>BANQUE</v>
      </c>
      <c r="F9" s="7">
        <f>VLOOKUP($A9,[6]HISTOMARS23!$A$6:$BB$45,37,0)</f>
        <v>164000</v>
      </c>
      <c r="G9" s="7">
        <f>VLOOKUP($A9,[6]HISTOMARS23!$A$6:$BB$45,40,0)</f>
        <v>1000</v>
      </c>
      <c r="H9" s="7">
        <f>IF(F9&lt;&gt;0,VLOOKUP($A9,[6]HISTOMARS23!$A$6:$BB$45,42,0),"ECHEC")</f>
        <v>0</v>
      </c>
      <c r="I9" s="7">
        <f>VLOOKUP($A9,[6]HISTOMARS23!$A$6:$BB$45,41,0)</f>
        <v>0</v>
      </c>
      <c r="J9" s="7">
        <f>TONTFEV23!F9+TONTFEV23!G9</f>
        <v>0</v>
      </c>
      <c r="K9" s="7">
        <f>VLOOKUP($A9,[6]HISTOMARS23!$A$6:$BB$45,18,0)</f>
        <v>0</v>
      </c>
      <c r="L9" s="7" t="str">
        <f>IF(K9&lt;&gt;0,VLOOKUP($A9,[6]HISTOMARS23!$A$6:$BB$45,42,0),"ECHEC")</f>
        <v>ECHEC</v>
      </c>
      <c r="M9" s="7" t="str">
        <f>IF(P9&lt;&gt;0,VLOOKUP($A9,[6]HISTOMARS23!$A$6:$BB$45,32,0),"ECHEC")</f>
        <v>ECHEC</v>
      </c>
      <c r="N9" s="7">
        <f>VLOOKUP($A9,[6]HISTOMARS23!$A$6:$BB$45,33,0)</f>
        <v>0</v>
      </c>
      <c r="O9" s="7">
        <f t="shared" si="0"/>
        <v>0</v>
      </c>
      <c r="P9" s="7">
        <f>VLOOKUP($A9,[6]HISTOMARS23!$A$6:$BB$45,31,0)</f>
        <v>0</v>
      </c>
    </row>
    <row r="10" spans="1:16" x14ac:dyDescent="0.25">
      <c r="A10" s="1" t="s">
        <v>27</v>
      </c>
      <c r="B10" s="7">
        <f>IF(D10=0,0,VLOOKUP($A10,[6]HISTOMARS23!$A$6:$BQ$45,14,0))</f>
        <v>1</v>
      </c>
      <c r="C10" s="1" t="str">
        <f>VLOOKUP(A10,[7]LISTADHERENT!A$5:H$60,3,0)</f>
        <v>KOUAMOU MOISE</v>
      </c>
      <c r="D10" s="7">
        <f>IF(E10="ECHEC",0,VLOOKUP($A10,[6]HISTOMARS23!$A$6:$BB$45,15,0))</f>
        <v>100000</v>
      </c>
      <c r="E10" s="7" t="str">
        <f>VLOOKUP($A10,[6]HISTOMARS23!$A$6:$BB$45,8,0)</f>
        <v>BANQUE</v>
      </c>
      <c r="F10" s="7">
        <f>VLOOKUP($A10,[6]HISTOMARS23!$A$6:$BB$45,37,0)</f>
        <v>200000</v>
      </c>
      <c r="G10" s="7">
        <f>VLOOKUP($A10,[6]HISTOMARS23!$A$6:$BB$45,40,0)</f>
        <v>2000</v>
      </c>
      <c r="H10" s="7">
        <f>IF(F10&lt;&gt;0,VLOOKUP($A10,[6]HISTOMARS23!$A$6:$BB$45,42,0),"ECHEC")</f>
        <v>0</v>
      </c>
      <c r="I10" s="7">
        <f>VLOOKUP($A10,[6]HISTOMARS23!$A$6:$BB$45,41,0)</f>
        <v>0</v>
      </c>
      <c r="J10" s="7">
        <f>TONTFEV23!F10+TONTFEV23!G10</f>
        <v>0</v>
      </c>
      <c r="K10" s="7">
        <f>VLOOKUP($A10,[6]HISTOMARS23!$A$6:$BB$45,18,0)</f>
        <v>0</v>
      </c>
      <c r="L10" s="7" t="str">
        <f>IF(K10&lt;&gt;0,VLOOKUP($A10,[6]HISTOMARS23!$A$6:$BB$45,42,0),"ECHEC")</f>
        <v>ECHEC</v>
      </c>
      <c r="M10" s="7" t="str">
        <f>IF(P10&lt;&gt;0,VLOOKUP($A10,[6]HISTOMARS23!$A$6:$BB$45,32,0),"ECHEC")</f>
        <v>ECHEC</v>
      </c>
      <c r="N10" s="7">
        <f>VLOOKUP($A10,[6]HISTOMARS23!$A$6:$BB$45,33,0)</f>
        <v>0</v>
      </c>
      <c r="O10" s="7">
        <f t="shared" si="0"/>
        <v>0</v>
      </c>
      <c r="P10" s="7">
        <f>VLOOKUP($A10,[6]HISTOMARS23!$A$6:$BB$45,31,0)</f>
        <v>0</v>
      </c>
    </row>
    <row r="11" spans="1:16" x14ac:dyDescent="0.25">
      <c r="A11" s="1" t="s">
        <v>8</v>
      </c>
      <c r="B11" s="7">
        <f>IF(D11=0,0,VLOOKUP($A11,[6]HISTOMARS23!$A$6:$BQ$45,14,0))</f>
        <v>1</v>
      </c>
      <c r="C11" s="1" t="str">
        <f>VLOOKUP(A11,[7]LISTADHERENT!A$5:H$60,3,0)</f>
        <v>KOUATCHO MESSACK</v>
      </c>
      <c r="D11" s="7">
        <f>IF(E11="ECHEC",0,VLOOKUP($A11,[6]HISTOMARS23!$A$6:$BB$45,15,0))</f>
        <v>100000</v>
      </c>
      <c r="E11" s="7" t="str">
        <f>VLOOKUP($A11,[6]HISTOMARS23!$A$6:$BB$45,8,0)</f>
        <v>BANQUE</v>
      </c>
      <c r="F11" s="7">
        <f>VLOOKUP($A11,[6]HISTOMARS23!$A$6:$BB$45,37,0)</f>
        <v>200000</v>
      </c>
      <c r="G11" s="7">
        <f>VLOOKUP($A11,[6]HISTOMARS23!$A$6:$BB$45,40,0)</f>
        <v>2000</v>
      </c>
      <c r="H11" s="7">
        <f>IF(F11&lt;&gt;0,VLOOKUP($A11,[6]HISTOMARS23!$A$6:$BB$45,42,0),"ECHEC")</f>
        <v>0</v>
      </c>
      <c r="I11" s="7">
        <f>VLOOKUP($A11,[6]HISTOMARS23!$A$6:$BB$45,41,0)</f>
        <v>0</v>
      </c>
      <c r="J11" s="7">
        <f>TONTFEV23!F11+TONTFEV23!G11</f>
        <v>0</v>
      </c>
      <c r="K11" s="7">
        <f>VLOOKUP($A11,[6]HISTOMARS23!$A$6:$BB$45,18,0)</f>
        <v>0</v>
      </c>
      <c r="L11" s="7" t="str">
        <f>IF(K11&lt;&gt;0,VLOOKUP($A11,[6]HISTOMARS23!$A$6:$BB$45,42,0),"ECHEC")</f>
        <v>ECHEC</v>
      </c>
      <c r="M11" s="7" t="str">
        <f>IF(P11&lt;&gt;0,VLOOKUP($A11,[6]HISTOMARS23!$A$6:$BB$45,32,0),"ECHEC")</f>
        <v>ECHEC</v>
      </c>
      <c r="N11" s="7">
        <f>VLOOKUP($A11,[6]HISTOMARS23!$A$6:$BB$45,33,0)</f>
        <v>0</v>
      </c>
      <c r="O11" s="7">
        <f t="shared" si="0"/>
        <v>0</v>
      </c>
      <c r="P11" s="7">
        <f>VLOOKUP($A11,[6]HISTOMARS23!$A$6:$BB$45,31,0)</f>
        <v>0</v>
      </c>
    </row>
    <row r="12" spans="1:16" x14ac:dyDescent="0.25">
      <c r="A12" s="1" t="s">
        <v>23</v>
      </c>
      <c r="B12" s="7">
        <f>IF(D12=0,0,VLOOKUP($A12,[6]HISTOMARS23!$A$6:$BQ$45,14,0))</f>
        <v>1</v>
      </c>
      <c r="C12" s="1" t="str">
        <f>VLOOKUP(A12,[7]LISTADHERENT!A$5:H$60,3,0)</f>
        <v>MBOGNING TUGMA GUY</v>
      </c>
      <c r="D12" s="7">
        <f>IF(E12="ECHEC",0,VLOOKUP($A12,[6]HISTOMARS23!$A$6:$BB$45,15,0))</f>
        <v>100000</v>
      </c>
      <c r="E12" s="7" t="str">
        <f>VLOOKUP($A12,[6]HISTOMARS23!$A$6:$BB$45,8,0)</f>
        <v>BANQUE</v>
      </c>
      <c r="F12" s="7">
        <f>VLOOKUP($A12,[6]HISTOMARS23!$A$6:$BB$45,37,0)</f>
        <v>200000</v>
      </c>
      <c r="G12" s="7">
        <f>VLOOKUP($A12,[6]HISTOMARS23!$A$6:$BB$45,40,0)</f>
        <v>2000</v>
      </c>
      <c r="H12" s="7">
        <f>IF(F12&lt;&gt;0,VLOOKUP($A12,[6]HISTOMARS23!$A$6:$BB$45,42,0),"ECHEC")</f>
        <v>0</v>
      </c>
      <c r="I12" s="7">
        <f>VLOOKUP($A12,[6]HISTOMARS23!$A$6:$BB$45,41,0)</f>
        <v>0</v>
      </c>
      <c r="J12" s="7">
        <f>TONTFEV23!F12+TONTFEV23!G12</f>
        <v>0</v>
      </c>
      <c r="K12" s="7">
        <f>VLOOKUP($A12,[6]HISTOMARS23!$A$6:$BB$45,18,0)</f>
        <v>0</v>
      </c>
      <c r="L12" s="7" t="str">
        <f>IF(K12&lt;&gt;0,VLOOKUP($A12,[6]HISTOMARS23!$A$6:$BB$45,42,0),"ECHEC")</f>
        <v>ECHEC</v>
      </c>
      <c r="M12" s="7" t="str">
        <f>IF(P12&lt;&gt;0,VLOOKUP($A12,[6]HISTOMARS23!$A$6:$BB$45,32,0),"ECHEC")</f>
        <v>ECHEC</v>
      </c>
      <c r="N12" s="7">
        <f>VLOOKUP($A12,[6]HISTOMARS23!$A$6:$BB$45,33,0)</f>
        <v>0</v>
      </c>
      <c r="O12" s="7">
        <f t="shared" si="0"/>
        <v>0</v>
      </c>
      <c r="P12" s="7">
        <f>VLOOKUP($A12,[6]HISTOMARS23!$A$6:$BB$45,31,0)</f>
        <v>0</v>
      </c>
    </row>
    <row r="13" spans="1:16" x14ac:dyDescent="0.25">
      <c r="A13" s="1" t="s">
        <v>9</v>
      </c>
      <c r="B13" s="7">
        <f>IF(D13=0,0,VLOOKUP($A13,[6]HISTOMARS23!$A$6:$BQ$45,14,0))</f>
        <v>2</v>
      </c>
      <c r="C13" s="1" t="str">
        <f>VLOOKUP(A13,[7]LISTADHERENT!A$5:H$60,3,0)</f>
        <v>NDJOMO ETIENNE</v>
      </c>
      <c r="D13" s="7">
        <f>IF(E13="ECHEC",0,VLOOKUP($A13,[6]HISTOMARS23!$A$6:$BB$45,15,0))</f>
        <v>200000</v>
      </c>
      <c r="E13" s="7" t="str">
        <f>VLOOKUP($A13,[6]HISTOMARS23!$A$6:$BB$45,8,0)</f>
        <v>BANQUE</v>
      </c>
      <c r="F13" s="7">
        <f>VLOOKUP($A13,[6]HISTOMARS23!$A$6:$BB$45,37,0)</f>
        <v>200000</v>
      </c>
      <c r="G13" s="7">
        <f>VLOOKUP($A13,[6]HISTOMARS23!$A$6:$BB$45,40,0)</f>
        <v>2000</v>
      </c>
      <c r="H13" s="7">
        <f>IF(F13&lt;&gt;0,VLOOKUP($A13,[6]HISTOMARS23!$A$6:$BB$45,42,0),"ECHEC")</f>
        <v>0</v>
      </c>
      <c r="I13" s="7">
        <f>VLOOKUP($A13,[6]HISTOMARS23!$A$6:$BB$45,41,0)</f>
        <v>0</v>
      </c>
      <c r="J13" s="7">
        <f>TONTFEV23!F13+TONTFEV23!G13</f>
        <v>0</v>
      </c>
      <c r="K13" s="7">
        <f>VLOOKUP($A13,[6]HISTOMARS23!$A$6:$BB$45,18,0)</f>
        <v>0</v>
      </c>
      <c r="L13" s="7" t="str">
        <f>IF(K13&lt;&gt;0,VLOOKUP($A13,[6]HISTOMARS23!$A$6:$BB$45,42,0),"ECHEC")</f>
        <v>ECHEC</v>
      </c>
      <c r="M13" s="7" t="str">
        <f>IF(P13&lt;&gt;0,VLOOKUP($A13,[6]HISTOMARS23!$A$6:$BB$45,32,0),"ECHEC")</f>
        <v>ECHEC</v>
      </c>
      <c r="N13" s="7">
        <f>VLOOKUP($A13,[6]HISTOMARS23!$A$6:$BB$45,33,0)</f>
        <v>0</v>
      </c>
      <c r="O13" s="7">
        <f t="shared" si="0"/>
        <v>0</v>
      </c>
      <c r="P13" s="7">
        <f>VLOOKUP($A13,[6]HISTOMARS23!$A$6:$BB$45,31,0)</f>
        <v>0</v>
      </c>
    </row>
    <row r="14" spans="1:16" x14ac:dyDescent="0.25">
      <c r="A14" s="1" t="s">
        <v>10</v>
      </c>
      <c r="B14" s="7">
        <f>IF(D14=0,0,VLOOKUP($A14,[6]HISTOMARS23!$A$6:$BQ$45,14,0))</f>
        <v>1</v>
      </c>
      <c r="C14" s="1" t="str">
        <f>VLOOKUP(A14,[7]LISTADHERENT!A$5:H$60,3,0)</f>
        <v>NGONDIEP CLAUDE</v>
      </c>
      <c r="D14" s="7">
        <f>IF(E14="ECHEC",0,VLOOKUP($A14,[6]HISTOMARS23!$A$6:$BB$45,15,0))</f>
        <v>100000</v>
      </c>
      <c r="E14" s="7" t="str">
        <f>VLOOKUP($A14,[6]HISTOMARS23!$A$6:$BB$45,8,0)</f>
        <v>ESPECES</v>
      </c>
      <c r="F14" s="7">
        <f>VLOOKUP($A14,[6]HISTOMARS23!$A$6:$BB$45,37,0)</f>
        <v>0</v>
      </c>
      <c r="G14" s="7">
        <f>VLOOKUP($A14,[6]HISTOMARS23!$A$6:$BB$45,40,0)</f>
        <v>0</v>
      </c>
      <c r="H14" s="7" t="str">
        <f>IF(F14&lt;&gt;0,VLOOKUP($A14,[6]HISTOMARS23!$A$6:$BB$45,42,0),"ECHEC")</f>
        <v>ECHEC</v>
      </c>
      <c r="I14" s="7">
        <f>VLOOKUP($A14,[6]HISTOMARS23!$A$6:$BB$45,41,0)</f>
        <v>0</v>
      </c>
      <c r="J14" s="7">
        <f>TONTFEV23!F14+TONTFEV23!G14</f>
        <v>0</v>
      </c>
      <c r="K14" s="7">
        <f>VLOOKUP($A14,[6]HISTOMARS23!$A$6:$BB$45,18,0)</f>
        <v>0</v>
      </c>
      <c r="L14" s="7" t="str">
        <f>IF(K14&lt;&gt;0,VLOOKUP($A14,[6]HISTOMARS23!$A$6:$BB$45,42,0),"ECHEC")</f>
        <v>ECHEC</v>
      </c>
      <c r="M14" s="7" t="str">
        <f>IF(P14&lt;&gt;0,VLOOKUP($A14,[6]HISTOMARS23!$A$6:$BB$45,32,0),"ECHEC")</f>
        <v>ECHEC</v>
      </c>
      <c r="N14" s="7">
        <f>VLOOKUP($A14,[6]HISTOMARS23!$A$6:$BB$45,33,0)</f>
        <v>0</v>
      </c>
      <c r="O14" s="7">
        <f t="shared" si="0"/>
        <v>0</v>
      </c>
      <c r="P14" s="7">
        <f>VLOOKUP($A14,[6]HISTOMARS23!$A$6:$BB$45,31,0)</f>
        <v>0</v>
      </c>
    </row>
    <row r="15" spans="1:16" x14ac:dyDescent="0.25">
      <c r="A15" s="1" t="s">
        <v>44</v>
      </c>
      <c r="B15" s="7">
        <f>IF(D15=0,0,VLOOKUP($A15,[6]HISTOMARS23!$A$6:$BQ$45,14,0))</f>
        <v>1</v>
      </c>
      <c r="C15" s="1" t="str">
        <f>VLOOKUP(A15,[7]LISTADHERENT!A$5:H$60,3,0)</f>
        <v>NGUIEMEGNI MATHIEU BLAISE</v>
      </c>
      <c r="D15" s="7">
        <f>IF(E15="ECHEC",0,VLOOKUP($A15,[6]HISTOMARS23!$A$6:$BB$45,15,0))</f>
        <v>100000</v>
      </c>
      <c r="E15" s="7" t="str">
        <f>VLOOKUP($A15,[6]HISTOMARS23!$A$6:$BB$45,8,0)</f>
        <v>BANQUE</v>
      </c>
      <c r="F15" s="7">
        <f>VLOOKUP($A15,[6]HISTOMARS23!$A$6:$BB$45,37,0)</f>
        <v>0</v>
      </c>
      <c r="G15" s="7">
        <f>VLOOKUP($A15,[6]HISTOMARS23!$A$6:$BB$45,40,0)</f>
        <v>0</v>
      </c>
      <c r="H15" s="7" t="str">
        <f>IF(F15&lt;&gt;0,VLOOKUP($A15,[6]HISTOMARS23!$A$6:$BB$45,42,0),"ECHEC")</f>
        <v>ECHEC</v>
      </c>
      <c r="I15" s="7">
        <f>VLOOKUP($A15,[6]HISTOMARS23!$A$6:$BB$45,41,0)</f>
        <v>0</v>
      </c>
      <c r="J15" s="7">
        <f>TONTFEV23!F15+TONTFEV23!G15</f>
        <v>0</v>
      </c>
      <c r="K15" s="7">
        <f>VLOOKUP($A15,[6]HISTOMARS23!$A$6:$BB$45,18,0)</f>
        <v>0</v>
      </c>
      <c r="L15" s="7" t="str">
        <f>IF(K15&lt;&gt;0,VLOOKUP($A15,[6]HISTOMARS23!$A$6:$BB$45,42,0),"ECHEC")</f>
        <v>ECHEC</v>
      </c>
      <c r="M15" s="7" t="str">
        <f>IF(P15&lt;&gt;0,VLOOKUP($A15,[6]HISTOMARS23!$A$6:$BB$45,32,0),"ECHEC")</f>
        <v>ECHEC</v>
      </c>
      <c r="N15" s="7">
        <f>VLOOKUP($A15,[6]HISTOMARS23!$A$6:$BB$45,33,0)</f>
        <v>0</v>
      </c>
      <c r="O15" s="7">
        <f t="shared" si="0"/>
        <v>0</v>
      </c>
      <c r="P15" s="7">
        <f>VLOOKUP($A15,[6]HISTOMARS23!$A$6:$BB$45,31,0)</f>
        <v>0</v>
      </c>
    </row>
    <row r="16" spans="1:16" x14ac:dyDescent="0.25">
      <c r="A16" s="1" t="s">
        <v>47</v>
      </c>
      <c r="B16" s="7">
        <f>IF(D16=0,0,VLOOKUP($A16,[6]HISTOMARS23!$A$6:$BQ$45,14,0))</f>
        <v>1</v>
      </c>
      <c r="C16" s="1" t="str">
        <f>VLOOKUP(A16,[7]LISTADHERENT!A$5:H$60,3,0)</f>
        <v>SIMO PIERRE</v>
      </c>
      <c r="D16" s="7">
        <f>IF(E16="ECHEC",0,VLOOKUP($A16,[6]HISTOMARS23!$A$6:$BB$45,15,0))</f>
        <v>100000</v>
      </c>
      <c r="E16" s="7" t="str">
        <f>VLOOKUP($A16,[6]HISTOMARS23!$A$6:$BB$45,8,0)</f>
        <v>BANQUE</v>
      </c>
      <c r="F16" s="7">
        <f>VLOOKUP($A16,[6]HISTOMARS23!$A$6:$BB$45,37,0)</f>
        <v>0</v>
      </c>
      <c r="G16" s="7">
        <f>VLOOKUP($A16,[6]HISTOMARS23!$A$6:$BB$45,40,0)</f>
        <v>0</v>
      </c>
      <c r="H16" s="7" t="str">
        <f>IF(F16&lt;&gt;0,VLOOKUP($A16,[6]HISTOMARS23!$A$6:$BB$45,42,0),"ECHEC")</f>
        <v>ECHEC</v>
      </c>
      <c r="I16" s="7">
        <f>VLOOKUP($A16,[6]HISTOMARS23!$A$6:$BB$45,41,0)</f>
        <v>0</v>
      </c>
      <c r="J16" s="7">
        <f>TONTFEV23!F16+TONTFEV23!G16</f>
        <v>0</v>
      </c>
      <c r="K16" s="7">
        <f>VLOOKUP($A16,[6]HISTOMARS23!$A$6:$BB$45,18,0)</f>
        <v>0</v>
      </c>
      <c r="L16" s="7" t="str">
        <f>IF(K16&lt;&gt;0,VLOOKUP($A16,[6]HISTOMARS23!$A$6:$BB$45,42,0),"ECHEC")</f>
        <v>ECHEC</v>
      </c>
      <c r="M16" s="7" t="str">
        <f>IF(P16&lt;&gt;0,VLOOKUP($A16,[6]HISTOMARS23!$A$6:$BB$45,32,0),"ECHEC")</f>
        <v>ECHEC</v>
      </c>
      <c r="N16" s="7">
        <f>VLOOKUP($A16,[6]HISTOMARS23!$A$6:$BB$45,33,0)</f>
        <v>0</v>
      </c>
      <c r="O16" s="7">
        <f t="shared" si="0"/>
        <v>0</v>
      </c>
      <c r="P16" s="7">
        <f>VLOOKUP($A16,[6]HISTOMARS23!$A$6:$BB$45,31,0)</f>
        <v>0</v>
      </c>
    </row>
    <row r="17" spans="1:16" x14ac:dyDescent="0.25">
      <c r="A17" s="1" t="s">
        <v>22</v>
      </c>
      <c r="B17" s="7">
        <f>IF(D17=0,0,VLOOKUP($A17,[6]HISTOMARS23!$A$6:$BQ$45,14,0))</f>
        <v>1</v>
      </c>
      <c r="C17" s="1" t="str">
        <f>VLOOKUP(A17,[7]LISTADHERENT!A$5:H$60,3,0)</f>
        <v>YOUMBI EMMANUEL</v>
      </c>
      <c r="D17" s="7">
        <f>IF(E17="ECHEC",0,VLOOKUP($A17,[6]HISTOMARS23!$A$6:$BB$45,15,0))</f>
        <v>100000</v>
      </c>
      <c r="E17" s="7" t="str">
        <f>VLOOKUP($A17,[6]HISTOMARS23!$A$6:$BB$45,8,0)</f>
        <v>BANQUE</v>
      </c>
      <c r="F17" s="7">
        <f>VLOOKUP($A17,[6]HISTOMARS23!$A$6:$BB$45,37,0)</f>
        <v>0</v>
      </c>
      <c r="G17" s="7">
        <f>VLOOKUP($A17,[6]HISTOMARS23!$A$6:$BB$45,40,0)</f>
        <v>0</v>
      </c>
      <c r="H17" s="7" t="str">
        <f>IF(F17&lt;&gt;0,VLOOKUP($A17,[6]HISTOMARS23!$A$6:$BB$45,42,0),"ECHEC")</f>
        <v>ECHEC</v>
      </c>
      <c r="I17" s="7">
        <f>VLOOKUP($A17,[6]HISTOMARS23!$A$6:$BB$45,41,0)</f>
        <v>0</v>
      </c>
      <c r="J17" s="7">
        <f>TONTFEV23!F17+TONTFEV23!G17</f>
        <v>0</v>
      </c>
      <c r="K17" s="7">
        <f>VLOOKUP($A17,[6]HISTOMARS23!$A$6:$BB$45,18,0)</f>
        <v>0</v>
      </c>
      <c r="L17" s="7" t="str">
        <f>IF(K17&lt;&gt;0,VLOOKUP($A17,[6]HISTOMARS23!$A$6:$BB$45,42,0),"ECHEC")</f>
        <v>ECHEC</v>
      </c>
      <c r="M17" s="7" t="str">
        <f>IF(P17&lt;&gt;0,VLOOKUP($A17,[6]HISTOMARS23!$A$6:$BB$45,32,0),"ECHEC")</f>
        <v>ECHEC</v>
      </c>
      <c r="N17" s="7">
        <f>VLOOKUP($A17,[6]HISTOMARS23!$A$6:$BB$45,33,0)</f>
        <v>0</v>
      </c>
      <c r="O17" s="7">
        <f t="shared" si="0"/>
        <v>0</v>
      </c>
      <c r="P17" s="7">
        <f>VLOOKUP($A17,[6]HISTOMARS23!$A$6:$BB$45,31,0)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964000</v>
      </c>
      <c r="G20" s="8">
        <f>SUM(G6:G18)</f>
        <v>9000</v>
      </c>
      <c r="H20" s="8"/>
      <c r="I20" s="8">
        <f>SUM(I6:I18)</f>
        <v>0</v>
      </c>
      <c r="J20" s="8">
        <f>SUM(J6:J18)</f>
        <v>0</v>
      </c>
      <c r="K20" s="8">
        <f>SUM(K6:K18)</f>
        <v>0</v>
      </c>
      <c r="L20" s="8"/>
      <c r="M20" s="8"/>
      <c r="N20" s="8">
        <f>SUM(N6:N18)</f>
        <v>0</v>
      </c>
      <c r="O20" s="8">
        <f>SUM(O6:O18)</f>
        <v>2380000</v>
      </c>
      <c r="P20" s="8">
        <f>SUM(P6:P18)</f>
        <v>20000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D26+E26+P20+TONTFEV23!N27</f>
        <v>3464000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100000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100000</v>
      </c>
      <c r="I23" s="8"/>
      <c r="K23" s="8" t="s">
        <v>35</v>
      </c>
      <c r="L23" s="8">
        <f>C3*COUNTIF(O6:O18,"&gt;0")</f>
        <v>2400000</v>
      </c>
      <c r="M23" s="8">
        <f>D3</f>
        <v>2</v>
      </c>
      <c r="N23" s="8">
        <f>COUNTIF(O8:O17,"&gt;0")</f>
        <v>1</v>
      </c>
      <c r="O23" s="8"/>
    </row>
    <row r="24" spans="1:16" s="2" customFormat="1" ht="18" x14ac:dyDescent="0.25">
      <c r="C24" s="8" t="s">
        <v>7</v>
      </c>
      <c r="D24" s="8">
        <f>SUMIFS(D6:D18,E6:E18,"BANQUE")+1200000</f>
        <v>2500000</v>
      </c>
      <c r="E24" s="8">
        <f>SUMIFS(K6:K18,L6:L18,"BANQUE")</f>
        <v>0</v>
      </c>
      <c r="F24" s="8">
        <f>SUMIFS(F6:F18,H6:H18,"BANQUE")</f>
        <v>0</v>
      </c>
      <c r="G24" s="8">
        <f>SUMIFS(O6:O18,M6:M18,"BANQUE")</f>
        <v>0</v>
      </c>
      <c r="H24" s="8">
        <f>D24+E24-F24-G24</f>
        <v>2500000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1064000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2600000</v>
      </c>
      <c r="E26" s="8">
        <f>E23+E24</f>
        <v>0</v>
      </c>
      <c r="F26" s="8">
        <f>F23+F24</f>
        <v>0</v>
      </c>
      <c r="G26" s="8">
        <f t="shared" ref="G26:H26" si="1">G23+G24</f>
        <v>0</v>
      </c>
      <c r="H26" s="8">
        <f t="shared" si="1"/>
        <v>2600000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100000</v>
      </c>
      <c r="M27"/>
      <c r="N27" s="8">
        <f>TONTMARS23!L27</f>
        <v>100000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TONTFEV23!N29+TONTMARS23!L29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TONTFEV23!N30+TONTMARS23!L30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F6" activePane="bottomRight" state="frozen"/>
      <selection activeCell="J14" sqref="J14"/>
      <selection pane="topRight" activeCell="J14" sqref="J14"/>
      <selection pane="bottomLeft" activeCell="J14" sqref="J14"/>
      <selection pane="bottomRight" activeCell="L22" sqref="L22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2</v>
      </c>
      <c r="E3" s="1"/>
      <c r="L3" s="1"/>
      <c r="M3" s="1"/>
    </row>
    <row r="4" spans="1:16" s="12" customFormat="1" ht="18" x14ac:dyDescent="0.25">
      <c r="B4" s="13"/>
      <c r="C4" s="20">
        <v>45029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IF(D6=0,0,VLOOKUP($A6,[6]HISTOAVRIL23!$A$6:$BQ$45,14,0))</f>
        <v>1</v>
      </c>
      <c r="C6" s="1" t="str">
        <f>VLOOKUP(A6,[7]LISTADHERENT!A$5:H$60,3,0)</f>
        <v>ASELBY</v>
      </c>
      <c r="D6" s="7">
        <f>IF(E6="ECHEC",0,VLOOKUP($A6,[6]HISTOAVRIL23!$A$6:$BB$45,15,0))</f>
        <v>100000</v>
      </c>
      <c r="E6" s="7" t="str">
        <f>VLOOKUP($A6,[6]HISTOAVRIL23!$A$6:$BB$45,8,0)</f>
        <v>BANQUE</v>
      </c>
      <c r="F6" s="7">
        <f>VLOOKUP($A6,[6]HISTOAVRIL23!$A$6:$BB$45,37,0)</f>
        <v>0</v>
      </c>
      <c r="G6" s="7">
        <f>VLOOKUP($A6,[6]HISTOAVRIL23!$A$6:$BB$45,40,0)</f>
        <v>0</v>
      </c>
      <c r="H6" s="7" t="str">
        <f>IF(F6&lt;&gt;0,VLOOKUP($A6,[6]HISTOAVRIL23!$A$6:$BB$45,42,0),"ECHEC")</f>
        <v>ECHEC</v>
      </c>
      <c r="I6" s="7">
        <f>VLOOKUP($A6,[6]HISTOAVRIL23!$A$6:$BB$45,41,0)</f>
        <v>0</v>
      </c>
      <c r="J6" s="7">
        <f>TONTMARS23!F6+TONTMARS23!G6</f>
        <v>0</v>
      </c>
      <c r="K6" s="7">
        <f>VLOOKUP($A6,[6]HISTOAVRIL23!$A$6:$BB$45,18,0)</f>
        <v>0</v>
      </c>
      <c r="L6" s="7" t="str">
        <f>IF(K6&lt;&gt;0,VLOOKUP($A6,[6]HISTOAVRIL23!$A$6:$BB$45,42,0),"ECHEC")</f>
        <v>ECHEC</v>
      </c>
      <c r="M6" s="7" t="str">
        <f>IF(P6&lt;&gt;0,VLOOKUP($A6,[6]HISTOAVRIL23!$A$6:$BB$45,32,0),"ECHEC")</f>
        <v>ECHEC</v>
      </c>
      <c r="N6" s="7">
        <f>VLOOKUP($A6,[6]HISTOAVRIL23!$A$6:$BB$45,33,0)</f>
        <v>0</v>
      </c>
      <c r="O6" s="7">
        <f t="shared" ref="O6:O17" si="0">IF(P6=0,0,($C$3-P6))</f>
        <v>0</v>
      </c>
      <c r="P6" s="7">
        <f>VLOOKUP($A6,[6]HISTOAVRIL23!$A$6:$BB$45,31,0)</f>
        <v>0</v>
      </c>
    </row>
    <row r="7" spans="1:16" x14ac:dyDescent="0.25">
      <c r="A7" s="1" t="s">
        <v>48</v>
      </c>
      <c r="B7" s="7">
        <f>IF(D7=0,0,VLOOKUP($A7,[6]HISTOAVRIL23!$A$6:$BQ$45,14,0))</f>
        <v>1</v>
      </c>
      <c r="C7" s="1" t="str">
        <f>VLOOKUP(A7,[7]LISTADHERENT!A$5:H$60,3,0)</f>
        <v xml:space="preserve">DJOMO JEAN PAUL </v>
      </c>
      <c r="D7" s="7">
        <f>IF(E7="ECHEC",0,VLOOKUP($A7,[6]HISTOAVRIL23!$A$6:$BB$45,15,0))</f>
        <v>100000</v>
      </c>
      <c r="E7" s="7" t="str">
        <f>VLOOKUP($A7,[6]HISTOAVRIL23!$A$6:$BB$45,8,0)</f>
        <v>BANQUE</v>
      </c>
      <c r="F7" s="7">
        <f>VLOOKUP($A7,[6]HISTOAVRIL23!$A$6:$BB$45,37,0)</f>
        <v>0</v>
      </c>
      <c r="G7" s="7">
        <f>VLOOKUP($A7,[6]HISTOAVRIL23!$A$6:$BB$45,40,0)</f>
        <v>0</v>
      </c>
      <c r="H7" s="7" t="str">
        <f>IF(F7&lt;&gt;0,VLOOKUP($A7,[6]HISTOAVRIL23!$A$6:$BB$45,42,0),"ECHEC")</f>
        <v>ECHEC</v>
      </c>
      <c r="I7" s="7">
        <f>VLOOKUP($A7,[6]HISTOAVRIL23!$A$6:$BB$45,41,0)</f>
        <v>0</v>
      </c>
      <c r="J7" s="7">
        <f>TONTMARS23!F7+TONTMARS23!G7</f>
        <v>0</v>
      </c>
      <c r="K7" s="7">
        <f>VLOOKUP($A7,[6]HISTOAVRIL23!$A$6:$BB$45,18,0)</f>
        <v>0</v>
      </c>
      <c r="L7" s="7" t="str">
        <f>IF(K7&lt;&gt;0,VLOOKUP($A7,[6]HISTOAVRIL23!$A$6:$BB$45,42,0),"ECHEC")</f>
        <v>ECHEC</v>
      </c>
      <c r="M7" s="7" t="str">
        <f>IF(P7&lt;&gt;0,VLOOKUP($A7,[6]HISTOAVRIL23!$A$6:$BB$45,32,0),"ECHEC")</f>
        <v>ECHEC</v>
      </c>
      <c r="N7" s="7">
        <f>VLOOKUP($A7,[6]HISTOAVRIL23!$A$6:$BB$45,33,0)</f>
        <v>0</v>
      </c>
      <c r="O7" s="7">
        <f t="shared" si="0"/>
        <v>0</v>
      </c>
      <c r="P7" s="7">
        <f>VLOOKUP($A7,[6]HISTOAVRIL23!$A$6:$BB$45,31,0)</f>
        <v>0</v>
      </c>
    </row>
    <row r="8" spans="1:16" x14ac:dyDescent="0.25">
      <c r="A8" s="1" t="s">
        <v>20</v>
      </c>
      <c r="B8" s="7">
        <f>IF(D8=0,0,VLOOKUP($A8,[6]HISTOAVRIL23!$A$6:$BQ$45,14,0))</f>
        <v>2</v>
      </c>
      <c r="C8" s="1" t="str">
        <f>VLOOKUP(A8,[7]LISTADHERENT!A$5:H$60,3,0)</f>
        <v>DJUOMBESSY ANTOINE</v>
      </c>
      <c r="D8" s="7">
        <f>IF(E8="ECHEC",0,VLOOKUP($A8,[6]HISTOAVRIL23!$A$6:$BB$45,15,0))</f>
        <v>200000</v>
      </c>
      <c r="E8" s="7" t="str">
        <f>VLOOKUP($A8,[6]HISTOAVRIL23!$A$6:$BB$45,8,0)</f>
        <v>BANQUE</v>
      </c>
      <c r="F8" s="7">
        <f>VLOOKUP($A8,[6]HISTOAVRIL23!$A$6:$BB$45,37,0)</f>
        <v>0</v>
      </c>
      <c r="G8" s="7">
        <f>VLOOKUP($A8,[6]HISTOAVRIL23!$A$6:$BB$45,40,0)</f>
        <v>0</v>
      </c>
      <c r="H8" s="7" t="str">
        <f>IF(F8&lt;&gt;0,VLOOKUP($A8,[6]HISTOAVRIL23!$A$6:$BB$45,42,0),"ECHEC")</f>
        <v>ECHEC</v>
      </c>
      <c r="I8" s="7">
        <f>VLOOKUP($A8,[6]HISTOAVRIL23!$A$6:$BB$45,41,0)</f>
        <v>0</v>
      </c>
      <c r="J8" s="7">
        <f>TONTMARS23!F8+TONTMARS23!G8</f>
        <v>0</v>
      </c>
      <c r="K8" s="7">
        <f>VLOOKUP($A8,[6]HISTOAVRIL23!$A$6:$BB$45,18,0)</f>
        <v>0</v>
      </c>
      <c r="L8" s="7" t="str">
        <f>IF(K8&lt;&gt;0,VLOOKUP($A8,[6]HISTOAVRIL23!$A$6:$BB$45,42,0),"ECHEC")</f>
        <v>ECHEC</v>
      </c>
      <c r="M8" s="7" t="str">
        <f>IF(P8&lt;&gt;0,VLOOKUP($A8,[6]HISTOAVRIL23!$A$6:$BB$45,32,0),"ECHEC")</f>
        <v>ECHEC</v>
      </c>
      <c r="N8" s="7">
        <f>VLOOKUP($A8,[6]HISTOAVRIL23!$A$6:$BB$45,33,0)</f>
        <v>0</v>
      </c>
      <c r="O8" s="7">
        <f t="shared" si="0"/>
        <v>0</v>
      </c>
      <c r="P8" s="7">
        <f>VLOOKUP($A8,[6]HISTOAVRIL23!$A$6:$BB$45,31,0)</f>
        <v>0</v>
      </c>
    </row>
    <row r="9" spans="1:16" x14ac:dyDescent="0.25">
      <c r="A9" s="1" t="s">
        <v>21</v>
      </c>
      <c r="B9" s="7">
        <f>IF(D9=0,0,VLOOKUP($A9,[6]HISTOAVRIL23!$A$6:$BQ$45,14,0))</f>
        <v>1</v>
      </c>
      <c r="C9" s="1" t="str">
        <f>VLOOKUP(A9,[7]LISTADHERENT!A$5:H$60,3,0)</f>
        <v>HOTCHO BENJAMIN</v>
      </c>
      <c r="D9" s="7">
        <f>IF(E9="ECHEC",0,VLOOKUP($A9,[6]HISTOAVRIL23!$A$6:$BB$45,15,0))</f>
        <v>100000</v>
      </c>
      <c r="E9" s="7" t="str">
        <f>VLOOKUP($A9,[6]HISTOAVRIL23!$A$6:$BB$45,8,0)</f>
        <v>BANQUE</v>
      </c>
      <c r="F9" s="7">
        <f>VLOOKUP($A9,[6]HISTOAVRIL23!$A$6:$BB$45,37,0)</f>
        <v>0</v>
      </c>
      <c r="G9" s="7">
        <f>VLOOKUP($A9,[6]HISTOAVRIL23!$A$6:$BB$45,40,0)</f>
        <v>0</v>
      </c>
      <c r="H9" s="7" t="str">
        <f>IF(F9&lt;&gt;0,VLOOKUP($A9,[6]HISTOAVRIL23!$A$6:$BB$45,42,0),"ECHEC")</f>
        <v>ECHEC</v>
      </c>
      <c r="I9" s="7">
        <f>VLOOKUP($A9,[6]HISTOAVRIL23!$A$6:$BB$45,41,0)</f>
        <v>0</v>
      </c>
      <c r="J9" s="7">
        <f>TONTMARS23!F9+TONTMARS23!G9</f>
        <v>165000</v>
      </c>
      <c r="K9" s="7">
        <f>VLOOKUP($A9,[6]HISTOAVRIL23!$A$6:$BB$45,18,0)</f>
        <v>165000</v>
      </c>
      <c r="L9" s="7" t="str">
        <f>IF(K9&lt;&gt;0,VLOOKUP($A9,[6]HISTOAVRIL23!$A$6:$BB$45,42,0),"ECHEC")</f>
        <v>BANQUE</v>
      </c>
      <c r="M9" s="7" t="str">
        <f>IF(P9&lt;&gt;0,VLOOKUP($A9,[6]HISTOAVRIL23!$A$6:$BB$45,32,0),"ECHEC")</f>
        <v>ECHEC</v>
      </c>
      <c r="N9" s="7">
        <f>VLOOKUP($A9,[6]HISTOAVRIL23!$A$6:$BB$45,33,0)</f>
        <v>0</v>
      </c>
      <c r="O9" s="7">
        <f t="shared" si="0"/>
        <v>0</v>
      </c>
      <c r="P9" s="7">
        <f>VLOOKUP($A9,[6]HISTOAVRIL23!$A$6:$BB$45,31,0)</f>
        <v>0</v>
      </c>
    </row>
    <row r="10" spans="1:16" x14ac:dyDescent="0.25">
      <c r="A10" s="1" t="s">
        <v>27</v>
      </c>
      <c r="B10" s="7">
        <f>IF(D10=0,0,VLOOKUP($A10,[6]HISTOAVRIL23!$A$6:$BQ$45,14,0))</f>
        <v>1</v>
      </c>
      <c r="C10" s="1" t="str">
        <f>VLOOKUP(A10,[7]LISTADHERENT!A$5:H$60,3,0)</f>
        <v>KOUAMOU MOISE</v>
      </c>
      <c r="D10" s="7">
        <f>IF(E10="ECHEC",0,VLOOKUP($A10,[6]HISTOAVRIL23!$A$6:$BB$45,15,0))</f>
        <v>100000</v>
      </c>
      <c r="E10" s="7" t="str">
        <f>VLOOKUP($A10,[6]HISTOAVRIL23!$A$6:$BB$45,8,0)</f>
        <v>BANQUE</v>
      </c>
      <c r="F10" s="7">
        <f>VLOOKUP($A10,[6]HISTOAVRIL23!$A$6:$BB$45,37,0)</f>
        <v>0</v>
      </c>
      <c r="G10" s="7">
        <f>VLOOKUP($A10,[6]HISTOAVRIL23!$A$6:$BB$45,40,0)</f>
        <v>0</v>
      </c>
      <c r="H10" s="7" t="str">
        <f>IF(F10&lt;&gt;0,VLOOKUP($A10,[6]HISTOAVRIL23!$A$6:$BB$45,42,0),"ECHEC")</f>
        <v>ECHEC</v>
      </c>
      <c r="I10" s="7">
        <f>VLOOKUP($A10,[6]HISTOAVRIL23!$A$6:$BB$45,41,0)</f>
        <v>0</v>
      </c>
      <c r="J10" s="7">
        <f>TONTMARS23!F10+TONTMARS23!G10</f>
        <v>202000</v>
      </c>
      <c r="K10" s="7">
        <f>VLOOKUP($A10,[6]HISTOAVRIL23!$A$6:$BB$45,18,0)</f>
        <v>202000</v>
      </c>
      <c r="L10" s="7" t="str">
        <f>IF(K10&lt;&gt;0,VLOOKUP($A10,[6]HISTOAVRIL23!$A$6:$BB$45,42,0),"ECHEC")</f>
        <v>BANQUE</v>
      </c>
      <c r="M10" s="7" t="str">
        <f>IF(P10&lt;&gt;0,VLOOKUP($A10,[6]HISTOAVRIL23!$A$6:$BB$45,32,0),"ECHEC")</f>
        <v>ECHEC</v>
      </c>
      <c r="N10" s="7">
        <f>VLOOKUP($A10,[6]HISTOAVRIL23!$A$6:$BB$45,33,0)</f>
        <v>0</v>
      </c>
      <c r="O10" s="7">
        <f t="shared" si="0"/>
        <v>0</v>
      </c>
      <c r="P10" s="7">
        <f>VLOOKUP($A10,[6]HISTOAVRIL23!$A$6:$BB$45,31,0)</f>
        <v>0</v>
      </c>
    </row>
    <row r="11" spans="1:16" x14ac:dyDescent="0.25">
      <c r="A11" s="1" t="s">
        <v>8</v>
      </c>
      <c r="B11" s="7">
        <f>IF(D11=0,0,VLOOKUP($A11,[6]HISTOAVRIL23!$A$6:$BQ$45,14,0))</f>
        <v>1</v>
      </c>
      <c r="C11" s="1" t="str">
        <f>VLOOKUP(A11,[7]LISTADHERENT!A$5:H$60,3,0)</f>
        <v>KOUATCHO MESSACK</v>
      </c>
      <c r="D11" s="7">
        <f>IF(E11="ECHEC",0,VLOOKUP($A11,[6]HISTOAVRIL23!$A$6:$BB$45,15,0))</f>
        <v>100000</v>
      </c>
      <c r="E11" s="7" t="str">
        <f>VLOOKUP($A11,[6]HISTOAVRIL23!$A$6:$BB$45,8,0)</f>
        <v>BANQUE</v>
      </c>
      <c r="F11" s="7">
        <f>VLOOKUP($A11,[6]HISTOAVRIL23!$A$6:$BB$45,37,0)</f>
        <v>0</v>
      </c>
      <c r="G11" s="7">
        <f>VLOOKUP($A11,[6]HISTOAVRIL23!$A$6:$BB$45,40,0)</f>
        <v>0</v>
      </c>
      <c r="H11" s="7" t="str">
        <f>IF(F11&lt;&gt;0,VLOOKUP($A11,[6]HISTOAVRIL23!$A$6:$BB$45,42,0),"ECHEC")</f>
        <v>ECHEC</v>
      </c>
      <c r="I11" s="7">
        <f>VLOOKUP($A11,[6]HISTOAVRIL23!$A$6:$BB$45,41,0)</f>
        <v>0</v>
      </c>
      <c r="J11" s="7">
        <f>TONTMARS23!F11+TONTMARS23!G11</f>
        <v>202000</v>
      </c>
      <c r="K11" s="7">
        <f>VLOOKUP($A11,[6]HISTOAVRIL23!$A$6:$BB$45,18,0)</f>
        <v>202000</v>
      </c>
      <c r="L11" s="7" t="str">
        <f>IF(K11&lt;&gt;0,VLOOKUP($A11,[6]HISTOAVRIL23!$A$6:$BB$45,42,0),"ECHEC")</f>
        <v>BANQUE</v>
      </c>
      <c r="M11" s="7" t="str">
        <f>IF(P11&lt;&gt;0,VLOOKUP($A11,[6]HISTOAVRIL23!$A$6:$BB$45,32,0),"ECHEC")</f>
        <v>ECHEC</v>
      </c>
      <c r="N11" s="7">
        <f>VLOOKUP($A11,[6]HISTOAVRIL23!$A$6:$BB$45,33,0)</f>
        <v>0</v>
      </c>
      <c r="O11" s="7">
        <f t="shared" si="0"/>
        <v>0</v>
      </c>
      <c r="P11" s="7">
        <f>VLOOKUP($A11,[6]HISTOAVRIL23!$A$6:$BB$45,31,0)</f>
        <v>0</v>
      </c>
    </row>
    <row r="12" spans="1:16" x14ac:dyDescent="0.25">
      <c r="A12" s="1" t="s">
        <v>23</v>
      </c>
      <c r="B12" s="7">
        <f>IF(D12=0,0,VLOOKUP($A12,[6]HISTOAVRIL23!$A$6:$BQ$45,14,0))</f>
        <v>1</v>
      </c>
      <c r="C12" s="1" t="str">
        <f>VLOOKUP(A12,[7]LISTADHERENT!A$5:H$60,3,0)</f>
        <v>MBOGNING TUGMA GUY</v>
      </c>
      <c r="D12" s="7">
        <f>IF(E12="ECHEC",0,VLOOKUP($A12,[6]HISTOAVRIL23!$A$6:$BB$45,15,0))</f>
        <v>100000</v>
      </c>
      <c r="E12" s="7" t="str">
        <f>VLOOKUP($A12,[6]HISTOAVRIL23!$A$6:$BB$45,8,0)</f>
        <v>BANQUE</v>
      </c>
      <c r="F12" s="7">
        <f>VLOOKUP($A12,[6]HISTOAVRIL23!$A$6:$BB$45,37,0)</f>
        <v>0</v>
      </c>
      <c r="G12" s="7">
        <f>VLOOKUP($A12,[6]HISTOAVRIL23!$A$6:$BB$45,40,0)</f>
        <v>0</v>
      </c>
      <c r="H12" s="7" t="str">
        <f>IF(F12&lt;&gt;0,VLOOKUP($A12,[6]HISTOAVRIL23!$A$6:$BB$45,42,0),"ECHEC")</f>
        <v>ECHEC</v>
      </c>
      <c r="I12" s="7">
        <f>VLOOKUP($A12,[6]HISTOAVRIL23!$A$6:$BB$45,41,0)</f>
        <v>0</v>
      </c>
      <c r="J12" s="7">
        <f>TONTMARS23!F12+TONTMARS23!G12</f>
        <v>202000</v>
      </c>
      <c r="K12" s="7">
        <f>VLOOKUP($A12,[6]HISTOAVRIL23!$A$6:$BB$45,18,0)</f>
        <v>202000</v>
      </c>
      <c r="L12" s="7" t="str">
        <f>IF(K12&lt;&gt;0,VLOOKUP($A12,[6]HISTOAVRIL23!$A$6:$BB$45,42,0),"ECHEC")</f>
        <v>BANQUE</v>
      </c>
      <c r="M12" s="7" t="str">
        <f>IF(P12&lt;&gt;0,VLOOKUP($A12,[6]HISTOAVRIL23!$A$6:$BB$45,32,0),"ECHEC")</f>
        <v>ECHEC</v>
      </c>
      <c r="N12" s="7">
        <f>VLOOKUP($A12,[6]HISTOAVRIL23!$A$6:$BB$45,33,0)</f>
        <v>0</v>
      </c>
      <c r="O12" s="7">
        <f t="shared" si="0"/>
        <v>0</v>
      </c>
      <c r="P12" s="7">
        <f>VLOOKUP($A12,[6]HISTOAVRIL23!$A$6:$BB$45,31,0)</f>
        <v>0</v>
      </c>
    </row>
    <row r="13" spans="1:16" x14ac:dyDescent="0.25">
      <c r="A13" s="1" t="s">
        <v>9</v>
      </c>
      <c r="B13" s="7">
        <f>IF(D13=0,0,VLOOKUP($A13,[6]HISTOAVRIL23!$A$6:$BQ$45,14,0))</f>
        <v>2</v>
      </c>
      <c r="C13" s="1" t="str">
        <f>VLOOKUP(A13,[7]LISTADHERENT!A$5:H$60,3,0)</f>
        <v>NDJOMO ETIENNE</v>
      </c>
      <c r="D13" s="7">
        <f>IF(E13="ECHEC",0,VLOOKUP($A13,[6]HISTOAVRIL23!$A$6:$BB$45,15,0))</f>
        <v>200000</v>
      </c>
      <c r="E13" s="7" t="str">
        <f>VLOOKUP($A13,[6]HISTOAVRIL23!$A$6:$BB$45,8,0)</f>
        <v>BANQUE</v>
      </c>
      <c r="F13" s="7">
        <f>VLOOKUP($A13,[6]HISTOAVRIL23!$A$6:$BB$45,37,0)</f>
        <v>0</v>
      </c>
      <c r="G13" s="7">
        <f>VLOOKUP($A13,[6]HISTOAVRIL23!$A$6:$BB$45,40,0)</f>
        <v>0</v>
      </c>
      <c r="H13" s="7" t="str">
        <f>IF(F13&lt;&gt;0,VLOOKUP($A13,[6]HISTOAVRIL23!$A$6:$BB$45,42,0),"ECHEC")</f>
        <v>ECHEC</v>
      </c>
      <c r="I13" s="7">
        <f>VLOOKUP($A13,[6]HISTOAVRIL23!$A$6:$BB$45,41,0)</f>
        <v>0</v>
      </c>
      <c r="J13" s="7">
        <f>TONTMARS23!F13+TONTMARS23!G13</f>
        <v>202000</v>
      </c>
      <c r="K13" s="7">
        <f>VLOOKUP($A13,[6]HISTOAVRIL23!$A$6:$BB$45,18,0)</f>
        <v>202000</v>
      </c>
      <c r="L13" s="7" t="str">
        <f>IF(K13&lt;&gt;0,VLOOKUP($A13,[6]HISTOAVRIL23!$A$6:$BB$45,42,0),"ECHEC")</f>
        <v>BANQUE</v>
      </c>
      <c r="M13" s="7" t="str">
        <f>IF(P13&lt;&gt;0,VLOOKUP($A13,[6]HISTOAVRIL23!$A$6:$BB$45,32,0),"ECHEC")</f>
        <v>ECHEC</v>
      </c>
      <c r="N13" s="7">
        <f>VLOOKUP($A13,[6]HISTOAVRIL23!$A$6:$BB$45,33,0)</f>
        <v>0</v>
      </c>
      <c r="O13" s="7">
        <f t="shared" si="0"/>
        <v>0</v>
      </c>
      <c r="P13" s="7">
        <f>VLOOKUP($A13,[6]HISTOAVRIL23!$A$6:$BB$45,31,0)</f>
        <v>0</v>
      </c>
    </row>
    <row r="14" spans="1:16" x14ac:dyDescent="0.25">
      <c r="A14" s="1" t="s">
        <v>10</v>
      </c>
      <c r="B14" s="7">
        <f>IF(D14=0,0,VLOOKUP($A14,[6]HISTOAVRIL23!$A$6:$BQ$45,14,0))</f>
        <v>1</v>
      </c>
      <c r="C14" s="1" t="str">
        <f>VLOOKUP(A14,[7]LISTADHERENT!A$5:H$60,3,0)</f>
        <v>NGONDIEP CLAUDE</v>
      </c>
      <c r="D14" s="7">
        <f>IF(E14="ECHEC",0,VLOOKUP($A14,[6]HISTOAVRIL23!$A$6:$BB$45,15,0))</f>
        <v>100000</v>
      </c>
      <c r="E14" s="7" t="str">
        <f>VLOOKUP($A14,[6]HISTOAVRIL23!$A$6:$BB$45,8,0)</f>
        <v>BANQUE</v>
      </c>
      <c r="F14" s="7">
        <f>VLOOKUP($A14,[6]HISTOAVRIL23!$A$6:$BB$45,37,0)</f>
        <v>0</v>
      </c>
      <c r="G14" s="7">
        <f>VLOOKUP($A14,[6]HISTOAVRIL23!$A$6:$BB$45,40,0)</f>
        <v>0</v>
      </c>
      <c r="H14" s="7" t="str">
        <f>IF(F14&lt;&gt;0,VLOOKUP($A14,[6]HISTOAVRIL23!$A$6:$BB$45,42,0),"ECHEC")</f>
        <v>ECHEC</v>
      </c>
      <c r="I14" s="7">
        <f>VLOOKUP($A14,[6]HISTOAVRIL23!$A$6:$BB$45,41,0)</f>
        <v>0</v>
      </c>
      <c r="J14" s="7">
        <f>TONTMARS23!F14+TONTMARS23!G14</f>
        <v>0</v>
      </c>
      <c r="K14" s="7">
        <f>VLOOKUP($A14,[6]HISTOAVRIL23!$A$6:$BB$45,18,0)</f>
        <v>0</v>
      </c>
      <c r="L14" s="7" t="str">
        <f>IF(K14&lt;&gt;0,VLOOKUP($A14,[6]HISTOAVRIL23!$A$6:$BB$45,42,0),"ECHEC")</f>
        <v>ECHEC</v>
      </c>
      <c r="M14" s="7" t="str">
        <f>IF(P14&lt;&gt;0,VLOOKUP($A14,[6]HISTOAVRIL23!$A$6:$BB$45,32,0),"ECHEC")</f>
        <v>ECHEC</v>
      </c>
      <c r="N14" s="7">
        <f>VLOOKUP($A14,[6]HISTOAVRIL23!$A$6:$BB$45,33,0)</f>
        <v>0</v>
      </c>
      <c r="O14" s="7">
        <f t="shared" si="0"/>
        <v>0</v>
      </c>
      <c r="P14" s="7">
        <f>VLOOKUP($A14,[6]HISTOAVRIL23!$A$6:$BB$45,31,0)</f>
        <v>0</v>
      </c>
    </row>
    <row r="15" spans="1:16" x14ac:dyDescent="0.25">
      <c r="A15" s="1" t="s">
        <v>44</v>
      </c>
      <c r="B15" s="7">
        <f>IF(D15=0,0,VLOOKUP($A15,[6]HISTOAVRIL23!$A$6:$BQ$45,14,0))</f>
        <v>1</v>
      </c>
      <c r="C15" s="1" t="str">
        <f>VLOOKUP(A15,[7]LISTADHERENT!A$5:H$60,3,0)</f>
        <v>NGUIEMEGNI MATHIEU BLAISE</v>
      </c>
      <c r="D15" s="7">
        <f>IF(E15="ECHEC",0,VLOOKUP($A15,[6]HISTOAVRIL23!$A$6:$BB$45,15,0))</f>
        <v>100000</v>
      </c>
      <c r="E15" s="7" t="str">
        <f>VLOOKUP($A15,[6]HISTOAVRIL23!$A$6:$BB$45,8,0)</f>
        <v>BANQUE</v>
      </c>
      <c r="F15" s="7">
        <f>VLOOKUP($A15,[6]HISTOAVRIL23!$A$6:$BB$45,37,0)</f>
        <v>93000</v>
      </c>
      <c r="G15" s="7">
        <f>VLOOKUP($A15,[6]HISTOAVRIL23!$A$6:$BB$45,40,0)</f>
        <v>6000</v>
      </c>
      <c r="H15" s="7" t="str">
        <f>IF(F15&lt;&gt;0,VLOOKUP($A15,[6]HISTOAVRIL23!$A$6:$BB$45,42,0),"ECHEC")</f>
        <v>BANQUE</v>
      </c>
      <c r="I15" s="7">
        <f>VLOOKUP($A15,[6]HISTOAVRIL23!$A$6:$BB$45,41,0)</f>
        <v>0</v>
      </c>
      <c r="J15" s="7">
        <f>TONTMARS23!F15+TONTMARS23!G15</f>
        <v>0</v>
      </c>
      <c r="K15" s="7">
        <f>VLOOKUP($A15,[6]HISTOAVRIL23!$A$6:$BB$45,18,0)</f>
        <v>0</v>
      </c>
      <c r="L15" s="7" t="str">
        <f>IF(K15&lt;&gt;0,VLOOKUP($A15,[6]HISTOAVRIL23!$A$6:$BB$45,42,0),"ECHEC")</f>
        <v>ECHEC</v>
      </c>
      <c r="M15" s="7" t="str">
        <f>IF(P15&lt;&gt;0,VLOOKUP($A15,[6]HISTOAVRIL23!$A$6:$BB$45,32,0),"ECHEC")</f>
        <v>BANQUE</v>
      </c>
      <c r="N15" s="7">
        <f>VLOOKUP($A15,[6]HISTOAVRIL23!$A$6:$BB$45,33,0)</f>
        <v>0</v>
      </c>
      <c r="O15" s="7">
        <f t="shared" si="0"/>
        <v>1180000</v>
      </c>
      <c r="P15" s="7">
        <f>VLOOKUP($A15,[6]HISTOAVRIL23!$A$6:$BB$45,31,0)</f>
        <v>20000</v>
      </c>
    </row>
    <row r="16" spans="1:16" x14ac:dyDescent="0.25">
      <c r="A16" s="1" t="s">
        <v>47</v>
      </c>
      <c r="B16" s="7">
        <f>IF(D16=0,0,VLOOKUP($A16,[6]HISTOAVRIL23!$A$6:$BQ$45,14,0))</f>
        <v>1</v>
      </c>
      <c r="C16" s="1" t="str">
        <f>VLOOKUP(A16,[7]LISTADHERENT!A$5:H$60,3,0)</f>
        <v>SIMO PIERRE</v>
      </c>
      <c r="D16" s="7">
        <f>IF(E16="ECHEC",0,VLOOKUP($A16,[6]HISTOAVRIL23!$A$6:$BB$45,15,0))</f>
        <v>100000</v>
      </c>
      <c r="E16" s="7" t="str">
        <f>VLOOKUP($A16,[6]HISTOAVRIL23!$A$6:$BB$45,8,0)</f>
        <v>BANQUE</v>
      </c>
      <c r="F16" s="7">
        <f>VLOOKUP($A16,[6]HISTOAVRIL23!$A$6:$BB$45,37,0)</f>
        <v>0</v>
      </c>
      <c r="G16" s="7">
        <f>VLOOKUP($A16,[6]HISTOAVRIL23!$A$6:$BB$45,40,0)</f>
        <v>0</v>
      </c>
      <c r="H16" s="7" t="str">
        <f>IF(F16&lt;&gt;0,VLOOKUP($A16,[6]HISTOAVRIL23!$A$6:$BB$45,42,0),"ECHEC")</f>
        <v>ECHEC</v>
      </c>
      <c r="I16" s="7">
        <f>VLOOKUP($A16,[6]HISTOAVRIL23!$A$6:$BB$45,41,0)</f>
        <v>0</v>
      </c>
      <c r="J16" s="7">
        <f>TONTMARS23!F16+TONTMARS23!G16</f>
        <v>0</v>
      </c>
      <c r="K16" s="7">
        <f>VLOOKUP($A16,[6]HISTOAVRIL23!$A$6:$BB$45,18,0)</f>
        <v>0</v>
      </c>
      <c r="L16" s="7" t="str">
        <f>IF(K16&lt;&gt;0,VLOOKUP($A16,[6]HISTOAVRIL23!$A$6:$BB$45,42,0),"ECHEC")</f>
        <v>ECHEC</v>
      </c>
      <c r="M16" s="7" t="str">
        <f>IF(P16&lt;&gt;0,VLOOKUP($A16,[6]HISTOAVRIL23!$A$6:$BB$45,32,0),"ECHEC")</f>
        <v>ECHEC</v>
      </c>
      <c r="N16" s="7">
        <f>VLOOKUP($A16,[6]HISTOAVRIL23!$A$6:$BB$45,33,0)</f>
        <v>0</v>
      </c>
      <c r="O16" s="7">
        <f t="shared" si="0"/>
        <v>0</v>
      </c>
      <c r="P16" s="7">
        <f>VLOOKUP($A16,[6]HISTOAVRIL23!$A$6:$BB$45,31,0)</f>
        <v>0</v>
      </c>
    </row>
    <row r="17" spans="1:16" x14ac:dyDescent="0.25">
      <c r="A17" s="1" t="s">
        <v>22</v>
      </c>
      <c r="B17" s="7">
        <f>IF(D17=0,0,VLOOKUP($A17,[6]HISTOAVRIL23!$A$6:$BQ$45,14,0))</f>
        <v>1</v>
      </c>
      <c r="C17" s="1" t="str">
        <f>VLOOKUP(A17,[7]LISTADHERENT!A$5:H$60,3,0)</f>
        <v>YOUMBI EMMANUEL</v>
      </c>
      <c r="D17" s="7">
        <f>IF(E17="ECHEC",0,VLOOKUP($A17,[6]HISTOAVRIL23!$A$6:$BB$45,15,0))</f>
        <v>100000</v>
      </c>
      <c r="E17" s="7" t="str">
        <f>VLOOKUP($A17,[6]HISTOAVRIL23!$A$6:$BB$45,8,0)</f>
        <v>BANQUE</v>
      </c>
      <c r="F17" s="7">
        <f>VLOOKUP($A17,[6]HISTOAVRIL23!$A$6:$BB$45,37,0)</f>
        <v>0</v>
      </c>
      <c r="G17" s="7">
        <f>VLOOKUP($A17,[6]HISTOAVRIL23!$A$6:$BB$45,40,0)</f>
        <v>0</v>
      </c>
      <c r="H17" s="7" t="str">
        <f>IF(F17&lt;&gt;0,VLOOKUP($A17,[6]HISTOAVRIL23!$A$6:$BB$45,42,0),"ECHEC")</f>
        <v>ECHEC</v>
      </c>
      <c r="I17" s="7">
        <f>VLOOKUP($A17,[6]HISTOAVRIL23!$A$6:$BB$45,41,0)</f>
        <v>0</v>
      </c>
      <c r="J17" s="7">
        <f>TONTMARS23!F17+TONTMARS23!G17</f>
        <v>0</v>
      </c>
      <c r="K17" s="7">
        <f>VLOOKUP($A17,[6]HISTOAVRIL23!$A$6:$BB$45,18,0)</f>
        <v>0</v>
      </c>
      <c r="L17" s="7" t="str">
        <f>IF(K17&lt;&gt;0,VLOOKUP($A17,[6]HISTOAVRIL23!$A$6:$BB$45,42,0),"ECHEC")</f>
        <v>ECHEC</v>
      </c>
      <c r="M17" s="7" t="str">
        <f>IF(P17&lt;&gt;0,VLOOKUP($A17,[6]HISTOAVRIL23!$A$6:$BB$45,32,0),"ECHEC")</f>
        <v>ECHEC</v>
      </c>
      <c r="N17" s="7">
        <f>VLOOKUP($A17,[6]HISTOAVRIL23!$A$6:$BB$45,33,0)</f>
        <v>0</v>
      </c>
      <c r="O17" s="7">
        <f t="shared" si="0"/>
        <v>0</v>
      </c>
      <c r="P17" s="7">
        <f>VLOOKUP($A17,[6]HISTOAVRIL23!$A$6:$BB$45,31,0)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93000</v>
      </c>
      <c r="G20" s="8">
        <f>SUM(G6:G18)</f>
        <v>6000</v>
      </c>
      <c r="H20" s="8"/>
      <c r="I20" s="8">
        <f>SUM(I6:I18)</f>
        <v>0</v>
      </c>
      <c r="J20" s="8">
        <f>SUM(J6:J18)</f>
        <v>973000</v>
      </c>
      <c r="K20" s="8">
        <f>SUM(K6:K18)</f>
        <v>973000</v>
      </c>
      <c r="L20" s="8"/>
      <c r="M20" s="8"/>
      <c r="N20" s="8">
        <f>SUM(N6:N18)</f>
        <v>0</v>
      </c>
      <c r="O20" s="8">
        <f>SUM(O6:O18)</f>
        <v>1180000</v>
      </c>
      <c r="P20" s="8">
        <f>SUM(P6:P18)</f>
        <v>20000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D26+E26+P20+TONTMARS23!N27</f>
        <v>2493000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1200000</v>
      </c>
      <c r="M23" s="8">
        <f>D3</f>
        <v>2</v>
      </c>
      <c r="N23" s="8">
        <f>COUNTIF(O8:O17,"&gt;0")</f>
        <v>1</v>
      </c>
      <c r="O23" s="8"/>
    </row>
    <row r="24" spans="1:16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973000</v>
      </c>
      <c r="F24" s="8">
        <f>SUMIFS(F6:F18,H6:H18,"BANQUE")</f>
        <v>93000</v>
      </c>
      <c r="G24" s="8">
        <f>SUMIFS(O6:O18,M6:M18,"BANQUE")</f>
        <v>1180000</v>
      </c>
      <c r="H24" s="8">
        <f>D24+E24-F24-G24</f>
        <v>1100000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1293000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973000</v>
      </c>
      <c r="F26" s="8">
        <f>F23+F24</f>
        <v>93000</v>
      </c>
      <c r="G26" s="8">
        <f t="shared" ref="G26:H26" si="1">G23+G24</f>
        <v>1180000</v>
      </c>
      <c r="H26" s="8">
        <f t="shared" si="1"/>
        <v>1100000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1200000</v>
      </c>
      <c r="M27"/>
      <c r="N27" s="8">
        <f>TONTAVRIL23!L27</f>
        <v>1200000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TONTMARS23!N29+TONTAVRIL23!L29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TONTMARS23!N30+TONTAVRIL23!L30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xSplit="3" ySplit="5" topLeftCell="F15" activePane="bottomRight" state="frozen"/>
      <selection activeCell="J14" sqref="J14"/>
      <selection pane="topRight" activeCell="J14" sqref="J14"/>
      <selection pane="bottomLeft" activeCell="J14" sqref="J14"/>
      <selection pane="bottomRight" activeCell="L27" sqref="L27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2</v>
      </c>
      <c r="E3" s="1"/>
      <c r="L3" s="1"/>
      <c r="M3" s="1"/>
    </row>
    <row r="4" spans="1:16" s="12" customFormat="1" ht="18" x14ac:dyDescent="0.25">
      <c r="B4" s="13"/>
      <c r="C4" s="20">
        <v>45059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IF(D6=0,0,VLOOKUP($A6,[6]HISTOMAI23!$A$6:$BQ$45,14,0))</f>
        <v>1</v>
      </c>
      <c r="C6" s="1" t="str">
        <f>VLOOKUP(A6,[7]LISTADHERENT!A$5:H$60,3,0)</f>
        <v>ASELBY</v>
      </c>
      <c r="D6" s="7">
        <f>IF(E6="ECHEC",0,VLOOKUP($A6,[6]HISTOMAI23!$A$6:$BB$45,15,0))</f>
        <v>100000</v>
      </c>
      <c r="E6" s="7" t="str">
        <f>VLOOKUP($A6,[6]HISTOMAI23!$A$6:$BB$45,8,0)</f>
        <v>BANQUE</v>
      </c>
      <c r="F6" s="7">
        <f>VLOOKUP($A6,[6]HISTOMAI23!$A$6:$BB$45,37,0)</f>
        <v>0</v>
      </c>
      <c r="G6" s="7">
        <f>VLOOKUP($A6,[6]HISTOMAI23!$A$6:$BB$45,40,0)</f>
        <v>0</v>
      </c>
      <c r="H6" s="7" t="str">
        <f>IF(F6&lt;&gt;0,VLOOKUP($A6,[6]HISTOMAI23!$A$6:$BB$45,42,0),"ECHEC")</f>
        <v>ECHEC</v>
      </c>
      <c r="I6" s="7">
        <f>VLOOKUP($A6,[6]HISTOMAI23!$A$6:$BB$45,41,0)</f>
        <v>0</v>
      </c>
      <c r="J6" s="7">
        <f>TONTAVRIL23!F6+TONTAVRIL23!G6</f>
        <v>0</v>
      </c>
      <c r="K6" s="7">
        <f>VLOOKUP($A6,[6]HISTOMAI23!$A$6:$BB$45,18,0)</f>
        <v>0</v>
      </c>
      <c r="L6" s="7" t="str">
        <f>IF(K6&lt;&gt;0,VLOOKUP($A6,[6]HISTOMAI23!$A$6:$BB$45,42,0),"ECHEC")</f>
        <v>ECHEC</v>
      </c>
      <c r="M6" s="7" t="str">
        <f>IF(P6&lt;&gt;0,VLOOKUP($A6,[6]HISTOMAI23!$A$6:$BB$45,32,0),"ECHEC")</f>
        <v>ECHEC</v>
      </c>
      <c r="N6" s="7">
        <f>VLOOKUP($A6,[6]HISTOMAI23!$A$6:$BB$45,33,0)</f>
        <v>0</v>
      </c>
      <c r="O6" s="7">
        <f t="shared" ref="O6:O17" si="0">IF(P6=0,0,($C$3-P6))</f>
        <v>0</v>
      </c>
      <c r="P6" s="7">
        <f>VLOOKUP($A6,[6]HISTOMAI23!$A$6:$BB$45,31,0)</f>
        <v>0</v>
      </c>
    </row>
    <row r="7" spans="1:16" x14ac:dyDescent="0.25">
      <c r="A7" s="1" t="s">
        <v>48</v>
      </c>
      <c r="B7" s="7">
        <f>IF(D7=0,0,VLOOKUP($A7,[6]HISTOMAI23!$A$6:$BQ$45,14,0))</f>
        <v>1</v>
      </c>
      <c r="C7" s="1" t="str">
        <f>VLOOKUP(A7,[7]LISTADHERENT!A$5:H$60,3,0)</f>
        <v xml:space="preserve">DJOMO JEAN PAUL </v>
      </c>
      <c r="D7" s="7">
        <f>IF(E7="ECHEC",0,VLOOKUP($A7,[6]HISTOMAI23!$A$6:$BB$45,15,0))</f>
        <v>100000</v>
      </c>
      <c r="E7" s="7" t="str">
        <f>VLOOKUP($A7,[6]HISTOMAI23!$A$6:$BB$45,8,0)</f>
        <v>BANQUE</v>
      </c>
      <c r="F7" s="7">
        <f>VLOOKUP($A7,[6]HISTOMAI23!$A$6:$BB$45,37,0)</f>
        <v>50000</v>
      </c>
      <c r="G7" s="7">
        <f>VLOOKUP($A7,[6]HISTOMAI23!$A$6:$BB$45,40,0)</f>
        <v>1000</v>
      </c>
      <c r="H7" s="7" t="str">
        <f>IF(F7&lt;&gt;0,VLOOKUP($A7,[6]HISTOMAI23!$A$6:$BB$45,42,0),"ECHEC")</f>
        <v>BANQUE</v>
      </c>
      <c r="I7" s="7">
        <f>VLOOKUP($A7,[6]HISTOMAI23!$A$6:$BB$45,41,0)</f>
        <v>0</v>
      </c>
      <c r="J7" s="7">
        <f>TONTAVRIL23!F7+TONTAVRIL23!G7</f>
        <v>0</v>
      </c>
      <c r="K7" s="7">
        <f>VLOOKUP($A7,[6]HISTOMAI23!$A$6:$BB$45,18,0)</f>
        <v>0</v>
      </c>
      <c r="L7" s="7" t="str">
        <f>IF(K7&lt;&gt;0,VLOOKUP($A7,[6]HISTOMAI23!$A$6:$BB$45,42,0),"ECHEC")</f>
        <v>ECHEC</v>
      </c>
      <c r="M7" s="7" t="str">
        <f>IF(P7&lt;&gt;0,VLOOKUP($A7,[6]HISTOMAI23!$A$6:$BB$45,32,0),"ECHEC")</f>
        <v>ECHEC</v>
      </c>
      <c r="N7" s="7">
        <f>VLOOKUP($A7,[6]HISTOMAI23!$A$6:$BB$45,33,0)</f>
        <v>0</v>
      </c>
      <c r="O7" s="7">
        <f t="shared" si="0"/>
        <v>0</v>
      </c>
      <c r="P7" s="7">
        <f>VLOOKUP($A7,[6]HISTOMAI23!$A$6:$BB$45,31,0)</f>
        <v>0</v>
      </c>
    </row>
    <row r="8" spans="1:16" x14ac:dyDescent="0.25">
      <c r="A8" s="1" t="s">
        <v>20</v>
      </c>
      <c r="B8" s="7">
        <f>IF(D8=0,0,VLOOKUP($A8,[6]HISTOMAI23!$A$6:$BQ$45,14,0))</f>
        <v>2</v>
      </c>
      <c r="C8" s="1" t="str">
        <f>VLOOKUP(A8,[7]LISTADHERENT!A$5:H$60,3,0)</f>
        <v>DJUOMBESSY ANTOINE</v>
      </c>
      <c r="D8" s="7">
        <f>IF(E8="ECHEC",0,VLOOKUP($A8,[6]HISTOMAI23!$A$6:$BB$45,15,0))</f>
        <v>200000</v>
      </c>
      <c r="E8" s="7" t="str">
        <f>VLOOKUP($A8,[6]HISTOMAI23!$A$6:$BB$45,8,0)</f>
        <v>BANQUE</v>
      </c>
      <c r="F8" s="7">
        <f>VLOOKUP($A8,[6]HISTOMAI23!$A$6:$BB$45,37,0)</f>
        <v>200000</v>
      </c>
      <c r="G8" s="7">
        <f>VLOOKUP($A8,[6]HISTOMAI23!$A$6:$BB$45,40,0)</f>
        <v>2000</v>
      </c>
      <c r="H8" s="7">
        <f>IF(F8&lt;&gt;0,VLOOKUP($A8,[6]HISTOMAI23!$A$6:$BB$45,42,0),"ECHEC")</f>
        <v>0</v>
      </c>
      <c r="I8" s="7">
        <f>VLOOKUP($A8,[6]HISTOMAI23!$A$6:$BB$45,41,0)</f>
        <v>0</v>
      </c>
      <c r="J8" s="7">
        <f>TONTAVRIL23!F8+TONTAVRIL23!G8</f>
        <v>0</v>
      </c>
      <c r="K8" s="7">
        <f>VLOOKUP($A8,[6]HISTOMAI23!$A$6:$BB$45,18,0)</f>
        <v>0</v>
      </c>
      <c r="L8" s="7" t="str">
        <f>IF(K8&lt;&gt;0,VLOOKUP($A8,[6]HISTOMAI23!$A$6:$BB$45,42,0),"ECHEC")</f>
        <v>ECHEC</v>
      </c>
      <c r="M8" s="7" t="str">
        <f>IF(P8&lt;&gt;0,VLOOKUP($A8,[6]HISTOMAI23!$A$6:$BB$45,32,0),"ECHEC")</f>
        <v>ECHEC</v>
      </c>
      <c r="N8" s="7">
        <f>VLOOKUP($A8,[6]HISTOMAI23!$A$6:$BB$45,33,0)</f>
        <v>0</v>
      </c>
      <c r="O8" s="7">
        <f t="shared" si="0"/>
        <v>0</v>
      </c>
      <c r="P8" s="7">
        <f>VLOOKUP($A8,[6]HISTOMAI23!$A$6:$BB$45,31,0)</f>
        <v>0</v>
      </c>
    </row>
    <row r="9" spans="1:16" x14ac:dyDescent="0.25">
      <c r="A9" s="1" t="s">
        <v>21</v>
      </c>
      <c r="B9" s="7">
        <f>IF(D9=0,0,VLOOKUP($A9,[6]HISTOMAI23!$A$6:$BQ$45,14,0))</f>
        <v>1</v>
      </c>
      <c r="C9" s="1" t="str">
        <f>VLOOKUP(A9,[7]LISTADHERENT!A$5:H$60,3,0)</f>
        <v>HOTCHO BENJAMIN</v>
      </c>
      <c r="D9" s="7">
        <f>IF(E9="ECHEC",0,VLOOKUP($A9,[6]HISTOMAI23!$A$6:$BB$45,15,0))</f>
        <v>100000</v>
      </c>
      <c r="E9" s="7" t="str">
        <f>VLOOKUP($A9,[6]HISTOMAI23!$A$6:$BB$45,8,0)</f>
        <v>BANQUE</v>
      </c>
      <c r="F9" s="7">
        <f>VLOOKUP($A9,[6]HISTOMAI23!$A$6:$BB$45,37,0)</f>
        <v>0</v>
      </c>
      <c r="G9" s="7">
        <f>VLOOKUP($A9,[6]HISTOMAI23!$A$6:$BB$45,40,0)</f>
        <v>0</v>
      </c>
      <c r="H9" s="7" t="str">
        <f>IF(F9&lt;&gt;0,VLOOKUP($A9,[6]HISTOMAI23!$A$6:$BB$45,42,0),"ECHEC")</f>
        <v>ECHEC</v>
      </c>
      <c r="I9" s="7">
        <f>VLOOKUP($A9,[6]HISTOMAI23!$A$6:$BB$45,41,0)</f>
        <v>0</v>
      </c>
      <c r="J9" s="7">
        <f>TONTAVRIL23!F9+TONTAVRIL23!G9</f>
        <v>0</v>
      </c>
      <c r="K9" s="7">
        <f>VLOOKUP($A9,[6]HISTOMAI23!$A$6:$BB$45,18,0)</f>
        <v>0</v>
      </c>
      <c r="L9" s="7" t="str">
        <f>IF(K9&lt;&gt;0,VLOOKUP($A9,[6]HISTOMAI23!$A$6:$BB$45,42,0),"ECHEC")</f>
        <v>ECHEC</v>
      </c>
      <c r="M9" s="7" t="str">
        <f>IF(P9&lt;&gt;0,VLOOKUP($A9,[6]HISTOMAI23!$A$6:$BB$45,32,0),"ECHEC")</f>
        <v>ECHEC</v>
      </c>
      <c r="N9" s="7">
        <f>VLOOKUP($A9,[6]HISTOMAI23!$A$6:$BB$45,33,0)</f>
        <v>0</v>
      </c>
      <c r="O9" s="7">
        <f t="shared" si="0"/>
        <v>0</v>
      </c>
      <c r="P9" s="7">
        <f>VLOOKUP($A9,[6]HISTOMAI23!$A$6:$BB$45,31,0)</f>
        <v>0</v>
      </c>
    </row>
    <row r="10" spans="1:16" x14ac:dyDescent="0.25">
      <c r="A10" s="1" t="s">
        <v>27</v>
      </c>
      <c r="B10" s="7">
        <f>IF(D10=0,0,VLOOKUP($A10,[6]HISTOMAI23!$A$6:$BQ$45,14,0))</f>
        <v>1</v>
      </c>
      <c r="C10" s="1" t="str">
        <f>VLOOKUP(A10,[7]LISTADHERENT!A$5:H$60,3,0)</f>
        <v>KOUAMOU MOISE</v>
      </c>
      <c r="D10" s="7">
        <f>IF(E10="ECHEC",0,VLOOKUP($A10,[6]HISTOMAI23!$A$6:$BB$45,15,0))</f>
        <v>100000</v>
      </c>
      <c r="E10" s="7" t="str">
        <f>VLOOKUP($A10,[6]HISTOMAI23!$A$6:$BB$45,8,0)</f>
        <v>BANQUE</v>
      </c>
      <c r="F10" s="7">
        <f>VLOOKUP($A10,[6]HISTOMAI23!$A$6:$BB$45,37,0)</f>
        <v>0</v>
      </c>
      <c r="G10" s="7">
        <f>VLOOKUP($A10,[6]HISTOMAI23!$A$6:$BB$45,40,0)</f>
        <v>0</v>
      </c>
      <c r="H10" s="7" t="str">
        <f>IF(F10&lt;&gt;0,VLOOKUP($A10,[6]HISTOMAI23!$A$6:$BB$45,42,0),"ECHEC")</f>
        <v>ECHEC</v>
      </c>
      <c r="I10" s="7">
        <f>VLOOKUP($A10,[6]HISTOMAI23!$A$6:$BB$45,41,0)</f>
        <v>0</v>
      </c>
      <c r="J10" s="7">
        <f>TONTAVRIL23!F10+TONTAVRIL23!G10</f>
        <v>0</v>
      </c>
      <c r="K10" s="7">
        <f>VLOOKUP($A10,[6]HISTOMAI23!$A$6:$BB$45,18,0)</f>
        <v>0</v>
      </c>
      <c r="L10" s="7" t="str">
        <f>IF(K10&lt;&gt;0,VLOOKUP($A10,[6]HISTOMAI23!$A$6:$BB$45,42,0),"ECHEC")</f>
        <v>ECHEC</v>
      </c>
      <c r="M10" s="7" t="str">
        <f>IF(P10&lt;&gt;0,VLOOKUP($A10,[6]HISTOMAI23!$A$6:$BB$45,32,0),"ECHEC")</f>
        <v>ECHEC</v>
      </c>
      <c r="N10" s="7">
        <f>VLOOKUP($A10,[6]HISTOMAI23!$A$6:$BB$45,33,0)</f>
        <v>0</v>
      </c>
      <c r="O10" s="7">
        <f t="shared" si="0"/>
        <v>0</v>
      </c>
      <c r="P10" s="7">
        <f>VLOOKUP($A10,[6]HISTOMAI23!$A$6:$BB$45,31,0)</f>
        <v>0</v>
      </c>
    </row>
    <row r="11" spans="1:16" x14ac:dyDescent="0.25">
      <c r="A11" s="1" t="s">
        <v>8</v>
      </c>
      <c r="B11" s="7">
        <f>IF(D11=0,0,VLOOKUP($A11,[6]HISTOMAI23!$A$6:$BQ$45,14,0))</f>
        <v>1</v>
      </c>
      <c r="C11" s="1" t="str">
        <f>VLOOKUP(A11,[7]LISTADHERENT!A$5:H$60,3,0)</f>
        <v>KOUATCHO MESSACK</v>
      </c>
      <c r="D11" s="7">
        <f>IF(E11="ECHEC",0,VLOOKUP($A11,[6]HISTOMAI23!$A$6:$BB$45,15,0))</f>
        <v>100000</v>
      </c>
      <c r="E11" s="7" t="str">
        <f>VLOOKUP($A11,[6]HISTOMAI23!$A$6:$BB$45,8,0)</f>
        <v>BANQUE</v>
      </c>
      <c r="F11" s="7">
        <f>VLOOKUP($A11,[6]HISTOMAI23!$A$6:$BB$45,37,0)</f>
        <v>0</v>
      </c>
      <c r="G11" s="7">
        <f>VLOOKUP($A11,[6]HISTOMAI23!$A$6:$BB$45,40,0)</f>
        <v>0</v>
      </c>
      <c r="H11" s="7" t="str">
        <f>IF(F11&lt;&gt;0,VLOOKUP($A11,[6]HISTOMAI23!$A$6:$BB$45,42,0),"ECHEC")</f>
        <v>ECHEC</v>
      </c>
      <c r="I11" s="7">
        <f>VLOOKUP($A11,[6]HISTOMAI23!$A$6:$BB$45,41,0)</f>
        <v>0</v>
      </c>
      <c r="J11" s="7">
        <f>TONTAVRIL23!F11+TONTAVRIL23!G11</f>
        <v>0</v>
      </c>
      <c r="K11" s="7">
        <f>VLOOKUP($A11,[6]HISTOMAI23!$A$6:$BB$45,18,0)</f>
        <v>0</v>
      </c>
      <c r="L11" s="7" t="str">
        <f>IF(K11&lt;&gt;0,VLOOKUP($A11,[6]HISTOMAI23!$A$6:$BB$45,42,0),"ECHEC")</f>
        <v>ECHEC</v>
      </c>
      <c r="M11" s="7" t="str">
        <f>IF(P11&lt;&gt;0,VLOOKUP($A11,[6]HISTOMAI23!$A$6:$BB$45,32,0),"ECHEC")</f>
        <v>ECHEC</v>
      </c>
      <c r="N11" s="7">
        <f>VLOOKUP($A11,[6]HISTOMAI23!$A$6:$BB$45,33,0)</f>
        <v>0</v>
      </c>
      <c r="O11" s="7">
        <f t="shared" si="0"/>
        <v>0</v>
      </c>
      <c r="P11" s="7">
        <f>VLOOKUP($A11,[6]HISTOMAI23!$A$6:$BB$45,31,0)</f>
        <v>0</v>
      </c>
    </row>
    <row r="12" spans="1:16" x14ac:dyDescent="0.25">
      <c r="A12" s="1" t="s">
        <v>23</v>
      </c>
      <c r="B12" s="7">
        <f>IF(D12=0,0,VLOOKUP($A12,[6]HISTOMAI23!$A$6:$BQ$45,14,0))</f>
        <v>1</v>
      </c>
      <c r="C12" s="1" t="str">
        <f>VLOOKUP(A12,[7]LISTADHERENT!A$5:H$60,3,0)</f>
        <v>MBOGNING TUGMA GUY</v>
      </c>
      <c r="D12" s="7">
        <f>IF(E12="ECHEC",0,VLOOKUP($A12,[6]HISTOMAI23!$A$6:$BB$45,15,0))</f>
        <v>100000</v>
      </c>
      <c r="E12" s="7" t="str">
        <f>VLOOKUP($A12,[6]HISTOMAI23!$A$6:$BB$45,8,0)</f>
        <v>BANQUE</v>
      </c>
      <c r="F12" s="7">
        <f>VLOOKUP($A12,[6]HISTOMAI23!$A$6:$BB$45,37,0)</f>
        <v>0</v>
      </c>
      <c r="G12" s="7">
        <f>VLOOKUP($A12,[6]HISTOMAI23!$A$6:$BB$45,40,0)</f>
        <v>0</v>
      </c>
      <c r="H12" s="7" t="str">
        <f>IF(F12&lt;&gt;0,VLOOKUP($A12,[6]HISTOMAI23!$A$6:$BB$45,42,0),"ECHEC")</f>
        <v>ECHEC</v>
      </c>
      <c r="I12" s="7">
        <f>VLOOKUP($A12,[6]HISTOMAI23!$A$6:$BB$45,41,0)</f>
        <v>0</v>
      </c>
      <c r="J12" s="7">
        <f>TONTAVRIL23!F12+TONTAVRIL23!G12</f>
        <v>0</v>
      </c>
      <c r="K12" s="7">
        <f>VLOOKUP($A12,[6]HISTOMAI23!$A$6:$BB$45,18,0)</f>
        <v>0</v>
      </c>
      <c r="L12" s="7" t="str">
        <f>IF(K12&lt;&gt;0,VLOOKUP($A12,[6]HISTOMAI23!$A$6:$BB$45,42,0),"ECHEC")</f>
        <v>ECHEC</v>
      </c>
      <c r="M12" s="7" t="str">
        <f>IF(P12&lt;&gt;0,VLOOKUP($A12,[6]HISTOMAI23!$A$6:$BB$45,32,0),"ECHEC")</f>
        <v>ECHEC</v>
      </c>
      <c r="N12" s="7">
        <f>VLOOKUP($A12,[6]HISTOMAI23!$A$6:$BB$45,33,0)</f>
        <v>0</v>
      </c>
      <c r="O12" s="7">
        <f t="shared" si="0"/>
        <v>0</v>
      </c>
      <c r="P12" s="7">
        <f>VLOOKUP($A12,[6]HISTOMAI23!$A$6:$BB$45,31,0)</f>
        <v>0</v>
      </c>
    </row>
    <row r="13" spans="1:16" x14ac:dyDescent="0.25">
      <c r="A13" s="1" t="s">
        <v>9</v>
      </c>
      <c r="B13" s="7">
        <f>IF(D13=0,0,VLOOKUP($A13,[6]HISTOMAI23!$A$6:$BQ$45,14,0))</f>
        <v>2</v>
      </c>
      <c r="C13" s="1" t="str">
        <f>VLOOKUP(A13,[7]LISTADHERENT!A$5:H$60,3,0)</f>
        <v>NDJOMO ETIENNE</v>
      </c>
      <c r="D13" s="7">
        <f>IF(E13="ECHEC",0,VLOOKUP($A13,[6]HISTOMAI23!$A$6:$BB$45,15,0))</f>
        <v>200000</v>
      </c>
      <c r="E13" s="7" t="str">
        <f>VLOOKUP($A13,[6]HISTOMAI23!$A$6:$BB$45,8,0)</f>
        <v>BANQUE</v>
      </c>
      <c r="F13" s="7">
        <f>VLOOKUP($A13,[6]HISTOMAI23!$A$6:$BB$45,37,0)</f>
        <v>200000</v>
      </c>
      <c r="G13" s="7">
        <f>VLOOKUP($A13,[6]HISTOMAI23!$A$6:$BB$45,40,0)</f>
        <v>2000</v>
      </c>
      <c r="H13" s="7">
        <f>IF(F13&lt;&gt;0,VLOOKUP($A13,[6]HISTOMAI23!$A$6:$BB$45,42,0),"ECHEC")</f>
        <v>0</v>
      </c>
      <c r="I13" s="7">
        <f>VLOOKUP($A13,[6]HISTOMAI23!$A$6:$BB$45,41,0)</f>
        <v>0</v>
      </c>
      <c r="J13" s="7">
        <f>TONTAVRIL23!F13+TONTAVRIL23!G13</f>
        <v>0</v>
      </c>
      <c r="K13" s="7">
        <f>VLOOKUP($A13,[6]HISTOMAI23!$A$6:$BB$45,18,0)</f>
        <v>0</v>
      </c>
      <c r="L13" s="7" t="str">
        <f>IF(K13&lt;&gt;0,VLOOKUP($A13,[6]HISTOMAI23!$A$6:$BB$45,42,0),"ECHEC")</f>
        <v>ECHEC</v>
      </c>
      <c r="M13" s="7" t="str">
        <f>IF(P13&lt;&gt;0,VLOOKUP($A13,[6]HISTOMAI23!$A$6:$BB$45,32,0),"ECHEC")</f>
        <v>ECHEC</v>
      </c>
      <c r="N13" s="7">
        <f>VLOOKUP($A13,[6]HISTOMAI23!$A$6:$BB$45,33,0)</f>
        <v>0</v>
      </c>
      <c r="O13" s="7">
        <f t="shared" si="0"/>
        <v>0</v>
      </c>
      <c r="P13" s="7">
        <f>VLOOKUP($A13,[6]HISTOMAI23!$A$6:$BB$45,31,0)</f>
        <v>0</v>
      </c>
    </row>
    <row r="14" spans="1:16" x14ac:dyDescent="0.25">
      <c r="A14" s="1" t="s">
        <v>10</v>
      </c>
      <c r="B14" s="7">
        <f>IF(D14=0,0,VLOOKUP($A14,[6]HISTOMAI23!$A$6:$BQ$45,14,0))</f>
        <v>1</v>
      </c>
      <c r="C14" s="1" t="str">
        <f>VLOOKUP(A14,[7]LISTADHERENT!A$5:H$60,3,0)</f>
        <v>NGONDIEP CLAUDE</v>
      </c>
      <c r="D14" s="7">
        <f>IF(E14="ECHEC",0,VLOOKUP($A14,[6]HISTOMAI23!$A$6:$BB$45,15,0))</f>
        <v>100000</v>
      </c>
      <c r="E14" s="7" t="str">
        <f>VLOOKUP($A14,[6]HISTOMAI23!$A$6:$BB$45,8,0)</f>
        <v>BANQUE</v>
      </c>
      <c r="F14" s="7">
        <f>VLOOKUP($A14,[6]HISTOMAI23!$A$6:$BB$45,37,0)</f>
        <v>0</v>
      </c>
      <c r="G14" s="7">
        <f>VLOOKUP($A14,[6]HISTOMAI23!$A$6:$BB$45,40,0)</f>
        <v>0</v>
      </c>
      <c r="H14" s="7" t="str">
        <f>IF(F14&lt;&gt;0,VLOOKUP($A14,[6]HISTOMAI23!$A$6:$BB$45,42,0),"ECHEC")</f>
        <v>ECHEC</v>
      </c>
      <c r="I14" s="7">
        <f>VLOOKUP($A14,[6]HISTOMAI23!$A$6:$BB$45,41,0)</f>
        <v>0</v>
      </c>
      <c r="J14" s="7">
        <f>TONTAVRIL23!F14+TONTAVRIL23!G14</f>
        <v>0</v>
      </c>
      <c r="K14" s="7">
        <f>VLOOKUP($A14,[6]HISTOMAI23!$A$6:$BB$45,18,0)</f>
        <v>0</v>
      </c>
      <c r="L14" s="7" t="str">
        <f>IF(K14&lt;&gt;0,VLOOKUP($A14,[6]HISTOMAI23!$A$6:$BB$45,42,0),"ECHEC")</f>
        <v>ECHEC</v>
      </c>
      <c r="M14" s="7" t="str">
        <f>IF(P14&lt;&gt;0,VLOOKUP($A14,[6]HISTOMAI23!$A$6:$BB$45,32,0),"ECHEC")</f>
        <v>ECHEC</v>
      </c>
      <c r="N14" s="7">
        <f>VLOOKUP($A14,[6]HISTOMAI23!$A$6:$BB$45,33,0)</f>
        <v>0</v>
      </c>
      <c r="O14" s="7">
        <f t="shared" si="0"/>
        <v>0</v>
      </c>
      <c r="P14" s="7">
        <f>VLOOKUP($A14,[6]HISTOMAI23!$A$6:$BB$45,31,0)</f>
        <v>0</v>
      </c>
    </row>
    <row r="15" spans="1:16" x14ac:dyDescent="0.25">
      <c r="A15" s="1" t="s">
        <v>44</v>
      </c>
      <c r="B15" s="7">
        <f>IF(D15=0,0,VLOOKUP($A15,[6]HISTOMAI23!$A$6:$BQ$45,14,0))</f>
        <v>1</v>
      </c>
      <c r="C15" s="1" t="str">
        <f>VLOOKUP(A15,[7]LISTADHERENT!A$5:H$60,3,0)</f>
        <v>NGUIEMEGNI MATHIEU BLAISE</v>
      </c>
      <c r="D15" s="7">
        <f>IF(E15="ECHEC",0,VLOOKUP($A15,[6]HISTOMAI23!$A$6:$BB$45,15,0))</f>
        <v>100000</v>
      </c>
      <c r="E15" s="7" t="str">
        <f>VLOOKUP($A15,[6]HISTOMAI23!$A$6:$BB$45,8,0)</f>
        <v>BANQUE</v>
      </c>
      <c r="F15" s="7">
        <f>VLOOKUP($A15,[6]HISTOMAI23!$A$6:$BB$45,37,0)</f>
        <v>0</v>
      </c>
      <c r="G15" s="7">
        <f>VLOOKUP($A15,[6]HISTOMAI23!$A$6:$BB$45,40,0)</f>
        <v>0</v>
      </c>
      <c r="H15" s="7" t="str">
        <f>IF(F15&lt;&gt;0,VLOOKUP($A15,[6]HISTOMAI23!$A$6:$BB$45,42,0),"ECHEC")</f>
        <v>ECHEC</v>
      </c>
      <c r="I15" s="7">
        <f>VLOOKUP($A15,[6]HISTOMAI23!$A$6:$BB$45,41,0)</f>
        <v>0</v>
      </c>
      <c r="J15" s="7">
        <f>TONTAVRIL23!F15+TONTAVRIL23!G15</f>
        <v>99000</v>
      </c>
      <c r="K15" s="7">
        <f>VLOOKUP($A15,[6]HISTOMAI23!$A$6:$BB$45,18,0)</f>
        <v>99000</v>
      </c>
      <c r="L15" s="7" t="str">
        <f>IF(K15&lt;&gt;0,VLOOKUP($A15,[6]HISTOMAI23!$A$6:$BB$45,42,0),"ECHEC")</f>
        <v>BANQUE</v>
      </c>
      <c r="M15" s="7" t="str">
        <f>IF(P15&lt;&gt;0,VLOOKUP($A15,[6]HISTOMAI23!$A$6:$BB$45,32,0),"ECHEC")</f>
        <v>ECHEC</v>
      </c>
      <c r="N15" s="7">
        <f>VLOOKUP($A15,[6]HISTOMAI23!$A$6:$BB$45,33,0)</f>
        <v>0</v>
      </c>
      <c r="O15" s="7">
        <f t="shared" si="0"/>
        <v>0</v>
      </c>
      <c r="P15" s="7">
        <f>VLOOKUP($A15,[6]HISTOMAI23!$A$6:$BB$45,31,0)</f>
        <v>0</v>
      </c>
    </row>
    <row r="16" spans="1:16" x14ac:dyDescent="0.25">
      <c r="A16" s="1" t="s">
        <v>47</v>
      </c>
      <c r="B16" s="7">
        <f>IF(D16=0,0,VLOOKUP($A16,[6]HISTOMAI23!$A$6:$BQ$45,14,0))</f>
        <v>1</v>
      </c>
      <c r="C16" s="1" t="str">
        <f>VLOOKUP(A16,[7]LISTADHERENT!A$5:H$60,3,0)</f>
        <v>SIMO PIERRE</v>
      </c>
      <c r="D16" s="7">
        <f>IF(E16="ECHEC",0,VLOOKUP($A16,[6]HISTOMAI23!$A$6:$BB$45,15,0))</f>
        <v>100000</v>
      </c>
      <c r="E16" s="7" t="str">
        <f>VLOOKUP($A16,[6]HISTOMAI23!$A$6:$BB$45,8,0)</f>
        <v>BANQUE</v>
      </c>
      <c r="F16" s="7">
        <f>VLOOKUP($A16,[6]HISTOMAI23!$A$6:$BB$45,37,0)</f>
        <v>0</v>
      </c>
      <c r="G16" s="7">
        <f>VLOOKUP($A16,[6]HISTOMAI23!$A$6:$BB$45,40,0)</f>
        <v>0</v>
      </c>
      <c r="H16" s="7" t="str">
        <f>IF(F16&lt;&gt;0,VLOOKUP($A16,[6]HISTOMAI23!$A$6:$BB$45,42,0),"ECHEC")</f>
        <v>ECHEC</v>
      </c>
      <c r="I16" s="7">
        <f>VLOOKUP($A16,[6]HISTOMAI23!$A$6:$BB$45,41,0)</f>
        <v>0</v>
      </c>
      <c r="J16" s="7">
        <f>TONTAVRIL23!F16+TONTAVRIL23!G16</f>
        <v>0</v>
      </c>
      <c r="K16" s="7">
        <f>VLOOKUP($A16,[6]HISTOMAI23!$A$6:$BB$45,18,0)</f>
        <v>0</v>
      </c>
      <c r="L16" s="7" t="str">
        <f>IF(K16&lt;&gt;0,VLOOKUP($A16,[6]HISTOMAI23!$A$6:$BB$45,42,0),"ECHEC")</f>
        <v>ECHEC</v>
      </c>
      <c r="M16" s="7" t="str">
        <f>IF(P16&lt;&gt;0,VLOOKUP($A16,[6]HISTOMAI23!$A$6:$BB$45,32,0),"ECHEC")</f>
        <v>BANQUE</v>
      </c>
      <c r="N16" s="7">
        <f>VLOOKUP($A16,[6]HISTOMAI23!$A$6:$BB$45,33,0)</f>
        <v>0</v>
      </c>
      <c r="O16" s="7">
        <f t="shared" si="0"/>
        <v>1190000</v>
      </c>
      <c r="P16" s="7">
        <f>VLOOKUP($A16,[6]HISTOMAI23!$A$6:$BB$45,31,0)</f>
        <v>10000</v>
      </c>
    </row>
    <row r="17" spans="1:17" x14ac:dyDescent="0.25">
      <c r="A17" s="1" t="s">
        <v>22</v>
      </c>
      <c r="B17" s="7">
        <f>IF(D17=0,0,VLOOKUP($A17,[6]HISTOMAI23!$A$6:$BQ$45,14,0))</f>
        <v>1</v>
      </c>
      <c r="C17" s="1" t="str">
        <f>VLOOKUP(A17,[7]LISTADHERENT!A$5:H$60,3,0)</f>
        <v>YOUMBI EMMANUEL</v>
      </c>
      <c r="D17" s="7">
        <f>IF(E17="ECHEC",0,VLOOKUP($A17,[6]HISTOMAI23!$A$6:$BB$45,15,0))</f>
        <v>100000</v>
      </c>
      <c r="E17" s="7" t="str">
        <f>VLOOKUP($A17,[6]HISTOMAI23!$A$6:$BB$45,8,0)</f>
        <v>BANQUE</v>
      </c>
      <c r="F17" s="7">
        <f>VLOOKUP($A17,[6]HISTOMAI23!$A$6:$BB$45,37,0)</f>
        <v>0</v>
      </c>
      <c r="G17" s="7">
        <f>VLOOKUP($A17,[6]HISTOMAI23!$A$6:$BB$45,40,0)</f>
        <v>0</v>
      </c>
      <c r="H17" s="7" t="str">
        <f>IF(F17&lt;&gt;0,VLOOKUP($A17,[6]HISTOMAI23!$A$6:$BB$45,42,0),"ECHEC")</f>
        <v>ECHEC</v>
      </c>
      <c r="I17" s="7">
        <f>VLOOKUP($A17,[6]HISTOMAI23!$A$6:$BB$45,41,0)</f>
        <v>0</v>
      </c>
      <c r="J17" s="7">
        <f>TONTAVRIL23!F17+TONTAVRIL23!G17</f>
        <v>0</v>
      </c>
      <c r="K17" s="7">
        <f>VLOOKUP($A17,[6]HISTOMAI23!$A$6:$BB$45,18,0)</f>
        <v>0</v>
      </c>
      <c r="L17" s="7" t="str">
        <f>IF(K17&lt;&gt;0,VLOOKUP($A17,[6]HISTOMAI23!$A$6:$BB$45,42,0),"ECHEC")</f>
        <v>ECHEC</v>
      </c>
      <c r="M17" s="7" t="str">
        <f>IF(P17&lt;&gt;0,VLOOKUP($A17,[6]HISTOMAI23!$A$6:$BB$45,32,0),"ECHEC")</f>
        <v>ECHEC</v>
      </c>
      <c r="N17" s="7">
        <f>VLOOKUP($A17,[6]HISTOMAI23!$A$6:$BB$45,33,0)</f>
        <v>0</v>
      </c>
      <c r="O17" s="7">
        <f t="shared" si="0"/>
        <v>0</v>
      </c>
      <c r="P17" s="7">
        <f>VLOOKUP($A17,[6]HISTOMAI23!$A$6:$BB$45,31,0)</f>
        <v>0</v>
      </c>
    </row>
    <row r="18" spans="1:17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7" ht="18" x14ac:dyDescent="0.25">
      <c r="A19" s="1" t="s">
        <v>41</v>
      </c>
      <c r="B19" s="8">
        <f>SUM(B6:B18)</f>
        <v>14</v>
      </c>
      <c r="G19" s="10"/>
    </row>
    <row r="20" spans="1:17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450000</v>
      </c>
      <c r="G20" s="8">
        <f>SUM(G6:G18)</f>
        <v>5000</v>
      </c>
      <c r="H20" s="8"/>
      <c r="I20" s="8">
        <f>SUM(I6:I18)</f>
        <v>0</v>
      </c>
      <c r="J20" s="8">
        <f>SUM(J6:J18)</f>
        <v>99000</v>
      </c>
      <c r="K20" s="8">
        <f>SUM(K6:K18)</f>
        <v>99000</v>
      </c>
      <c r="L20" s="8"/>
      <c r="M20" s="8"/>
      <c r="N20" s="8">
        <f>SUM(N6:N18)</f>
        <v>0</v>
      </c>
      <c r="O20" s="8">
        <f>SUM(O6:O18)</f>
        <v>1190000</v>
      </c>
      <c r="P20" s="8">
        <f>SUM(P6:P18)</f>
        <v>10000</v>
      </c>
    </row>
    <row r="21" spans="1:17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7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D26+E26+P20+TONTAVRIL23!N27</f>
        <v>2709000</v>
      </c>
      <c r="M22" s="5"/>
      <c r="N22"/>
      <c r="O22" s="5"/>
    </row>
    <row r="23" spans="1:17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1200000</v>
      </c>
      <c r="M23" s="8">
        <f>D3</f>
        <v>2</v>
      </c>
      <c r="N23" s="8">
        <f>COUNTIF(O8:O17,"&gt;0")</f>
        <v>1</v>
      </c>
      <c r="O23" s="8"/>
    </row>
    <row r="24" spans="1:17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99000</v>
      </c>
      <c r="F24" s="8">
        <f>SUMIFS(F6:F18,H6:H18,"BANQUE")</f>
        <v>50000</v>
      </c>
      <c r="G24" s="8">
        <f>SUMIFS(O6:O18,M6:M18,"BANQUE")</f>
        <v>1190000</v>
      </c>
      <c r="H24" s="8">
        <f>D24+E24-F24-G24</f>
        <v>259000</v>
      </c>
      <c r="I24" s="8"/>
      <c r="L24" s="8"/>
      <c r="M24" s="8"/>
      <c r="N24" s="8"/>
      <c r="O24" s="8"/>
    </row>
    <row r="25" spans="1:17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1509000</v>
      </c>
      <c r="M25" s="8"/>
      <c r="N25" s="8"/>
      <c r="O25" s="8"/>
    </row>
    <row r="26" spans="1:17" s="2" customFormat="1" ht="18" x14ac:dyDescent="0.25">
      <c r="C26" s="8" t="s">
        <v>46</v>
      </c>
      <c r="D26" s="8">
        <f>D23+D24</f>
        <v>1400000</v>
      </c>
      <c r="E26" s="8">
        <f>E23+E24</f>
        <v>99000</v>
      </c>
      <c r="F26" s="8">
        <f>F23+F24</f>
        <v>50000</v>
      </c>
      <c r="G26" s="8">
        <f t="shared" ref="G26:H26" si="1">G23+G24</f>
        <v>1190000</v>
      </c>
      <c r="H26" s="8">
        <f t="shared" si="1"/>
        <v>259000</v>
      </c>
      <c r="I26" s="8"/>
      <c r="L26" s="8"/>
      <c r="M26" s="8"/>
      <c r="N26" s="8"/>
      <c r="O26" s="8"/>
    </row>
    <row r="27" spans="1:17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1059000</v>
      </c>
      <c r="M27"/>
      <c r="N27" s="8">
        <f>TONTMAI23!L27</f>
        <v>1059000</v>
      </c>
      <c r="O27" s="8" t="s">
        <v>29</v>
      </c>
      <c r="P27" s="8">
        <v>1109000</v>
      </c>
      <c r="Q27" s="2" t="s">
        <v>53</v>
      </c>
    </row>
    <row r="28" spans="1:17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7" ht="18" x14ac:dyDescent="0.25">
      <c r="K29" s="8" t="s">
        <v>36</v>
      </c>
      <c r="L29" s="8">
        <f>COUNTIFS(E6:E24,"ECHEC")*100000</f>
        <v>0</v>
      </c>
      <c r="N29" s="8">
        <f>TONTAVRIL23!N29+TONTMAI23!L29</f>
        <v>0</v>
      </c>
      <c r="O29" s="8" t="s">
        <v>29</v>
      </c>
    </row>
    <row r="30" spans="1:17" ht="18" x14ac:dyDescent="0.25">
      <c r="K30" s="8" t="s">
        <v>37</v>
      </c>
      <c r="L30" s="8">
        <f>J20-E26</f>
        <v>0</v>
      </c>
      <c r="N30" s="8">
        <f>TONTAVRIL23!N30+TONTMAI23!L30</f>
        <v>0</v>
      </c>
      <c r="O30" s="8" t="s">
        <v>29</v>
      </c>
    </row>
    <row r="31" spans="1:17" x14ac:dyDescent="0.25">
      <c r="K31" s="3"/>
      <c r="L31" s="2"/>
      <c r="N31"/>
      <c r="O31" s="3"/>
    </row>
    <row r="32" spans="1:17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D10" activePane="bottomRight" state="frozen"/>
      <selection activeCell="J14" sqref="J14"/>
      <selection pane="topRight" activeCell="J14" sqref="J14"/>
      <selection pane="bottomLeft" activeCell="J14" sqref="J14"/>
      <selection pane="bottomRight" activeCell="L30" sqref="L30:N3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2</v>
      </c>
      <c r="E3" s="1"/>
      <c r="L3" s="1"/>
      <c r="M3" s="1"/>
    </row>
    <row r="4" spans="1:16" s="12" customFormat="1" ht="18" x14ac:dyDescent="0.25">
      <c r="B4" s="13"/>
      <c r="C4" s="20">
        <v>45090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IF(D6=0,0,VLOOKUP($A6,[6]HISTOJUIN23!$A$6:$BQ$45,14,0))</f>
        <v>1</v>
      </c>
      <c r="C6" s="1" t="str">
        <f>VLOOKUP(A6,[7]LISTADHERENT!A$5:H$60,3,0)</f>
        <v>ASELBY</v>
      </c>
      <c r="D6" s="7">
        <f>IF(E6="ECHEC",0,VLOOKUP($A6,[6]HISTOJUIN23!$A$6:$BB$45,15,0))</f>
        <v>100000</v>
      </c>
      <c r="E6" s="7" t="str">
        <f>VLOOKUP($A6,[6]HISTOJUIN23!$A$6:$BB$45,8,0)</f>
        <v>BANQUE</v>
      </c>
      <c r="F6" s="7">
        <f>VLOOKUP($A6,[6]HISTOJUIN23!$A$6:$BB$45,37,0)</f>
        <v>0</v>
      </c>
      <c r="G6" s="7">
        <f>VLOOKUP($A6,[6]HISTOJUIN23!$A$6:$BB$45,40,0)</f>
        <v>0</v>
      </c>
      <c r="H6" s="7" t="str">
        <f>IF(F6&lt;&gt;0,VLOOKUP($A6,[6]HISTOJUIN23!$A$6:$BB$45,42,0),"ECHEC")</f>
        <v>ECHEC</v>
      </c>
      <c r="I6" s="7">
        <f>VLOOKUP($A6,[6]HISTOJUIN23!$A$6:$BB$45,41,0)</f>
        <v>0</v>
      </c>
      <c r="J6" s="7">
        <f>TONTMAI23!F6+TONTMAI23!G6</f>
        <v>0</v>
      </c>
      <c r="K6" s="7">
        <f>VLOOKUP($A6,[6]HISTOJUIN23!$A$6:$BB$45,18,0)</f>
        <v>0</v>
      </c>
      <c r="L6" s="7" t="str">
        <f>IF(K6&lt;&gt;0,VLOOKUP($A6,[6]HISTOJUIN23!$A$6:$BB$45,42,0),"ECHEC")</f>
        <v>ECHEC</v>
      </c>
      <c r="M6" s="7" t="str">
        <f>IF(P6&lt;&gt;0,VLOOKUP($A6,[6]HISTOJUIN23!$A$6:$BB$45,32,0),"ECHEC")</f>
        <v>ECHEC</v>
      </c>
      <c r="N6" s="7">
        <f>VLOOKUP($A6,[6]HISTOJUIN23!$A$6:$BB$45,33,0)</f>
        <v>0</v>
      </c>
      <c r="O6" s="7">
        <f t="shared" ref="O6:O17" si="0">IF(P6=0,0,($C$3-P6))</f>
        <v>0</v>
      </c>
      <c r="P6" s="7">
        <f>VLOOKUP($A6,[6]HISTOJUIN23!$A$6:$BB$45,31,0)</f>
        <v>0</v>
      </c>
    </row>
    <row r="7" spans="1:16" x14ac:dyDescent="0.25">
      <c r="A7" s="1" t="s">
        <v>48</v>
      </c>
      <c r="B7" s="7">
        <f>IF(D7=0,0,VLOOKUP($A7,[6]HISTOJUIN23!$A$6:$BQ$45,14,0))</f>
        <v>1</v>
      </c>
      <c r="C7" s="1" t="str">
        <f>VLOOKUP(A7,[7]LISTADHERENT!A$5:H$60,3,0)</f>
        <v xml:space="preserve">DJOMO JEAN PAUL </v>
      </c>
      <c r="D7" s="7">
        <f>IF(E7="ECHEC",0,VLOOKUP($A7,[6]HISTOJUIN23!$A$6:$BB$45,15,0))</f>
        <v>100000</v>
      </c>
      <c r="E7" s="7" t="str">
        <f>VLOOKUP($A7,[6]HISTOJUIN23!$A$6:$BB$45,8,0)</f>
        <v>BANQUE</v>
      </c>
      <c r="F7" s="7">
        <f>VLOOKUP($A7,[6]HISTOJUIN23!$A$6:$BB$45,37,0)</f>
        <v>184000</v>
      </c>
      <c r="G7" s="7">
        <f>VLOOKUP($A7,[6]HISTOJUIN23!$A$6:$BB$45,40,0)</f>
        <v>1500</v>
      </c>
      <c r="H7" s="7" t="str">
        <f>IF(F7&lt;&gt;0,VLOOKUP($A7,[6]HISTOJUIN23!$A$6:$BB$45,42,0),"ECHEC")</f>
        <v>BANQUE</v>
      </c>
      <c r="I7" s="7">
        <f>VLOOKUP($A7,[6]HISTOJUIN23!$A$6:$BB$45,41,0)</f>
        <v>0</v>
      </c>
      <c r="J7" s="7">
        <f>TONTMAI23!F7+TONTMAI23!G7</f>
        <v>51000</v>
      </c>
      <c r="K7" s="7">
        <f>VLOOKUP($A7,[6]HISTOJUIN23!$A$6:$BB$45,18,0)</f>
        <v>51000</v>
      </c>
      <c r="L7" s="7" t="str">
        <f>IF(K7&lt;&gt;0,VLOOKUP($A7,[6]HISTOJUIN23!$A$6:$BB$45,42,0),"ECHEC")</f>
        <v>BANQUE</v>
      </c>
      <c r="M7" s="7" t="str">
        <f>IF(P7&lt;&gt;0,VLOOKUP($A7,[6]HISTOJUIN23!$A$6:$BB$45,32,0),"ECHEC")</f>
        <v>ECHEC</v>
      </c>
      <c r="N7" s="7">
        <f>VLOOKUP($A7,[6]HISTOJUIN23!$A$6:$BB$45,33,0)</f>
        <v>0</v>
      </c>
      <c r="O7" s="7">
        <f t="shared" si="0"/>
        <v>0</v>
      </c>
      <c r="P7" s="7">
        <f>VLOOKUP($A7,[6]HISTOJUIN23!$A$6:$BB$45,31,0)</f>
        <v>0</v>
      </c>
    </row>
    <row r="8" spans="1:16" x14ac:dyDescent="0.25">
      <c r="A8" s="1" t="s">
        <v>20</v>
      </c>
      <c r="B8" s="7">
        <f>IF(D8=0,0,VLOOKUP($A8,[6]HISTOJUIN23!$A$6:$BQ$45,14,0))</f>
        <v>2</v>
      </c>
      <c r="C8" s="1" t="str">
        <f>VLOOKUP(A8,[7]LISTADHERENT!A$5:H$60,3,0)</f>
        <v>DJUOMBESSY ANTOINE</v>
      </c>
      <c r="D8" s="7">
        <f>IF(E8="ECHEC",0,VLOOKUP($A8,[6]HISTOJUIN23!$A$6:$BB$45,15,0))</f>
        <v>200000</v>
      </c>
      <c r="E8" s="7" t="str">
        <f>VLOOKUP($A8,[6]HISTOJUIN23!$A$6:$BB$45,8,0)</f>
        <v>BANQUE</v>
      </c>
      <c r="F8" s="7">
        <f>VLOOKUP($A8,[6]HISTOJUIN23!$A$6:$BB$45,37,0)</f>
        <v>0</v>
      </c>
      <c r="G8" s="7">
        <f>VLOOKUP($A8,[6]HISTOJUIN23!$A$6:$BB$45,40,0)</f>
        <v>0</v>
      </c>
      <c r="H8" s="7" t="str">
        <f>IF(F8&lt;&gt;0,VLOOKUP($A8,[6]HISTOJUIN23!$A$6:$BB$45,42,0),"ECHEC")</f>
        <v>ECHEC</v>
      </c>
      <c r="I8" s="7">
        <f>VLOOKUP($A8,[6]HISTOJUIN23!$A$6:$BB$45,41,0)</f>
        <v>0</v>
      </c>
      <c r="J8" s="7">
        <f>TONTMAI23!F8+TONTMAI23!G8</f>
        <v>202000</v>
      </c>
      <c r="K8" s="7">
        <f>VLOOKUP($A8,[6]HISTOJUIN23!$A$6:$BB$45,18,0)</f>
        <v>202000</v>
      </c>
      <c r="L8" s="7" t="str">
        <f>IF(K8&lt;&gt;0,VLOOKUP($A8,[6]HISTOJUIN23!$A$6:$BB$45,42,0),"ECHEC")</f>
        <v>BANQUE</v>
      </c>
      <c r="M8" s="7" t="str">
        <f>IF(P8&lt;&gt;0,VLOOKUP($A8,[6]HISTOJUIN23!$A$6:$BB$45,32,0),"ECHEC")</f>
        <v>ECHEC</v>
      </c>
      <c r="N8" s="7">
        <f>VLOOKUP($A8,[6]HISTOJUIN23!$A$6:$BB$45,33,0)</f>
        <v>0</v>
      </c>
      <c r="O8" s="7">
        <f t="shared" si="0"/>
        <v>0</v>
      </c>
      <c r="P8" s="7">
        <f>VLOOKUP($A8,[6]HISTOJUIN23!$A$6:$BB$45,31,0)</f>
        <v>0</v>
      </c>
    </row>
    <row r="9" spans="1:16" x14ac:dyDescent="0.25">
      <c r="A9" s="1" t="s">
        <v>21</v>
      </c>
      <c r="B9" s="7">
        <f>IF(D9=0,0,VLOOKUP($A9,[6]HISTOJUIN23!$A$6:$BQ$45,14,0))</f>
        <v>1</v>
      </c>
      <c r="C9" s="1" t="str">
        <f>VLOOKUP(A9,[7]LISTADHERENT!A$5:H$60,3,0)</f>
        <v>HOTCHO BENJAMIN</v>
      </c>
      <c r="D9" s="7">
        <f>IF(E9="ECHEC",0,VLOOKUP($A9,[6]HISTOJUIN23!$A$6:$BB$45,15,0))</f>
        <v>100000</v>
      </c>
      <c r="E9" s="7" t="str">
        <f>VLOOKUP($A9,[6]HISTOJUIN23!$A$6:$BB$45,8,0)</f>
        <v>BANQUE</v>
      </c>
      <c r="F9" s="7">
        <f>VLOOKUP($A9,[6]HISTOJUIN23!$A$6:$BB$45,37,0)</f>
        <v>0</v>
      </c>
      <c r="G9" s="7">
        <f>VLOOKUP($A9,[6]HISTOJUIN23!$A$6:$BB$45,40,0)</f>
        <v>0</v>
      </c>
      <c r="H9" s="7" t="str">
        <f>IF(F9&lt;&gt;0,VLOOKUP($A9,[6]HISTOJUIN23!$A$6:$BB$45,42,0),"ECHEC")</f>
        <v>ECHEC</v>
      </c>
      <c r="I9" s="7">
        <f>VLOOKUP($A9,[6]HISTOJUIN23!$A$6:$BB$45,41,0)</f>
        <v>0</v>
      </c>
      <c r="J9" s="7">
        <f>TONTMAI23!F9+TONTMAI23!G9</f>
        <v>0</v>
      </c>
      <c r="K9" s="7">
        <f>VLOOKUP($A9,[6]HISTOJUIN23!$A$6:$BB$45,18,0)</f>
        <v>0</v>
      </c>
      <c r="L9" s="7" t="str">
        <f>IF(K9&lt;&gt;0,VLOOKUP($A9,[6]HISTOJUIN23!$A$6:$BB$45,42,0),"ECHEC")</f>
        <v>ECHEC</v>
      </c>
      <c r="M9" s="7" t="str">
        <f>IF(P9&lt;&gt;0,VLOOKUP($A9,[6]HISTOJUIN23!$A$6:$BB$45,32,0),"ECHEC")</f>
        <v>ECHEC</v>
      </c>
      <c r="N9" s="7">
        <f>VLOOKUP($A9,[6]HISTOJUIN23!$A$6:$BB$45,33,0)</f>
        <v>0</v>
      </c>
      <c r="O9" s="7">
        <f t="shared" si="0"/>
        <v>0</v>
      </c>
      <c r="P9" s="7">
        <f>VLOOKUP($A9,[6]HISTOJUIN23!$A$6:$BB$45,31,0)</f>
        <v>0</v>
      </c>
    </row>
    <row r="10" spans="1:16" x14ac:dyDescent="0.25">
      <c r="A10" s="1" t="s">
        <v>27</v>
      </c>
      <c r="B10" s="7">
        <f>IF(D10=0,0,VLOOKUP($A10,[6]HISTOJUIN23!$A$6:$BQ$45,14,0))</f>
        <v>1</v>
      </c>
      <c r="C10" s="1" t="str">
        <f>VLOOKUP(A10,[7]LISTADHERENT!A$5:H$60,3,0)</f>
        <v>KOUAMOU MOISE</v>
      </c>
      <c r="D10" s="7">
        <f>IF(E10="ECHEC",0,VLOOKUP($A10,[6]HISTOJUIN23!$A$6:$BB$45,15,0))</f>
        <v>100000</v>
      </c>
      <c r="E10" s="7" t="str">
        <f>VLOOKUP($A10,[6]HISTOJUIN23!$A$6:$BB$45,8,0)</f>
        <v>BANQUE</v>
      </c>
      <c r="F10" s="7">
        <f>VLOOKUP($A10,[6]HISTOJUIN23!$A$6:$BB$45,37,0)</f>
        <v>0</v>
      </c>
      <c r="G10" s="7">
        <f>VLOOKUP($A10,[6]HISTOJUIN23!$A$6:$BB$45,40,0)</f>
        <v>0</v>
      </c>
      <c r="H10" s="7" t="str">
        <f>IF(F10&lt;&gt;0,VLOOKUP($A10,[6]HISTOJUIN23!$A$6:$BB$45,42,0),"ECHEC")</f>
        <v>ECHEC</v>
      </c>
      <c r="I10" s="7">
        <f>VLOOKUP($A10,[6]HISTOJUIN23!$A$6:$BB$45,41,0)</f>
        <v>0</v>
      </c>
      <c r="J10" s="7">
        <f>TONTMAI23!F10+TONTMAI23!G10</f>
        <v>0</v>
      </c>
      <c r="K10" s="7">
        <f>VLOOKUP($A10,[6]HISTOJUIN23!$A$6:$BB$45,18,0)</f>
        <v>0</v>
      </c>
      <c r="L10" s="7" t="str">
        <f>IF(K10&lt;&gt;0,VLOOKUP($A10,[6]HISTOJUIN23!$A$6:$BB$45,42,0),"ECHEC")</f>
        <v>ECHEC</v>
      </c>
      <c r="M10" s="7" t="str">
        <f>IF(P10&lt;&gt;0,VLOOKUP($A10,[6]HISTOJUIN23!$A$6:$BB$45,32,0),"ECHEC")</f>
        <v>ECHEC</v>
      </c>
      <c r="N10" s="7">
        <f>VLOOKUP($A10,[6]HISTOJUIN23!$A$6:$BB$45,33,0)</f>
        <v>0</v>
      </c>
      <c r="O10" s="7">
        <f t="shared" si="0"/>
        <v>0</v>
      </c>
      <c r="P10" s="7">
        <f>VLOOKUP($A10,[6]HISTOJUIN23!$A$6:$BB$45,31,0)</f>
        <v>0</v>
      </c>
    </row>
    <row r="11" spans="1:16" x14ac:dyDescent="0.25">
      <c r="A11" s="1" t="s">
        <v>8</v>
      </c>
      <c r="B11" s="7">
        <f>IF(D11=0,0,VLOOKUP($A11,[6]HISTOJUIN23!$A$6:$BQ$45,14,0))</f>
        <v>1</v>
      </c>
      <c r="C11" s="1" t="str">
        <f>VLOOKUP(A11,[7]LISTADHERENT!A$5:H$60,3,0)</f>
        <v>KOUATCHO MESSACK</v>
      </c>
      <c r="D11" s="7">
        <f>IF(E11="ECHEC",0,VLOOKUP($A11,[6]HISTOJUIN23!$A$6:$BB$45,15,0))</f>
        <v>100000</v>
      </c>
      <c r="E11" s="7" t="str">
        <f>VLOOKUP($A11,[6]HISTOJUIN23!$A$6:$BB$45,8,0)</f>
        <v>BANQUE</v>
      </c>
      <c r="F11" s="7">
        <f>VLOOKUP($A11,[6]HISTOJUIN23!$A$6:$BB$45,37,0)</f>
        <v>0</v>
      </c>
      <c r="G11" s="7">
        <f>VLOOKUP($A11,[6]HISTOJUIN23!$A$6:$BB$45,40,0)</f>
        <v>0</v>
      </c>
      <c r="H11" s="7" t="str">
        <f>IF(F11&lt;&gt;0,VLOOKUP($A11,[6]HISTOJUIN23!$A$6:$BB$45,42,0),"ECHEC")</f>
        <v>ECHEC</v>
      </c>
      <c r="I11" s="7">
        <f>VLOOKUP($A11,[6]HISTOJUIN23!$A$6:$BB$45,41,0)</f>
        <v>0</v>
      </c>
      <c r="J11" s="7">
        <f>TONTMAI23!F11+TONTMAI23!G11</f>
        <v>0</v>
      </c>
      <c r="K11" s="7">
        <f>VLOOKUP($A11,[6]HISTOJUIN23!$A$6:$BB$45,18,0)</f>
        <v>0</v>
      </c>
      <c r="L11" s="7" t="str">
        <f>IF(K11&lt;&gt;0,VLOOKUP($A11,[6]HISTOJUIN23!$A$6:$BB$45,42,0),"ECHEC")</f>
        <v>ECHEC</v>
      </c>
      <c r="M11" s="7" t="str">
        <f>IF(P11&lt;&gt;0,VLOOKUP($A11,[6]HISTOJUIN23!$A$6:$BB$45,32,0),"ECHEC")</f>
        <v>ECHEC</v>
      </c>
      <c r="N11" s="7">
        <f>VLOOKUP($A11,[6]HISTOJUIN23!$A$6:$BB$45,33,0)</f>
        <v>0</v>
      </c>
      <c r="O11" s="7">
        <f t="shared" si="0"/>
        <v>0</v>
      </c>
      <c r="P11" s="7">
        <f>VLOOKUP($A11,[6]HISTOJUIN23!$A$6:$BB$45,31,0)</f>
        <v>0</v>
      </c>
    </row>
    <row r="12" spans="1:16" x14ac:dyDescent="0.25">
      <c r="A12" s="1" t="s">
        <v>23</v>
      </c>
      <c r="B12" s="7">
        <f>IF(D12=0,0,VLOOKUP($A12,[6]HISTOJUIN23!$A$6:$BQ$45,14,0))</f>
        <v>1</v>
      </c>
      <c r="C12" s="1" t="str">
        <f>VLOOKUP(A12,[7]LISTADHERENT!A$5:H$60,3,0)</f>
        <v>MBOGNING TUGMA GUY</v>
      </c>
      <c r="D12" s="7">
        <f>IF(E12="ECHEC",0,VLOOKUP($A12,[6]HISTOJUIN23!$A$6:$BB$45,15,0))</f>
        <v>100000</v>
      </c>
      <c r="E12" s="7" t="str">
        <f>VLOOKUP($A12,[6]HISTOJUIN23!$A$6:$BB$45,8,0)</f>
        <v>BANQUE</v>
      </c>
      <c r="F12" s="7">
        <f>VLOOKUP($A12,[6]HISTOJUIN23!$A$6:$BB$45,37,0)</f>
        <v>200000</v>
      </c>
      <c r="G12" s="7">
        <f>VLOOKUP($A12,[6]HISTOJUIN23!$A$6:$BB$45,40,0)</f>
        <v>2000</v>
      </c>
      <c r="H12" s="7" t="str">
        <f>IF(F12&lt;&gt;0,VLOOKUP($A12,[6]HISTOJUIN23!$A$6:$BB$45,42,0),"ECHEC")</f>
        <v>BANQUE</v>
      </c>
      <c r="I12" s="7">
        <f>VLOOKUP($A12,[6]HISTOJUIN23!$A$6:$BB$45,41,0)</f>
        <v>0</v>
      </c>
      <c r="J12" s="7">
        <f>TONTMAI23!F12+TONTMAI23!G12</f>
        <v>0</v>
      </c>
      <c r="K12" s="7">
        <f>VLOOKUP($A12,[6]HISTOJUIN23!$A$6:$BB$45,18,0)</f>
        <v>0</v>
      </c>
      <c r="L12" s="7" t="str">
        <f>IF(K12&lt;&gt;0,VLOOKUP($A12,[6]HISTOJUIN23!$A$6:$BB$45,42,0),"ECHEC")</f>
        <v>ECHEC</v>
      </c>
      <c r="M12" s="7" t="str">
        <f>IF(P12&lt;&gt;0,VLOOKUP($A12,[6]HISTOJUIN23!$A$6:$BB$45,32,0),"ECHEC")</f>
        <v>ECHEC</v>
      </c>
      <c r="N12" s="7">
        <f>VLOOKUP($A12,[6]HISTOJUIN23!$A$6:$BB$45,33,0)</f>
        <v>0</v>
      </c>
      <c r="O12" s="7">
        <f t="shared" si="0"/>
        <v>0</v>
      </c>
      <c r="P12" s="7">
        <f>VLOOKUP($A12,[6]HISTOJUIN23!$A$6:$BB$45,31,0)</f>
        <v>0</v>
      </c>
    </row>
    <row r="13" spans="1:16" x14ac:dyDescent="0.25">
      <c r="A13" s="1" t="s">
        <v>9</v>
      </c>
      <c r="B13" s="7">
        <f>IF(D13=0,0,VLOOKUP($A13,[6]HISTOJUIN23!$A$6:$BQ$45,14,0))</f>
        <v>2</v>
      </c>
      <c r="C13" s="1" t="str">
        <f>VLOOKUP(A13,[7]LISTADHERENT!A$5:H$60,3,0)</f>
        <v>NDJOMO ETIENNE</v>
      </c>
      <c r="D13" s="7">
        <f>IF(E13="ECHEC",0,VLOOKUP($A13,[6]HISTOJUIN23!$A$6:$BB$45,15,0))</f>
        <v>200000</v>
      </c>
      <c r="E13" s="7" t="str">
        <f>VLOOKUP($A13,[6]HISTOJUIN23!$A$6:$BB$45,8,0)</f>
        <v>BANQUE</v>
      </c>
      <c r="F13" s="7">
        <f>VLOOKUP($A13,[6]HISTOJUIN23!$A$6:$BB$45,37,0)</f>
        <v>200000</v>
      </c>
      <c r="G13" s="7">
        <f>VLOOKUP($A13,[6]HISTOJUIN23!$A$6:$BB$45,40,0)</f>
        <v>2000</v>
      </c>
      <c r="H13" s="7" t="str">
        <f>IF(F13&lt;&gt;0,VLOOKUP($A13,[6]HISTOJUIN23!$A$6:$BB$45,42,0),"ECHEC")</f>
        <v>BANQUE</v>
      </c>
      <c r="I13" s="7">
        <f>VLOOKUP($A13,[6]HISTOJUIN23!$A$6:$BB$45,41,0)</f>
        <v>0</v>
      </c>
      <c r="J13" s="7">
        <f>TONTMAI23!F13+TONTMAI23!G13</f>
        <v>202000</v>
      </c>
      <c r="K13" s="7">
        <f>VLOOKUP($A13,[6]HISTOJUIN23!$A$6:$BB$45,18,0)</f>
        <v>202000</v>
      </c>
      <c r="L13" s="7" t="str">
        <f>IF(K13&lt;&gt;0,VLOOKUP($A13,[6]HISTOJUIN23!$A$6:$BB$45,42,0),"ECHEC")</f>
        <v>BANQUE</v>
      </c>
      <c r="M13" s="7" t="str">
        <f>IF(P13&lt;&gt;0,VLOOKUP($A13,[6]HISTOJUIN23!$A$6:$BB$45,32,0),"ECHEC")</f>
        <v>BANQUE</v>
      </c>
      <c r="N13" s="7">
        <f>VLOOKUP($A13,[6]HISTOJUIN23!$A$6:$BB$45,33,0)</f>
        <v>0</v>
      </c>
      <c r="O13" s="7">
        <f t="shared" si="0"/>
        <v>1190000</v>
      </c>
      <c r="P13" s="7">
        <f>VLOOKUP($A13,[6]HISTOJUIN23!$A$6:$BB$45,31,0)</f>
        <v>10000</v>
      </c>
    </row>
    <row r="14" spans="1:16" x14ac:dyDescent="0.25">
      <c r="A14" s="1" t="s">
        <v>10</v>
      </c>
      <c r="B14" s="7">
        <f>IF(D14=0,0,VLOOKUP($A14,[6]HISTOJUIN23!$A$6:$BQ$45,14,0))</f>
        <v>1</v>
      </c>
      <c r="C14" s="1" t="str">
        <f>VLOOKUP(A14,[7]LISTADHERENT!A$5:H$60,3,0)</f>
        <v>NGONDIEP CLAUDE</v>
      </c>
      <c r="D14" s="7">
        <f>IF(E14="ECHEC",0,VLOOKUP($A14,[6]HISTOJUIN23!$A$6:$BB$45,15,0))</f>
        <v>100000</v>
      </c>
      <c r="E14" s="7" t="str">
        <f>VLOOKUP($A14,[6]HISTOJUIN23!$A$6:$BB$45,8,0)</f>
        <v>BANQUE</v>
      </c>
      <c r="F14" s="7">
        <f>VLOOKUP($A14,[6]HISTOJUIN23!$A$6:$BB$45,37,0)</f>
        <v>0</v>
      </c>
      <c r="G14" s="7">
        <f>VLOOKUP($A14,[6]HISTOJUIN23!$A$6:$BB$45,40,0)</f>
        <v>0</v>
      </c>
      <c r="H14" s="7" t="str">
        <f>IF(F14&lt;&gt;0,VLOOKUP($A14,[6]HISTOJUIN23!$A$6:$BB$45,42,0),"ECHEC")</f>
        <v>ECHEC</v>
      </c>
      <c r="I14" s="7">
        <f>VLOOKUP($A14,[6]HISTOJUIN23!$A$6:$BB$45,41,0)</f>
        <v>0</v>
      </c>
      <c r="J14" s="7">
        <f>TONTMAI23!F14+TONTMAI23!G14</f>
        <v>0</v>
      </c>
      <c r="K14" s="7">
        <f>VLOOKUP($A14,[6]HISTOJUIN23!$A$6:$BB$45,18,0)</f>
        <v>0</v>
      </c>
      <c r="L14" s="7" t="str">
        <f>IF(K14&lt;&gt;0,VLOOKUP($A14,[6]HISTOJUIN23!$A$6:$BB$45,42,0),"ECHEC")</f>
        <v>ECHEC</v>
      </c>
      <c r="M14" s="7" t="str">
        <f>IF(P14&lt;&gt;0,VLOOKUP($A14,[6]HISTOJUIN23!$A$6:$BB$45,32,0),"ECHEC")</f>
        <v>ECHEC</v>
      </c>
      <c r="N14" s="7">
        <f>VLOOKUP($A14,[6]HISTOJUIN23!$A$6:$BB$45,33,0)</f>
        <v>0</v>
      </c>
      <c r="O14" s="7">
        <f t="shared" si="0"/>
        <v>0</v>
      </c>
      <c r="P14" s="7">
        <f>VLOOKUP($A14,[6]HISTOJUIN23!$A$6:$BB$45,31,0)</f>
        <v>0</v>
      </c>
    </row>
    <row r="15" spans="1:16" x14ac:dyDescent="0.25">
      <c r="A15" s="1" t="s">
        <v>44</v>
      </c>
      <c r="B15" s="7">
        <f>IF(D15=0,0,VLOOKUP($A15,[6]HISTOJUIN23!$A$6:$BQ$45,14,0))</f>
        <v>1</v>
      </c>
      <c r="C15" s="1" t="str">
        <f>VLOOKUP(A15,[7]LISTADHERENT!A$5:H$60,3,0)</f>
        <v>NGUIEMEGNI MATHIEU BLAISE</v>
      </c>
      <c r="D15" s="7">
        <f>IF(E15="ECHEC",0,VLOOKUP($A15,[6]HISTOJUIN23!$A$6:$BB$45,15,0))</f>
        <v>100000</v>
      </c>
      <c r="E15" s="7" t="str">
        <f>VLOOKUP($A15,[6]HISTOJUIN23!$A$6:$BB$45,8,0)</f>
        <v>BANQUE</v>
      </c>
      <c r="F15" s="7">
        <f>VLOOKUP($A15,[6]HISTOJUIN23!$A$6:$BB$45,37,0)</f>
        <v>0</v>
      </c>
      <c r="G15" s="7">
        <f>VLOOKUP($A15,[6]HISTOJUIN23!$A$6:$BB$45,40,0)</f>
        <v>0</v>
      </c>
      <c r="H15" s="7" t="str">
        <f>IF(F15&lt;&gt;0,VLOOKUP($A15,[6]HISTOJUIN23!$A$6:$BB$45,42,0),"ECHEC")</f>
        <v>ECHEC</v>
      </c>
      <c r="I15" s="7">
        <f>VLOOKUP($A15,[6]HISTOJUIN23!$A$6:$BB$45,41,0)</f>
        <v>0</v>
      </c>
      <c r="J15" s="7">
        <f>TONTMAI23!F15+TONTMAI23!G15</f>
        <v>0</v>
      </c>
      <c r="K15" s="7">
        <f>VLOOKUP($A15,[6]HISTOJUIN23!$A$6:$BB$45,18,0)</f>
        <v>0</v>
      </c>
      <c r="L15" s="7" t="str">
        <f>IF(K15&lt;&gt;0,VLOOKUP($A15,[6]HISTOJUIN23!$A$6:$BB$45,42,0),"ECHEC")</f>
        <v>ECHEC</v>
      </c>
      <c r="M15" s="7" t="str">
        <f>IF(P15&lt;&gt;0,VLOOKUP($A15,[6]HISTOJUIN23!$A$6:$BB$45,32,0),"ECHEC")</f>
        <v>ECHEC</v>
      </c>
      <c r="N15" s="7">
        <f>VLOOKUP($A15,[6]HISTOJUIN23!$A$6:$BB$45,33,0)</f>
        <v>0</v>
      </c>
      <c r="O15" s="7">
        <f t="shared" si="0"/>
        <v>0</v>
      </c>
      <c r="P15" s="7">
        <f>VLOOKUP($A15,[6]HISTOJUIN23!$A$6:$BB$45,31,0)</f>
        <v>0</v>
      </c>
    </row>
    <row r="16" spans="1:16" x14ac:dyDescent="0.25">
      <c r="A16" s="1" t="s">
        <v>47</v>
      </c>
      <c r="B16" s="7">
        <f>IF(D16=0,0,VLOOKUP($A16,[6]HISTOJUIN23!$A$6:$BQ$45,14,0))</f>
        <v>1</v>
      </c>
      <c r="C16" s="1" t="str">
        <f>VLOOKUP(A16,[7]LISTADHERENT!A$5:H$60,3,0)</f>
        <v>SIMO PIERRE</v>
      </c>
      <c r="D16" s="7">
        <f>IF(E16="ECHEC",0,VLOOKUP($A16,[6]HISTOJUIN23!$A$6:$BB$45,15,0))</f>
        <v>100000</v>
      </c>
      <c r="E16" s="7" t="str">
        <f>VLOOKUP($A16,[6]HISTOJUIN23!$A$6:$BB$45,8,0)</f>
        <v>BANQUE</v>
      </c>
      <c r="F16" s="7">
        <f>VLOOKUP($A16,[6]HISTOJUIN23!$A$6:$BB$45,37,0)</f>
        <v>0</v>
      </c>
      <c r="G16" s="7">
        <f>VLOOKUP($A16,[6]HISTOJUIN23!$A$6:$BB$45,40,0)</f>
        <v>0</v>
      </c>
      <c r="H16" s="7" t="str">
        <f>IF(F16&lt;&gt;0,VLOOKUP($A16,[6]HISTOJUIN23!$A$6:$BB$45,42,0),"ECHEC")</f>
        <v>ECHEC</v>
      </c>
      <c r="I16" s="7">
        <f>VLOOKUP($A16,[6]HISTOJUIN23!$A$6:$BB$45,41,0)</f>
        <v>0</v>
      </c>
      <c r="J16" s="7">
        <f>TONTMAI23!F16+TONTMAI23!G16</f>
        <v>0</v>
      </c>
      <c r="K16" s="7">
        <f>VLOOKUP($A16,[6]HISTOJUIN23!$A$6:$BB$45,18,0)</f>
        <v>0</v>
      </c>
      <c r="L16" s="7" t="str">
        <f>IF(K16&lt;&gt;0,VLOOKUP($A16,[6]HISTOJUIN23!$A$6:$BB$45,42,0),"ECHEC")</f>
        <v>ECHEC</v>
      </c>
      <c r="M16" s="7" t="str">
        <f>IF(P16&lt;&gt;0,VLOOKUP($A16,[6]HISTOJUIN23!$A$6:$BB$45,32,0),"ECHEC")</f>
        <v>ECHEC</v>
      </c>
      <c r="N16" s="7">
        <f>VLOOKUP($A16,[6]HISTOJUIN23!$A$6:$BB$45,33,0)</f>
        <v>0</v>
      </c>
      <c r="O16" s="7">
        <f t="shared" si="0"/>
        <v>0</v>
      </c>
      <c r="P16" s="7">
        <f>VLOOKUP($A16,[6]HISTOJUIN23!$A$6:$BB$45,31,0)</f>
        <v>0</v>
      </c>
    </row>
    <row r="17" spans="1:16" x14ac:dyDescent="0.25">
      <c r="A17" s="1" t="s">
        <v>22</v>
      </c>
      <c r="B17" s="7">
        <f>IF(D17=0,0,VLOOKUP($A17,[6]HISTOJUIN23!$A$6:$BQ$45,14,0))</f>
        <v>1</v>
      </c>
      <c r="C17" s="1" t="str">
        <f>VLOOKUP(A17,[7]LISTADHERENT!A$5:H$60,3,0)</f>
        <v>YOUMBI EMMANUEL</v>
      </c>
      <c r="D17" s="7">
        <f>IF(E17="ECHEC",0,VLOOKUP($A17,[6]HISTOJUIN23!$A$6:$BB$45,15,0))</f>
        <v>100000</v>
      </c>
      <c r="E17" s="7" t="str">
        <f>VLOOKUP($A17,[6]HISTOJUIN23!$A$6:$BB$45,8,0)</f>
        <v>BANQUE</v>
      </c>
      <c r="F17" s="7">
        <f>VLOOKUP($A17,[6]HISTOJUIN23!$A$6:$BB$45,37,0)</f>
        <v>0</v>
      </c>
      <c r="G17" s="7">
        <f>VLOOKUP($A17,[6]HISTOJUIN23!$A$6:$BB$45,40,0)</f>
        <v>0</v>
      </c>
      <c r="H17" s="7" t="str">
        <f>IF(F17&lt;&gt;0,VLOOKUP($A17,[6]HISTOJUIN23!$A$6:$BB$45,42,0),"ECHEC")</f>
        <v>ECHEC</v>
      </c>
      <c r="I17" s="7">
        <f>VLOOKUP($A17,[6]HISTOJUIN23!$A$6:$BB$45,41,0)</f>
        <v>0</v>
      </c>
      <c r="J17" s="7">
        <f>TONTMAI23!F17+TONTMAI23!G17</f>
        <v>0</v>
      </c>
      <c r="K17" s="7">
        <f>VLOOKUP($A17,[6]HISTOJUIN23!$A$6:$BB$45,18,0)</f>
        <v>0</v>
      </c>
      <c r="L17" s="7" t="str">
        <f>IF(K17&lt;&gt;0,VLOOKUP($A17,[6]HISTOJUIN23!$A$6:$BB$45,42,0),"ECHEC")</f>
        <v>ECHEC</v>
      </c>
      <c r="M17" s="7" t="str">
        <f>IF(P17&lt;&gt;0,VLOOKUP($A17,[6]HISTOJUIN23!$A$6:$BB$45,32,0),"ECHEC")</f>
        <v>BANQUE</v>
      </c>
      <c r="N17" s="7">
        <f>VLOOKUP($A17,[6]HISTOJUIN23!$A$6:$BB$45,33,0)</f>
        <v>0</v>
      </c>
      <c r="O17" s="7">
        <f t="shared" si="0"/>
        <v>1190000</v>
      </c>
      <c r="P17" s="7">
        <f>VLOOKUP($A17,[6]HISTOJUIN23!$A$6:$BB$45,31,0)</f>
        <v>10000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584000</v>
      </c>
      <c r="G20" s="8">
        <f>SUM(G6:G18)</f>
        <v>5500</v>
      </c>
      <c r="H20" s="8"/>
      <c r="I20" s="8">
        <f>SUM(I6:I18)</f>
        <v>0</v>
      </c>
      <c r="J20" s="8">
        <f>SUM(J6:J18)</f>
        <v>455000</v>
      </c>
      <c r="K20" s="8">
        <f>SUM(K6:K18)</f>
        <v>455000</v>
      </c>
      <c r="L20" s="8"/>
      <c r="M20" s="8"/>
      <c r="N20" s="8">
        <f>SUM(N6:N18)</f>
        <v>0</v>
      </c>
      <c r="O20" s="8">
        <f>SUM(O6:O18)</f>
        <v>2380000</v>
      </c>
      <c r="P20" s="8">
        <f>SUM(P6:P18)</f>
        <v>20000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D26+E26+P20+TONTMAI23!N27</f>
        <v>2934000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2400000</v>
      </c>
      <c r="M23" s="8">
        <f>D3</f>
        <v>2</v>
      </c>
      <c r="N23" s="8">
        <f>COUNTIF(O8:O17,"&gt;0")</f>
        <v>2</v>
      </c>
      <c r="O23" s="8"/>
    </row>
    <row r="24" spans="1:16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455000</v>
      </c>
      <c r="F24" s="8">
        <f>SUMIFS(F6:F18,H6:H18,"BANQUE")</f>
        <v>584000</v>
      </c>
      <c r="G24" s="8">
        <f>SUMIFS(O6:O18,M6:M18,"BANQUE")</f>
        <v>2380000</v>
      </c>
      <c r="H24" s="8">
        <f>D24+E24-F24-G24</f>
        <v>-1109000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534000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455000</v>
      </c>
      <c r="F26" s="8">
        <f>F23+F24</f>
        <v>584000</v>
      </c>
      <c r="G26" s="8">
        <f t="shared" ref="G26:H26" si="1">G23+G24</f>
        <v>2380000</v>
      </c>
      <c r="H26" s="8">
        <f t="shared" si="1"/>
        <v>-1109000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17">
        <f>L25-F20</f>
        <v>-50000</v>
      </c>
      <c r="M27"/>
      <c r="N27" s="8">
        <f>TONTJUIN23!L27</f>
        <v>-50000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TONTMAI23!N29+TONTJUIN23!L29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TONTAVRIL23!N30+TONTMAI23!L30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A12" sqref="A12:XFD12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1</v>
      </c>
      <c r="E3" s="1"/>
      <c r="L3" s="1"/>
      <c r="M3" s="1"/>
    </row>
    <row r="4" spans="1:16" s="12" customFormat="1" ht="18" x14ac:dyDescent="0.25">
      <c r="B4" s="13"/>
      <c r="C4" s="20">
        <v>45120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IF(D6=0,0,VLOOKUP($A6,[6]HISTOJUIL23!$A$6:$BQ$45,14,0))</f>
        <v>1</v>
      </c>
      <c r="C6" s="1" t="str">
        <f>VLOOKUP(A6,[7]LISTADHERENT!A$5:H$60,3,0)</f>
        <v>ASELBY</v>
      </c>
      <c r="D6" s="7">
        <f>IF(E6="ECHEC",0,VLOOKUP($A6,[6]HISTOJUIL23!$A$6:$BB$45,15,0))</f>
        <v>100000</v>
      </c>
      <c r="E6" s="7" t="str">
        <f>VLOOKUP($A6,[6]HISTOJUIL23!$A$6:$BB$45,8,0)</f>
        <v>BANQUE</v>
      </c>
      <c r="F6" s="7">
        <f>VLOOKUP($A6,[6]HISTOJUIL23!$A$6:$BB$45,37,0)</f>
        <v>0</v>
      </c>
      <c r="G6" s="7">
        <f>VLOOKUP($A6,[6]HISTOJUIL23!$A$6:$BB$45,40,0)</f>
        <v>0</v>
      </c>
      <c r="H6" s="7" t="str">
        <f>IF(F6&lt;&gt;0,VLOOKUP($A6,[6]HISTOJUIL23!$A$6:$BB$45,42,0),"ECHEC")</f>
        <v>ECHEC</v>
      </c>
      <c r="I6" s="7">
        <f>VLOOKUP($A6,[6]HISTOJUIL23!$A$6:$BB$45,41,0)</f>
        <v>0</v>
      </c>
      <c r="J6" s="7">
        <f>TONTJUIN23!F6+TONTJUIN23!G6</f>
        <v>0</v>
      </c>
      <c r="K6" s="7">
        <f>VLOOKUP($A6,[6]HISTOJUIL23!$A$6:$BB$45,18,0)</f>
        <v>0</v>
      </c>
      <c r="L6" s="7" t="str">
        <f>IF(K6&lt;&gt;0,VLOOKUP($A6,[6]HISTOJUIL23!$A$6:$BB$45,42,0),"ECHEC")</f>
        <v>ECHEC</v>
      </c>
      <c r="M6" s="7" t="str">
        <f>IF(P6&lt;&gt;0,VLOOKUP($A6,[6]HISTOJUIL23!$A$6:$BB$45,32,0),"ECHEC")</f>
        <v>ECHEC</v>
      </c>
      <c r="N6" s="7">
        <f>VLOOKUP($A6,[6]HISTOJUIL23!$A$6:$BB$45,33,0)</f>
        <v>0</v>
      </c>
      <c r="O6" s="7">
        <f t="shared" ref="O6:O17" si="0">IF(P6=0,0,($C$3-P6))</f>
        <v>0</v>
      </c>
      <c r="P6" s="7">
        <f>VLOOKUP($A6,[6]HISTOJUIL23!$A$6:$BB$45,31,0)</f>
        <v>0</v>
      </c>
    </row>
    <row r="7" spans="1:16" x14ac:dyDescent="0.25">
      <c r="A7" s="1" t="s">
        <v>48</v>
      </c>
      <c r="B7" s="7">
        <f>IF(D7=0,0,VLOOKUP($A7,[6]HISTOJUIL23!$A$6:$BQ$45,14,0))</f>
        <v>1</v>
      </c>
      <c r="C7" s="1" t="str">
        <f>VLOOKUP(A7,[7]LISTADHERENT!A$5:H$60,3,0)</f>
        <v xml:space="preserve">DJOMO JEAN PAUL </v>
      </c>
      <c r="D7" s="7">
        <f>IF(E7="ECHEC",0,VLOOKUP($A7,[6]HISTOJUIL23!$A$6:$BB$45,15,0))</f>
        <v>100000</v>
      </c>
      <c r="E7" s="7" t="str">
        <f>VLOOKUP($A7,[6]HISTOJUIL23!$A$6:$BB$45,8,0)</f>
        <v>BANQUE</v>
      </c>
      <c r="F7" s="7">
        <f>VLOOKUP($A7,[6]HISTOJUIL23!$A$6:$BB$45,37,0)</f>
        <v>200000</v>
      </c>
      <c r="G7" s="7">
        <f>VLOOKUP($A7,[6]HISTOJUIL23!$A$6:$BB$45,40,0)</f>
        <v>2000</v>
      </c>
      <c r="H7" s="7" t="str">
        <f>IF(F7&lt;&gt;0,VLOOKUP($A7,[6]HISTOJUIL23!$A$6:$BB$45,42,0),"ECHEC")</f>
        <v>BANQUE</v>
      </c>
      <c r="I7" s="7">
        <f>VLOOKUP($A7,[6]HISTOJUIL23!$A$6:$BB$45,41,0)</f>
        <v>0</v>
      </c>
      <c r="J7" s="7">
        <f>TONTJUIN23!F7+TONTJUIN23!G7</f>
        <v>185500</v>
      </c>
      <c r="K7" s="7">
        <f>VLOOKUP($A7,[6]HISTOJUIL23!$A$6:$BB$45,18,0)</f>
        <v>185500</v>
      </c>
      <c r="L7" s="7" t="str">
        <f>IF(K7&lt;&gt;0,VLOOKUP($A7,[6]HISTOJUIL23!$A$6:$BB$45,42,0),"ECHEC")</f>
        <v>BANQUE</v>
      </c>
      <c r="M7" s="7" t="str">
        <f>IF(P7&lt;&gt;0,VLOOKUP($A7,[6]HISTOJUIL23!$A$6:$BB$45,32,0),"ECHEC")</f>
        <v>ECHEC</v>
      </c>
      <c r="N7" s="7">
        <f>VLOOKUP($A7,[6]HISTOJUIL23!$A$6:$BB$45,33,0)</f>
        <v>0</v>
      </c>
      <c r="O7" s="7">
        <f t="shared" si="0"/>
        <v>0</v>
      </c>
      <c r="P7" s="7">
        <f>VLOOKUP($A7,[6]HISTOJUIL23!$A$6:$BB$45,31,0)</f>
        <v>0</v>
      </c>
    </row>
    <row r="8" spans="1:16" x14ac:dyDescent="0.25">
      <c r="A8" s="1" t="s">
        <v>20</v>
      </c>
      <c r="B8" s="7">
        <f>IF(D8=0,0,VLOOKUP($A8,[6]HISTOJUIL23!$A$6:$BQ$45,14,0))</f>
        <v>2</v>
      </c>
      <c r="C8" s="1" t="str">
        <f>VLOOKUP(A8,[7]LISTADHERENT!A$5:H$60,3,0)</f>
        <v>DJUOMBESSY ANTOINE</v>
      </c>
      <c r="D8" s="7">
        <f>IF(E8="ECHEC",0,VLOOKUP($A8,[6]HISTOJUIL23!$A$6:$BB$45,15,0))</f>
        <v>200000</v>
      </c>
      <c r="E8" s="7" t="str">
        <f>VLOOKUP($A8,[6]HISTOJUIL23!$A$6:$BB$45,8,0)</f>
        <v>BANQUE</v>
      </c>
      <c r="F8" s="7">
        <f>VLOOKUP($A8,[6]HISTOJUIL23!$A$6:$BB$45,37,0)</f>
        <v>0</v>
      </c>
      <c r="G8" s="7">
        <f>VLOOKUP($A8,[6]HISTOJUIL23!$A$6:$BB$45,40,0)</f>
        <v>0</v>
      </c>
      <c r="H8" s="7" t="str">
        <f>IF(F8&lt;&gt;0,VLOOKUP($A8,[6]HISTOJUIL23!$A$6:$BB$45,42,0),"ECHEC")</f>
        <v>ECHEC</v>
      </c>
      <c r="I8" s="7">
        <f>VLOOKUP($A8,[6]HISTOJUIL23!$A$6:$BB$45,41,0)</f>
        <v>0</v>
      </c>
      <c r="J8" s="7">
        <f>TONTJUIN23!F8+TONTJUIN23!G8</f>
        <v>0</v>
      </c>
      <c r="K8" s="7">
        <f>VLOOKUP($A8,[6]HISTOJUIL23!$A$6:$BB$45,18,0)</f>
        <v>0</v>
      </c>
      <c r="L8" s="7" t="str">
        <f>IF(K8&lt;&gt;0,VLOOKUP($A8,[6]HISTOJUIL23!$A$6:$BB$45,42,0),"ECHEC")</f>
        <v>ECHEC</v>
      </c>
      <c r="M8" s="7" t="str">
        <f>IF(P8&lt;&gt;0,VLOOKUP($A8,[6]HISTOJUIL23!$A$6:$BB$45,32,0),"ECHEC")</f>
        <v>ECHEC</v>
      </c>
      <c r="N8" s="7">
        <f>VLOOKUP($A8,[6]HISTOJUIL23!$A$6:$BB$45,33,0)</f>
        <v>0</v>
      </c>
      <c r="O8" s="7">
        <f t="shared" si="0"/>
        <v>0</v>
      </c>
      <c r="P8" s="7">
        <f>VLOOKUP($A8,[6]HISTOJUIL23!$A$6:$BB$45,31,0)</f>
        <v>0</v>
      </c>
    </row>
    <row r="9" spans="1:16" x14ac:dyDescent="0.25">
      <c r="A9" s="1" t="s">
        <v>21</v>
      </c>
      <c r="B9" s="7">
        <f>IF(D9=0,0,VLOOKUP($A9,[6]HISTOJUIL23!$A$6:$BQ$45,14,0))</f>
        <v>1</v>
      </c>
      <c r="C9" s="1" t="str">
        <f>VLOOKUP(A9,[7]LISTADHERENT!A$5:H$60,3,0)</f>
        <v>HOTCHO BENJAMIN</v>
      </c>
      <c r="D9" s="7">
        <f>IF(E9="ECHEC",0,VLOOKUP($A9,[6]HISTOJUIL23!$A$6:$BB$45,15,0))</f>
        <v>100000</v>
      </c>
      <c r="E9" s="7" t="str">
        <f>VLOOKUP($A9,[6]HISTOJUIL23!$A$6:$BB$45,8,0)</f>
        <v>BANQUE</v>
      </c>
      <c r="F9" s="7">
        <f>VLOOKUP($A9,[6]HISTOJUIL23!$A$6:$BB$45,37,0)</f>
        <v>0</v>
      </c>
      <c r="G9" s="7">
        <f>VLOOKUP($A9,[6]HISTOJUIL23!$A$6:$BB$45,40,0)</f>
        <v>0</v>
      </c>
      <c r="H9" s="7" t="str">
        <f>IF(F9&lt;&gt;0,VLOOKUP($A9,[6]HISTOJUIL23!$A$6:$BB$45,42,0),"ECHEC")</f>
        <v>ECHEC</v>
      </c>
      <c r="I9" s="7">
        <f>VLOOKUP($A9,[6]HISTOJUIL23!$A$6:$BB$45,41,0)</f>
        <v>0</v>
      </c>
      <c r="J9" s="7">
        <f>TONTJUIN23!F9+TONTJUIN23!G9</f>
        <v>0</v>
      </c>
      <c r="K9" s="7">
        <f>VLOOKUP($A9,[6]HISTOJUIL23!$A$6:$BB$45,18,0)</f>
        <v>0</v>
      </c>
      <c r="L9" s="7" t="str">
        <f>IF(K9&lt;&gt;0,VLOOKUP($A9,[6]HISTOJUIL23!$A$6:$BB$45,42,0),"ECHEC")</f>
        <v>ECHEC</v>
      </c>
      <c r="M9" s="7" t="str">
        <f>IF(P9&lt;&gt;0,VLOOKUP($A9,[6]HISTOJUIL23!$A$6:$BB$45,32,0),"ECHEC")</f>
        <v>ECHEC</v>
      </c>
      <c r="N9" s="7">
        <f>VLOOKUP($A9,[6]HISTOJUIL23!$A$6:$BB$45,33,0)</f>
        <v>0</v>
      </c>
      <c r="O9" s="7">
        <f t="shared" si="0"/>
        <v>0</v>
      </c>
      <c r="P9" s="7">
        <f>VLOOKUP($A9,[6]HISTOJUIL23!$A$6:$BB$45,31,0)</f>
        <v>0</v>
      </c>
    </row>
    <row r="10" spans="1:16" x14ac:dyDescent="0.25">
      <c r="A10" s="1" t="s">
        <v>27</v>
      </c>
      <c r="B10" s="7">
        <f>IF(D10=0,0,VLOOKUP($A10,[6]HISTOJUIL23!$A$6:$BQ$45,14,0))</f>
        <v>1</v>
      </c>
      <c r="C10" s="1" t="str">
        <f>VLOOKUP(A10,[7]LISTADHERENT!A$5:H$60,3,0)</f>
        <v>KOUAMOU MOISE</v>
      </c>
      <c r="D10" s="7">
        <f>IF(E10="ECHEC",0,VLOOKUP($A10,[6]HISTOJUIL23!$A$6:$BB$45,15,0))</f>
        <v>100000</v>
      </c>
      <c r="E10" s="7" t="str">
        <f>VLOOKUP($A10,[6]HISTOJUIL23!$A$6:$BB$45,8,0)</f>
        <v>BANQUE</v>
      </c>
      <c r="F10" s="7">
        <f>VLOOKUP($A10,[6]HISTOJUIL23!$A$6:$BB$45,37,0)</f>
        <v>100000</v>
      </c>
      <c r="G10" s="7">
        <f>VLOOKUP($A10,[6]HISTOJUIL23!$A$6:$BB$45,40,0)</f>
        <v>1000</v>
      </c>
      <c r="H10" s="7" t="str">
        <f>IF(F10&lt;&gt;0,VLOOKUP($A10,[6]HISTOJUIL23!$A$6:$BB$45,42,0),"ECHEC")</f>
        <v>BANQUE</v>
      </c>
      <c r="I10" s="7">
        <f>VLOOKUP($A10,[6]HISTOJUIL23!$A$6:$BB$45,41,0)</f>
        <v>0</v>
      </c>
      <c r="J10" s="7">
        <f>TONTJUIN23!F10+TONTJUIN23!G10</f>
        <v>0</v>
      </c>
      <c r="K10" s="7">
        <f>VLOOKUP($A10,[6]HISTOJUIL23!$A$6:$BB$45,18,0)</f>
        <v>0</v>
      </c>
      <c r="L10" s="7" t="str">
        <f>IF(K10&lt;&gt;0,VLOOKUP($A10,[6]HISTOJUIL23!$A$6:$BB$45,42,0),"ECHEC")</f>
        <v>ECHEC</v>
      </c>
      <c r="M10" s="7" t="str">
        <f>IF(P10&lt;&gt;0,VLOOKUP($A10,[6]HISTOJUIL23!$A$6:$BB$45,32,0),"ECHEC")</f>
        <v>ECHEC</v>
      </c>
      <c r="N10" s="7">
        <f>VLOOKUP($A10,[6]HISTOJUIL23!$A$6:$BB$45,33,0)</f>
        <v>0</v>
      </c>
      <c r="O10" s="7">
        <f t="shared" si="0"/>
        <v>0</v>
      </c>
      <c r="P10" s="7">
        <f>VLOOKUP($A10,[6]HISTOJUIL23!$A$6:$BB$45,31,0)</f>
        <v>0</v>
      </c>
    </row>
    <row r="11" spans="1:16" x14ac:dyDescent="0.25">
      <c r="A11" s="1" t="s">
        <v>8</v>
      </c>
      <c r="B11" s="7">
        <f>IF(D11=0,0,VLOOKUP($A11,[6]HISTOJUIL23!$A$6:$BQ$45,14,0))</f>
        <v>1</v>
      </c>
      <c r="C11" s="1" t="str">
        <f>VLOOKUP(A11,[7]LISTADHERENT!A$5:H$60,3,0)</f>
        <v>KOUATCHO MESSACK</v>
      </c>
      <c r="D11" s="7">
        <f>IF(E11="ECHEC",0,VLOOKUP($A11,[6]HISTOJUIL23!$A$6:$BB$45,15,0))</f>
        <v>100000</v>
      </c>
      <c r="E11" s="7" t="str">
        <f>VLOOKUP($A11,[6]HISTOJUIL23!$A$6:$BB$45,8,0)</f>
        <v>BANQUE</v>
      </c>
      <c r="F11" s="7">
        <f>VLOOKUP($A11,[6]HISTOJUIL23!$A$6:$BB$45,37,0)</f>
        <v>0</v>
      </c>
      <c r="G11" s="7">
        <f>VLOOKUP($A11,[6]HISTOJUIL23!$A$6:$BB$45,40,0)</f>
        <v>0</v>
      </c>
      <c r="H11" s="7" t="str">
        <f>IF(F11&lt;&gt;0,VLOOKUP($A11,[6]HISTOJUIL23!$A$6:$BB$45,42,0),"ECHEC")</f>
        <v>ECHEC</v>
      </c>
      <c r="I11" s="7">
        <f>VLOOKUP($A11,[6]HISTOJUIL23!$A$6:$BB$45,41,0)</f>
        <v>0</v>
      </c>
      <c r="J11" s="7">
        <f>TONTJUIN23!F11+TONTJUIN23!G11</f>
        <v>0</v>
      </c>
      <c r="K11" s="7">
        <f>VLOOKUP($A11,[6]HISTOJUIL23!$A$6:$BB$45,18,0)</f>
        <v>0</v>
      </c>
      <c r="L11" s="7" t="str">
        <f>IF(K11&lt;&gt;0,VLOOKUP($A11,[6]HISTOJUIL23!$A$6:$BB$45,42,0),"ECHEC")</f>
        <v>ECHEC</v>
      </c>
      <c r="M11" s="7" t="str">
        <f>IF(P11&lt;&gt;0,VLOOKUP($A11,[6]HISTOJUIL23!$A$6:$BB$45,32,0),"ECHEC")</f>
        <v>ECHEC</v>
      </c>
      <c r="N11" s="7">
        <f>VLOOKUP($A11,[6]HISTOJUIL23!$A$6:$BB$45,33,0)</f>
        <v>0</v>
      </c>
      <c r="O11" s="7">
        <f t="shared" si="0"/>
        <v>0</v>
      </c>
      <c r="P11" s="7">
        <f>VLOOKUP($A11,[6]HISTOJUIL23!$A$6:$BB$45,31,0)</f>
        <v>0</v>
      </c>
    </row>
    <row r="12" spans="1:16" x14ac:dyDescent="0.25">
      <c r="A12" s="1" t="s">
        <v>23</v>
      </c>
      <c r="B12" s="7">
        <f>IF(D12=0,0,VLOOKUP($A12,[6]HISTOJUIL23!$A$6:$BQ$45,14,0))</f>
        <v>1</v>
      </c>
      <c r="C12" s="1" t="str">
        <f>VLOOKUP(A12,[7]LISTADHERENT!A$5:H$60,3,0)</f>
        <v>MBOGNING TUGMA GUY</v>
      </c>
      <c r="D12" s="7">
        <f>IF(E12="ECHEC",0,VLOOKUP($A12,[6]HISTOJUIL23!$A$6:$BB$45,15,0))</f>
        <v>100000</v>
      </c>
      <c r="E12" s="7" t="str">
        <f>VLOOKUP($A12,[6]HISTOJUIL23!$A$6:$BB$45,8,0)</f>
        <v>BANQUE</v>
      </c>
      <c r="F12" s="7">
        <f>VLOOKUP($A12,[6]HISTOJUIL23!$A$6:$BB$45,37,0)</f>
        <v>289500</v>
      </c>
      <c r="G12" s="7">
        <f>VLOOKUP($A12,[6]HISTOJUIL23!$A$6:$BB$45,40,0)</f>
        <v>2000</v>
      </c>
      <c r="H12" s="7" t="str">
        <f>IF(F12&lt;&gt;0,VLOOKUP($A12,[6]HISTOJUIL23!$A$6:$BB$45,42,0),"ECHEC")</f>
        <v>BANQUE</v>
      </c>
      <c r="I12" s="7">
        <f>VLOOKUP($A12,[6]HISTOJUIL23!$A$6:$BB$45,41,0)</f>
        <v>0</v>
      </c>
      <c r="J12" s="7">
        <f>TONTJUIN23!F12+TONTJUIN23!G12</f>
        <v>202000</v>
      </c>
      <c r="K12" s="7">
        <f>VLOOKUP($A12,[6]HISTOJUIL23!$A$6:$BB$45,18,0)</f>
        <v>202000</v>
      </c>
      <c r="L12" s="7" t="str">
        <f>IF(K12&lt;&gt;0,VLOOKUP($A12,[6]HISTOJUIL23!$A$6:$BB$45,42,0),"ECHEC")</f>
        <v>BANQUE</v>
      </c>
      <c r="M12" s="7" t="str">
        <f>IF(P12&lt;&gt;0,VLOOKUP($A12,[6]HISTOJUIL23!$A$6:$BB$45,32,0),"ECHEC")</f>
        <v>ECHEC</v>
      </c>
      <c r="N12" s="7">
        <f>VLOOKUP($A12,[6]HISTOJUIL23!$A$6:$BB$45,33,0)</f>
        <v>0</v>
      </c>
      <c r="O12" s="7">
        <f t="shared" si="0"/>
        <v>0</v>
      </c>
      <c r="P12" s="7">
        <f>VLOOKUP($A12,[6]HISTOJUIL23!$A$6:$BB$45,31,0)</f>
        <v>0</v>
      </c>
    </row>
    <row r="13" spans="1:16" x14ac:dyDescent="0.25">
      <c r="A13" s="1" t="s">
        <v>9</v>
      </c>
      <c r="B13" s="7">
        <f>IF(D13=0,0,VLOOKUP($A13,[6]HISTOJUIL23!$A$6:$BQ$45,14,0))</f>
        <v>2</v>
      </c>
      <c r="C13" s="1" t="str">
        <f>VLOOKUP(A13,[7]LISTADHERENT!A$5:H$60,3,0)</f>
        <v>NDJOMO ETIENNE</v>
      </c>
      <c r="D13" s="7">
        <f>IF(E13="ECHEC",0,VLOOKUP($A13,[6]HISTOJUIL23!$A$6:$BB$45,15,0))</f>
        <v>200000</v>
      </c>
      <c r="E13" s="7" t="str">
        <f>VLOOKUP($A13,[6]HISTOJUIL23!$A$6:$BB$45,8,0)</f>
        <v>BANQUE</v>
      </c>
      <c r="F13" s="7">
        <f>VLOOKUP($A13,[6]HISTOJUIL23!$A$6:$BB$45,37,0)</f>
        <v>0</v>
      </c>
      <c r="G13" s="7">
        <f>VLOOKUP($A13,[6]HISTOJUIL23!$A$6:$BB$45,40,0)</f>
        <v>0</v>
      </c>
      <c r="H13" s="7" t="str">
        <f>IF(F13&lt;&gt;0,VLOOKUP($A13,[6]HISTOJUIL23!$A$6:$BB$45,42,0),"ECHEC")</f>
        <v>ECHEC</v>
      </c>
      <c r="I13" s="7">
        <f>VLOOKUP($A13,[6]HISTOJUIL23!$A$6:$BB$45,41,0)</f>
        <v>0</v>
      </c>
      <c r="J13" s="7">
        <f>TONTJUIN23!F13+TONTJUIN23!G13</f>
        <v>202000</v>
      </c>
      <c r="K13" s="7">
        <f>VLOOKUP($A13,[6]HISTOJUIL23!$A$6:$BB$45,18,0)</f>
        <v>202000</v>
      </c>
      <c r="L13" s="7" t="str">
        <f>IF(K13&lt;&gt;0,VLOOKUP($A13,[6]HISTOJUIL23!$A$6:$BB$45,42,0),"ECHEC")</f>
        <v>BANQUE</v>
      </c>
      <c r="M13" s="7" t="str">
        <f>IF(P13&lt;&gt;0,VLOOKUP($A13,[6]HISTOJUIL23!$A$6:$BB$45,32,0),"ECHEC")</f>
        <v>ECHEC</v>
      </c>
      <c r="N13" s="7">
        <f>VLOOKUP($A13,[6]HISTOJUIL23!$A$6:$BB$45,33,0)</f>
        <v>0</v>
      </c>
      <c r="O13" s="7">
        <f t="shared" si="0"/>
        <v>0</v>
      </c>
      <c r="P13" s="7">
        <f>VLOOKUP($A13,[6]HISTOJUIL23!$A$6:$BB$45,31,0)</f>
        <v>0</v>
      </c>
    </row>
    <row r="14" spans="1:16" x14ac:dyDescent="0.25">
      <c r="A14" s="1" t="s">
        <v>10</v>
      </c>
      <c r="B14" s="7">
        <f>IF(D14=0,0,VLOOKUP($A14,[6]HISTOJUIL23!$A$6:$BQ$45,14,0))</f>
        <v>1</v>
      </c>
      <c r="C14" s="1" t="str">
        <f>VLOOKUP(A14,[7]LISTADHERENT!A$5:H$60,3,0)</f>
        <v>NGONDIEP CLAUDE</v>
      </c>
      <c r="D14" s="7">
        <f>IF(E14="ECHEC",0,VLOOKUP($A14,[6]HISTOJUIL23!$A$6:$BB$45,15,0))</f>
        <v>100000</v>
      </c>
      <c r="E14" s="7" t="str">
        <f>VLOOKUP($A14,[6]HISTOJUIL23!$A$6:$BB$45,8,0)</f>
        <v>BANQUE</v>
      </c>
      <c r="F14" s="7">
        <f>VLOOKUP($A14,[6]HISTOJUIL23!$A$6:$BB$45,37,0)</f>
        <v>100000</v>
      </c>
      <c r="G14" s="7">
        <f>VLOOKUP($A14,[6]HISTOJUIL23!$A$6:$BB$45,40,0)</f>
        <v>1000</v>
      </c>
      <c r="H14" s="7" t="str">
        <f>IF(F14&lt;&gt;0,VLOOKUP($A14,[6]HISTOJUIL23!$A$6:$BB$45,42,0),"ECHEC")</f>
        <v>BANQUE</v>
      </c>
      <c r="I14" s="7">
        <f>VLOOKUP($A14,[6]HISTOJUIL23!$A$6:$BB$45,41,0)</f>
        <v>0</v>
      </c>
      <c r="J14" s="7">
        <f>TONTJUIN23!F14+TONTJUIN23!G14</f>
        <v>0</v>
      </c>
      <c r="K14" s="7">
        <f>VLOOKUP($A14,[6]HISTOJUIL23!$A$6:$BB$45,18,0)</f>
        <v>0</v>
      </c>
      <c r="L14" s="7" t="str">
        <f>IF(K14&lt;&gt;0,VLOOKUP($A14,[6]HISTOJUIL23!$A$6:$BB$45,42,0),"ECHEC")</f>
        <v>ECHEC</v>
      </c>
      <c r="M14" s="7" t="str">
        <f>IF(P14&lt;&gt;0,VLOOKUP($A14,[6]HISTOJUIL23!$A$6:$BB$45,32,0),"ECHEC")</f>
        <v>ECHEC</v>
      </c>
      <c r="N14" s="7">
        <f>VLOOKUP($A14,[6]HISTOJUIL23!$A$6:$BB$45,33,0)</f>
        <v>0</v>
      </c>
      <c r="O14" s="7">
        <f t="shared" si="0"/>
        <v>0</v>
      </c>
      <c r="P14" s="7">
        <f>VLOOKUP($A14,[6]HISTOJUIL23!$A$6:$BB$45,31,0)</f>
        <v>0</v>
      </c>
    </row>
    <row r="15" spans="1:16" x14ac:dyDescent="0.25">
      <c r="A15" s="1" t="s">
        <v>44</v>
      </c>
      <c r="B15" s="7">
        <f>IF(D15=0,0,VLOOKUP($A15,[6]HISTOJUIL23!$A$6:$BQ$45,14,0))</f>
        <v>1</v>
      </c>
      <c r="C15" s="1" t="str">
        <f>VLOOKUP(A15,[7]LISTADHERENT!A$5:H$60,3,0)</f>
        <v>NGUIEMEGNI MATHIEU BLAISE</v>
      </c>
      <c r="D15" s="7">
        <f>IF(E15="ECHEC",0,VLOOKUP($A15,[6]HISTOJUIL23!$A$6:$BB$45,15,0))</f>
        <v>100000</v>
      </c>
      <c r="E15" s="7" t="str">
        <f>VLOOKUP($A15,[6]HISTOJUIL23!$A$6:$BB$45,8,0)</f>
        <v>BANQUE</v>
      </c>
      <c r="F15" s="7">
        <f>VLOOKUP($A15,[6]HISTOJUIL23!$A$6:$BB$45,37,0)</f>
        <v>100000</v>
      </c>
      <c r="G15" s="7">
        <f>VLOOKUP($A15,[6]HISTOJUIL23!$A$6:$BB$45,40,0)</f>
        <v>1000</v>
      </c>
      <c r="H15" s="7" t="str">
        <f>IF(F15&lt;&gt;0,VLOOKUP($A15,[6]HISTOJUIL23!$A$6:$BB$45,42,0),"ECHEC")</f>
        <v>BANQUE</v>
      </c>
      <c r="I15" s="7">
        <f>VLOOKUP($A15,[6]HISTOJUIL23!$A$6:$BB$45,41,0)</f>
        <v>0</v>
      </c>
      <c r="J15" s="7">
        <f>TONTJUIN23!F15+TONTJUIN23!G15</f>
        <v>0</v>
      </c>
      <c r="K15" s="7">
        <f>VLOOKUP($A15,[6]HISTOJUIL23!$A$6:$BB$45,18,0)</f>
        <v>0</v>
      </c>
      <c r="L15" s="7" t="str">
        <f>IF(K15&lt;&gt;0,VLOOKUP($A15,[6]HISTOJUIL23!$A$6:$BB$45,42,0),"ECHEC")</f>
        <v>ECHEC</v>
      </c>
      <c r="M15" s="7" t="str">
        <f>IF(P15&lt;&gt;0,VLOOKUP($A15,[6]HISTOJUIL23!$A$6:$BB$45,32,0),"ECHEC")</f>
        <v>ECHEC</v>
      </c>
      <c r="N15" s="7">
        <f>VLOOKUP($A15,[6]HISTOJUIL23!$A$6:$BB$45,33,0)</f>
        <v>0</v>
      </c>
      <c r="O15" s="7">
        <f t="shared" si="0"/>
        <v>0</v>
      </c>
      <c r="P15" s="7">
        <f>VLOOKUP($A15,[6]HISTOJUIL23!$A$6:$BB$45,31,0)</f>
        <v>0</v>
      </c>
    </row>
    <row r="16" spans="1:16" x14ac:dyDescent="0.25">
      <c r="A16" s="1" t="s">
        <v>47</v>
      </c>
      <c r="B16" s="7">
        <f>IF(D16=0,0,VLOOKUP($A16,[6]HISTOJUIL23!$A$6:$BQ$45,14,0))</f>
        <v>1</v>
      </c>
      <c r="C16" s="1" t="str">
        <f>VLOOKUP(A16,[7]LISTADHERENT!A$5:H$60,3,0)</f>
        <v>SIMO PIERRE</v>
      </c>
      <c r="D16" s="7">
        <f>IF(E16="ECHEC",0,VLOOKUP($A16,[6]HISTOJUIL23!$A$6:$BB$45,15,0))</f>
        <v>100000</v>
      </c>
      <c r="E16" s="7" t="str">
        <f>VLOOKUP($A16,[6]HISTOJUIL23!$A$6:$BB$45,8,0)</f>
        <v>BANQUE</v>
      </c>
      <c r="F16" s="7">
        <f>VLOOKUP($A16,[6]HISTOJUIL23!$A$6:$BB$45,37,0)</f>
        <v>0</v>
      </c>
      <c r="G16" s="7">
        <f>VLOOKUP($A16,[6]HISTOJUIL23!$A$6:$BB$45,40,0)</f>
        <v>0</v>
      </c>
      <c r="H16" s="7" t="str">
        <f>IF(F16&lt;&gt;0,VLOOKUP($A16,[6]HISTOJUIL23!$A$6:$BB$45,42,0),"ECHEC")</f>
        <v>ECHEC</v>
      </c>
      <c r="I16" s="7">
        <f>VLOOKUP($A16,[6]HISTOJUIL23!$A$6:$BB$45,41,0)</f>
        <v>0</v>
      </c>
      <c r="J16" s="7">
        <f>TONTJUIN23!F16+TONTJUIN23!G16</f>
        <v>0</v>
      </c>
      <c r="K16" s="7">
        <f>VLOOKUP($A16,[6]HISTOJUIL23!$A$6:$BB$45,18,0)</f>
        <v>0</v>
      </c>
      <c r="L16" s="7" t="str">
        <f>IF(K16&lt;&gt;0,VLOOKUP($A16,[6]HISTOJUIL23!$A$6:$BB$45,42,0),"ECHEC")</f>
        <v>ECHEC</v>
      </c>
      <c r="M16" s="7" t="str">
        <f>IF(P16&lt;&gt;0,VLOOKUP($A16,[6]HISTOJUIL23!$A$6:$BB$45,32,0),"ECHEC")</f>
        <v>ECHEC</v>
      </c>
      <c r="N16" s="7">
        <f>VLOOKUP($A16,[6]HISTOJUIL23!$A$6:$BB$45,33,0)</f>
        <v>0</v>
      </c>
      <c r="O16" s="7">
        <f t="shared" si="0"/>
        <v>0</v>
      </c>
      <c r="P16" s="7">
        <f>VLOOKUP($A16,[6]HISTOJUIL23!$A$6:$BB$45,31,0)</f>
        <v>0</v>
      </c>
    </row>
    <row r="17" spans="1:16" x14ac:dyDescent="0.25">
      <c r="A17" s="1" t="s">
        <v>22</v>
      </c>
      <c r="B17" s="7">
        <f>IF(D17=0,0,VLOOKUP($A17,[6]HISTOJUIL23!$A$6:$BQ$45,14,0))</f>
        <v>1</v>
      </c>
      <c r="C17" s="1" t="str">
        <f>VLOOKUP(A17,[7]LISTADHERENT!A$5:H$60,3,0)</f>
        <v>YOUMBI EMMANUEL</v>
      </c>
      <c r="D17" s="7">
        <f>IF(E17="ECHEC",0,VLOOKUP($A17,[6]HISTOJUIL23!$A$6:$BB$45,15,0))</f>
        <v>100000</v>
      </c>
      <c r="E17" s="7" t="str">
        <f>VLOOKUP($A17,[6]HISTOJUIL23!$A$6:$BB$45,8,0)</f>
        <v>BANQUE</v>
      </c>
      <c r="F17" s="7">
        <f>VLOOKUP($A17,[6]HISTOJUIL23!$A$6:$BB$45,37,0)</f>
        <v>0</v>
      </c>
      <c r="G17" s="7">
        <f>VLOOKUP($A17,[6]HISTOJUIL23!$A$6:$BB$45,40,0)</f>
        <v>0</v>
      </c>
      <c r="H17" s="7" t="str">
        <f>IF(F17&lt;&gt;0,VLOOKUP($A17,[6]HISTOJUIL23!$A$6:$BB$45,42,0),"ECHEC")</f>
        <v>ECHEC</v>
      </c>
      <c r="I17" s="7">
        <f>VLOOKUP($A17,[6]HISTOJUIL23!$A$6:$BB$45,41,0)</f>
        <v>0</v>
      </c>
      <c r="J17" s="7">
        <f>TONTJUIN23!F17+TONTJUIN23!G17</f>
        <v>0</v>
      </c>
      <c r="K17" s="7">
        <f>VLOOKUP($A17,[6]HISTOJUIL23!$A$6:$BB$45,18,0)</f>
        <v>0</v>
      </c>
      <c r="L17" s="7" t="str">
        <f>IF(K17&lt;&gt;0,VLOOKUP($A17,[6]HISTOJUIL23!$A$6:$BB$45,42,0),"ECHEC")</f>
        <v>ECHEC</v>
      </c>
      <c r="M17" s="7" t="str">
        <f>IF(P17&lt;&gt;0,VLOOKUP($A17,[6]HISTOJUIL23!$A$6:$BB$45,32,0),"ECHEC")</f>
        <v>ECHEC</v>
      </c>
      <c r="N17" s="7">
        <f>VLOOKUP($A17,[6]HISTOJUIL23!$A$6:$BB$45,33,0)</f>
        <v>0</v>
      </c>
      <c r="O17" s="7">
        <f t="shared" si="0"/>
        <v>0</v>
      </c>
      <c r="P17" s="7">
        <f>VLOOKUP($A17,[6]HISTOJUIL23!$A$6:$BB$45,31,0)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789500</v>
      </c>
      <c r="G20" s="8">
        <f>SUM(G6:G18)</f>
        <v>7000</v>
      </c>
      <c r="H20" s="8"/>
      <c r="I20" s="8">
        <f>SUM(I6:I18)</f>
        <v>0</v>
      </c>
      <c r="J20" s="8">
        <f>SUM(J6:J18)</f>
        <v>589500</v>
      </c>
      <c r="K20" s="8">
        <f>SUM(K6:K18)</f>
        <v>589500</v>
      </c>
      <c r="L20" s="8"/>
      <c r="M20" s="8"/>
      <c r="N20" s="8">
        <f>SUM(N6:N18)</f>
        <v>0</v>
      </c>
      <c r="O20" s="8">
        <f>SUM(O6:O18)</f>
        <v>0</v>
      </c>
      <c r="P20" s="8">
        <f>SUM(P6:P18)</f>
        <v>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D26+E26+P20+TONTJUIN23!N27</f>
        <v>1939500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0</v>
      </c>
      <c r="M23" s="8">
        <f>D3</f>
        <v>1</v>
      </c>
      <c r="N23" s="8">
        <f>COUNTIF(O8:O17,"&gt;0")</f>
        <v>0</v>
      </c>
      <c r="O23" s="8"/>
    </row>
    <row r="24" spans="1:16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589500</v>
      </c>
      <c r="F24" s="8">
        <f>SUMIFS(F6:F18,H6:H18,"BANQUE")</f>
        <v>789500</v>
      </c>
      <c r="G24" s="8">
        <f>SUMIFS(O6:O18,M6:M18,"BANQUE")</f>
        <v>0</v>
      </c>
      <c r="H24" s="8">
        <f>D24+E24-F24-G24</f>
        <v>1200000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1939500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589500</v>
      </c>
      <c r="F26" s="8">
        <f>F23+F24</f>
        <v>789500</v>
      </c>
      <c r="G26" s="8">
        <f t="shared" ref="G26:H26" si="1">G23+G24</f>
        <v>0</v>
      </c>
      <c r="H26" s="8">
        <f t="shared" si="1"/>
        <v>1200000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1150000</v>
      </c>
      <c r="M27"/>
      <c r="N27" s="8">
        <f>TONTJUIL23!L27</f>
        <v>1150000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TONTJUIN23!N29+TONTJUIL23!L29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TONTJUIN23!N30+TONTJUIL23!L30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H21" activePane="bottomRight" state="frozen"/>
      <selection activeCell="J14" sqref="J14"/>
      <selection pane="topRight" activeCell="J14" sqref="J14"/>
      <selection pane="bottomLeft" activeCell="J14" sqref="J14"/>
      <selection pane="bottomRight" activeCell="F20" sqref="F20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2</v>
      </c>
      <c r="E3" s="1"/>
      <c r="L3" s="1"/>
      <c r="M3" s="1"/>
    </row>
    <row r="4" spans="1:16" s="12" customFormat="1" ht="18" x14ac:dyDescent="0.25">
      <c r="B4" s="13"/>
      <c r="C4" s="20">
        <v>45151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IF(D6=0,0,VLOOKUP($A6,[6]HISTOAOUT23!$A$6:$BQ$45,14,0))</f>
        <v>1</v>
      </c>
      <c r="C6" s="1" t="str">
        <f>VLOOKUP(A6,[7]LISTADHERENT!A$5:H$60,3,0)</f>
        <v>ASELBY</v>
      </c>
      <c r="D6" s="7">
        <f>IF(E6="ECHEC",0,VLOOKUP($A6,[6]HISTOAOUT23!$A$6:$BB$45,15,0))</f>
        <v>100000</v>
      </c>
      <c r="E6" s="7" t="str">
        <f>VLOOKUP($A6,[6]HISTOAOUT23!$A$6:$BB$45,8,0)</f>
        <v>BANQUE</v>
      </c>
      <c r="F6" s="7">
        <f>VLOOKUP($A6,[6]HISTOAOUT23!$A$6:$BB$45,37,0)</f>
        <v>0</v>
      </c>
      <c r="G6" s="7">
        <f>VLOOKUP($A6,[6]HISTOAOUT23!$A$6:$BB$45,40,0)</f>
        <v>0</v>
      </c>
      <c r="H6" s="7" t="str">
        <f>IF(F6&lt;&gt;0,VLOOKUP($A6,[6]HISTOAOUT23!$A$6:$BB$45,42,0),"ECHEC")</f>
        <v>ECHEC</v>
      </c>
      <c r="I6" s="7">
        <f>VLOOKUP($A6,[6]HISTOAOUT23!$A$6:$BB$45,41,0)</f>
        <v>0</v>
      </c>
      <c r="J6" s="7">
        <f>TONTJUIL23!F6+TONTJUIL23!G6</f>
        <v>0</v>
      </c>
      <c r="K6" s="7">
        <f>VLOOKUP($A6,[6]HISTOAOUT23!$A$6:$BB$45,18,0)</f>
        <v>0</v>
      </c>
      <c r="L6" s="7" t="str">
        <f>IF(K6&lt;&gt;0,VLOOKUP($A6,[6]HISTOAOUT23!$A$6:$BB$45,42,0),"ECHEC")</f>
        <v>ECHEC</v>
      </c>
      <c r="M6" s="7" t="str">
        <f>IF(P6&lt;&gt;0,VLOOKUP($A6,[6]HISTOAOUT23!$A$6:$BB$45,32,0),"ECHEC")</f>
        <v>ECHEC</v>
      </c>
      <c r="N6" s="7">
        <f>VLOOKUP($A6,[6]HISTOAOUT23!$A$6:$BB$45,33,0)</f>
        <v>0</v>
      </c>
      <c r="O6" s="7">
        <f t="shared" ref="O6:O17" si="0">IF(P6=0,0,($C$3-P6))</f>
        <v>0</v>
      </c>
      <c r="P6" s="7">
        <f>VLOOKUP($A6,[6]HISTOAOUT23!$A$6:$BB$45,31,0)</f>
        <v>0</v>
      </c>
    </row>
    <row r="7" spans="1:16" x14ac:dyDescent="0.25">
      <c r="A7" s="1" t="s">
        <v>48</v>
      </c>
      <c r="B7" s="7">
        <f>IF(D7=0,0,VLOOKUP($A7,[6]HISTOAOUT23!$A$6:$BQ$45,14,0))</f>
        <v>1</v>
      </c>
      <c r="C7" s="1" t="str">
        <f>VLOOKUP(A7,[7]LISTADHERENT!A$5:H$60,3,0)</f>
        <v xml:space="preserve">DJOMO JEAN PAUL </v>
      </c>
      <c r="D7" s="7">
        <f>IF(E7="ECHEC",0,VLOOKUP($A7,[6]HISTOAOUT23!$A$6:$BB$45,15,0))</f>
        <v>100000</v>
      </c>
      <c r="E7" s="7" t="str">
        <f>VLOOKUP($A7,[6]HISTOAOUT23!$A$6:$BB$45,8,0)</f>
        <v>BANQUE</v>
      </c>
      <c r="F7" s="7">
        <f>VLOOKUP($A7,[6]HISTOAOUT23!$A$6:$BB$45,37,0)</f>
        <v>300000</v>
      </c>
      <c r="G7" s="7">
        <f>VLOOKUP($A7,[6]HISTOAOUT23!$A$6:$BB$45,40,0)</f>
        <v>3000</v>
      </c>
      <c r="H7" s="7" t="str">
        <f>IF(F7&lt;&gt;0,VLOOKUP($A7,[6]HISTOAOUT23!$A$6:$BB$45,42,0),"ECHEC")</f>
        <v>BANQUE</v>
      </c>
      <c r="I7" s="7">
        <f>VLOOKUP($A7,[6]HISTOAOUT23!$A$6:$BB$45,41,0)</f>
        <v>0</v>
      </c>
      <c r="J7" s="7">
        <f>TONTJUIL23!F7+TONTJUIL23!G7</f>
        <v>202000</v>
      </c>
      <c r="K7" s="7">
        <f>VLOOKUP($A7,[6]HISTOAOUT23!$A$6:$BB$45,18,0)</f>
        <v>202000</v>
      </c>
      <c r="L7" s="7" t="str">
        <f>IF(K7&lt;&gt;0,VLOOKUP($A7,[6]HISTOAOUT23!$A$6:$BB$45,42,0),"ECHEC")</f>
        <v>BANQUE</v>
      </c>
      <c r="M7" s="7" t="str">
        <f>IF(P7&lt;&gt;0,VLOOKUP($A7,[6]HISTOAOUT23!$A$6:$BB$45,32,0),"ECHEC")</f>
        <v>ECHEC</v>
      </c>
      <c r="N7" s="7">
        <f>VLOOKUP($A7,[6]HISTOAOUT23!$A$6:$BB$45,33,0)</f>
        <v>0</v>
      </c>
      <c r="O7" s="7">
        <f t="shared" si="0"/>
        <v>0</v>
      </c>
      <c r="P7" s="7">
        <f>VLOOKUP($A7,[6]HISTOAOUT23!$A$6:$BB$45,31,0)</f>
        <v>0</v>
      </c>
    </row>
    <row r="8" spans="1:16" x14ac:dyDescent="0.25">
      <c r="A8" s="1" t="s">
        <v>20</v>
      </c>
      <c r="B8" s="7">
        <f>IF(D8=0,0,VLOOKUP($A8,[6]HISTOAOUT23!$A$6:$BQ$45,14,0))</f>
        <v>2</v>
      </c>
      <c r="C8" s="1" t="str">
        <f>VLOOKUP(A8,[7]LISTADHERENT!A$5:H$60,3,0)</f>
        <v>DJUOMBESSY ANTOINE</v>
      </c>
      <c r="D8" s="7">
        <f>IF(E8="ECHEC",0,VLOOKUP($A8,[6]HISTOAOUT23!$A$6:$BB$45,15,0))</f>
        <v>200000</v>
      </c>
      <c r="E8" s="7" t="str">
        <f>VLOOKUP($A8,[6]HISTOAOUT23!$A$6:$BB$45,8,0)</f>
        <v>BANQUE</v>
      </c>
      <c r="F8" s="7">
        <f>VLOOKUP($A8,[6]HISTOAOUT23!$A$6:$BB$45,37,0)</f>
        <v>0</v>
      </c>
      <c r="G8" s="7">
        <f>VLOOKUP($A8,[6]HISTOAOUT23!$A$6:$BB$45,40,0)</f>
        <v>0</v>
      </c>
      <c r="H8" s="7" t="str">
        <f>IF(F8&lt;&gt;0,VLOOKUP($A8,[6]HISTOAOUT23!$A$6:$BB$45,42,0),"ECHEC")</f>
        <v>ECHEC</v>
      </c>
      <c r="I8" s="7">
        <f>VLOOKUP($A8,[6]HISTOAOUT23!$A$6:$BB$45,41,0)</f>
        <v>0</v>
      </c>
      <c r="J8" s="7">
        <f>TONTJUIL23!F8+TONTJUIL23!G8</f>
        <v>0</v>
      </c>
      <c r="K8" s="7">
        <f>VLOOKUP($A8,[6]HISTOAOUT23!$A$6:$BB$45,18,0)</f>
        <v>0</v>
      </c>
      <c r="L8" s="7" t="str">
        <f>IF(K8&lt;&gt;0,VLOOKUP($A8,[6]HISTOAOUT23!$A$6:$BB$45,42,0),"ECHEC")</f>
        <v>ECHEC</v>
      </c>
      <c r="M8" s="7" t="str">
        <f>IF(P8&lt;&gt;0,VLOOKUP($A8,[6]HISTOAOUT23!$A$6:$BB$45,32,0),"ECHEC")</f>
        <v>BANQUE</v>
      </c>
      <c r="N8" s="7">
        <f>VLOOKUP($A8,[6]HISTOAOUT23!$A$6:$BB$45,33,0)</f>
        <v>0</v>
      </c>
      <c r="O8" s="7">
        <f t="shared" si="0"/>
        <v>1190000</v>
      </c>
      <c r="P8" s="7">
        <f>VLOOKUP($A8,[6]HISTOAOUT23!$A$6:$BB$45,31,0)</f>
        <v>10000</v>
      </c>
    </row>
    <row r="9" spans="1:16" x14ac:dyDescent="0.25">
      <c r="A9" s="1" t="s">
        <v>21</v>
      </c>
      <c r="B9" s="7">
        <f>IF(D9=0,0,VLOOKUP($A9,[6]HISTOAOUT23!$A$6:$BQ$45,14,0))</f>
        <v>1</v>
      </c>
      <c r="C9" s="1" t="str">
        <f>VLOOKUP(A9,[7]LISTADHERENT!A$5:H$60,3,0)</f>
        <v>HOTCHO BENJAMIN</v>
      </c>
      <c r="D9" s="7">
        <f>IF(E9="ECHEC",0,VLOOKUP($A9,[6]HISTOAOUT23!$A$6:$BB$45,15,0))</f>
        <v>100000</v>
      </c>
      <c r="E9" s="7" t="str">
        <f>VLOOKUP($A9,[6]HISTOAOUT23!$A$6:$BB$45,8,0)</f>
        <v>BANQUE</v>
      </c>
      <c r="F9" s="7">
        <f>VLOOKUP($A9,[6]HISTOAOUT23!$A$6:$BB$45,37,0)</f>
        <v>0</v>
      </c>
      <c r="G9" s="7">
        <f>VLOOKUP($A9,[6]HISTOAOUT23!$A$6:$BB$45,40,0)</f>
        <v>0</v>
      </c>
      <c r="H9" s="7" t="str">
        <f>IF(F9&lt;&gt;0,VLOOKUP($A9,[6]HISTOAOUT23!$A$6:$BB$45,42,0),"ECHEC")</f>
        <v>ECHEC</v>
      </c>
      <c r="I9" s="7">
        <f>VLOOKUP($A9,[6]HISTOAOUT23!$A$6:$BB$45,41,0)</f>
        <v>0</v>
      </c>
      <c r="J9" s="7">
        <f>TONTJUIL23!F9+TONTJUIL23!G9</f>
        <v>0</v>
      </c>
      <c r="K9" s="7">
        <f>VLOOKUP($A9,[6]HISTOAOUT23!$A$6:$BB$45,18,0)</f>
        <v>0</v>
      </c>
      <c r="L9" s="7" t="str">
        <f>IF(K9&lt;&gt;0,VLOOKUP($A9,[6]HISTOAOUT23!$A$6:$BB$45,42,0),"ECHEC")</f>
        <v>ECHEC</v>
      </c>
      <c r="M9" s="7" t="str">
        <f>IF(P9&lt;&gt;0,VLOOKUP($A9,[6]HISTOAOUT23!$A$6:$BB$45,32,0),"ECHEC")</f>
        <v>ECHEC</v>
      </c>
      <c r="N9" s="7">
        <f>VLOOKUP($A9,[6]HISTOAOUT23!$A$6:$BB$45,33,0)</f>
        <v>0</v>
      </c>
      <c r="O9" s="7">
        <f t="shared" si="0"/>
        <v>0</v>
      </c>
      <c r="P9" s="7">
        <f>VLOOKUP($A9,[6]HISTOAOUT23!$A$6:$BB$45,31,0)</f>
        <v>0</v>
      </c>
    </row>
    <row r="10" spans="1:16" x14ac:dyDescent="0.25">
      <c r="A10" s="1" t="s">
        <v>27</v>
      </c>
      <c r="B10" s="7">
        <f>IF(D10=0,0,VLOOKUP($A10,[6]HISTOAOUT23!$A$6:$BQ$45,14,0))</f>
        <v>1</v>
      </c>
      <c r="C10" s="1" t="str">
        <f>VLOOKUP(A10,[7]LISTADHERENT!A$5:H$60,3,0)</f>
        <v>KOUAMOU MOISE</v>
      </c>
      <c r="D10" s="7">
        <f>IF(E10="ECHEC",0,VLOOKUP($A10,[6]HISTOAOUT23!$A$6:$BB$45,15,0))</f>
        <v>100000</v>
      </c>
      <c r="E10" s="7" t="str">
        <f>VLOOKUP($A10,[6]HISTOAOUT23!$A$6:$BB$45,8,0)</f>
        <v>BANQUE</v>
      </c>
      <c r="F10" s="7">
        <f>VLOOKUP($A10,[6]HISTOAOUT23!$A$6:$BB$45,37,0)</f>
        <v>0</v>
      </c>
      <c r="G10" s="7">
        <f>VLOOKUP($A10,[6]HISTOAOUT23!$A$6:$BB$45,40,0)</f>
        <v>0</v>
      </c>
      <c r="H10" s="7" t="str">
        <f>IF(F10&lt;&gt;0,VLOOKUP($A10,[6]HISTOAOUT23!$A$6:$BB$45,42,0),"ECHEC")</f>
        <v>ECHEC</v>
      </c>
      <c r="I10" s="7">
        <f>VLOOKUP($A10,[6]HISTOAOUT23!$A$6:$BB$45,41,0)</f>
        <v>0</v>
      </c>
      <c r="J10" s="7">
        <f>TONTJUIL23!F10+TONTJUIL23!G10</f>
        <v>101000</v>
      </c>
      <c r="K10" s="7">
        <f>VLOOKUP($A10,[6]HISTOAOUT23!$A$6:$BB$45,18,0)</f>
        <v>101000</v>
      </c>
      <c r="L10" s="7" t="str">
        <f>IF(K10&lt;&gt;0,VLOOKUP($A10,[6]HISTOAOUT23!$A$6:$BB$45,42,0),"ECHEC")</f>
        <v>BANQUE</v>
      </c>
      <c r="M10" s="7" t="str">
        <f>IF(P10&lt;&gt;0,VLOOKUP($A10,[6]HISTOAOUT23!$A$6:$BB$45,32,0),"ECHEC")</f>
        <v>ECHEC</v>
      </c>
      <c r="N10" s="7">
        <f>VLOOKUP($A10,[6]HISTOAOUT23!$A$6:$BB$45,33,0)</f>
        <v>0</v>
      </c>
      <c r="O10" s="7">
        <f t="shared" si="0"/>
        <v>0</v>
      </c>
      <c r="P10" s="7">
        <f>VLOOKUP($A10,[6]HISTOAOUT23!$A$6:$BB$45,31,0)</f>
        <v>0</v>
      </c>
    </row>
    <row r="11" spans="1:16" x14ac:dyDescent="0.25">
      <c r="A11" s="1" t="s">
        <v>8</v>
      </c>
      <c r="B11" s="7">
        <f>IF(D11=0,0,VLOOKUP($A11,[6]HISTOAOUT23!$A$6:$BQ$45,14,0))</f>
        <v>1</v>
      </c>
      <c r="C11" s="1" t="str">
        <f>VLOOKUP(A11,[7]LISTADHERENT!A$5:H$60,3,0)</f>
        <v>KOUATCHO MESSACK</v>
      </c>
      <c r="D11" s="7">
        <f>IF(E11="ECHEC",0,VLOOKUP($A11,[6]HISTOAOUT23!$A$6:$BB$45,15,0))</f>
        <v>100000</v>
      </c>
      <c r="E11" s="7" t="str">
        <f>VLOOKUP($A11,[6]HISTOAOUT23!$A$6:$BB$45,8,0)</f>
        <v>BANQUE</v>
      </c>
      <c r="F11" s="7">
        <f>VLOOKUP($A11,[6]HISTOAOUT23!$A$6:$BB$45,37,0)</f>
        <v>0</v>
      </c>
      <c r="G11" s="7">
        <f>VLOOKUP($A11,[6]HISTOAOUT23!$A$6:$BB$45,40,0)</f>
        <v>0</v>
      </c>
      <c r="H11" s="7" t="str">
        <f>IF(F11&lt;&gt;0,VLOOKUP($A11,[6]HISTOAOUT23!$A$6:$BB$45,42,0),"ECHEC")</f>
        <v>ECHEC</v>
      </c>
      <c r="I11" s="7">
        <f>VLOOKUP($A11,[6]HISTOAOUT23!$A$6:$BB$45,41,0)</f>
        <v>0</v>
      </c>
      <c r="J11" s="7">
        <f>TONTJUIL23!F11+TONTJUIL23!G11</f>
        <v>0</v>
      </c>
      <c r="K11" s="7">
        <f>VLOOKUP($A11,[6]HISTOAOUT23!$A$6:$BB$45,18,0)</f>
        <v>0</v>
      </c>
      <c r="L11" s="7" t="str">
        <f>IF(K11&lt;&gt;0,VLOOKUP($A11,[6]HISTOAOUT23!$A$6:$BB$45,42,0),"ECHEC")</f>
        <v>ECHEC</v>
      </c>
      <c r="M11" s="7" t="str">
        <f>IF(P11&lt;&gt;0,VLOOKUP($A11,[6]HISTOAOUT23!$A$6:$BB$45,32,0),"ECHEC")</f>
        <v>ECHEC</v>
      </c>
      <c r="N11" s="7">
        <f>VLOOKUP($A11,[6]HISTOAOUT23!$A$6:$BB$45,33,0)</f>
        <v>0</v>
      </c>
      <c r="O11" s="7">
        <f t="shared" si="0"/>
        <v>0</v>
      </c>
      <c r="P11" s="7">
        <f>VLOOKUP($A11,[6]HISTOAOUT23!$A$6:$BB$45,31,0)</f>
        <v>0</v>
      </c>
    </row>
    <row r="12" spans="1:16" x14ac:dyDescent="0.25">
      <c r="A12" s="1" t="s">
        <v>23</v>
      </c>
      <c r="B12" s="7">
        <f>IF(D12=0,0,VLOOKUP($A12,[6]HISTOAOUT23!$A$6:$BQ$45,14,0))</f>
        <v>1</v>
      </c>
      <c r="C12" s="1" t="str">
        <f>VLOOKUP(A12,[7]LISTADHERENT!A$5:H$60,3,0)</f>
        <v>MBOGNING TUGMA GUY</v>
      </c>
      <c r="D12" s="7">
        <f>IF(E12="ECHEC",0,VLOOKUP($A12,[6]HISTOAOUT23!$A$6:$BB$45,15,0))</f>
        <v>100000</v>
      </c>
      <c r="E12" s="7" t="str">
        <f>VLOOKUP($A12,[6]HISTOAOUT23!$A$6:$BB$45,8,0)</f>
        <v>BANQUE</v>
      </c>
      <c r="F12" s="7">
        <f>VLOOKUP($A12,[6]HISTOAOUT23!$A$6:$BB$45,37,0)</f>
        <v>100000</v>
      </c>
      <c r="G12" s="7">
        <f>VLOOKUP($A12,[6]HISTOAOUT23!$A$6:$BB$45,40,0)</f>
        <v>1000</v>
      </c>
      <c r="H12" s="7" t="str">
        <f>IF(F12&lt;&gt;0,VLOOKUP($A12,[6]HISTOAOUT23!$A$6:$BB$45,42,0),"ECHEC")</f>
        <v>BANQUE</v>
      </c>
      <c r="I12" s="7">
        <f>VLOOKUP($A12,[6]HISTOAOUT23!$A$6:$BB$45,41,0)</f>
        <v>0</v>
      </c>
      <c r="J12" s="7">
        <f>TONTJUIL23!F12+TONTJUIL23!G12</f>
        <v>291500</v>
      </c>
      <c r="K12" s="7">
        <f>VLOOKUP($A12,[6]HISTOAOUT23!$A$6:$BB$45,18,0)</f>
        <v>291500</v>
      </c>
      <c r="L12" s="7" t="str">
        <f>IF(K12&lt;&gt;0,VLOOKUP($A12,[6]HISTOAOUT23!$A$6:$BB$45,42,0),"ECHEC")</f>
        <v>BANQUE</v>
      </c>
      <c r="M12" s="7" t="str">
        <f>IF(P12&lt;&gt;0,VLOOKUP($A12,[6]HISTOAOUT23!$A$6:$BB$45,32,0),"ECHEC")</f>
        <v>ECHEC</v>
      </c>
      <c r="N12" s="7">
        <f>VLOOKUP($A12,[6]HISTOAOUT23!$A$6:$BB$45,33,0)</f>
        <v>0</v>
      </c>
      <c r="O12" s="7">
        <f t="shared" si="0"/>
        <v>0</v>
      </c>
      <c r="P12" s="7">
        <f>VLOOKUP($A12,[6]HISTOAOUT23!$A$6:$BB$45,31,0)</f>
        <v>0</v>
      </c>
    </row>
    <row r="13" spans="1:16" x14ac:dyDescent="0.25">
      <c r="A13" s="1" t="s">
        <v>9</v>
      </c>
      <c r="B13" s="7">
        <f>IF(D13=0,0,VLOOKUP($A13,[6]HISTOAOUT23!$A$6:$BQ$45,14,0))</f>
        <v>2</v>
      </c>
      <c r="C13" s="1" t="str">
        <f>VLOOKUP(A13,[7]LISTADHERENT!A$5:H$60,3,0)</f>
        <v>NDJOMO ETIENNE</v>
      </c>
      <c r="D13" s="7">
        <f>IF(E13="ECHEC",0,VLOOKUP($A13,[6]HISTOAOUT23!$A$6:$BB$45,15,0))</f>
        <v>200000</v>
      </c>
      <c r="E13" s="7" t="str">
        <f>VLOOKUP($A13,[6]HISTOAOUT23!$A$6:$BB$45,8,0)</f>
        <v>BANQUE</v>
      </c>
      <c r="F13" s="7">
        <f>VLOOKUP($A13,[6]HISTOAOUT23!$A$6:$BB$45,37,0)</f>
        <v>0</v>
      </c>
      <c r="G13" s="7">
        <f>VLOOKUP($A13,[6]HISTOAOUT23!$A$6:$BB$45,40,0)</f>
        <v>0</v>
      </c>
      <c r="H13" s="7" t="str">
        <f>IF(F13&lt;&gt;0,VLOOKUP($A13,[6]HISTOAOUT23!$A$6:$BB$45,42,0),"ECHEC")</f>
        <v>ECHEC</v>
      </c>
      <c r="I13" s="7">
        <f>VLOOKUP($A13,[6]HISTOAOUT23!$A$6:$BB$45,41,0)</f>
        <v>0</v>
      </c>
      <c r="J13" s="7">
        <f>TONTJUIL23!F13+TONTJUIL23!G13</f>
        <v>0</v>
      </c>
      <c r="K13" s="7">
        <f>VLOOKUP($A13,[6]HISTOAOUT23!$A$6:$BB$45,18,0)</f>
        <v>0</v>
      </c>
      <c r="L13" s="7" t="str">
        <f>IF(K13&lt;&gt;0,VLOOKUP($A13,[6]HISTOAOUT23!$A$6:$BB$45,42,0),"ECHEC")</f>
        <v>ECHEC</v>
      </c>
      <c r="M13" s="7" t="str">
        <f>IF(P13&lt;&gt;0,VLOOKUP($A13,[6]HISTOAOUT23!$A$6:$BB$45,32,0),"ECHEC")</f>
        <v>BANQUE</v>
      </c>
      <c r="N13" s="7">
        <f>VLOOKUP($A13,[6]HISTOAOUT23!$A$6:$BB$45,33,0)</f>
        <v>0</v>
      </c>
      <c r="O13" s="7">
        <f t="shared" si="0"/>
        <v>1190000</v>
      </c>
      <c r="P13" s="7">
        <f>VLOOKUP($A13,[6]HISTOAOUT23!$A$6:$BB$45,31,0)</f>
        <v>10000</v>
      </c>
    </row>
    <row r="14" spans="1:16" x14ac:dyDescent="0.25">
      <c r="A14" s="1" t="s">
        <v>10</v>
      </c>
      <c r="B14" s="7">
        <f>IF(D14=0,0,VLOOKUP($A14,[6]HISTOAOUT23!$A$6:$BQ$45,14,0))</f>
        <v>1</v>
      </c>
      <c r="C14" s="1" t="str">
        <f>VLOOKUP(A14,[7]LISTADHERENT!A$5:H$60,3,0)</f>
        <v>NGONDIEP CLAUDE</v>
      </c>
      <c r="D14" s="7">
        <f>IF(E14="ECHEC",0,VLOOKUP($A14,[6]HISTOAOUT23!$A$6:$BB$45,15,0))</f>
        <v>100000</v>
      </c>
      <c r="E14" s="7" t="str">
        <f>VLOOKUP($A14,[6]HISTOAOUT23!$A$6:$BB$45,8,0)</f>
        <v>BANQUE</v>
      </c>
      <c r="F14" s="7"/>
      <c r="G14" s="7"/>
      <c r="H14" s="7" t="str">
        <f>IF(F14&lt;&gt;0,VLOOKUP($A14,[6]HISTOAOUT23!$A$6:$BB$45,42,0),"ECHEC")</f>
        <v>ECHEC</v>
      </c>
      <c r="I14" s="7">
        <f>VLOOKUP($A14,[6]HISTOAOUT23!$A$6:$BB$45,41,0)</f>
        <v>0</v>
      </c>
      <c r="J14" s="7">
        <f>TONTJUIL23!F14+TONTJUIL23!G14</f>
        <v>101000</v>
      </c>
      <c r="K14" s="7">
        <f>VLOOKUP($A14,[6]HISTOAOUT23!$A$6:$BB$45,18,0)</f>
        <v>101000</v>
      </c>
      <c r="L14" s="7" t="str">
        <f>IF(K14&lt;&gt;0,VLOOKUP($A14,[6]HISTOAOUT23!$A$6:$BB$45,42,0),"ECHEC")</f>
        <v>BANQUE</v>
      </c>
      <c r="M14" s="7" t="str">
        <f>IF(P14&lt;&gt;0,VLOOKUP($A14,[6]HISTOAOUT23!$A$6:$BB$45,32,0),"ECHEC")</f>
        <v>ECHEC</v>
      </c>
      <c r="N14" s="7">
        <f>VLOOKUP($A14,[6]HISTOAOUT23!$A$6:$BB$45,33,0)</f>
        <v>0</v>
      </c>
      <c r="O14" s="7">
        <f t="shared" si="0"/>
        <v>0</v>
      </c>
      <c r="P14" s="7">
        <f>VLOOKUP($A14,[6]HISTOAOUT23!$A$6:$BB$45,31,0)</f>
        <v>0</v>
      </c>
    </row>
    <row r="15" spans="1:16" x14ac:dyDescent="0.25">
      <c r="A15" s="1" t="s">
        <v>44</v>
      </c>
      <c r="B15" s="7">
        <f>IF(D15=0,0,VLOOKUP($A15,[6]HISTOAOUT23!$A$6:$BQ$45,14,0))</f>
        <v>1</v>
      </c>
      <c r="C15" s="1" t="str">
        <f>VLOOKUP(A15,[7]LISTADHERENT!A$5:H$60,3,0)</f>
        <v>NGUIEMEGNI MATHIEU BLAISE</v>
      </c>
      <c r="D15" s="7">
        <f>IF(E15="ECHEC",0,VLOOKUP($A15,[6]HISTOAOUT23!$A$6:$BB$45,15,0))</f>
        <v>100000</v>
      </c>
      <c r="E15" s="7" t="str">
        <f>VLOOKUP($A15,[6]HISTOAOUT23!$A$6:$BB$45,8,0)</f>
        <v>BANQUE</v>
      </c>
      <c r="F15" s="7">
        <f>VLOOKUP($A15,[6]HISTOAOUT23!$A$6:$BB$45,37,0)</f>
        <v>0</v>
      </c>
      <c r="G15" s="7">
        <f>VLOOKUP($A15,[6]HISTOAOUT23!$A$6:$BB$45,40,0)</f>
        <v>0</v>
      </c>
      <c r="H15" s="7" t="str">
        <f>IF(F15&lt;&gt;0,VLOOKUP($A15,[6]HISTOAOUT23!$A$6:$BB$45,42,0),"ECHEC")</f>
        <v>ECHEC</v>
      </c>
      <c r="I15" s="7">
        <f>VLOOKUP($A15,[6]HISTOAOUT23!$A$6:$BB$45,41,0)</f>
        <v>0</v>
      </c>
      <c r="J15" s="7">
        <f>TONTJUIL23!F15+TONTJUIL23!G15</f>
        <v>101000</v>
      </c>
      <c r="K15" s="7">
        <f>VLOOKUP($A15,[6]HISTOAOUT23!$A$6:$BB$45,18,0)</f>
        <v>101000</v>
      </c>
      <c r="L15" s="7" t="str">
        <f>IF(K15&lt;&gt;0,VLOOKUP($A15,[6]HISTOAOUT23!$A$6:$BB$45,42,0),"ECHEC")</f>
        <v>BANQUE</v>
      </c>
      <c r="M15" s="7" t="str">
        <f>IF(P15&lt;&gt;0,VLOOKUP($A15,[6]HISTOAOUT23!$A$6:$BB$45,32,0),"ECHEC")</f>
        <v>ECHEC</v>
      </c>
      <c r="N15" s="7">
        <f>VLOOKUP($A15,[6]HISTOAOUT23!$A$6:$BB$45,33,0)</f>
        <v>0</v>
      </c>
      <c r="O15" s="7">
        <f t="shared" si="0"/>
        <v>0</v>
      </c>
      <c r="P15" s="7">
        <f>VLOOKUP($A15,[6]HISTOAOUT23!$A$6:$BB$45,31,0)</f>
        <v>0</v>
      </c>
    </row>
    <row r="16" spans="1:16" x14ac:dyDescent="0.25">
      <c r="A16" s="1" t="s">
        <v>47</v>
      </c>
      <c r="B16" s="7">
        <f>IF(D16=0,0,VLOOKUP($A16,[6]HISTOAOUT23!$A$6:$BQ$45,14,0))</f>
        <v>1</v>
      </c>
      <c r="C16" s="1" t="str">
        <f>VLOOKUP(A16,[7]LISTADHERENT!A$5:H$60,3,0)</f>
        <v>SIMO PIERRE</v>
      </c>
      <c r="D16" s="7">
        <f>IF(E16="ECHEC",0,VLOOKUP($A16,[6]HISTOAOUT23!$A$6:$BB$45,15,0))</f>
        <v>100000</v>
      </c>
      <c r="E16" s="7" t="str">
        <f>VLOOKUP($A16,[6]HISTOAOUT23!$A$6:$BB$45,8,0)</f>
        <v>BANQUE</v>
      </c>
      <c r="F16" s="7">
        <f>VLOOKUP($A16,[6]HISTOAOUT23!$A$6:$BB$45,37,0)</f>
        <v>0</v>
      </c>
      <c r="G16" s="7">
        <f>VLOOKUP($A16,[6]HISTOAOUT23!$A$6:$BB$45,40,0)</f>
        <v>0</v>
      </c>
      <c r="H16" s="7" t="str">
        <f>IF(F16&lt;&gt;0,VLOOKUP($A16,[6]HISTOAOUT23!$A$6:$BB$45,42,0),"ECHEC")</f>
        <v>ECHEC</v>
      </c>
      <c r="I16" s="7">
        <f>VLOOKUP($A16,[6]HISTOAOUT23!$A$6:$BB$45,41,0)</f>
        <v>0</v>
      </c>
      <c r="J16" s="7">
        <f>TONTJUIL23!F16+TONTJUIL23!G16</f>
        <v>0</v>
      </c>
      <c r="K16" s="7">
        <f>VLOOKUP($A16,[6]HISTOAOUT23!$A$6:$BB$45,18,0)</f>
        <v>0</v>
      </c>
      <c r="L16" s="7" t="str">
        <f>IF(K16&lt;&gt;0,VLOOKUP($A16,[6]HISTOAOUT23!$A$6:$BB$45,42,0),"ECHEC")</f>
        <v>ECHEC</v>
      </c>
      <c r="M16" s="7" t="str">
        <f>IF(P16&lt;&gt;0,VLOOKUP($A16,[6]HISTOAOUT23!$A$6:$BB$45,32,0),"ECHEC")</f>
        <v>ECHEC</v>
      </c>
      <c r="N16" s="7">
        <f>VLOOKUP($A16,[6]HISTOAOUT23!$A$6:$BB$45,33,0)</f>
        <v>0</v>
      </c>
      <c r="O16" s="7">
        <f t="shared" si="0"/>
        <v>0</v>
      </c>
      <c r="P16" s="7">
        <f>VLOOKUP($A16,[6]HISTOAOUT23!$A$6:$BB$45,31,0)</f>
        <v>0</v>
      </c>
    </row>
    <row r="17" spans="1:16" x14ac:dyDescent="0.25">
      <c r="A17" s="1" t="s">
        <v>22</v>
      </c>
      <c r="B17" s="7">
        <f>IF(D17=0,0,VLOOKUP($A17,[6]HISTOAOUT23!$A$6:$BQ$45,14,0))</f>
        <v>1</v>
      </c>
      <c r="C17" s="1" t="str">
        <f>VLOOKUP(A17,[7]LISTADHERENT!A$5:H$60,3,0)</f>
        <v>YOUMBI EMMANUEL</v>
      </c>
      <c r="D17" s="7">
        <f>IF(E17="ECHEC",0,VLOOKUP($A17,[6]HISTOAOUT23!$A$6:$BB$45,15,0))</f>
        <v>100000</v>
      </c>
      <c r="E17" s="7" t="str">
        <f>VLOOKUP($A17,[6]HISTOAOUT23!$A$6:$BB$45,8,0)</f>
        <v>BANQUE</v>
      </c>
      <c r="F17" s="7">
        <f>VLOOKUP($A17,[6]HISTOAOUT23!$A$6:$BB$45,37,0)</f>
        <v>0</v>
      </c>
      <c r="G17" s="7">
        <f>VLOOKUP($A17,[6]HISTOAOUT23!$A$6:$BB$45,40,0)</f>
        <v>0</v>
      </c>
      <c r="H17" s="7" t="str">
        <f>IF(F17&lt;&gt;0,VLOOKUP($A17,[6]HISTOAOUT23!$A$6:$BB$45,42,0),"ECHEC")</f>
        <v>ECHEC</v>
      </c>
      <c r="I17" s="7">
        <f>VLOOKUP($A17,[6]HISTOAOUT23!$A$6:$BB$45,41,0)</f>
        <v>0</v>
      </c>
      <c r="J17" s="7">
        <f>TONTJUIL23!F17+TONTJUIL23!G17</f>
        <v>0</v>
      </c>
      <c r="K17" s="7">
        <f>VLOOKUP($A17,[6]HISTOAOUT23!$A$6:$BB$45,18,0)</f>
        <v>0</v>
      </c>
      <c r="L17" s="7" t="str">
        <f>IF(K17&lt;&gt;0,VLOOKUP($A17,[6]HISTOAOUT23!$A$6:$BB$45,42,0),"ECHEC")</f>
        <v>ECHEC</v>
      </c>
      <c r="M17" s="7" t="str">
        <f>IF(P17&lt;&gt;0,VLOOKUP($A17,[6]HISTOAOUT23!$A$6:$BB$45,32,0),"ECHEC")</f>
        <v>ECHEC</v>
      </c>
      <c r="N17" s="7">
        <f>VLOOKUP($A17,[6]HISTOAOUT23!$A$6:$BB$45,33,0)</f>
        <v>0</v>
      </c>
      <c r="O17" s="7">
        <f t="shared" si="0"/>
        <v>0</v>
      </c>
      <c r="P17" s="7">
        <f>VLOOKUP($A17,[6]HISTOAOUT23!$A$6:$BB$45,31,0)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400000</v>
      </c>
      <c r="G20" s="8">
        <f>SUM(G6:G18)</f>
        <v>4000</v>
      </c>
      <c r="H20" s="8"/>
      <c r="I20" s="8">
        <f>SUM(I6:I18)</f>
        <v>0</v>
      </c>
      <c r="J20" s="8">
        <f>SUM(J6:J18)</f>
        <v>796500</v>
      </c>
      <c r="K20" s="8">
        <f>SUM(K6:K18)</f>
        <v>796500</v>
      </c>
      <c r="L20" s="8"/>
      <c r="M20" s="8"/>
      <c r="N20" s="8">
        <f>SUM(N6:N18)</f>
        <v>0</v>
      </c>
      <c r="O20" s="8">
        <f>SUM(O6:O18)</f>
        <v>2380000</v>
      </c>
      <c r="P20" s="8">
        <f>SUM(P6:P18)</f>
        <v>20000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D26+E26+P20+TONTJUIL23!N27</f>
        <v>3366500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2400000</v>
      </c>
      <c r="M23" s="8">
        <f>D3</f>
        <v>2</v>
      </c>
      <c r="N23" s="8">
        <f>COUNTIF(O8:O17,"&gt;0")</f>
        <v>2</v>
      </c>
      <c r="O23" s="8"/>
    </row>
    <row r="24" spans="1:16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796500</v>
      </c>
      <c r="F24" s="8">
        <f>SUMIFS(F6:F18,H6:H18,"BANQUE")</f>
        <v>400000</v>
      </c>
      <c r="G24" s="8">
        <f>SUMIFS(O6:O18,M6:M18,"BANQUE")</f>
        <v>2380000</v>
      </c>
      <c r="H24" s="8">
        <f>D24+E24-F24-G24</f>
        <v>-583500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966500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796500</v>
      </c>
      <c r="F26" s="8">
        <f>F23+F24</f>
        <v>400000</v>
      </c>
      <c r="G26" s="8">
        <f t="shared" ref="G26:H26" si="1">G23+G24</f>
        <v>2380000</v>
      </c>
      <c r="H26" s="8">
        <f t="shared" si="1"/>
        <v>-583500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566500</v>
      </c>
      <c r="M27"/>
      <c r="N27" s="17">
        <f>TONTAOUT23!L27</f>
        <v>566500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TONTJUIL23!N29+TONTAOUT23!L29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TONTAVRIL23!N30+TONTMAI23!L30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G15" activePane="bottomRight" state="frozen"/>
      <selection activeCell="J14" sqref="J14"/>
      <selection pane="topRight" activeCell="J14" sqref="J14"/>
      <selection pane="bottomLeft" activeCell="J14" sqref="J14"/>
      <selection pane="bottomRight" activeCell="N27" sqref="N27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1</v>
      </c>
      <c r="E3" s="1"/>
      <c r="L3" s="1"/>
      <c r="M3" s="1"/>
    </row>
    <row r="4" spans="1:16" s="12" customFormat="1" ht="18" x14ac:dyDescent="0.25">
      <c r="B4" s="13"/>
      <c r="C4" s="20">
        <v>45182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IF(D6=0,0,VLOOKUP($A6,[6]HISTOSEPT23!$A$6:$BQ$45,14,0))</f>
        <v>1</v>
      </c>
      <c r="C6" s="1" t="str">
        <f>VLOOKUP(A6,[7]LISTADHERENT!A$5:H$60,3,0)</f>
        <v>ASELBY</v>
      </c>
      <c r="D6" s="7">
        <f>IF(E6="ECHEC",0,VLOOKUP($A6,[6]HISTOSEPT23!$A$6:$BB$45,15,0))</f>
        <v>100000</v>
      </c>
      <c r="E6" s="7" t="str">
        <f>VLOOKUP($A6,[6]HISTOSEPT23!$A$6:$BB$45,8,0)</f>
        <v>BANQUE</v>
      </c>
      <c r="F6" s="7">
        <f>VLOOKUP($A6,[6]HISTOSEPT23!$A$6:$BB$45,37,0)</f>
        <v>0</v>
      </c>
      <c r="G6" s="7">
        <f>VLOOKUP($A6,[6]HISTOSEPT23!$A$6:$BB$45,40,0)</f>
        <v>0</v>
      </c>
      <c r="H6" s="7" t="str">
        <f>IF(F6&lt;&gt;0,VLOOKUP($A6,[6]HISTOSEPT23!$A$6:$BB$45,42,0),"ECHEC")</f>
        <v>ECHEC</v>
      </c>
      <c r="I6" s="7">
        <f>VLOOKUP($A6,[6]HISTOSEPT23!$A$6:$BB$45,41,0)</f>
        <v>0</v>
      </c>
      <c r="J6" s="7">
        <f>TONTAOUT23!F6+TONTAOUT23!G6</f>
        <v>0</v>
      </c>
      <c r="K6" s="7">
        <f>VLOOKUP($A6,[6]HISTOSEPT23!$A$6:$BB$45,18,0)</f>
        <v>0</v>
      </c>
      <c r="L6" s="7" t="str">
        <f>IF(K6&lt;&gt;0,VLOOKUP($A6,[6]HISTOSEPT23!$A$6:$BB$45,42,0),"ECHEC")</f>
        <v>ECHEC</v>
      </c>
      <c r="M6" s="7" t="str">
        <f>IF(P6&lt;&gt;0,VLOOKUP($A6,[6]HISTOSEPT23!$A$6:$BB$45,32,0),"ECHEC")</f>
        <v>ECHEC</v>
      </c>
      <c r="N6" s="7">
        <f>VLOOKUP($A6,[6]HISTOSEPT23!$A$6:$BB$45,33,0)</f>
        <v>0</v>
      </c>
      <c r="O6" s="7">
        <f t="shared" ref="O6:O17" si="0">IF(P6=0,0,($C$3-P6))</f>
        <v>0</v>
      </c>
      <c r="P6" s="7">
        <f>VLOOKUP($A6,[6]HISTOSEPT23!$A$6:$BB$45,31,0)</f>
        <v>0</v>
      </c>
    </row>
    <row r="7" spans="1:16" x14ac:dyDescent="0.25">
      <c r="A7" s="1" t="s">
        <v>48</v>
      </c>
      <c r="B7" s="7">
        <f>IF(D7=0,0,VLOOKUP($A7,[6]HISTOSEPT23!$A$6:$BQ$45,14,0))</f>
        <v>1</v>
      </c>
      <c r="C7" s="1" t="str">
        <f>VLOOKUP(A7,[7]LISTADHERENT!A$5:H$60,3,0)</f>
        <v xml:space="preserve">DJOMO JEAN PAUL </v>
      </c>
      <c r="D7" s="7">
        <f>IF(E7="ECHEC",0,VLOOKUP($A7,[6]HISTOSEPT23!$A$6:$BB$45,15,0))</f>
        <v>100000</v>
      </c>
      <c r="E7" s="7" t="str">
        <f>VLOOKUP($A7,[6]HISTOSEPT23!$A$6:$BB$45,8,0)</f>
        <v>BANQUE</v>
      </c>
      <c r="F7" s="7">
        <f>VLOOKUP($A7,[6]HISTOSEPT23!$A$6:$BB$45,37,0)</f>
        <v>200000</v>
      </c>
      <c r="G7" s="7">
        <f>VLOOKUP($A7,[6]HISTOSEPT23!$A$6:$BB$45,40,0)</f>
        <v>2000</v>
      </c>
      <c r="H7" s="7" t="str">
        <f>IF(F7&lt;&gt;0,VLOOKUP($A7,[6]HISTOSEPT23!$A$6:$BB$45,42,0),"ECHEC")</f>
        <v>BANQUE</v>
      </c>
      <c r="I7" s="7">
        <f>VLOOKUP($A7,[6]HISTOSEPT23!$A$6:$BB$45,41,0)</f>
        <v>0</v>
      </c>
      <c r="J7" s="7">
        <f>TONTAOUT23!F7+TONTAOUT23!G7</f>
        <v>303000</v>
      </c>
      <c r="K7" s="7">
        <f>VLOOKUP($A7,[6]HISTOSEPT23!$A$6:$BB$45,18,0)</f>
        <v>303000</v>
      </c>
      <c r="L7" s="7" t="str">
        <f>IF(K7&lt;&gt;0,VLOOKUP($A7,[6]HISTOSEPT23!$A$6:$BB$45,42,0),"ECHEC")</f>
        <v>BANQUE</v>
      </c>
      <c r="M7" s="7" t="str">
        <f>IF(P7&lt;&gt;0,VLOOKUP($A7,[6]HISTOSEPT23!$A$6:$BB$45,32,0),"ECHEC")</f>
        <v>ECHEC</v>
      </c>
      <c r="N7" s="7">
        <f>VLOOKUP($A7,[6]HISTOSEPT23!$A$6:$BB$45,33,0)</f>
        <v>0</v>
      </c>
      <c r="O7" s="7">
        <f t="shared" si="0"/>
        <v>0</v>
      </c>
      <c r="P7" s="7">
        <f>VLOOKUP($A7,[6]HISTOSEPT23!$A$6:$BB$45,31,0)</f>
        <v>0</v>
      </c>
    </row>
    <row r="8" spans="1:16" x14ac:dyDescent="0.25">
      <c r="A8" s="1" t="s">
        <v>20</v>
      </c>
      <c r="B8" s="7">
        <f>IF(D8=0,0,VLOOKUP($A8,[6]HISTOSEPT23!$A$6:$BQ$45,14,0))</f>
        <v>2</v>
      </c>
      <c r="C8" s="1" t="str">
        <f>VLOOKUP(A8,[7]LISTADHERENT!A$5:H$60,3,0)</f>
        <v>DJUOMBESSY ANTOINE</v>
      </c>
      <c r="D8" s="7">
        <f>IF(E8="ECHEC",0,VLOOKUP($A8,[6]HISTOSEPT23!$A$6:$BB$45,15,0))</f>
        <v>200000</v>
      </c>
      <c r="E8" s="7" t="str">
        <f>VLOOKUP($A8,[6]HISTOSEPT23!$A$6:$BB$45,8,0)</f>
        <v>BANQUE</v>
      </c>
      <c r="F8" s="7">
        <f>VLOOKUP($A8,[6]HISTOSEPT23!$A$6:$BB$45,37,0)</f>
        <v>200000</v>
      </c>
      <c r="G8" s="7">
        <f>VLOOKUP($A8,[6]HISTOSEPT23!$A$6:$BB$45,40,0)</f>
        <v>2000</v>
      </c>
      <c r="H8" s="7" t="str">
        <f>IF(F8&lt;&gt;0,VLOOKUP($A8,[6]HISTOSEPT23!$A$6:$BB$45,42,0),"ECHEC")</f>
        <v>BANQUE</v>
      </c>
      <c r="I8" s="7">
        <f>VLOOKUP($A8,[6]HISTOSEPT23!$A$6:$BB$45,41,0)</f>
        <v>0</v>
      </c>
      <c r="J8" s="7">
        <f>TONTAOUT23!F8+TONTAOUT23!G8</f>
        <v>0</v>
      </c>
      <c r="K8" s="7">
        <f>VLOOKUP($A8,[6]HISTOSEPT23!$A$6:$BB$45,18,0)</f>
        <v>0</v>
      </c>
      <c r="L8" s="7" t="str">
        <f>IF(K8&lt;&gt;0,VLOOKUP($A8,[6]HISTOSEPT23!$A$6:$BB$45,42,0),"ECHEC")</f>
        <v>ECHEC</v>
      </c>
      <c r="M8" s="7" t="str">
        <f>IF(P8&lt;&gt;0,VLOOKUP($A8,[6]HISTOSEPT23!$A$6:$BB$45,32,0),"ECHEC")</f>
        <v>ECHEC</v>
      </c>
      <c r="N8" s="7">
        <f>VLOOKUP($A8,[6]HISTOSEPT23!$A$6:$BB$45,33,0)</f>
        <v>0</v>
      </c>
      <c r="O8" s="7">
        <f t="shared" si="0"/>
        <v>0</v>
      </c>
      <c r="P8" s="7">
        <f>VLOOKUP($A8,[6]HISTOSEPT23!$A$6:$BB$45,31,0)</f>
        <v>0</v>
      </c>
    </row>
    <row r="9" spans="1:16" x14ac:dyDescent="0.25">
      <c r="A9" s="1" t="s">
        <v>21</v>
      </c>
      <c r="B9" s="7">
        <f>IF(D9=0,0,VLOOKUP($A9,[6]HISTOSEPT23!$A$6:$BQ$45,14,0))</f>
        <v>1</v>
      </c>
      <c r="C9" s="1" t="str">
        <f>VLOOKUP(A9,[7]LISTADHERENT!A$5:H$60,3,0)</f>
        <v>HOTCHO BENJAMIN</v>
      </c>
      <c r="D9" s="7">
        <f>IF(E9="ECHEC",0,VLOOKUP($A9,[6]HISTOSEPT23!$A$6:$BB$45,15,0))</f>
        <v>100000</v>
      </c>
      <c r="E9" s="7" t="str">
        <f>VLOOKUP($A9,[6]HISTOSEPT23!$A$6:$BB$45,8,0)</f>
        <v>BANQUE</v>
      </c>
      <c r="F9" s="7">
        <f>VLOOKUP($A9,[6]HISTOSEPT23!$A$6:$BB$45,37,0)</f>
        <v>200000</v>
      </c>
      <c r="G9" s="7">
        <f>VLOOKUP($A9,[6]HISTOSEPT23!$A$6:$BB$45,40,0)</f>
        <v>2000</v>
      </c>
      <c r="H9" s="7">
        <f>IF(F9&lt;&gt;0,VLOOKUP($A9,[6]HISTOSEPT23!$A$6:$BB$45,42,0),"ECHEC")</f>
        <v>0</v>
      </c>
      <c r="I9" s="7">
        <f>VLOOKUP($A9,[6]HISTOSEPT23!$A$6:$BB$45,41,0)</f>
        <v>0</v>
      </c>
      <c r="J9" s="7">
        <f>TONTAOUT23!F9+TONTAOUT23!G9</f>
        <v>0</v>
      </c>
      <c r="K9" s="7">
        <f>VLOOKUP($A9,[6]HISTOSEPT23!$A$6:$BB$45,18,0)</f>
        <v>0</v>
      </c>
      <c r="L9" s="7" t="str">
        <f>IF(K9&lt;&gt;0,VLOOKUP($A9,[6]HISTOSEPT23!$A$6:$BB$45,42,0),"ECHEC")</f>
        <v>ECHEC</v>
      </c>
      <c r="M9" s="7" t="str">
        <f>IF(P9&lt;&gt;0,VLOOKUP($A9,[6]HISTOSEPT23!$A$6:$BB$45,32,0),"ECHEC")</f>
        <v>ECHEC</v>
      </c>
      <c r="N9" s="7">
        <f>VLOOKUP($A9,[6]HISTOSEPT23!$A$6:$BB$45,33,0)</f>
        <v>0</v>
      </c>
      <c r="O9" s="7">
        <f t="shared" si="0"/>
        <v>0</v>
      </c>
      <c r="P9" s="7">
        <f>VLOOKUP($A9,[6]HISTOSEPT23!$A$6:$BB$45,31,0)</f>
        <v>0</v>
      </c>
    </row>
    <row r="10" spans="1:16" x14ac:dyDescent="0.25">
      <c r="A10" s="1" t="s">
        <v>27</v>
      </c>
      <c r="B10" s="7">
        <f>IF(D10=0,0,VLOOKUP($A10,[6]HISTOSEPT23!$A$6:$BQ$45,14,0))</f>
        <v>1</v>
      </c>
      <c r="C10" s="1" t="str">
        <f>VLOOKUP(A10,[7]LISTADHERENT!A$5:H$60,3,0)</f>
        <v>KOUAMOU MOISE</v>
      </c>
      <c r="D10" s="7">
        <f>IF(E10="ECHEC",0,VLOOKUP($A10,[6]HISTOSEPT23!$A$6:$BB$45,15,0))</f>
        <v>100000</v>
      </c>
      <c r="E10" s="7" t="str">
        <f>VLOOKUP($A10,[6]HISTOSEPT23!$A$6:$BB$45,8,0)</f>
        <v>BANQUE</v>
      </c>
      <c r="F10" s="7">
        <f>VLOOKUP($A10,[6]HISTOSEPT23!$A$6:$BB$45,37,0)</f>
        <v>0</v>
      </c>
      <c r="G10" s="7">
        <f>VLOOKUP($A10,[6]HISTOSEPT23!$A$6:$BB$45,40,0)</f>
        <v>0</v>
      </c>
      <c r="H10" s="7" t="str">
        <f>IF(F10&lt;&gt;0,VLOOKUP($A10,[6]HISTOSEPT23!$A$6:$BB$45,42,0),"ECHEC")</f>
        <v>ECHEC</v>
      </c>
      <c r="I10" s="7">
        <f>VLOOKUP($A10,[6]HISTOSEPT23!$A$6:$BB$45,41,0)</f>
        <v>0</v>
      </c>
      <c r="J10" s="7">
        <f>TONTAOUT23!F10+TONTAOUT23!G10</f>
        <v>0</v>
      </c>
      <c r="K10" s="7">
        <f>VLOOKUP($A10,[6]HISTOSEPT23!$A$6:$BB$45,18,0)</f>
        <v>0</v>
      </c>
      <c r="L10" s="7" t="str">
        <f>IF(K10&lt;&gt;0,VLOOKUP($A10,[6]HISTOSEPT23!$A$6:$BB$45,42,0),"ECHEC")</f>
        <v>ECHEC</v>
      </c>
      <c r="M10" s="7" t="str">
        <f>IF(P10&lt;&gt;0,VLOOKUP($A10,[6]HISTOSEPT23!$A$6:$BB$45,32,0),"ECHEC")</f>
        <v>ECHEC</v>
      </c>
      <c r="N10" s="7">
        <f>VLOOKUP($A10,[6]HISTOSEPT23!$A$6:$BB$45,33,0)</f>
        <v>0</v>
      </c>
      <c r="O10" s="7">
        <f t="shared" si="0"/>
        <v>0</v>
      </c>
      <c r="P10" s="7">
        <f>VLOOKUP($A10,[6]HISTOSEPT23!$A$6:$BB$45,31,0)</f>
        <v>0</v>
      </c>
    </row>
    <row r="11" spans="1:16" x14ac:dyDescent="0.25">
      <c r="A11" s="1" t="s">
        <v>8</v>
      </c>
      <c r="B11" s="7">
        <f>IF(D11=0,0,VLOOKUP($A11,[6]HISTOSEPT23!$A$6:$BQ$45,14,0))</f>
        <v>1</v>
      </c>
      <c r="C11" s="1" t="str">
        <f>VLOOKUP(A11,[7]LISTADHERENT!A$5:H$60,3,0)</f>
        <v>KOUATCHO MESSACK</v>
      </c>
      <c r="D11" s="7">
        <f>IF(E11="ECHEC",0,VLOOKUP($A11,[6]HISTOSEPT23!$A$6:$BB$45,15,0))</f>
        <v>100000</v>
      </c>
      <c r="E11" s="7" t="str">
        <f>VLOOKUP($A11,[6]HISTOSEPT23!$A$6:$BB$45,8,0)</f>
        <v>BANQUE</v>
      </c>
      <c r="F11" s="7">
        <f>VLOOKUP($A11,[6]HISTOSEPT23!$A$6:$BB$45,37,0)</f>
        <v>100000</v>
      </c>
      <c r="G11" s="7">
        <f>VLOOKUP($A11,[6]HISTOSEPT23!$A$6:$BB$45,40,0)</f>
        <v>1000</v>
      </c>
      <c r="H11" s="7">
        <f>IF(F11&lt;&gt;0,VLOOKUP($A11,[6]HISTOSEPT23!$A$6:$BB$45,42,0),"ECHEC")</f>
        <v>0</v>
      </c>
      <c r="I11" s="7">
        <f>VLOOKUP($A11,[6]HISTOSEPT23!$A$6:$BB$45,41,0)</f>
        <v>0</v>
      </c>
      <c r="J11" s="7">
        <f>TONTAOUT23!F11+TONTAOUT23!G11</f>
        <v>0</v>
      </c>
      <c r="K11" s="7">
        <f>VLOOKUP($A11,[6]HISTOSEPT23!$A$6:$BB$45,18,0)</f>
        <v>0</v>
      </c>
      <c r="L11" s="7" t="str">
        <f>IF(K11&lt;&gt;0,VLOOKUP($A11,[6]HISTOSEPT23!$A$6:$BB$45,42,0),"ECHEC")</f>
        <v>ECHEC</v>
      </c>
      <c r="M11" s="7" t="str">
        <f>IF(P11&lt;&gt;0,VLOOKUP($A11,[6]HISTOSEPT23!$A$6:$BB$45,32,0),"ECHEC")</f>
        <v>ECHEC</v>
      </c>
      <c r="N11" s="7">
        <f>VLOOKUP($A11,[6]HISTOSEPT23!$A$6:$BB$45,33,0)</f>
        <v>0</v>
      </c>
      <c r="O11" s="7">
        <f t="shared" si="0"/>
        <v>0</v>
      </c>
      <c r="P11" s="7">
        <f>VLOOKUP($A11,[6]HISTOSEPT23!$A$6:$BB$45,31,0)</f>
        <v>0</v>
      </c>
    </row>
    <row r="12" spans="1:16" x14ac:dyDescent="0.25">
      <c r="A12" s="1" t="s">
        <v>23</v>
      </c>
      <c r="B12" s="7">
        <f>IF(D12=0,0,VLOOKUP($A12,[6]HISTOSEPT23!$A$6:$BQ$45,14,0))</f>
        <v>1</v>
      </c>
      <c r="C12" s="1" t="str">
        <f>VLOOKUP(A12,[7]LISTADHERENT!A$5:H$60,3,0)</f>
        <v>MBOGNING TUGMA GUY</v>
      </c>
      <c r="D12" s="7">
        <f>IF(E12="ECHEC",0,VLOOKUP($A12,[6]HISTOSEPT23!$A$6:$BB$45,15,0))</f>
        <v>100000</v>
      </c>
      <c r="E12" s="7" t="str">
        <f>VLOOKUP($A12,[6]HISTOSEPT23!$A$6:$BB$45,8,0)</f>
        <v>BANQUE</v>
      </c>
      <c r="F12" s="7">
        <f>VLOOKUP($A12,[6]HISTOSEPT23!$A$6:$BB$45,37,0)</f>
        <v>200000</v>
      </c>
      <c r="G12" s="7">
        <f>VLOOKUP($A12,[6]HISTOSEPT23!$A$6:$BB$45,40,0)</f>
        <v>2000</v>
      </c>
      <c r="H12" s="7" t="str">
        <f>IF(F12&lt;&gt;0,VLOOKUP($A12,[6]HISTOSEPT23!$A$6:$BB$45,42,0),"ECHEC")</f>
        <v>BANQUE</v>
      </c>
      <c r="I12" s="7">
        <f>VLOOKUP($A12,[6]HISTOSEPT23!$A$6:$BB$45,41,0)</f>
        <v>0</v>
      </c>
      <c r="J12" s="7">
        <f>TONTAOUT23!F12+TONTAOUT23!G12</f>
        <v>101000</v>
      </c>
      <c r="K12" s="7">
        <f>VLOOKUP($A12,[6]HISTOSEPT23!$A$6:$BB$45,18,0)</f>
        <v>101000</v>
      </c>
      <c r="L12" s="7" t="str">
        <f>IF(K12&lt;&gt;0,VLOOKUP($A12,[6]HISTOSEPT23!$A$6:$BB$45,42,0),"ECHEC")</f>
        <v>BANQUE</v>
      </c>
      <c r="M12" s="7" t="str">
        <f>IF(P12&lt;&gt;0,VLOOKUP($A12,[6]HISTOSEPT23!$A$6:$BB$45,32,0),"ECHEC")</f>
        <v>ECHEC</v>
      </c>
      <c r="N12" s="7">
        <f>VLOOKUP($A12,[6]HISTOSEPT23!$A$6:$BB$45,33,0)</f>
        <v>0</v>
      </c>
      <c r="O12" s="7">
        <f t="shared" si="0"/>
        <v>0</v>
      </c>
      <c r="P12" s="7">
        <f>VLOOKUP($A12,[6]HISTOSEPT23!$A$6:$BB$45,31,0)</f>
        <v>0</v>
      </c>
    </row>
    <row r="13" spans="1:16" x14ac:dyDescent="0.25">
      <c r="A13" s="1" t="s">
        <v>9</v>
      </c>
      <c r="B13" s="7">
        <f>IF(D13=0,0,VLOOKUP($A13,[6]HISTOSEPT23!$A$6:$BQ$45,14,0))</f>
        <v>2</v>
      </c>
      <c r="C13" s="1" t="str">
        <f>VLOOKUP(A13,[7]LISTADHERENT!A$5:H$60,3,0)</f>
        <v>NDJOMO ETIENNE</v>
      </c>
      <c r="D13" s="7">
        <f>IF(E13="ECHEC",0,VLOOKUP($A13,[6]HISTOSEPT23!$A$6:$BB$45,15,0))</f>
        <v>200000</v>
      </c>
      <c r="E13" s="7" t="str">
        <f>VLOOKUP($A13,[6]HISTOSEPT23!$A$6:$BB$45,8,0)</f>
        <v>BANQUE</v>
      </c>
      <c r="F13" s="7">
        <f>VLOOKUP($A13,[6]HISTOSEPT23!$A$6:$BB$45,37,0)</f>
        <v>100000</v>
      </c>
      <c r="G13" s="7">
        <f>VLOOKUP($A13,[6]HISTOSEPT23!$A$6:$BB$45,40,0)</f>
        <v>1000</v>
      </c>
      <c r="H13" s="7">
        <f>IF(F13&lt;&gt;0,VLOOKUP($A13,[6]HISTOSEPT23!$A$6:$BB$45,42,0),"ECHEC")</f>
        <v>0</v>
      </c>
      <c r="I13" s="7">
        <f>VLOOKUP($A13,[6]HISTOSEPT23!$A$6:$BB$45,41,0)</f>
        <v>0</v>
      </c>
      <c r="J13" s="7">
        <f>TONTAOUT23!F13+TONTAOUT23!G13</f>
        <v>0</v>
      </c>
      <c r="K13" s="7">
        <f>VLOOKUP($A13,[6]HISTOSEPT23!$A$6:$BB$45,18,0)</f>
        <v>0</v>
      </c>
      <c r="L13" s="7" t="str">
        <f>IF(K13&lt;&gt;0,VLOOKUP($A13,[6]HISTOSEPT23!$A$6:$BB$45,42,0),"ECHEC")</f>
        <v>ECHEC</v>
      </c>
      <c r="M13" s="7" t="str">
        <f>IF(P13&lt;&gt;0,VLOOKUP($A13,[6]HISTOSEPT23!$A$6:$BB$45,32,0),"ECHEC")</f>
        <v>ECHEC</v>
      </c>
      <c r="N13" s="7">
        <f>VLOOKUP($A13,[6]HISTOSEPT23!$A$6:$BB$45,33,0)</f>
        <v>0</v>
      </c>
      <c r="O13" s="7">
        <f t="shared" si="0"/>
        <v>0</v>
      </c>
      <c r="P13" s="7">
        <f>VLOOKUP($A13,[6]HISTOSEPT23!$A$6:$BB$45,31,0)</f>
        <v>0</v>
      </c>
    </row>
    <row r="14" spans="1:16" x14ac:dyDescent="0.25">
      <c r="A14" s="1" t="s">
        <v>10</v>
      </c>
      <c r="B14" s="7">
        <f>IF(D14=0,0,VLOOKUP($A14,[6]HISTOSEPT23!$A$6:$BQ$45,14,0))</f>
        <v>1</v>
      </c>
      <c r="C14" s="1" t="str">
        <f>VLOOKUP(A14,[7]LISTADHERENT!A$5:H$60,3,0)</f>
        <v>NGONDIEP CLAUDE</v>
      </c>
      <c r="D14" s="7">
        <f>IF(E14="ECHEC",0,VLOOKUP($A14,[6]HISTOSEPT23!$A$6:$BB$45,15,0))</f>
        <v>100000</v>
      </c>
      <c r="E14" s="7" t="str">
        <f>VLOOKUP($A14,[6]HISTOSEPT23!$A$6:$BB$45,8,0)</f>
        <v>BANQUE</v>
      </c>
      <c r="F14" s="7">
        <f>VLOOKUP($A14,[6]HISTOSEPT23!$A$6:$BB$45,37,0)</f>
        <v>200000</v>
      </c>
      <c r="G14" s="7">
        <f>VLOOKUP($A14,[6]HISTOSEPT23!$A$6:$BB$45,40,0)</f>
        <v>2000</v>
      </c>
      <c r="H14" s="7">
        <f>IF(F14&lt;&gt;0,VLOOKUP($A14,[6]HISTOSEPT23!$A$6:$BB$45,42,0),"ECHEC")</f>
        <v>0</v>
      </c>
      <c r="I14" s="7">
        <f>VLOOKUP($A14,[6]HISTOSEPT23!$A$6:$BB$45,41,0)</f>
        <v>0</v>
      </c>
      <c r="J14" s="7">
        <f>TONTAOUT23!F14+TONTAOUT23!G14</f>
        <v>0</v>
      </c>
      <c r="K14" s="7">
        <f>VLOOKUP($A14,[6]HISTOSEPT23!$A$6:$BB$45,18,0)</f>
        <v>0</v>
      </c>
      <c r="L14" s="7" t="str">
        <f>IF(K14&lt;&gt;0,VLOOKUP($A14,[6]HISTOSEPT23!$A$6:$BB$45,42,0),"ECHEC")</f>
        <v>ECHEC</v>
      </c>
      <c r="M14" s="7" t="str">
        <f>IF(P14&lt;&gt;0,VLOOKUP($A14,[6]HISTOSEPT23!$A$6:$BB$45,32,0),"ECHEC")</f>
        <v>ECHEC</v>
      </c>
      <c r="N14" s="7">
        <f>VLOOKUP($A14,[6]HISTOSEPT23!$A$6:$BB$45,33,0)</f>
        <v>0</v>
      </c>
      <c r="O14" s="7">
        <f t="shared" si="0"/>
        <v>0</v>
      </c>
      <c r="P14" s="7">
        <f>VLOOKUP($A14,[6]HISTOSEPT23!$A$6:$BB$45,31,0)</f>
        <v>0</v>
      </c>
    </row>
    <row r="15" spans="1:16" x14ac:dyDescent="0.25">
      <c r="A15" s="1" t="s">
        <v>44</v>
      </c>
      <c r="B15" s="7">
        <f>IF(D15=0,0,VLOOKUP($A15,[6]HISTOSEPT23!$A$6:$BQ$45,14,0))</f>
        <v>1</v>
      </c>
      <c r="C15" s="1" t="str">
        <f>VLOOKUP(A15,[7]LISTADHERENT!A$5:H$60,3,0)</f>
        <v>NGUIEMEGNI MATHIEU BLAISE</v>
      </c>
      <c r="D15" s="7">
        <f>IF(E15="ECHEC",0,VLOOKUP($A15,[6]HISTOSEPT23!$A$6:$BB$45,15,0))</f>
        <v>100000</v>
      </c>
      <c r="E15" s="7" t="str">
        <f>VLOOKUP($A15,[6]HISTOSEPT23!$A$6:$BB$45,8,0)</f>
        <v>BANQUE</v>
      </c>
      <c r="F15" s="7">
        <f>VLOOKUP($A15,[6]HISTOSEPT23!$A$6:$BB$45,37,0)</f>
        <v>200000</v>
      </c>
      <c r="G15" s="7">
        <f>VLOOKUP($A15,[6]HISTOSEPT23!$A$6:$BB$45,40,0)</f>
        <v>2000</v>
      </c>
      <c r="H15" s="7">
        <f>IF(F15&lt;&gt;0,VLOOKUP($A15,[6]HISTOSEPT23!$A$6:$BB$45,42,0),"ECHEC")</f>
        <v>0</v>
      </c>
      <c r="I15" s="7">
        <f>VLOOKUP($A15,[6]HISTOSEPT23!$A$6:$BB$45,41,0)</f>
        <v>0</v>
      </c>
      <c r="J15" s="7">
        <f>TONTAOUT23!F15+TONTAOUT23!G15</f>
        <v>0</v>
      </c>
      <c r="K15" s="7">
        <f>VLOOKUP($A15,[6]HISTOSEPT23!$A$6:$BB$45,18,0)</f>
        <v>0</v>
      </c>
      <c r="L15" s="7" t="str">
        <f>IF(K15&lt;&gt;0,VLOOKUP($A15,[6]HISTOSEPT23!$A$6:$BB$45,42,0),"ECHEC")</f>
        <v>ECHEC</v>
      </c>
      <c r="M15" s="7" t="str">
        <f>IF(P15&lt;&gt;0,VLOOKUP($A15,[6]HISTOSEPT23!$A$6:$BB$45,32,0),"ECHEC")</f>
        <v>ECHEC</v>
      </c>
      <c r="N15" s="7">
        <f>VLOOKUP($A15,[6]HISTOSEPT23!$A$6:$BB$45,33,0)</f>
        <v>0</v>
      </c>
      <c r="O15" s="7">
        <f t="shared" si="0"/>
        <v>0</v>
      </c>
      <c r="P15" s="7">
        <f>VLOOKUP($A15,[6]HISTOSEPT23!$A$6:$BB$45,31,0)</f>
        <v>0</v>
      </c>
    </row>
    <row r="16" spans="1:16" x14ac:dyDescent="0.25">
      <c r="A16" s="1" t="s">
        <v>47</v>
      </c>
      <c r="B16" s="7">
        <f>IF(D16=0,0,VLOOKUP($A16,[6]HISTOSEPT23!$A$6:$BQ$45,14,0))</f>
        <v>1</v>
      </c>
      <c r="C16" s="1" t="str">
        <f>VLOOKUP(A16,[7]LISTADHERENT!A$5:H$60,3,0)</f>
        <v>SIMO PIERRE</v>
      </c>
      <c r="D16" s="7">
        <f>IF(E16="ECHEC",0,VLOOKUP($A16,[6]HISTOSEPT23!$A$6:$BB$45,15,0))</f>
        <v>100000</v>
      </c>
      <c r="E16" s="7" t="str">
        <f>VLOOKUP($A16,[6]HISTOSEPT23!$A$6:$BB$45,8,0)</f>
        <v>BANQUE</v>
      </c>
      <c r="F16" s="7">
        <f>VLOOKUP($A16,[6]HISTOSEPT23!$A$6:$BB$45,37,0)</f>
        <v>30000</v>
      </c>
      <c r="G16" s="7">
        <f>VLOOKUP($A16,[6]HISTOSEPT23!$A$6:$BB$45,40,0)</f>
        <v>1000</v>
      </c>
      <c r="H16" s="7">
        <f>IF(F16&lt;&gt;0,VLOOKUP($A16,[6]HISTOSEPT23!$A$6:$BB$45,42,0),"ECHEC")</f>
        <v>0</v>
      </c>
      <c r="I16" s="7">
        <f>VLOOKUP($A16,[6]HISTOSEPT23!$A$6:$BB$45,41,0)</f>
        <v>0</v>
      </c>
      <c r="J16" s="7">
        <f>TONTAOUT23!F16+TONTAOUT23!G16</f>
        <v>0</v>
      </c>
      <c r="K16" s="7">
        <f>VLOOKUP($A16,[6]HISTOSEPT23!$A$6:$BB$45,18,0)</f>
        <v>0</v>
      </c>
      <c r="L16" s="7" t="str">
        <f>IF(K16&lt;&gt;0,VLOOKUP($A16,[6]HISTOSEPT23!$A$6:$BB$45,42,0),"ECHEC")</f>
        <v>ECHEC</v>
      </c>
      <c r="M16" s="7" t="str">
        <f>IF(P16&lt;&gt;0,VLOOKUP($A16,[6]HISTOSEPT23!$A$6:$BB$45,32,0),"ECHEC")</f>
        <v>ECHEC</v>
      </c>
      <c r="N16" s="7">
        <f>VLOOKUP($A16,[6]HISTOSEPT23!$A$6:$BB$45,33,0)</f>
        <v>0</v>
      </c>
      <c r="O16" s="7">
        <f t="shared" si="0"/>
        <v>0</v>
      </c>
      <c r="P16" s="7">
        <f>VLOOKUP($A16,[6]HISTOSEPT23!$A$6:$BB$45,31,0)</f>
        <v>0</v>
      </c>
    </row>
    <row r="17" spans="1:16" x14ac:dyDescent="0.25">
      <c r="A17" s="1" t="s">
        <v>22</v>
      </c>
      <c r="B17" s="7">
        <f>IF(D17=0,0,VLOOKUP($A17,[6]HISTOSEPT23!$A$6:$BQ$45,14,0))</f>
        <v>1</v>
      </c>
      <c r="C17" s="1" t="str">
        <f>VLOOKUP(A17,[7]LISTADHERENT!A$5:H$60,3,0)</f>
        <v>YOUMBI EMMANUEL</v>
      </c>
      <c r="D17" s="7">
        <f>IF(E17="ECHEC",0,VLOOKUP($A17,[6]HISTOSEPT23!$A$6:$BB$45,15,0))</f>
        <v>100000</v>
      </c>
      <c r="E17" s="7" t="str">
        <f>VLOOKUP($A17,[6]HISTOSEPT23!$A$6:$BB$45,8,0)</f>
        <v>BANQUE</v>
      </c>
      <c r="F17" s="7">
        <f>VLOOKUP($A17,[6]HISTOSEPT23!$A$6:$BB$45,37,0)</f>
        <v>0</v>
      </c>
      <c r="G17" s="7">
        <f>VLOOKUP($A17,[6]HISTOSEPT23!$A$6:$BB$45,40,0)</f>
        <v>0</v>
      </c>
      <c r="H17" s="7" t="str">
        <f>IF(F17&lt;&gt;0,VLOOKUP($A17,[6]HISTOSEPT23!$A$6:$BB$45,42,0),"ECHEC")</f>
        <v>ECHEC</v>
      </c>
      <c r="I17" s="7">
        <f>VLOOKUP($A17,[6]HISTOSEPT23!$A$6:$BB$45,41,0)</f>
        <v>0</v>
      </c>
      <c r="J17" s="7">
        <f>TONTAOUT23!F17+TONTAOUT23!G17</f>
        <v>0</v>
      </c>
      <c r="K17" s="7">
        <f>VLOOKUP($A17,[6]HISTOSEPT23!$A$6:$BB$45,18,0)</f>
        <v>0</v>
      </c>
      <c r="L17" s="7" t="str">
        <f>IF(K17&lt;&gt;0,VLOOKUP($A17,[6]HISTOSEPT23!$A$6:$BB$45,42,0),"ECHEC")</f>
        <v>ECHEC</v>
      </c>
      <c r="M17" s="7" t="str">
        <f>IF(P17&lt;&gt;0,VLOOKUP($A17,[6]HISTOSEPT23!$A$6:$BB$45,32,0),"ECHEC")</f>
        <v>ECHEC</v>
      </c>
      <c r="N17" s="7">
        <f>VLOOKUP($A17,[6]HISTOSEPT23!$A$6:$BB$45,33,0)</f>
        <v>0</v>
      </c>
      <c r="O17" s="7">
        <f t="shared" si="0"/>
        <v>0</v>
      </c>
      <c r="P17" s="7">
        <f>VLOOKUP($A17,[6]HISTOSEPT23!$A$6:$BB$45,31,0)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1430000</v>
      </c>
      <c r="G20" s="8">
        <f>SUM(G6:G18)</f>
        <v>15000</v>
      </c>
      <c r="H20" s="8"/>
      <c r="I20" s="8">
        <f>SUM(I6:I18)</f>
        <v>0</v>
      </c>
      <c r="J20" s="8">
        <f>SUM(J6:J18)</f>
        <v>404000</v>
      </c>
      <c r="K20" s="8">
        <f>SUM(K6:K18)</f>
        <v>404000</v>
      </c>
      <c r="L20" s="8"/>
      <c r="M20" s="8"/>
      <c r="N20" s="8">
        <f>SUM(N6:N18)</f>
        <v>0</v>
      </c>
      <c r="O20" s="8">
        <f>SUM(O6:O18)</f>
        <v>0</v>
      </c>
      <c r="P20" s="8">
        <f>SUM(P6:P18)</f>
        <v>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D26+E26+P20+TONTAOUT23!N27</f>
        <v>2370500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0</v>
      </c>
      <c r="M23" s="8">
        <f>D3</f>
        <v>1</v>
      </c>
      <c r="N23" s="8">
        <f>COUNTIF(O8:O17,"&gt;0")</f>
        <v>0</v>
      </c>
      <c r="O23" s="8"/>
    </row>
    <row r="24" spans="1:16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404000</v>
      </c>
      <c r="F24" s="8">
        <f>SUMIFS(F6:F18,H6:H18,"BANQUE")</f>
        <v>600000</v>
      </c>
      <c r="G24" s="8">
        <f>SUMIFS(O6:O18,M6:M18,"BANQUE")</f>
        <v>0</v>
      </c>
      <c r="H24" s="8">
        <f>D24+E24-F24-G24</f>
        <v>1204000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2370500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404000</v>
      </c>
      <c r="F26" s="8">
        <f>F23+F24</f>
        <v>600000</v>
      </c>
      <c r="G26" s="8">
        <f t="shared" ref="G26:H26" si="1">G23+G24</f>
        <v>0</v>
      </c>
      <c r="H26" s="8">
        <f t="shared" si="1"/>
        <v>1204000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940500</v>
      </c>
      <c r="M27"/>
      <c r="N27" s="17">
        <f>TONTSEPT23!L27</f>
        <v>940500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TONTAOUT23!N29+TONTSEPT23!L29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TONTAVRIL23!N30+TONTMAI23!L30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xSplit="3" ySplit="5" topLeftCell="D18" activePane="bottomRight" state="frozen"/>
      <selection activeCell="J14" sqref="J14"/>
      <selection pane="topRight" activeCell="J14" sqref="J14"/>
      <selection pane="bottomLeft" activeCell="J14" sqref="J14"/>
      <selection pane="bottomRight" activeCell="L23" sqref="L2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  <col min="17" max="17" width="11.42578125" bestFit="1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3</v>
      </c>
      <c r="E3" s="1"/>
      <c r="L3" s="1"/>
      <c r="M3" s="1"/>
    </row>
    <row r="4" spans="1:16" s="12" customFormat="1" ht="18" x14ac:dyDescent="0.25">
      <c r="B4" s="13"/>
      <c r="C4" s="20">
        <v>45212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IF(D6=0,0,VLOOKUP($A6,[6]HISTOOCT23!$A$6:$BQ$45,14,0))</f>
        <v>1</v>
      </c>
      <c r="C6" s="1" t="str">
        <f>VLOOKUP(A6,[7]LISTADHERENT!A$5:H$60,3,0)</f>
        <v>ASELBY</v>
      </c>
      <c r="D6" s="7">
        <f>IF(E6="ECHEC",0,VLOOKUP($A6,[6]HISTOOCT23!$A$6:$BB$45,15,0))</f>
        <v>100000</v>
      </c>
      <c r="E6" s="7" t="str">
        <f>VLOOKUP($A6,[6]HISTOOCT23!$A$6:$BB$45,8,0)</f>
        <v>BANQUE</v>
      </c>
      <c r="F6" s="7">
        <f>VLOOKUP($A6,[6]HISTOOCT23!$A$6:$BB$45,37,0)</f>
        <v>0</v>
      </c>
      <c r="G6" s="7">
        <f>VLOOKUP($A6,[6]HISTOOCT23!$A$6:$BB$45,40,0)</f>
        <v>0</v>
      </c>
      <c r="H6" s="7" t="str">
        <f>IF(F6&lt;&gt;0,VLOOKUP($A6,[6]HISTOOCT23!$A$6:$BB$45,42,0),"ECHEC")</f>
        <v>ECHEC</v>
      </c>
      <c r="I6" s="7">
        <f>VLOOKUP($A6,[6]HISTOOCT23!$A$6:$BB$45,41,0)</f>
        <v>0</v>
      </c>
      <c r="J6" s="7">
        <f>TONTSEPT23!F6+TONTSEPT23!G6</f>
        <v>0</v>
      </c>
      <c r="K6" s="7">
        <f>VLOOKUP($A6,[6]HISTOOCT23!$A$6:$BB$45,18,0)</f>
        <v>0</v>
      </c>
      <c r="L6" s="7" t="str">
        <f>IF(K6&lt;&gt;0,VLOOKUP($A6,[6]HISTOOCT23!$A$6:$BB$45,42,0),"ECHEC")</f>
        <v>ECHEC</v>
      </c>
      <c r="M6" s="7" t="str">
        <f>IF(P6&lt;&gt;0,VLOOKUP($A6,[6]HISTOOCT23!$A$6:$BB$45,32,0),"ECHEC")</f>
        <v>ECHEC</v>
      </c>
      <c r="N6" s="7">
        <f>VLOOKUP($A6,[6]HISTOOCT23!$A$6:$BB$45,33,0)</f>
        <v>0</v>
      </c>
      <c r="O6" s="7">
        <f t="shared" ref="O6:O17" si="0">IF(P6=0,0,($C$3-P6))</f>
        <v>0</v>
      </c>
      <c r="P6" s="7">
        <f>VLOOKUP($A6,[6]HISTOOCT23!$A$6:$BB$45,31,0)</f>
        <v>0</v>
      </c>
    </row>
    <row r="7" spans="1:16" x14ac:dyDescent="0.25">
      <c r="A7" s="1" t="s">
        <v>48</v>
      </c>
      <c r="B7" s="7">
        <f>IF(D7=0,0,VLOOKUP($A7,[6]HISTOOCT23!$A$6:$BQ$45,14,0))</f>
        <v>1</v>
      </c>
      <c r="C7" s="1" t="str">
        <f>VLOOKUP(A7,[7]LISTADHERENT!A$5:H$60,3,0)</f>
        <v xml:space="preserve">DJOMO JEAN PAUL </v>
      </c>
      <c r="D7" s="7">
        <f>IF(E7="ECHEC",0,VLOOKUP($A7,[6]HISTOOCT23!$A$6:$BB$45,15,0))</f>
        <v>100000</v>
      </c>
      <c r="E7" s="7" t="str">
        <f>VLOOKUP($A7,[6]HISTOOCT23!$A$6:$BB$45,8,0)</f>
        <v>BANQUE</v>
      </c>
      <c r="F7" s="7">
        <f>VLOOKUP($A7,[6]HISTOOCT23!$A$6:$BB$45,37,0)</f>
        <v>200000</v>
      </c>
      <c r="G7" s="7">
        <f>VLOOKUP($A7,[6]HISTOOCT23!$A$6:$BB$45,40,0)</f>
        <v>2000</v>
      </c>
      <c r="H7" s="7" t="str">
        <f>IF(F7&lt;&gt;0,VLOOKUP($A7,[6]HISTOOCT23!$A$6:$BB$45,42,0),"ECHEC")</f>
        <v>BANQUE</v>
      </c>
      <c r="I7" s="7">
        <f>VLOOKUP($A7,[6]HISTOOCT23!$A$6:$BB$45,41,0)</f>
        <v>0</v>
      </c>
      <c r="J7" s="7">
        <f>TONTSEPT23!F7+TONTSEPT23!G7</f>
        <v>202000</v>
      </c>
      <c r="K7" s="7">
        <f>VLOOKUP($A7,[6]HISTOOCT23!$A$6:$BB$45,18,0)</f>
        <v>202000</v>
      </c>
      <c r="L7" s="7" t="str">
        <f>IF(K7&lt;&gt;0,VLOOKUP($A7,[6]HISTOOCT23!$A$6:$BB$45,42,0),"ECHEC")</f>
        <v>BANQUE</v>
      </c>
      <c r="M7" s="7" t="str">
        <f>IF(P7&lt;&gt;0,VLOOKUP($A7,[6]HISTOOCT23!$A$6:$BB$45,32,0),"ECHEC")</f>
        <v>ECHEC</v>
      </c>
      <c r="N7" s="7">
        <f>VLOOKUP($A7,[6]HISTOOCT23!$A$6:$BB$45,33,0)</f>
        <v>0</v>
      </c>
      <c r="O7" s="7">
        <f t="shared" si="0"/>
        <v>0</v>
      </c>
      <c r="P7" s="7">
        <f>VLOOKUP($A7,[6]HISTOOCT23!$A$6:$BB$45,31,0)</f>
        <v>0</v>
      </c>
    </row>
    <row r="8" spans="1:16" x14ac:dyDescent="0.25">
      <c r="A8" s="1" t="s">
        <v>20</v>
      </c>
      <c r="B8" s="7">
        <f>IF(D8=0,0,VLOOKUP($A8,[6]HISTOOCT23!$A$6:$BQ$45,14,0))</f>
        <v>2</v>
      </c>
      <c r="C8" s="1" t="str">
        <f>VLOOKUP(A8,[7]LISTADHERENT!A$5:H$60,3,0)</f>
        <v>DJUOMBESSY ANTOINE</v>
      </c>
      <c r="D8" s="7">
        <f>IF(E8="ECHEC",0,VLOOKUP($A8,[6]HISTOOCT23!$A$6:$BB$45,15,0))</f>
        <v>200000</v>
      </c>
      <c r="E8" s="7" t="str">
        <f>VLOOKUP($A8,[6]HISTOOCT23!$A$6:$BB$45,8,0)</f>
        <v>BANQUE</v>
      </c>
      <c r="F8" s="7">
        <f>VLOOKUP($A8,[6]HISTOOCT23!$A$6:$BB$45,37,0)</f>
        <v>200000</v>
      </c>
      <c r="G8" s="7">
        <f>VLOOKUP($A8,[6]HISTOOCT23!$A$6:$BB$45,40,0)</f>
        <v>2000</v>
      </c>
      <c r="H8" s="7" t="str">
        <f>IF(F8&lt;&gt;0,VLOOKUP($A8,[6]HISTOOCT23!$A$6:$BB$45,42,0),"ECHEC")</f>
        <v>BANQUE</v>
      </c>
      <c r="I8" s="7">
        <f>VLOOKUP($A8,[6]HISTOOCT23!$A$6:$BB$45,41,0)</f>
        <v>0</v>
      </c>
      <c r="J8" s="7">
        <f>TONTSEPT23!F8+TONTSEPT23!G8</f>
        <v>202000</v>
      </c>
      <c r="K8" s="7">
        <f>VLOOKUP($A8,[6]HISTOOCT23!$A$6:$BB$45,18,0)</f>
        <v>202000</v>
      </c>
      <c r="L8" s="7" t="str">
        <f>IF(K8&lt;&gt;0,VLOOKUP($A8,[6]HISTOOCT23!$A$6:$BB$45,42,0),"ECHEC")</f>
        <v>BANQUE</v>
      </c>
      <c r="M8" s="7" t="str">
        <f>IF(P8&lt;&gt;0,VLOOKUP($A8,[6]HISTOOCT23!$A$6:$BB$45,32,0),"ECHEC")</f>
        <v>ECHEC</v>
      </c>
      <c r="N8" s="7">
        <f>VLOOKUP($A8,[6]HISTOOCT23!$A$6:$BB$45,33,0)</f>
        <v>0</v>
      </c>
      <c r="O8" s="7">
        <f t="shared" si="0"/>
        <v>0</v>
      </c>
      <c r="P8" s="7">
        <f>VLOOKUP($A8,[6]HISTOOCT23!$A$6:$BB$45,31,0)</f>
        <v>0</v>
      </c>
    </row>
    <row r="9" spans="1:16" x14ac:dyDescent="0.25">
      <c r="A9" s="1" t="s">
        <v>21</v>
      </c>
      <c r="B9" s="7">
        <f>IF(D9=0,0,VLOOKUP($A9,[6]HISTOOCT23!$A$6:$BQ$45,14,0))</f>
        <v>1</v>
      </c>
      <c r="C9" s="1" t="str">
        <f>VLOOKUP(A9,[7]LISTADHERENT!A$5:H$60,3,0)</f>
        <v>HOTCHO BENJAMIN</v>
      </c>
      <c r="D9" s="7">
        <f>IF(E9="ECHEC",0,VLOOKUP($A9,[6]HISTOOCT23!$A$6:$BB$45,15,0))</f>
        <v>100000</v>
      </c>
      <c r="E9" s="7" t="str">
        <f>VLOOKUP($A9,[6]HISTOOCT23!$A$6:$BB$45,8,0)</f>
        <v>BANQUE</v>
      </c>
      <c r="F9" s="7">
        <f>VLOOKUP($A9,[6]HISTOOCT23!$A$6:$BB$45,37,0)</f>
        <v>200000</v>
      </c>
      <c r="G9" s="7">
        <f>VLOOKUP($A9,[6]HISTOOCT23!$A$6:$BB$45,40,0)</f>
        <v>2000</v>
      </c>
      <c r="H9" s="7" t="str">
        <f>IF(F9&lt;&gt;0,VLOOKUP($A9,[6]HISTOOCT23!$A$6:$BB$45,42,0),"ECHEC")</f>
        <v>BANQUE</v>
      </c>
      <c r="I9" s="7">
        <f>VLOOKUP($A9,[6]HISTOOCT23!$A$6:$BB$45,41,0)</f>
        <v>0</v>
      </c>
      <c r="J9" s="7">
        <f>TONTSEPT23!F9+TONTSEPT23!G9</f>
        <v>202000</v>
      </c>
      <c r="K9" s="7">
        <f>VLOOKUP($A9,[6]HISTOOCT23!$A$6:$BB$45,18,0)</f>
        <v>202000</v>
      </c>
      <c r="L9" s="7" t="str">
        <f>IF(K9&lt;&gt;0,VLOOKUP($A9,[6]HISTOOCT23!$A$6:$BB$45,42,0),"ECHEC")</f>
        <v>BANQUE</v>
      </c>
      <c r="M9" s="7" t="str">
        <f>IF(P9&lt;&gt;0,VLOOKUP($A9,[6]HISTOOCT23!$A$6:$BB$45,32,0),"ECHEC")</f>
        <v>ECHEC</v>
      </c>
      <c r="N9" s="7">
        <f>VLOOKUP($A9,[6]HISTOOCT23!$A$6:$BB$45,33,0)</f>
        <v>0</v>
      </c>
      <c r="O9" s="7">
        <f t="shared" si="0"/>
        <v>0</v>
      </c>
      <c r="P9" s="7">
        <f>VLOOKUP($A9,[6]HISTOOCT23!$A$6:$BB$45,31,0)</f>
        <v>0</v>
      </c>
    </row>
    <row r="10" spans="1:16" x14ac:dyDescent="0.25">
      <c r="A10" s="1" t="s">
        <v>27</v>
      </c>
      <c r="B10" s="7">
        <f>IF(D10=0,0,VLOOKUP($A10,[6]HISTOOCT23!$A$6:$BQ$45,14,0))</f>
        <v>1</v>
      </c>
      <c r="C10" s="1" t="str">
        <f>VLOOKUP(A10,[7]LISTADHERENT!A$5:H$60,3,0)</f>
        <v>KOUAMOU MOISE</v>
      </c>
      <c r="D10" s="7">
        <f>IF(E10="ECHEC",0,VLOOKUP($A10,[6]HISTOOCT23!$A$6:$BB$45,15,0))</f>
        <v>100000</v>
      </c>
      <c r="E10" s="7" t="str">
        <f>VLOOKUP($A10,[6]HISTOOCT23!$A$6:$BB$45,8,0)</f>
        <v>BANQUE</v>
      </c>
      <c r="F10" s="7">
        <f>VLOOKUP($A10,[6]HISTOOCT23!$A$6:$BB$45,37,0)</f>
        <v>0</v>
      </c>
      <c r="G10" s="7">
        <f>VLOOKUP($A10,[6]HISTOOCT23!$A$6:$BB$45,40,0)</f>
        <v>0</v>
      </c>
      <c r="H10" s="7" t="str">
        <f>IF(F10&lt;&gt;0,VLOOKUP($A10,[6]HISTOOCT23!$A$6:$BB$45,42,0),"ECHEC")</f>
        <v>ECHEC</v>
      </c>
      <c r="I10" s="7">
        <f>VLOOKUP($A10,[6]HISTOOCT23!$A$6:$BB$45,41,0)</f>
        <v>0</v>
      </c>
      <c r="J10" s="7">
        <f>TONTSEPT23!F10+TONTSEPT23!G10</f>
        <v>0</v>
      </c>
      <c r="K10" s="7">
        <f>VLOOKUP($A10,[6]HISTOOCT23!$A$6:$BB$45,18,0)</f>
        <v>0</v>
      </c>
      <c r="L10" s="7" t="str">
        <f>IF(K10&lt;&gt;0,VLOOKUP($A10,[6]HISTOOCT23!$A$6:$BB$45,42,0),"ECHEC")</f>
        <v>ECHEC</v>
      </c>
      <c r="M10" s="7" t="str">
        <f>IF(P10&lt;&gt;0,VLOOKUP($A10,[6]HISTOOCT23!$A$6:$BB$45,32,0),"ECHEC")</f>
        <v>ECHEC</v>
      </c>
      <c r="N10" s="7">
        <f>VLOOKUP($A10,[6]HISTOOCT23!$A$6:$BB$45,33,0)</f>
        <v>0</v>
      </c>
      <c r="O10" s="7">
        <f t="shared" si="0"/>
        <v>0</v>
      </c>
      <c r="P10" s="7">
        <f>VLOOKUP($A10,[6]HISTOOCT23!$A$6:$BB$45,31,0)</f>
        <v>0</v>
      </c>
    </row>
    <row r="11" spans="1:16" x14ac:dyDescent="0.25">
      <c r="A11" s="1" t="s">
        <v>8</v>
      </c>
      <c r="B11" s="7">
        <f>IF(D11=0,0,VLOOKUP($A11,[6]HISTOOCT23!$A$6:$BQ$45,14,0))</f>
        <v>1</v>
      </c>
      <c r="C11" s="1" t="str">
        <f>VLOOKUP(A11,[7]LISTADHERENT!A$5:H$60,3,0)</f>
        <v>KOUATCHO MESSACK</v>
      </c>
      <c r="D11" s="7">
        <f>IF(E11="ECHEC",0,VLOOKUP($A11,[6]HISTOOCT23!$A$6:$BB$45,15,0))</f>
        <v>100000</v>
      </c>
      <c r="E11" s="7" t="str">
        <f>VLOOKUP($A11,[6]HISTOOCT23!$A$6:$BB$45,8,0)</f>
        <v>BANQUE</v>
      </c>
      <c r="F11" s="7">
        <f>VLOOKUP($A11,[6]HISTOOCT23!$A$6:$BB$45,37,0)</f>
        <v>0</v>
      </c>
      <c r="G11" s="7">
        <f>VLOOKUP($A11,[6]HISTOOCT23!$A$6:$BB$45,40,0)</f>
        <v>0</v>
      </c>
      <c r="H11" s="7" t="str">
        <f>IF(F11&lt;&gt;0,VLOOKUP($A11,[6]HISTOOCT23!$A$6:$BB$45,42,0),"ECHEC")</f>
        <v>ECHEC</v>
      </c>
      <c r="I11" s="7">
        <f>VLOOKUP($A11,[6]HISTOOCT23!$A$6:$BB$45,41,0)</f>
        <v>0</v>
      </c>
      <c r="J11" s="7">
        <f>TONTSEPT23!F11+TONTSEPT23!G11</f>
        <v>101000</v>
      </c>
      <c r="K11" s="7">
        <f>VLOOKUP($A11,[6]HISTOOCT23!$A$6:$BB$45,18,0)</f>
        <v>101000</v>
      </c>
      <c r="L11" s="7" t="str">
        <f>IF(K11&lt;&gt;0,VLOOKUP($A11,[6]HISTOOCT23!$A$6:$BB$45,42,0),"ECHEC")</f>
        <v>BANQUE</v>
      </c>
      <c r="M11" s="7" t="str">
        <f>IF(P11&lt;&gt;0,VLOOKUP($A11,[6]HISTOOCT23!$A$6:$BB$45,32,0),"ECHEC")</f>
        <v>ECHEC</v>
      </c>
      <c r="N11" s="7">
        <f>VLOOKUP($A11,[6]HISTOOCT23!$A$6:$BB$45,33,0)</f>
        <v>0</v>
      </c>
      <c r="O11" s="7">
        <f t="shared" si="0"/>
        <v>0</v>
      </c>
      <c r="P11" s="7">
        <f>VLOOKUP($A11,[6]HISTOOCT23!$A$6:$BB$45,31,0)</f>
        <v>0</v>
      </c>
    </row>
    <row r="12" spans="1:16" x14ac:dyDescent="0.25">
      <c r="A12" s="1" t="s">
        <v>23</v>
      </c>
      <c r="B12" s="7">
        <f>IF(D12=0,0,VLOOKUP($A12,[6]HISTOOCT23!$A$6:$BQ$45,14,0))</f>
        <v>1</v>
      </c>
      <c r="C12" s="1" t="str">
        <f>VLOOKUP(A12,[7]LISTADHERENT!A$5:H$60,3,0)</f>
        <v>MBOGNING TUGMA GUY</v>
      </c>
      <c r="D12" s="7">
        <f>IF(E12="ECHEC",0,VLOOKUP($A12,[6]HISTOOCT23!$A$6:$BB$45,15,0))</f>
        <v>100000</v>
      </c>
      <c r="E12" s="7" t="str">
        <f>VLOOKUP($A12,[6]HISTOOCT23!$A$6:$BB$45,8,0)</f>
        <v>BANQUE</v>
      </c>
      <c r="F12" s="7">
        <f>VLOOKUP($A12,[6]HISTOOCT23!$A$6:$BB$45,37,0)</f>
        <v>200000</v>
      </c>
      <c r="G12" s="7">
        <f>VLOOKUP($A12,[6]HISTOOCT23!$A$6:$BB$45,40,0)</f>
        <v>2000</v>
      </c>
      <c r="H12" s="7" t="str">
        <f>IF(F12&lt;&gt;0,VLOOKUP($A12,[6]HISTOOCT23!$A$6:$BB$45,42,0),"ECHEC")</f>
        <v>BANQUE</v>
      </c>
      <c r="I12" s="7">
        <f>VLOOKUP($A12,[6]HISTOOCT23!$A$6:$BB$45,41,0)</f>
        <v>0</v>
      </c>
      <c r="J12" s="7">
        <f>TONTSEPT23!F12+TONTSEPT23!G12</f>
        <v>202000</v>
      </c>
      <c r="K12" s="7">
        <f>VLOOKUP($A12,[6]HISTOOCT23!$A$6:$BB$45,18,0)</f>
        <v>202000</v>
      </c>
      <c r="L12" s="7" t="str">
        <f>IF(K12&lt;&gt;0,VLOOKUP($A12,[6]HISTOOCT23!$A$6:$BB$45,42,0),"ECHEC")</f>
        <v>BANQUE</v>
      </c>
      <c r="M12" s="7" t="str">
        <f>IF(P12&lt;&gt;0,VLOOKUP($A12,[6]HISTOOCT23!$A$6:$BB$45,32,0),"ECHEC")</f>
        <v>ECHEC</v>
      </c>
      <c r="N12" s="7">
        <f>VLOOKUP($A12,[6]HISTOOCT23!$A$6:$BB$45,33,0)</f>
        <v>0</v>
      </c>
      <c r="O12" s="7">
        <f t="shared" si="0"/>
        <v>0</v>
      </c>
      <c r="P12" s="7">
        <f>VLOOKUP($A12,[6]HISTOOCT23!$A$6:$BB$45,31,0)</f>
        <v>0</v>
      </c>
    </row>
    <row r="13" spans="1:16" x14ac:dyDescent="0.25">
      <c r="A13" s="1" t="s">
        <v>9</v>
      </c>
      <c r="B13" s="7">
        <f>IF(D13=0,0,VLOOKUP($A13,[6]HISTOOCT23!$A$6:$BQ$45,14,0))</f>
        <v>2</v>
      </c>
      <c r="C13" s="1" t="str">
        <f>VLOOKUP(A13,[7]LISTADHERENT!A$5:H$60,3,0)</f>
        <v>NDJOMO ETIENNE</v>
      </c>
      <c r="D13" s="7">
        <f>IF(E13="ECHEC",0,VLOOKUP($A13,[6]HISTOOCT23!$A$6:$BB$45,15,0))</f>
        <v>200000</v>
      </c>
      <c r="E13" s="7" t="str">
        <f>VLOOKUP($A13,[6]HISTOOCT23!$A$6:$BB$45,8,0)</f>
        <v>BANQUE</v>
      </c>
      <c r="F13" s="7">
        <f>VLOOKUP($A13,[6]HISTOOCT23!$A$6:$BB$45,37,0)</f>
        <v>0</v>
      </c>
      <c r="G13" s="7">
        <f>VLOOKUP($A13,[6]HISTOOCT23!$A$6:$BB$45,40,0)</f>
        <v>0</v>
      </c>
      <c r="H13" s="7" t="str">
        <f>IF(F13&lt;&gt;0,VLOOKUP($A13,[6]HISTOOCT23!$A$6:$BB$45,42,0),"ECHEC")</f>
        <v>ECHEC</v>
      </c>
      <c r="I13" s="7">
        <f>VLOOKUP($A13,[6]HISTOOCT23!$A$6:$BB$45,41,0)</f>
        <v>0</v>
      </c>
      <c r="J13" s="7">
        <f>TONTSEPT23!F13+TONTSEPT23!G13</f>
        <v>101000</v>
      </c>
      <c r="K13" s="7">
        <f>VLOOKUP($A13,[6]HISTOOCT23!$A$6:$BB$45,18,0)</f>
        <v>101000</v>
      </c>
      <c r="L13" s="7" t="str">
        <f>IF(K13&lt;&gt;0,VLOOKUP($A13,[6]HISTOOCT23!$A$6:$BB$45,42,0),"ECHEC")</f>
        <v>BANQUE</v>
      </c>
      <c r="M13" s="7" t="str">
        <f>IF(P13&lt;&gt;0,VLOOKUP($A13,[6]HISTOOCT23!$A$6:$BB$45,32,0),"ECHEC")</f>
        <v>ECHEC</v>
      </c>
      <c r="N13" s="7">
        <f>VLOOKUP($A13,[6]HISTOOCT23!$A$6:$BB$45,33,0)</f>
        <v>0</v>
      </c>
      <c r="O13" s="7">
        <f t="shared" si="0"/>
        <v>0</v>
      </c>
      <c r="P13" s="7">
        <f>VLOOKUP($A13,[6]HISTOOCT23!$A$6:$BB$45,31,0)</f>
        <v>0</v>
      </c>
    </row>
    <row r="14" spans="1:16" x14ac:dyDescent="0.25">
      <c r="A14" s="1" t="s">
        <v>10</v>
      </c>
      <c r="B14" s="7">
        <f>IF(D14=0,0,VLOOKUP($A14,[6]HISTOOCT23!$A$6:$BQ$45,14,0))</f>
        <v>1</v>
      </c>
      <c r="C14" s="1" t="str">
        <f>VLOOKUP(A14,[7]LISTADHERENT!A$5:H$60,3,0)</f>
        <v>NGONDIEP CLAUDE</v>
      </c>
      <c r="D14" s="7">
        <f>IF(E14="ECHEC",0,VLOOKUP($A14,[6]HISTOOCT23!$A$6:$BB$45,15,0))</f>
        <v>100000</v>
      </c>
      <c r="E14" s="7" t="str">
        <f>VLOOKUP($A14,[6]HISTOOCT23!$A$6:$BB$45,8,0)</f>
        <v>BANQUE</v>
      </c>
      <c r="F14" s="7">
        <f>VLOOKUP($A14,[6]HISTOOCT23!$A$6:$BB$45,37,0)</f>
        <v>200000</v>
      </c>
      <c r="G14" s="7">
        <f>VLOOKUP($A14,[6]HISTOOCT23!$A$6:$BB$45,40,0)</f>
        <v>2000</v>
      </c>
      <c r="H14" s="7" t="str">
        <f>IF(F14&lt;&gt;0,VLOOKUP($A14,[6]HISTOOCT23!$A$6:$BB$45,42,0),"ECHEC")</f>
        <v>BANQUE</v>
      </c>
      <c r="I14" s="7">
        <f>VLOOKUP($A14,[6]HISTOOCT23!$A$6:$BB$45,41,0)</f>
        <v>0</v>
      </c>
      <c r="J14" s="7">
        <f>TONTSEPT23!F14+TONTSEPT23!G14</f>
        <v>202000</v>
      </c>
      <c r="K14" s="7">
        <f>VLOOKUP($A14,[6]HISTOOCT23!$A$6:$BB$45,18,0)</f>
        <v>202000</v>
      </c>
      <c r="L14" s="7" t="str">
        <f>IF(K14&lt;&gt;0,VLOOKUP($A14,[6]HISTOOCT23!$A$6:$BB$45,42,0),"ECHEC")</f>
        <v>BANQUE</v>
      </c>
      <c r="M14" s="7" t="str">
        <f>IF(P14&lt;&gt;0,VLOOKUP($A14,[6]HISTOOCT23!$A$6:$BB$45,32,0),"ECHEC")</f>
        <v>ECHEC</v>
      </c>
      <c r="N14" s="7">
        <f>VLOOKUP($A14,[6]HISTOOCT23!$A$6:$BB$45,33,0)</f>
        <v>0</v>
      </c>
      <c r="O14" s="7">
        <f t="shared" si="0"/>
        <v>0</v>
      </c>
      <c r="P14" s="7">
        <f>VLOOKUP($A14,[6]HISTOOCT23!$A$6:$BB$45,31,0)</f>
        <v>0</v>
      </c>
    </row>
    <row r="15" spans="1:16" x14ac:dyDescent="0.25">
      <c r="A15" s="1" t="s">
        <v>44</v>
      </c>
      <c r="B15" s="7">
        <f>IF(D15=0,0,VLOOKUP($A15,[6]HISTOOCT23!$A$6:$BQ$45,14,0))</f>
        <v>1</v>
      </c>
      <c r="C15" s="1" t="str">
        <f>VLOOKUP(A15,[7]LISTADHERENT!A$5:H$60,3,0)</f>
        <v>NGUIEMEGNI MATHIEU BLAISE</v>
      </c>
      <c r="D15" s="7">
        <f>IF(E15="ECHEC",0,VLOOKUP($A15,[6]HISTOOCT23!$A$6:$BB$45,15,0))</f>
        <v>100000</v>
      </c>
      <c r="E15" s="7" t="str">
        <f>VLOOKUP($A15,[6]HISTOOCT23!$A$6:$BB$45,8,0)</f>
        <v>BANQUE</v>
      </c>
      <c r="F15" s="7">
        <f>VLOOKUP($A15,[6]HISTOOCT23!$A$6:$BB$45,37,0)</f>
        <v>200000</v>
      </c>
      <c r="G15" s="7">
        <f>VLOOKUP($A15,[6]HISTOOCT23!$A$6:$BB$45,40,0)</f>
        <v>2000</v>
      </c>
      <c r="H15" s="7" t="str">
        <f>IF(F15&lt;&gt;0,VLOOKUP($A15,[6]HISTOOCT23!$A$6:$BB$45,42,0),"ECHEC")</f>
        <v>BANQUE</v>
      </c>
      <c r="I15" s="7">
        <f>VLOOKUP($A15,[6]HISTOOCT23!$A$6:$BB$45,41,0)</f>
        <v>0</v>
      </c>
      <c r="J15" s="7">
        <f>TONTSEPT23!F15+TONTSEPT23!G15</f>
        <v>202000</v>
      </c>
      <c r="K15" s="7">
        <f>VLOOKUP($A15,[6]HISTOOCT23!$A$6:$BB$45,18,0)</f>
        <v>202000</v>
      </c>
      <c r="L15" s="7" t="str">
        <f>IF(K15&lt;&gt;0,VLOOKUP($A15,[6]HISTOOCT23!$A$6:$BB$45,42,0),"ECHEC")</f>
        <v>BANQUE</v>
      </c>
      <c r="M15" s="7" t="str">
        <f>IF(P15&lt;&gt;0,VLOOKUP($A15,[6]HISTOOCT23!$A$6:$BB$45,32,0),"ECHEC")</f>
        <v>ECHEC</v>
      </c>
      <c r="N15" s="7">
        <f>VLOOKUP($A15,[6]HISTOOCT23!$A$6:$BB$45,33,0)</f>
        <v>0</v>
      </c>
      <c r="O15" s="7">
        <f t="shared" si="0"/>
        <v>0</v>
      </c>
      <c r="P15" s="7">
        <f>VLOOKUP($A15,[6]HISTOOCT23!$A$6:$BB$45,31,0)</f>
        <v>0</v>
      </c>
    </row>
    <row r="16" spans="1:16" x14ac:dyDescent="0.25">
      <c r="A16" s="1" t="s">
        <v>47</v>
      </c>
      <c r="B16" s="7">
        <f>IF(D16=0,0,VLOOKUP($A16,[6]HISTOOCT23!$A$6:$BQ$45,14,0))</f>
        <v>1</v>
      </c>
      <c r="C16" s="1" t="str">
        <f>VLOOKUP(A16,[7]LISTADHERENT!A$5:H$60,3,0)</f>
        <v>SIMO PIERRE</v>
      </c>
      <c r="D16" s="7">
        <f>IF(E16="ECHEC",0,VLOOKUP($A16,[6]HISTOOCT23!$A$6:$BB$45,15,0))</f>
        <v>100000</v>
      </c>
      <c r="E16" s="7" t="str">
        <f>VLOOKUP($A16,[6]HISTOOCT23!$A$6:$BB$45,8,0)</f>
        <v>BANQUE</v>
      </c>
      <c r="F16" s="7">
        <f>VLOOKUP($A16,[6]HISTOOCT23!$A$6:$BB$45,37,0)</f>
        <v>0</v>
      </c>
      <c r="G16" s="7">
        <f>VLOOKUP($A16,[6]HISTOOCT23!$A$6:$BB$45,40,0)</f>
        <v>0</v>
      </c>
      <c r="H16" s="7" t="str">
        <f>IF(F16&lt;&gt;0,VLOOKUP($A16,[6]HISTOOCT23!$A$6:$BB$45,42,0),"ECHEC")</f>
        <v>ECHEC</v>
      </c>
      <c r="I16" s="7">
        <f>VLOOKUP($A16,[6]HISTOOCT23!$A$6:$BB$45,41,0)</f>
        <v>0</v>
      </c>
      <c r="J16" s="7">
        <f>TONTSEPT23!F16+TONTSEPT23!G16</f>
        <v>31000</v>
      </c>
      <c r="K16" s="7">
        <f>VLOOKUP($A16,[6]HISTOOCT23!$A$6:$BB$45,18,0)</f>
        <v>31000</v>
      </c>
      <c r="L16" s="7" t="str">
        <f>IF(K16&lt;&gt;0,VLOOKUP($A16,[6]HISTOOCT23!$A$6:$BB$45,42,0),"ECHEC")</f>
        <v>BANQUE</v>
      </c>
      <c r="M16" s="7" t="str">
        <f>IF(P16&lt;&gt;0,VLOOKUP($A16,[6]HISTOOCT23!$A$6:$BB$45,32,0),"ECHEC")</f>
        <v>ECHEC</v>
      </c>
      <c r="N16" s="7">
        <f>VLOOKUP($A16,[6]HISTOOCT23!$A$6:$BB$45,33,0)</f>
        <v>0</v>
      </c>
      <c r="O16" s="7">
        <f t="shared" si="0"/>
        <v>0</v>
      </c>
      <c r="P16" s="7">
        <f>VLOOKUP($A16,[6]HISTOOCT23!$A$6:$BB$45,31,0)</f>
        <v>0</v>
      </c>
    </row>
    <row r="17" spans="1:17" x14ac:dyDescent="0.25">
      <c r="A17" s="1" t="s">
        <v>22</v>
      </c>
      <c r="B17" s="7">
        <f>IF(D17=0,0,VLOOKUP($A17,[6]HISTOOCT23!$A$6:$BQ$45,14,0))</f>
        <v>1</v>
      </c>
      <c r="C17" s="1" t="str">
        <f>VLOOKUP(A17,[7]LISTADHERENT!A$5:H$60,3,0)</f>
        <v>YOUMBI EMMANUEL</v>
      </c>
      <c r="D17" s="7">
        <f>IF(E17="ECHEC",0,VLOOKUP($A17,[6]HISTOOCT23!$A$6:$BB$45,15,0))</f>
        <v>100000</v>
      </c>
      <c r="E17" s="7" t="str">
        <f>VLOOKUP($A17,[6]HISTOOCT23!$A$6:$BB$45,8,0)</f>
        <v>BANQUE</v>
      </c>
      <c r="F17" s="7">
        <f>VLOOKUP($A17,[6]HISTOOCT23!$A$6:$BB$45,37,0)</f>
        <v>0</v>
      </c>
      <c r="G17" s="7">
        <f>VLOOKUP($A17,[6]HISTOOCT23!$A$6:$BB$45,40,0)</f>
        <v>0</v>
      </c>
      <c r="H17" s="7" t="str">
        <f>IF(F17&lt;&gt;0,VLOOKUP($A17,[6]HISTOOCT23!$A$6:$BB$45,42,0),"ECHEC")</f>
        <v>ECHEC</v>
      </c>
      <c r="I17" s="7">
        <f>VLOOKUP($A17,[6]HISTOOCT23!$A$6:$BB$45,41,0)</f>
        <v>0</v>
      </c>
      <c r="J17" s="7">
        <f>TONTSEPT23!F17+TONTSEPT23!G17</f>
        <v>0</v>
      </c>
      <c r="K17" s="7">
        <f>VLOOKUP($A17,[6]HISTOOCT23!$A$6:$BB$45,18,0)</f>
        <v>0</v>
      </c>
      <c r="L17" s="7" t="str">
        <f>IF(K17&lt;&gt;0,VLOOKUP($A17,[6]HISTOOCT23!$A$6:$BB$45,42,0),"ECHEC")</f>
        <v>ECHEC</v>
      </c>
      <c r="M17" s="7" t="str">
        <f>IF(P17&lt;&gt;0,VLOOKUP($A17,[6]HISTOOCT23!$A$6:$BB$45,32,0),"ECHEC")</f>
        <v>ECHEC</v>
      </c>
      <c r="N17" s="7">
        <f>VLOOKUP($A17,[6]HISTOOCT23!$A$6:$BB$45,33,0)</f>
        <v>0</v>
      </c>
      <c r="O17" s="7">
        <f t="shared" si="0"/>
        <v>0</v>
      </c>
      <c r="P17" s="7">
        <f>VLOOKUP($A17,[6]HISTOOCT23!$A$6:$BB$45,31,0)</f>
        <v>0</v>
      </c>
    </row>
    <row r="18" spans="1:17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7" ht="18" x14ac:dyDescent="0.25">
      <c r="A19" s="1" t="s">
        <v>41</v>
      </c>
      <c r="B19" s="8">
        <f>SUM(B6:B18)</f>
        <v>14</v>
      </c>
      <c r="G19" s="10"/>
    </row>
    <row r="20" spans="1:17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1200000</v>
      </c>
      <c r="G20" s="8">
        <f>SUM(G6:G18)</f>
        <v>12000</v>
      </c>
      <c r="H20" s="8"/>
      <c r="I20" s="8">
        <f>SUM(I6:I18)</f>
        <v>0</v>
      </c>
      <c r="J20" s="8">
        <f>SUM(J6:J18)</f>
        <v>1445000</v>
      </c>
      <c r="K20" s="8">
        <f>SUM(K6:K18)</f>
        <v>1445000</v>
      </c>
      <c r="L20" s="8"/>
      <c r="M20" s="8"/>
      <c r="N20" s="8">
        <f>SUM(N6:N18)</f>
        <v>0</v>
      </c>
      <c r="O20" s="8">
        <f>SUM(O6:O18)</f>
        <v>0</v>
      </c>
      <c r="P20" s="8">
        <f>SUM(P6:P18)</f>
        <v>0</v>
      </c>
    </row>
    <row r="21" spans="1:17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7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D26+E26+P20+TONTSEPT23!N27</f>
        <v>3785500</v>
      </c>
      <c r="M22" s="5"/>
      <c r="N22"/>
      <c r="O22" s="5"/>
    </row>
    <row r="23" spans="1:17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0</v>
      </c>
      <c r="M23" s="8">
        <f>D3</f>
        <v>3</v>
      </c>
      <c r="N23" s="8">
        <f>COUNTIF(O8:O17,"&gt;0")</f>
        <v>0</v>
      </c>
      <c r="O23" s="8"/>
    </row>
    <row r="24" spans="1:17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1445000</v>
      </c>
      <c r="F24" s="8">
        <f>SUMIFS(F6:F18,H6:H18,"BANQUE")</f>
        <v>1200000</v>
      </c>
      <c r="G24" s="8">
        <f>SUMIFS(O6:O18,M6:M18,"BANQUE")</f>
        <v>0</v>
      </c>
      <c r="H24" s="8">
        <f>D24+E24-F24-G24</f>
        <v>1645000</v>
      </c>
      <c r="I24" s="8"/>
      <c r="L24" s="8"/>
      <c r="M24" s="8"/>
      <c r="N24" s="8"/>
      <c r="O24" s="8"/>
    </row>
    <row r="25" spans="1:17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3785500</v>
      </c>
      <c r="M25" s="8"/>
      <c r="N25" s="8"/>
      <c r="O25" s="8"/>
    </row>
    <row r="26" spans="1:17" s="2" customFormat="1" ht="18" x14ac:dyDescent="0.25">
      <c r="C26" s="8" t="s">
        <v>46</v>
      </c>
      <c r="D26" s="8">
        <f>D23+D24</f>
        <v>1400000</v>
      </c>
      <c r="E26" s="8">
        <f>E23+E24</f>
        <v>1445000</v>
      </c>
      <c r="F26" s="8">
        <f>F23+F24</f>
        <v>1200000</v>
      </c>
      <c r="G26" s="8">
        <f t="shared" ref="G26:H26" si="1">G23+G24</f>
        <v>0</v>
      </c>
      <c r="H26" s="8">
        <f t="shared" si="1"/>
        <v>1645000</v>
      </c>
      <c r="I26" s="8"/>
      <c r="L26" s="8"/>
      <c r="M26" s="8"/>
      <c r="N26" s="8"/>
      <c r="O26" s="8"/>
    </row>
    <row r="27" spans="1:17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2585500</v>
      </c>
      <c r="M27"/>
      <c r="N27" s="17">
        <f>TONTOCT23!L27</f>
        <v>2585500</v>
      </c>
      <c r="O27" s="8" t="s">
        <v>29</v>
      </c>
      <c r="P27" s="8">
        <v>2635000</v>
      </c>
      <c r="Q27" s="17">
        <f>N27-P27</f>
        <v>-49500</v>
      </c>
    </row>
    <row r="28" spans="1:17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7" ht="18" x14ac:dyDescent="0.25">
      <c r="K29" s="8" t="s">
        <v>36</v>
      </c>
      <c r="L29" s="8">
        <f>COUNTIFS(E6:E24,"ECHEC")*100000</f>
        <v>0</v>
      </c>
      <c r="N29" s="8">
        <f>TONTSEPT23!N29+TONTOCT23!L29</f>
        <v>0</v>
      </c>
      <c r="O29" s="8" t="s">
        <v>29</v>
      </c>
    </row>
    <row r="30" spans="1:17" ht="18" x14ac:dyDescent="0.25">
      <c r="K30" s="8" t="s">
        <v>37</v>
      </c>
      <c r="L30" s="8">
        <f>J20-E26</f>
        <v>0</v>
      </c>
      <c r="N30" s="8">
        <f>TONTSEPT23!N30+TONTOCT23!L30</f>
        <v>0</v>
      </c>
      <c r="O30" s="8" t="s">
        <v>29</v>
      </c>
    </row>
    <row r="31" spans="1:17" x14ac:dyDescent="0.25">
      <c r="K31" s="3"/>
      <c r="L31" s="2"/>
      <c r="N31"/>
      <c r="O31" s="3"/>
    </row>
    <row r="32" spans="1:17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F15" activePane="bottomRight" state="frozen"/>
      <selection activeCell="J14" sqref="J14"/>
      <selection pane="topRight" activeCell="J14" sqref="J14"/>
      <selection pane="bottomLeft" activeCell="J14" sqref="J14"/>
      <selection pane="bottomRight" activeCell="L23" sqref="L2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4</v>
      </c>
      <c r="E3" s="1"/>
      <c r="L3" s="1"/>
      <c r="M3" s="1"/>
    </row>
    <row r="4" spans="1:16" s="12" customFormat="1" ht="18" x14ac:dyDescent="0.25">
      <c r="B4" s="13"/>
      <c r="C4" s="20">
        <v>45243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IF(D6=0,0,VLOOKUP($A6,[6]HISTONOV23!$A$6:$BQ$45,14,0))</f>
        <v>1</v>
      </c>
      <c r="C6" s="1" t="str">
        <f>VLOOKUP(A6,[7]LISTADHERENT!A$5:H$60,3,0)</f>
        <v>ASELBY</v>
      </c>
      <c r="D6" s="7">
        <f>IF(E6="ECHEC",0,VLOOKUP($A6,[6]HISTONOV23!$A$6:$BB$45,15,0))</f>
        <v>100000</v>
      </c>
      <c r="E6" s="7" t="str">
        <f>VLOOKUP($A6,[6]HISTONOV23!$A$6:$BB$45,8,0)</f>
        <v>BANQUE</v>
      </c>
      <c r="F6" s="7">
        <f>VLOOKUP($A6,[6]HISTONOV23!$A$6:$BB$45,37,0)</f>
        <v>0</v>
      </c>
      <c r="G6" s="7">
        <f>VLOOKUP($A6,[6]HISTONOV23!$A$6:$BB$45,40,0)</f>
        <v>0</v>
      </c>
      <c r="H6" s="7" t="str">
        <f>IF(F6&lt;&gt;0,VLOOKUP($A6,[6]HISTONOV23!$A$6:$BB$45,42,0),"ECHEC")</f>
        <v>ECHEC</v>
      </c>
      <c r="I6" s="7">
        <f>VLOOKUP($A6,[6]HISTONOV23!$A$6:$BB$45,41,0)</f>
        <v>0</v>
      </c>
      <c r="J6" s="7">
        <f>TONTOCT23!F6+TONTOCT23!G6</f>
        <v>0</v>
      </c>
      <c r="K6" s="7">
        <f>VLOOKUP($A6,[6]HISTONOV23!$A$6:$BB$45,18,0)</f>
        <v>0</v>
      </c>
      <c r="L6" s="7" t="str">
        <f>IF(K6&lt;&gt;0,VLOOKUP($A6,[6]HISTONOV23!$A$6:$BB$45,42,0),"ECHEC")</f>
        <v>ECHEC</v>
      </c>
      <c r="M6" s="7" t="str">
        <f>IF(P6&lt;&gt;0,VLOOKUP($A6,[6]HISTONOV23!$A$6:$BB$45,32,0),"ECHEC")</f>
        <v>ECHEC</v>
      </c>
      <c r="N6" s="7">
        <f>VLOOKUP($A6,[6]HISTONOV23!$A$6:$BB$45,33,0)</f>
        <v>0</v>
      </c>
      <c r="O6" s="7">
        <f t="shared" ref="O6:O17" si="0">IF(P6=0,0,($C$3-P6))</f>
        <v>0</v>
      </c>
      <c r="P6" s="7">
        <f>VLOOKUP($A6,[6]HISTONOV23!$A$6:$BB$45,31,0)</f>
        <v>0</v>
      </c>
    </row>
    <row r="7" spans="1:16" x14ac:dyDescent="0.25">
      <c r="A7" s="1" t="s">
        <v>48</v>
      </c>
      <c r="B7" s="7">
        <f>IF(D7=0,0,VLOOKUP($A7,[6]HISTONOV23!$A$6:$BQ$45,14,0))</f>
        <v>1</v>
      </c>
      <c r="C7" s="1" t="str">
        <f>VLOOKUP(A7,[7]LISTADHERENT!A$5:H$60,3,0)</f>
        <v xml:space="preserve">DJOMO JEAN PAUL </v>
      </c>
      <c r="D7" s="7">
        <f>IF(E7="ECHEC",0,VLOOKUP($A7,[6]HISTONOV23!$A$6:$BB$45,15,0))</f>
        <v>100000</v>
      </c>
      <c r="E7" s="7" t="str">
        <f>VLOOKUP($A7,[6]HISTONOV23!$A$6:$BB$45,8,0)</f>
        <v>BANQUE</v>
      </c>
      <c r="F7" s="7">
        <f>VLOOKUP($A7,[6]HISTONOV23!$A$6:$BB$45,37,0)</f>
        <v>0</v>
      </c>
      <c r="G7" s="7">
        <f>VLOOKUP($A7,[6]HISTONOV23!$A$6:$BB$45,40,0)</f>
        <v>0</v>
      </c>
      <c r="H7" s="7" t="str">
        <f>IF(F7&lt;&gt;0,VLOOKUP($A7,[6]HISTONOV23!$A$6:$BB$45,42,0),"ECHEC")</f>
        <v>ECHEC</v>
      </c>
      <c r="I7" s="7">
        <f>VLOOKUP($A7,[6]HISTONOV23!$A$6:$BB$45,41,0)</f>
        <v>0</v>
      </c>
      <c r="J7" s="7">
        <f>TONTOCT23!F7+TONTOCT23!G7</f>
        <v>202000</v>
      </c>
      <c r="K7" s="7">
        <f>VLOOKUP($A7,[6]HISTONOV23!$A$6:$BB$45,18,0)</f>
        <v>202000</v>
      </c>
      <c r="L7" s="7" t="str">
        <f>IF(K7&lt;&gt;0,VLOOKUP($A7,[6]HISTONOV23!$A$6:$BB$45,42,0),"ECHEC")</f>
        <v>BANQUE</v>
      </c>
      <c r="M7" s="7" t="str">
        <f>IF(P7&lt;&gt;0,VLOOKUP($A7,[6]HISTONOV23!$A$6:$BB$45,32,0),"ECHEC")</f>
        <v>ECHEC</v>
      </c>
      <c r="N7" s="7">
        <f>VLOOKUP($A7,[6]HISTONOV23!$A$6:$BB$45,33,0)</f>
        <v>0</v>
      </c>
      <c r="O7" s="7">
        <f t="shared" si="0"/>
        <v>0</v>
      </c>
      <c r="P7" s="7">
        <f>VLOOKUP($A7,[6]HISTONOV23!$A$6:$BB$45,31,0)</f>
        <v>0</v>
      </c>
    </row>
    <row r="8" spans="1:16" x14ac:dyDescent="0.25">
      <c r="A8" s="1" t="s">
        <v>20</v>
      </c>
      <c r="B8" s="7">
        <f>IF(D8=0,0,VLOOKUP($A8,[6]HISTONOV23!$A$6:$BQ$45,14,0))</f>
        <v>2</v>
      </c>
      <c r="C8" s="1" t="str">
        <f>VLOOKUP(A8,[7]LISTADHERENT!A$5:H$60,3,0)</f>
        <v>DJUOMBESSY ANTOINE</v>
      </c>
      <c r="D8" s="7">
        <f>IF(E8="ECHEC",0,VLOOKUP($A8,[6]HISTONOV23!$A$6:$BB$45,15,0))</f>
        <v>200000</v>
      </c>
      <c r="E8" s="7" t="str">
        <f>VLOOKUP($A8,[6]HISTONOV23!$A$6:$BB$45,8,0)</f>
        <v>BANQUE</v>
      </c>
      <c r="F8" s="7">
        <f>VLOOKUP($A8,[6]HISTONOV23!$A$6:$BB$45,37,0)</f>
        <v>202000</v>
      </c>
      <c r="G8" s="7">
        <f>VLOOKUP($A8,[6]HISTONOV23!$A$6:$BB$45,40,0)</f>
        <v>4000</v>
      </c>
      <c r="H8" s="7" t="str">
        <f>IF(F8&lt;&gt;0,VLOOKUP($A8,[6]HISTONOV23!$A$6:$BB$45,42,0),"ECHEC")</f>
        <v>BANQUE</v>
      </c>
      <c r="I8" s="7">
        <f>VLOOKUP($A8,[6]HISTONOV23!$A$6:$BB$45,41,0)</f>
        <v>0</v>
      </c>
      <c r="J8" s="7">
        <f>TONTOCT23!F8+TONTOCT23!G8</f>
        <v>202000</v>
      </c>
      <c r="K8" s="7">
        <f>VLOOKUP($A8,[6]HISTONOV23!$A$6:$BB$45,18,0)</f>
        <v>202000</v>
      </c>
      <c r="L8" s="7" t="str">
        <f>IF(K8&lt;&gt;0,VLOOKUP($A8,[6]HISTONOV23!$A$6:$BB$45,42,0),"ECHEC")</f>
        <v>BANQUE</v>
      </c>
      <c r="M8" s="7" t="str">
        <f>IF(P8&lt;&gt;0,VLOOKUP($A8,[6]HISTONOV23!$A$6:$BB$45,32,0),"ECHEC")</f>
        <v>ECHEC</v>
      </c>
      <c r="N8" s="7">
        <f>VLOOKUP($A8,[6]HISTONOV23!$A$6:$BB$45,33,0)</f>
        <v>0</v>
      </c>
      <c r="O8" s="7">
        <f t="shared" si="0"/>
        <v>0</v>
      </c>
      <c r="P8" s="7">
        <f>VLOOKUP($A8,[6]HISTONOV23!$A$6:$BB$45,31,0)</f>
        <v>0</v>
      </c>
    </row>
    <row r="9" spans="1:16" x14ac:dyDescent="0.25">
      <c r="A9" s="1" t="s">
        <v>21</v>
      </c>
      <c r="B9" s="7">
        <f>IF(D9=0,0,VLOOKUP($A9,[6]HISTONOV23!$A$6:$BQ$45,14,0))</f>
        <v>1</v>
      </c>
      <c r="C9" s="1" t="str">
        <f>VLOOKUP(A9,[7]LISTADHERENT!A$5:H$60,3,0)</f>
        <v>HOTCHO BENJAMIN</v>
      </c>
      <c r="D9" s="7">
        <f>IF(E9="ECHEC",0,VLOOKUP($A9,[6]HISTONOV23!$A$6:$BB$45,15,0))</f>
        <v>100000</v>
      </c>
      <c r="E9" s="7" t="str">
        <f>VLOOKUP($A9,[6]HISTONOV23!$A$6:$BB$45,8,0)</f>
        <v>BANQUE</v>
      </c>
      <c r="F9" s="7">
        <f>VLOOKUP($A9,[6]HISTONOV23!$A$6:$BB$45,37,0)</f>
        <v>202000</v>
      </c>
      <c r="G9" s="7">
        <f>VLOOKUP($A9,[6]HISTONOV23!$A$6:$BB$45,40,0)</f>
        <v>4000</v>
      </c>
      <c r="H9" s="7" t="str">
        <f>IF(F9&lt;&gt;0,VLOOKUP($A9,[6]HISTONOV23!$A$6:$BB$45,42,0),"ECHEC")</f>
        <v>BANQUE</v>
      </c>
      <c r="I9" s="7">
        <f>VLOOKUP($A9,[6]HISTONOV23!$A$6:$BB$45,41,0)</f>
        <v>0</v>
      </c>
      <c r="J9" s="7">
        <f>TONTOCT23!F9+TONTOCT23!G9</f>
        <v>202000</v>
      </c>
      <c r="K9" s="7">
        <f>VLOOKUP($A9,[6]HISTONOV23!$A$6:$BB$45,18,0)</f>
        <v>202000</v>
      </c>
      <c r="L9" s="7" t="str">
        <f>IF(K9&lt;&gt;0,VLOOKUP($A9,[6]HISTONOV23!$A$6:$BB$45,42,0),"ECHEC")</f>
        <v>BANQUE</v>
      </c>
      <c r="M9" s="7" t="str">
        <f>IF(P9&lt;&gt;0,VLOOKUP($A9,[6]HISTONOV23!$A$6:$BB$45,32,0),"ECHEC")</f>
        <v>ECHEC</v>
      </c>
      <c r="N9" s="7">
        <f>VLOOKUP($A9,[6]HISTONOV23!$A$6:$BB$45,33,0)</f>
        <v>0</v>
      </c>
      <c r="O9" s="7">
        <f t="shared" si="0"/>
        <v>0</v>
      </c>
      <c r="P9" s="7">
        <f>VLOOKUP($A9,[6]HISTONOV23!$A$6:$BB$45,31,0)</f>
        <v>0</v>
      </c>
    </row>
    <row r="10" spans="1:16" x14ac:dyDescent="0.25">
      <c r="A10" s="1" t="s">
        <v>27</v>
      </c>
      <c r="B10" s="7">
        <f>IF(D10=0,0,VLOOKUP($A10,[6]HISTONOV23!$A$6:$BQ$45,14,0))</f>
        <v>1</v>
      </c>
      <c r="C10" s="1" t="str">
        <f>VLOOKUP(A10,[7]LISTADHERENT!A$5:H$60,3,0)</f>
        <v>KOUAMOU MOISE</v>
      </c>
      <c r="D10" s="7">
        <f>IF(E10="ECHEC",0,VLOOKUP($A10,[6]HISTONOV23!$A$6:$BB$45,15,0))</f>
        <v>100000</v>
      </c>
      <c r="E10" s="7" t="str">
        <f>VLOOKUP($A10,[6]HISTONOV23!$A$6:$BB$45,8,0)</f>
        <v>BANQUE</v>
      </c>
      <c r="F10" s="7">
        <f>VLOOKUP($A10,[6]HISTONOV23!$A$6:$BB$45,37,0)</f>
        <v>0</v>
      </c>
      <c r="G10" s="7">
        <f>VLOOKUP($A10,[6]HISTONOV23!$A$6:$BB$45,40,0)</f>
        <v>0</v>
      </c>
      <c r="H10" s="7" t="str">
        <f>IF(F10&lt;&gt;0,VLOOKUP($A10,[6]HISTONOV23!$A$6:$BB$45,42,0),"ECHEC")</f>
        <v>ECHEC</v>
      </c>
      <c r="I10" s="7">
        <f>VLOOKUP($A10,[6]HISTONOV23!$A$6:$BB$45,41,0)</f>
        <v>0</v>
      </c>
      <c r="J10" s="7">
        <f>TONTOCT23!F10+TONTOCT23!G10</f>
        <v>0</v>
      </c>
      <c r="K10" s="7">
        <f>VLOOKUP($A10,[6]HISTONOV23!$A$6:$BB$45,18,0)</f>
        <v>0</v>
      </c>
      <c r="L10" s="7" t="str">
        <f>IF(K10&lt;&gt;0,VLOOKUP($A10,[6]HISTONOV23!$A$6:$BB$45,42,0),"ECHEC")</f>
        <v>ECHEC</v>
      </c>
      <c r="M10" s="7" t="str">
        <f>IF(P10&lt;&gt;0,VLOOKUP($A10,[6]HISTONOV23!$A$6:$BB$45,32,0),"ECHEC")</f>
        <v>ECHEC</v>
      </c>
      <c r="N10" s="7">
        <f>VLOOKUP($A10,[6]HISTONOV23!$A$6:$BB$45,33,0)</f>
        <v>0</v>
      </c>
      <c r="O10" s="7">
        <f t="shared" si="0"/>
        <v>0</v>
      </c>
      <c r="P10" s="7">
        <f>VLOOKUP($A10,[6]HISTONOV23!$A$6:$BB$45,31,0)</f>
        <v>0</v>
      </c>
    </row>
    <row r="11" spans="1:16" x14ac:dyDescent="0.25">
      <c r="A11" s="1" t="s">
        <v>8</v>
      </c>
      <c r="B11" s="7">
        <f>IF(D11=0,0,VLOOKUP($A11,[6]HISTONOV23!$A$6:$BQ$45,14,0))</f>
        <v>1</v>
      </c>
      <c r="C11" s="1" t="str">
        <f>VLOOKUP(A11,[7]LISTADHERENT!A$5:H$60,3,0)</f>
        <v>KOUATCHO MESSACK</v>
      </c>
      <c r="D11" s="7">
        <f>IF(E11="ECHEC",0,VLOOKUP($A11,[6]HISTONOV23!$A$6:$BB$45,15,0))</f>
        <v>100000</v>
      </c>
      <c r="E11" s="7" t="str">
        <f>VLOOKUP($A11,[6]HISTONOV23!$A$6:$BB$45,8,0)</f>
        <v>BANQUE</v>
      </c>
      <c r="F11" s="7">
        <f>VLOOKUP($A11,[6]HISTONOV23!$A$6:$BB$45,37,0)</f>
        <v>0</v>
      </c>
      <c r="G11" s="7">
        <f>VLOOKUP($A11,[6]HISTONOV23!$A$6:$BB$45,40,0)</f>
        <v>0</v>
      </c>
      <c r="H11" s="7" t="str">
        <f>IF(F11&lt;&gt;0,VLOOKUP($A11,[6]HISTONOV23!$A$6:$BB$45,42,0),"ECHEC")</f>
        <v>ECHEC</v>
      </c>
      <c r="I11" s="7">
        <f>VLOOKUP($A11,[6]HISTONOV23!$A$6:$BB$45,41,0)</f>
        <v>0</v>
      </c>
      <c r="J11" s="7">
        <f>TONTOCT23!F11+TONTOCT23!G11</f>
        <v>0</v>
      </c>
      <c r="K11" s="7">
        <f>VLOOKUP($A11,[6]HISTONOV23!$A$6:$BB$45,18,0)</f>
        <v>0</v>
      </c>
      <c r="L11" s="7" t="str">
        <f>IF(K11&lt;&gt;0,VLOOKUP($A11,[6]HISTONOV23!$A$6:$BB$45,42,0),"ECHEC")</f>
        <v>ECHEC</v>
      </c>
      <c r="M11" s="7" t="str">
        <f>IF(P11&lt;&gt;0,VLOOKUP($A11,[6]HISTONOV23!$A$6:$BB$45,32,0),"ECHEC")</f>
        <v>ECHEC</v>
      </c>
      <c r="N11" s="7">
        <f>VLOOKUP($A11,[6]HISTONOV23!$A$6:$BB$45,33,0)</f>
        <v>0</v>
      </c>
      <c r="O11" s="7">
        <f t="shared" si="0"/>
        <v>0</v>
      </c>
      <c r="P11" s="7">
        <f>VLOOKUP($A11,[6]HISTONOV23!$A$6:$BB$45,31,0)</f>
        <v>0</v>
      </c>
    </row>
    <row r="12" spans="1:16" x14ac:dyDescent="0.25">
      <c r="A12" s="1" t="s">
        <v>23</v>
      </c>
      <c r="B12" s="7">
        <f>IF(D12=0,0,VLOOKUP($A12,[6]HISTONOV23!$A$6:$BQ$45,14,0))</f>
        <v>1</v>
      </c>
      <c r="C12" s="1" t="str">
        <f>VLOOKUP(A12,[7]LISTADHERENT!A$5:H$60,3,0)</f>
        <v>MBOGNING TUGMA GUY</v>
      </c>
      <c r="D12" s="7">
        <f>IF(E12="ECHEC",0,VLOOKUP($A12,[6]HISTONOV23!$A$6:$BB$45,15,0))</f>
        <v>100000</v>
      </c>
      <c r="E12" s="7" t="str">
        <f>VLOOKUP($A12,[6]HISTONOV23!$A$6:$BB$45,8,0)</f>
        <v>BANQUE</v>
      </c>
      <c r="F12" s="7">
        <f>VLOOKUP($A12,[6]HISTONOV23!$A$6:$BB$45,37,0)</f>
        <v>302000</v>
      </c>
      <c r="G12" s="7">
        <f>VLOOKUP($A12,[6]HISTONOV23!$A$6:$BB$45,40,0)</f>
        <v>5000</v>
      </c>
      <c r="H12" s="7" t="str">
        <f>IF(F12&lt;&gt;0,VLOOKUP($A12,[6]HISTONOV23!$A$6:$BB$45,42,0),"ECHEC")</f>
        <v>BANQUE</v>
      </c>
      <c r="I12" s="7">
        <f>VLOOKUP($A12,[6]HISTONOV23!$A$6:$BB$45,41,0)</f>
        <v>0</v>
      </c>
      <c r="J12" s="7">
        <f>TONTOCT23!F12+TONTOCT23!G12</f>
        <v>202000</v>
      </c>
      <c r="K12" s="7">
        <f>VLOOKUP($A12,[6]HISTONOV23!$A$6:$BB$45,18,0)</f>
        <v>202000</v>
      </c>
      <c r="L12" s="7" t="str">
        <f>IF(K12&lt;&gt;0,VLOOKUP($A12,[6]HISTONOV23!$A$6:$BB$45,42,0),"ECHEC")</f>
        <v>BANQUE</v>
      </c>
      <c r="M12" s="7" t="str">
        <f>IF(P12&lt;&gt;0,VLOOKUP($A12,[6]HISTONOV23!$A$6:$BB$45,32,0),"ECHEC")</f>
        <v>ECHEC</v>
      </c>
      <c r="N12" s="7">
        <f>VLOOKUP($A12,[6]HISTONOV23!$A$6:$BB$45,33,0)</f>
        <v>0</v>
      </c>
      <c r="O12" s="7">
        <f t="shared" si="0"/>
        <v>0</v>
      </c>
      <c r="P12" s="7">
        <f>VLOOKUP($A12,[6]HISTONOV23!$A$6:$BB$45,31,0)</f>
        <v>0</v>
      </c>
    </row>
    <row r="13" spans="1:16" x14ac:dyDescent="0.25">
      <c r="A13" s="1" t="s">
        <v>9</v>
      </c>
      <c r="B13" s="7">
        <f>IF(D13=0,0,VLOOKUP($A13,[6]HISTONOV23!$A$6:$BQ$45,14,0))</f>
        <v>2</v>
      </c>
      <c r="C13" s="1" t="str">
        <f>VLOOKUP(A13,[7]LISTADHERENT!A$5:H$60,3,0)</f>
        <v>NDJOMO ETIENNE</v>
      </c>
      <c r="D13" s="7">
        <f>IF(E13="ECHEC",0,VLOOKUP($A13,[6]HISTONOV23!$A$6:$BB$45,15,0))</f>
        <v>200000</v>
      </c>
      <c r="E13" s="7" t="str">
        <f>VLOOKUP($A13,[6]HISTONOV23!$A$6:$BB$45,8,0)</f>
        <v>BANQUE</v>
      </c>
      <c r="F13" s="7">
        <f>VLOOKUP($A13,[6]HISTONOV23!$A$6:$BB$45,37,0)</f>
        <v>0</v>
      </c>
      <c r="G13" s="7">
        <f>VLOOKUP($A13,[6]HISTONOV23!$A$6:$BB$45,40,0)</f>
        <v>0</v>
      </c>
      <c r="H13" s="7" t="str">
        <f>IF(F13&lt;&gt;0,VLOOKUP($A13,[6]HISTONOV23!$A$6:$BB$45,42,0),"ECHEC")</f>
        <v>ECHEC</v>
      </c>
      <c r="I13" s="7">
        <f>VLOOKUP($A13,[6]HISTONOV23!$A$6:$BB$45,41,0)</f>
        <v>0</v>
      </c>
      <c r="J13" s="7">
        <f>TONTOCT23!F13+TONTOCT23!G13</f>
        <v>0</v>
      </c>
      <c r="K13" s="7">
        <f>VLOOKUP($A13,[6]HISTONOV23!$A$6:$BB$45,18,0)</f>
        <v>0</v>
      </c>
      <c r="L13" s="7" t="str">
        <f>IF(K13&lt;&gt;0,VLOOKUP($A13,[6]HISTONOV23!$A$6:$BB$45,42,0),"ECHEC")</f>
        <v>ECHEC</v>
      </c>
      <c r="M13" s="7" t="str">
        <f>IF(P13&lt;&gt;0,VLOOKUP($A13,[6]HISTONOV23!$A$6:$BB$45,32,0),"ECHEC")</f>
        <v>ECHEC</v>
      </c>
      <c r="N13" s="7">
        <f>VLOOKUP($A13,[6]HISTONOV23!$A$6:$BB$45,33,0)</f>
        <v>0</v>
      </c>
      <c r="O13" s="7">
        <f t="shared" si="0"/>
        <v>0</v>
      </c>
      <c r="P13" s="7">
        <f>VLOOKUP($A13,[6]HISTONOV23!$A$6:$BB$45,31,0)</f>
        <v>0</v>
      </c>
    </row>
    <row r="14" spans="1:16" x14ac:dyDescent="0.25">
      <c r="A14" s="1" t="s">
        <v>10</v>
      </c>
      <c r="B14" s="7">
        <f>IF(D14=0,0,VLOOKUP($A14,[6]HISTONOV23!$A$6:$BQ$45,14,0))</f>
        <v>1</v>
      </c>
      <c r="C14" s="1" t="str">
        <f>VLOOKUP(A14,[7]LISTADHERENT!A$5:H$60,3,0)</f>
        <v>NGONDIEP CLAUDE</v>
      </c>
      <c r="D14" s="7">
        <f>IF(E14="ECHEC",0,VLOOKUP($A14,[6]HISTONOV23!$A$6:$BB$45,15,0))</f>
        <v>100000</v>
      </c>
      <c r="E14" s="7" t="str">
        <f>VLOOKUP($A14,[6]HISTONOV23!$A$6:$BB$45,8,0)</f>
        <v>BANQUE</v>
      </c>
      <c r="F14" s="7">
        <f>VLOOKUP($A14,[6]HISTONOV23!$A$6:$BB$45,37,0)</f>
        <v>200000</v>
      </c>
      <c r="G14" s="7">
        <f>VLOOKUP($A14,[6]HISTONOV23!$A$6:$BB$45,40,0)</f>
        <v>2000</v>
      </c>
      <c r="H14" s="7" t="str">
        <f>IF(F14&lt;&gt;0,VLOOKUP($A14,[6]HISTONOV23!$A$6:$BB$45,42,0),"ECHEC")</f>
        <v>BANQUE</v>
      </c>
      <c r="I14" s="7">
        <f>VLOOKUP($A14,[6]HISTONOV23!$A$6:$BB$45,41,0)</f>
        <v>0</v>
      </c>
      <c r="J14" s="7">
        <f>TONTOCT23!F14+TONTOCT23!G14</f>
        <v>202000</v>
      </c>
      <c r="K14" s="7">
        <f>VLOOKUP($A14,[6]HISTONOV23!$A$6:$BB$45,18,0)</f>
        <v>202000</v>
      </c>
      <c r="L14" s="7" t="str">
        <f>IF(K14&lt;&gt;0,VLOOKUP($A14,[6]HISTONOV23!$A$6:$BB$45,42,0),"ECHEC")</f>
        <v>BANQUE</v>
      </c>
      <c r="M14" s="7" t="str">
        <f>IF(P14&lt;&gt;0,VLOOKUP($A14,[6]HISTONOV23!$A$6:$BB$45,32,0),"ECHEC")</f>
        <v>ECHEC</v>
      </c>
      <c r="N14" s="7">
        <f>VLOOKUP($A14,[6]HISTONOV23!$A$6:$BB$45,33,0)</f>
        <v>0</v>
      </c>
      <c r="O14" s="7">
        <f t="shared" si="0"/>
        <v>0</v>
      </c>
      <c r="P14" s="7">
        <f>VLOOKUP($A14,[6]HISTONOV23!$A$6:$BB$45,31,0)</f>
        <v>0</v>
      </c>
    </row>
    <row r="15" spans="1:16" x14ac:dyDescent="0.25">
      <c r="A15" s="1" t="s">
        <v>44</v>
      </c>
      <c r="B15" s="7">
        <f>IF(D15=0,0,VLOOKUP($A15,[6]HISTONOV23!$A$6:$BQ$45,14,0))</f>
        <v>1</v>
      </c>
      <c r="C15" s="1" t="str">
        <f>VLOOKUP(A15,[7]LISTADHERENT!A$5:H$60,3,0)</f>
        <v>NGUIEMEGNI MATHIEU BLAISE</v>
      </c>
      <c r="D15" s="7">
        <f>IF(E15="ECHEC",0,VLOOKUP($A15,[6]HISTONOV23!$A$6:$BB$45,15,0))</f>
        <v>100000</v>
      </c>
      <c r="E15" s="7" t="str">
        <f>VLOOKUP($A15,[6]HISTONOV23!$A$6:$BB$45,8,0)</f>
        <v>BANQUE</v>
      </c>
      <c r="F15" s="7">
        <f>VLOOKUP($A15,[6]HISTONOV23!$A$6:$BB$45,37,0)</f>
        <v>200000</v>
      </c>
      <c r="G15" s="7">
        <f>VLOOKUP($A15,[6]HISTONOV23!$A$6:$BB$45,40,0)</f>
        <v>2000</v>
      </c>
      <c r="H15" s="7" t="str">
        <f>IF(F15&lt;&gt;0,VLOOKUP($A15,[6]HISTONOV23!$A$6:$BB$45,42,0),"ECHEC")</f>
        <v>BANQUE</v>
      </c>
      <c r="I15" s="7">
        <f>VLOOKUP($A15,[6]HISTONOV23!$A$6:$BB$45,41,0)</f>
        <v>0</v>
      </c>
      <c r="J15" s="7">
        <f>TONTOCT23!F15+TONTOCT23!G15</f>
        <v>202000</v>
      </c>
      <c r="K15" s="7">
        <f>VLOOKUP($A15,[6]HISTONOV23!$A$6:$BB$45,18,0)</f>
        <v>202000</v>
      </c>
      <c r="L15" s="7" t="str">
        <f>IF(K15&lt;&gt;0,VLOOKUP($A15,[6]HISTONOV23!$A$6:$BB$45,42,0),"ECHEC")</f>
        <v>BANQUE</v>
      </c>
      <c r="M15" s="7" t="str">
        <f>IF(P15&lt;&gt;0,VLOOKUP($A15,[6]HISTONOV23!$A$6:$BB$45,32,0),"ECHEC")</f>
        <v>ECHEC</v>
      </c>
      <c r="N15" s="7">
        <f>VLOOKUP($A15,[6]HISTONOV23!$A$6:$BB$45,33,0)</f>
        <v>0</v>
      </c>
      <c r="O15" s="7">
        <f t="shared" si="0"/>
        <v>0</v>
      </c>
      <c r="P15" s="7">
        <f>VLOOKUP($A15,[6]HISTONOV23!$A$6:$BB$45,31,0)</f>
        <v>0</v>
      </c>
    </row>
    <row r="16" spans="1:16" x14ac:dyDescent="0.25">
      <c r="A16" s="1" t="s">
        <v>47</v>
      </c>
      <c r="B16" s="7">
        <f>IF(D16=0,0,VLOOKUP($A16,[6]HISTONOV23!$A$6:$BQ$45,14,0))</f>
        <v>1</v>
      </c>
      <c r="C16" s="1" t="str">
        <f>VLOOKUP(A16,[7]LISTADHERENT!A$5:H$60,3,0)</f>
        <v>SIMO PIERRE</v>
      </c>
      <c r="D16" s="7">
        <f>IF(E16="ECHEC",0,VLOOKUP($A16,[6]HISTONOV23!$A$6:$BB$45,15,0))</f>
        <v>100000</v>
      </c>
      <c r="E16" s="7" t="str">
        <f>VLOOKUP($A16,[6]HISTONOV23!$A$6:$BB$45,8,0)</f>
        <v>BANQUE</v>
      </c>
      <c r="F16" s="7">
        <f>VLOOKUP($A16,[6]HISTONOV23!$A$6:$BB$45,37,0)</f>
        <v>30000</v>
      </c>
      <c r="G16" s="7">
        <f>VLOOKUP($A16,[6]HISTONOV23!$A$6:$BB$45,40,0)</f>
        <v>1000</v>
      </c>
      <c r="H16" s="7">
        <f>IF(F16&lt;&gt;0,VLOOKUP($A16,[6]HISTONOV23!$A$6:$BB$45,42,0),"ECHEC")</f>
        <v>0</v>
      </c>
      <c r="I16" s="7">
        <f>VLOOKUP($A16,[6]HISTONOV23!$A$6:$BB$45,41,0)</f>
        <v>0</v>
      </c>
      <c r="J16" s="7">
        <f>TONTOCT23!F16+TONTOCT23!G16</f>
        <v>0</v>
      </c>
      <c r="K16" s="7">
        <f>VLOOKUP($A16,[6]HISTONOV23!$A$6:$BB$45,18,0)</f>
        <v>0</v>
      </c>
      <c r="L16" s="7" t="str">
        <f>IF(K16&lt;&gt;0,VLOOKUP($A16,[6]HISTONOV23!$A$6:$BB$45,42,0),"ECHEC")</f>
        <v>ECHEC</v>
      </c>
      <c r="M16" s="7" t="str">
        <f>IF(P16&lt;&gt;0,VLOOKUP($A16,[6]HISTONOV23!$A$6:$BB$45,32,0),"ECHEC")</f>
        <v>ECHEC</v>
      </c>
      <c r="N16" s="7">
        <f>VLOOKUP($A16,[6]HISTONOV23!$A$6:$BB$45,33,0)</f>
        <v>0</v>
      </c>
      <c r="O16" s="7">
        <f t="shared" si="0"/>
        <v>0</v>
      </c>
      <c r="P16" s="7">
        <f>VLOOKUP($A16,[6]HISTONOV23!$A$6:$BB$45,31,0)</f>
        <v>0</v>
      </c>
    </row>
    <row r="17" spans="1:16" x14ac:dyDescent="0.25">
      <c r="A17" s="1" t="s">
        <v>22</v>
      </c>
      <c r="B17" s="7">
        <f>IF(D17=0,0,VLOOKUP($A17,[6]HISTONOV23!$A$6:$BQ$45,14,0))</f>
        <v>1</v>
      </c>
      <c r="C17" s="1" t="str">
        <f>VLOOKUP(A17,[7]LISTADHERENT!A$5:H$60,3,0)</f>
        <v>YOUMBI EMMANUEL</v>
      </c>
      <c r="D17" s="7">
        <f>IF(E17="ECHEC",0,VLOOKUP($A17,[6]HISTONOV23!$A$6:$BB$45,15,0))</f>
        <v>100000</v>
      </c>
      <c r="E17" s="7" t="str">
        <f>VLOOKUP($A17,[6]HISTONOV23!$A$6:$BB$45,8,0)</f>
        <v>BANQUE</v>
      </c>
      <c r="F17" s="7">
        <f>VLOOKUP($A17,[6]HISTONOV23!$A$6:$BB$45,37,0)</f>
        <v>0</v>
      </c>
      <c r="G17" s="7">
        <f>VLOOKUP($A17,[6]HISTONOV23!$A$6:$BB$45,40,0)</f>
        <v>0</v>
      </c>
      <c r="H17" s="7" t="str">
        <f>IF(F17&lt;&gt;0,VLOOKUP($A17,[6]HISTONOV23!$A$6:$BB$45,42,0),"ECHEC")</f>
        <v>ECHEC</v>
      </c>
      <c r="I17" s="7">
        <f>VLOOKUP($A17,[6]HISTONOV23!$A$6:$BB$45,41,0)</f>
        <v>0</v>
      </c>
      <c r="J17" s="7">
        <f>TONTOCT23!F17+TONTOCT23!G17</f>
        <v>0</v>
      </c>
      <c r="K17" s="7">
        <f>VLOOKUP($A17,[6]HISTONOV23!$A$6:$BB$45,18,0)</f>
        <v>0</v>
      </c>
      <c r="L17" s="7" t="str">
        <f>IF(K17&lt;&gt;0,VLOOKUP($A17,[6]HISTONOV23!$A$6:$BB$45,42,0),"ECHEC")</f>
        <v>ECHEC</v>
      </c>
      <c r="M17" s="7" t="str">
        <f>IF(P17&lt;&gt;0,VLOOKUP($A17,[6]HISTONOV23!$A$6:$BB$45,32,0),"ECHEC")</f>
        <v>ECHEC</v>
      </c>
      <c r="N17" s="7">
        <f>VLOOKUP($A17,[6]HISTONOV23!$A$6:$BB$45,33,0)</f>
        <v>0</v>
      </c>
      <c r="O17" s="7">
        <f t="shared" si="0"/>
        <v>0</v>
      </c>
      <c r="P17" s="7">
        <f>VLOOKUP($A17,[6]HISTONOV23!$A$6:$BB$45,31,0)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1136000</v>
      </c>
      <c r="G20" s="8">
        <f>SUM(G6:G18)</f>
        <v>18000</v>
      </c>
      <c r="H20" s="8"/>
      <c r="I20" s="8">
        <f>SUM(I6:I18)</f>
        <v>0</v>
      </c>
      <c r="J20" s="8">
        <f>SUM(J6:J18)</f>
        <v>1212000</v>
      </c>
      <c r="K20" s="8">
        <f>SUM(K6:K18)</f>
        <v>1212000</v>
      </c>
      <c r="L20" s="8"/>
      <c r="M20" s="8"/>
      <c r="N20" s="8">
        <f>SUM(N6:N18)</f>
        <v>0</v>
      </c>
      <c r="O20" s="8">
        <f>SUM(O6:O18)</f>
        <v>0</v>
      </c>
      <c r="P20" s="8">
        <f>SUM(P6:P18)</f>
        <v>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D26+E26+P20+TONTOCT23!N27</f>
        <v>5197500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0</v>
      </c>
      <c r="I23" s="8"/>
      <c r="K23" s="8" t="s">
        <v>35</v>
      </c>
      <c r="L23" s="8">
        <f>C3*COUNTIF(O6:O18,"&gt;0")</f>
        <v>0</v>
      </c>
      <c r="M23" s="8">
        <f>D3</f>
        <v>4</v>
      </c>
      <c r="N23" s="8">
        <f>COUNTIF(O8:O17,"&gt;0")</f>
        <v>0</v>
      </c>
      <c r="O23" s="8"/>
    </row>
    <row r="24" spans="1:16" s="2" customFormat="1" ht="18" x14ac:dyDescent="0.25">
      <c r="C24" s="8" t="s">
        <v>7</v>
      </c>
      <c r="D24" s="8">
        <f>SUMIFS(D6:D18,E6:E18,"BANQUE")</f>
        <v>1400000</v>
      </c>
      <c r="E24" s="8">
        <f>SUMIFS(K6:K18,L6:L18,"BANQUE")</f>
        <v>1212000</v>
      </c>
      <c r="F24" s="8">
        <f>SUMIFS(F6:F18,H6:H18,"BANQUE")</f>
        <v>1106000</v>
      </c>
      <c r="G24" s="8">
        <f>SUMIFS(O6:O18,M6:M18,"BANQUE")</f>
        <v>0</v>
      </c>
      <c r="H24" s="8">
        <f>D24+E24-F24-G24</f>
        <v>1506000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5197500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1212000</v>
      </c>
      <c r="F26" s="8">
        <f>F23+F24</f>
        <v>1106000</v>
      </c>
      <c r="G26" s="8">
        <f t="shared" ref="G26:H26" si="1">G23+G24</f>
        <v>0</v>
      </c>
      <c r="H26" s="8">
        <f t="shared" si="1"/>
        <v>1506000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4061500</v>
      </c>
      <c r="M27"/>
      <c r="N27" s="8">
        <f>TONTNOV23!L27</f>
        <v>4061500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TONTOCT23!N29+TONTNOV23!L29</f>
        <v>0</v>
      </c>
      <c r="O29" s="8" t="s">
        <v>29</v>
      </c>
    </row>
    <row r="30" spans="1:16" ht="18" x14ac:dyDescent="0.25">
      <c r="K30" s="8" t="s">
        <v>37</v>
      </c>
      <c r="L30" s="8">
        <f>J20-E26</f>
        <v>0</v>
      </c>
      <c r="N30" s="8">
        <f>TONTOCT23!N30+TONTNOV23!L30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xSplit="3" ySplit="5" topLeftCell="J6" activePane="bottomRight" state="frozen"/>
      <selection activeCell="J14" sqref="J14"/>
      <selection pane="topRight" activeCell="J14" sqref="J14"/>
      <selection pane="bottomLeft" activeCell="J14" sqref="J14"/>
      <selection pane="bottomRight" activeCell="N23" sqref="N23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6.85546875" style="3" bestFit="1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16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4</v>
      </c>
      <c r="E3" s="1"/>
      <c r="L3" s="1"/>
      <c r="M3" s="1"/>
    </row>
    <row r="4" spans="1:16" s="12" customFormat="1" ht="18" x14ac:dyDescent="0.25">
      <c r="B4" s="13"/>
      <c r="C4" s="20">
        <v>45273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16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</row>
    <row r="6" spans="1:16" x14ac:dyDescent="0.25">
      <c r="A6" s="1" t="s">
        <v>45</v>
      </c>
      <c r="B6" s="7">
        <f>IF(D6=0,0,VLOOKUP($A6,[6]HISTODEC23!$A$6:$BQ$45,14,0))</f>
        <v>1</v>
      </c>
      <c r="C6" s="1" t="str">
        <f>VLOOKUP(A6,[7]LISTADHERENT!A$5:H$60,3,0)</f>
        <v>ASELBY</v>
      </c>
      <c r="D6" s="7">
        <f>IF(E6="ECHEC",0,VLOOKUP($A6,[6]HISTODEC23!$A$6:$BB$45,15,0))</f>
        <v>100000</v>
      </c>
      <c r="E6" s="7" t="str">
        <f>VLOOKUP($A6,[6]HISTODEC23!$A$6:$BB$45,8,0)</f>
        <v>BANQUE</v>
      </c>
      <c r="F6" s="7">
        <f>VLOOKUP($A6,[6]HISTODEC23!$A$6:$BB$45,37,0)</f>
        <v>0</v>
      </c>
      <c r="G6" s="7">
        <f>VLOOKUP($A6,[6]HISTODEC23!$A$6:$BB$45,40,0)</f>
        <v>0</v>
      </c>
      <c r="H6" s="7" t="str">
        <f>IF(F6&lt;&gt;0,VLOOKUP($A6,[6]HISTODEC23!$A$6:$BB$45,42,0),"ECHEC")</f>
        <v>ECHEC</v>
      </c>
      <c r="I6" s="7">
        <f>VLOOKUP($A6,[6]HISTODEC23!$A$6:$BB$45,41,0)</f>
        <v>0</v>
      </c>
      <c r="J6" s="7">
        <f>TONTNOV23!F6+TONTNOV23!G6</f>
        <v>0</v>
      </c>
      <c r="K6" s="7">
        <f>VLOOKUP($A6,[6]HISTODEC23!$A$6:$BB$45,18,0)</f>
        <v>0</v>
      </c>
      <c r="L6" s="7" t="str">
        <f>IF(K6&lt;&gt;0,VLOOKUP($A6,[6]HISTODEC23!$A$6:$BB$45,42,0),"ECHEC")</f>
        <v>ECHEC</v>
      </c>
      <c r="M6" s="7">
        <f>IF(P6&lt;&gt;0,VLOOKUP($A6,[6]HISTODEC23!$A$6:$BB$45,32,0),"ECHEC")</f>
        <v>0</v>
      </c>
      <c r="N6" s="7">
        <f>VLOOKUP($A6,[6]HISTODEC23!$A$6:$BB$45,33,0)</f>
        <v>0</v>
      </c>
      <c r="O6" s="7">
        <f t="shared" ref="O6:O17" si="0">IF(P6=0,0,($C$3-P6))</f>
        <v>1190000</v>
      </c>
      <c r="P6" s="7">
        <f>VLOOKUP($A6,[6]HISTODEC23!$A$6:$BB$45,31,0)</f>
        <v>10000</v>
      </c>
    </row>
    <row r="7" spans="1:16" x14ac:dyDescent="0.25">
      <c r="A7" s="1" t="s">
        <v>48</v>
      </c>
      <c r="B7" s="7">
        <f>IF(D7=0,0,VLOOKUP($A7,[6]HISTODEC23!$A$6:$BQ$45,14,0))</f>
        <v>1</v>
      </c>
      <c r="C7" s="1" t="str">
        <f>VLOOKUP(A7,[7]LISTADHERENT!A$5:H$60,3,0)</f>
        <v xml:space="preserve">DJOMO JEAN PAUL </v>
      </c>
      <c r="D7" s="7">
        <f>IF(E7="ECHEC",0,VLOOKUP($A7,[6]HISTODEC23!$A$6:$BB$45,15,0))</f>
        <v>100000</v>
      </c>
      <c r="E7" s="7" t="str">
        <f>VLOOKUP($A7,[6]HISTODEC23!$A$6:$BB$45,8,0)</f>
        <v>BANQUE</v>
      </c>
      <c r="F7" s="7">
        <f>VLOOKUP($A7,[6]HISTODEC23!$A$6:$BB$45,37,0)</f>
        <v>0</v>
      </c>
      <c r="G7" s="7">
        <f>VLOOKUP($A7,[6]HISTODEC23!$A$6:$BB$45,40,0)</f>
        <v>0</v>
      </c>
      <c r="H7" s="7" t="str">
        <f>IF(F7&lt;&gt;0,VLOOKUP($A7,[6]HISTODEC23!$A$6:$BB$45,42,0),"ECHEC")</f>
        <v>ECHEC</v>
      </c>
      <c r="I7" s="7">
        <f>VLOOKUP($A7,[6]HISTODEC23!$A$6:$BB$45,41,0)</f>
        <v>0</v>
      </c>
      <c r="J7" s="7">
        <f>TONTNOV23!F7+TONTNOV23!G7</f>
        <v>0</v>
      </c>
      <c r="K7" s="7">
        <f>VLOOKUP($A7,[6]HISTODEC23!$A$6:$BB$45,18,0)</f>
        <v>0</v>
      </c>
      <c r="L7" s="7" t="str">
        <f>IF(K7&lt;&gt;0,VLOOKUP($A7,[6]HISTODEC23!$A$6:$BB$45,42,0),"ECHEC")</f>
        <v>ECHEC</v>
      </c>
      <c r="M7" s="7" t="str">
        <f>IF(P7&lt;&gt;0,VLOOKUP($A7,[6]HISTODEC23!$A$6:$BB$45,32,0),"ECHEC")</f>
        <v>ECHEC</v>
      </c>
      <c r="N7" s="7">
        <f>VLOOKUP($A7,[6]HISTODEC23!$A$6:$BB$45,33,0)</f>
        <v>0</v>
      </c>
      <c r="O7" s="7">
        <f t="shared" si="0"/>
        <v>0</v>
      </c>
      <c r="P7" s="7">
        <f>VLOOKUP($A7,[6]HISTODEC23!$A$6:$BB$45,31,0)</f>
        <v>0</v>
      </c>
    </row>
    <row r="8" spans="1:16" x14ac:dyDescent="0.25">
      <c r="A8" s="1" t="s">
        <v>20</v>
      </c>
      <c r="B8" s="7">
        <f>IF(D8=0,0,VLOOKUP($A8,[6]HISTODEC23!$A$6:$BQ$45,14,0))</f>
        <v>2</v>
      </c>
      <c r="C8" s="1" t="str">
        <f>VLOOKUP(A8,[7]LISTADHERENT!A$5:H$60,3,0)</f>
        <v>DJUOMBESSY ANTOINE</v>
      </c>
      <c r="D8" s="7">
        <f>IF(E8="ECHEC",0,VLOOKUP($A8,[6]HISTODEC23!$A$6:$BB$45,15,0))</f>
        <v>200000</v>
      </c>
      <c r="E8" s="7" t="str">
        <f>VLOOKUP($A8,[6]HISTODEC23!$A$6:$BB$45,8,0)</f>
        <v>BANQUE</v>
      </c>
      <c r="F8" s="7">
        <f>VLOOKUP($A8,[6]HISTODEC23!$A$6:$BB$45,37,0)</f>
        <v>0</v>
      </c>
      <c r="G8" s="7">
        <f>VLOOKUP($A8,[6]HISTODEC23!$A$6:$BB$45,40,0)</f>
        <v>0</v>
      </c>
      <c r="H8" s="7" t="str">
        <f>IF(F8&lt;&gt;0,VLOOKUP($A8,[6]HISTODEC23!$A$6:$BB$45,42,0),"ECHEC")</f>
        <v>ECHEC</v>
      </c>
      <c r="I8" s="7">
        <f>VLOOKUP($A8,[6]HISTODEC23!$A$6:$BB$45,41,0)</f>
        <v>0</v>
      </c>
      <c r="J8" s="7">
        <f>TONTNOV23!F8+TONTNOV23!G8</f>
        <v>206000</v>
      </c>
      <c r="K8" s="7">
        <f>VLOOKUP($A8,[6]HISTODEC23!$A$6:$BB$45,18,0)</f>
        <v>206000</v>
      </c>
      <c r="L8" s="7">
        <f>IF(K8&lt;&gt;0,VLOOKUP($A8,[6]HISTODEC23!$A$6:$BB$45,42,0),"ECHEC")</f>
        <v>0</v>
      </c>
      <c r="M8" s="7" t="str">
        <f>IF(P8&lt;&gt;0,VLOOKUP($A8,[6]HISTODEC23!$A$6:$BB$45,32,0),"ECHEC")</f>
        <v>ECHEC</v>
      </c>
      <c r="N8" s="7">
        <f>VLOOKUP($A8,[6]HISTODEC23!$A$6:$BB$45,33,0)</f>
        <v>0</v>
      </c>
      <c r="O8" s="7">
        <f t="shared" si="0"/>
        <v>0</v>
      </c>
      <c r="P8" s="7">
        <f>VLOOKUP($A8,[6]HISTODEC23!$A$6:$BB$45,31,0)</f>
        <v>0</v>
      </c>
    </row>
    <row r="9" spans="1:16" x14ac:dyDescent="0.25">
      <c r="A9" s="1" t="s">
        <v>21</v>
      </c>
      <c r="B9" s="7">
        <f>IF(D9=0,0,VLOOKUP($A9,[6]HISTODEC23!$A$6:$BQ$45,14,0))</f>
        <v>1</v>
      </c>
      <c r="C9" s="1" t="str">
        <f>VLOOKUP(A9,[7]LISTADHERENT!A$5:H$60,3,0)</f>
        <v>HOTCHO BENJAMIN</v>
      </c>
      <c r="D9" s="7">
        <f>IF(E9="ECHEC",0,VLOOKUP($A9,[6]HISTODEC23!$A$6:$BB$45,15,0))</f>
        <v>100000</v>
      </c>
      <c r="E9" s="7" t="str">
        <f>VLOOKUP($A9,[6]HISTODEC23!$A$6:$BB$45,8,0)</f>
        <v>BANQUE</v>
      </c>
      <c r="F9" s="7">
        <f>VLOOKUP($A9,[6]HISTODEC23!$A$6:$BB$45,37,0)</f>
        <v>0</v>
      </c>
      <c r="G9" s="7">
        <f>VLOOKUP($A9,[6]HISTODEC23!$A$6:$BB$45,40,0)</f>
        <v>0</v>
      </c>
      <c r="H9" s="7" t="str">
        <f>IF(F9&lt;&gt;0,VLOOKUP($A9,[6]HISTODEC23!$A$6:$BB$45,42,0),"ECHEC")</f>
        <v>ECHEC</v>
      </c>
      <c r="I9" s="7">
        <f>VLOOKUP($A9,[6]HISTODEC23!$A$6:$BB$45,41,0)</f>
        <v>0</v>
      </c>
      <c r="J9" s="7">
        <f>TONTNOV23!F9+TONTNOV23!G9</f>
        <v>206000</v>
      </c>
      <c r="K9" s="7">
        <f>VLOOKUP($A9,[6]HISTODEC23!$A$6:$BB$45,18,0)</f>
        <v>206000</v>
      </c>
      <c r="L9" s="7">
        <f>IF(K9&lt;&gt;0,VLOOKUP($A9,[6]HISTODEC23!$A$6:$BB$45,42,0),"ECHEC")</f>
        <v>0</v>
      </c>
      <c r="M9" s="7" t="str">
        <f>IF(P9&lt;&gt;0,VLOOKUP($A9,[6]HISTODEC23!$A$6:$BB$45,32,0),"ECHEC")</f>
        <v>ECHEC</v>
      </c>
      <c r="N9" s="7">
        <f>VLOOKUP($A9,[6]HISTODEC23!$A$6:$BB$45,33,0)</f>
        <v>0</v>
      </c>
      <c r="O9" s="7">
        <f t="shared" si="0"/>
        <v>0</v>
      </c>
      <c r="P9" s="7">
        <f>VLOOKUP($A9,[6]HISTODEC23!$A$6:$BB$45,31,0)</f>
        <v>0</v>
      </c>
    </row>
    <row r="10" spans="1:16" x14ac:dyDescent="0.25">
      <c r="A10" s="1" t="s">
        <v>27</v>
      </c>
      <c r="B10" s="7">
        <f>IF(D10=0,0,VLOOKUP($A10,[6]HISTODEC23!$A$6:$BQ$45,14,0))</f>
        <v>1</v>
      </c>
      <c r="C10" s="1" t="str">
        <f>VLOOKUP(A10,[7]LISTADHERENT!A$5:H$60,3,0)</f>
        <v>KOUAMOU MOISE</v>
      </c>
      <c r="D10" s="7">
        <f>IF(E10="ECHEC",0,VLOOKUP($A10,[6]HISTODEC23!$A$6:$BB$45,15,0))</f>
        <v>100000</v>
      </c>
      <c r="E10" s="7" t="str">
        <f>VLOOKUP($A10,[6]HISTODEC23!$A$6:$BB$45,8,0)</f>
        <v>BANQUE</v>
      </c>
      <c r="F10" s="7">
        <f>VLOOKUP($A10,[6]HISTODEC23!$A$6:$BB$45,37,0)</f>
        <v>0</v>
      </c>
      <c r="G10" s="7">
        <f>VLOOKUP($A10,[6]HISTODEC23!$A$6:$BB$45,40,0)</f>
        <v>0</v>
      </c>
      <c r="H10" s="7" t="str">
        <f>IF(F10&lt;&gt;0,VLOOKUP($A10,[6]HISTODEC23!$A$6:$BB$45,42,0),"ECHEC")</f>
        <v>ECHEC</v>
      </c>
      <c r="I10" s="7">
        <f>VLOOKUP($A10,[6]HISTODEC23!$A$6:$BB$45,41,0)</f>
        <v>0</v>
      </c>
      <c r="J10" s="7">
        <f>TONTNOV23!F10+TONTNOV23!G10</f>
        <v>0</v>
      </c>
      <c r="K10" s="7">
        <f>VLOOKUP($A10,[6]HISTODEC23!$A$6:$BB$45,18,0)</f>
        <v>0</v>
      </c>
      <c r="L10" s="7" t="str">
        <f>IF(K10&lt;&gt;0,VLOOKUP($A10,[6]HISTODEC23!$A$6:$BB$45,42,0),"ECHEC")</f>
        <v>ECHEC</v>
      </c>
      <c r="M10" s="7" t="str">
        <f>IF(P10&lt;&gt;0,VLOOKUP($A10,[6]HISTODEC23!$A$6:$BB$45,32,0),"ECHEC")</f>
        <v>ECHEC</v>
      </c>
      <c r="N10" s="7">
        <f>VLOOKUP($A10,[6]HISTODEC23!$A$6:$BB$45,33,0)</f>
        <v>0</v>
      </c>
      <c r="O10" s="7">
        <f t="shared" si="0"/>
        <v>0</v>
      </c>
      <c r="P10" s="7">
        <f>VLOOKUP($A10,[6]HISTODEC23!$A$6:$BB$45,31,0)</f>
        <v>0</v>
      </c>
    </row>
    <row r="11" spans="1:16" x14ac:dyDescent="0.25">
      <c r="A11" s="1" t="s">
        <v>8</v>
      </c>
      <c r="B11" s="7">
        <f>IF(D11=0,0,VLOOKUP($A11,[6]HISTODEC23!$A$6:$BQ$45,14,0))</f>
        <v>1</v>
      </c>
      <c r="C11" s="1" t="str">
        <f>VLOOKUP(A11,[7]LISTADHERENT!A$5:H$60,3,0)</f>
        <v>KOUATCHO MESSACK</v>
      </c>
      <c r="D11" s="7">
        <f>IF(E11="ECHEC",0,VLOOKUP($A11,[6]HISTODEC23!$A$6:$BB$45,15,0))</f>
        <v>100000</v>
      </c>
      <c r="E11" s="7" t="str">
        <f>VLOOKUP($A11,[6]HISTODEC23!$A$6:$BB$45,8,0)</f>
        <v>BANQUE</v>
      </c>
      <c r="F11" s="7">
        <f>VLOOKUP($A11,[6]HISTODEC23!$A$6:$BB$45,37,0)</f>
        <v>0</v>
      </c>
      <c r="G11" s="7">
        <f>VLOOKUP($A11,[6]HISTODEC23!$A$6:$BB$45,40,0)</f>
        <v>0</v>
      </c>
      <c r="H11" s="7" t="str">
        <f>IF(F11&lt;&gt;0,VLOOKUP($A11,[6]HISTODEC23!$A$6:$BB$45,42,0),"ECHEC")</f>
        <v>ECHEC</v>
      </c>
      <c r="I11" s="7">
        <f>VLOOKUP($A11,[6]HISTODEC23!$A$6:$BB$45,41,0)</f>
        <v>0</v>
      </c>
      <c r="J11" s="7">
        <f>TONTNOV23!F11+TONTNOV23!G11</f>
        <v>0</v>
      </c>
      <c r="K11" s="7">
        <f>VLOOKUP($A11,[6]HISTODEC23!$A$6:$BB$45,18,0)</f>
        <v>0</v>
      </c>
      <c r="L11" s="7" t="str">
        <f>IF(K11&lt;&gt;0,VLOOKUP($A11,[6]HISTODEC23!$A$6:$BB$45,42,0),"ECHEC")</f>
        <v>ECHEC</v>
      </c>
      <c r="M11" s="7" t="str">
        <f>IF(P11&lt;&gt;0,VLOOKUP($A11,[6]HISTODEC23!$A$6:$BB$45,32,0),"ECHEC")</f>
        <v>ECHEC</v>
      </c>
      <c r="N11" s="7">
        <f>VLOOKUP($A11,[6]HISTODEC23!$A$6:$BB$45,33,0)</f>
        <v>0</v>
      </c>
      <c r="O11" s="7">
        <f t="shared" si="0"/>
        <v>0</v>
      </c>
      <c r="P11" s="7">
        <f>VLOOKUP($A11,[6]HISTODEC23!$A$6:$BB$45,31,0)</f>
        <v>0</v>
      </c>
    </row>
    <row r="12" spans="1:16" x14ac:dyDescent="0.25">
      <c r="A12" s="1" t="s">
        <v>23</v>
      </c>
      <c r="B12" s="7">
        <f>IF(D12=0,0,VLOOKUP($A12,[6]HISTODEC23!$A$6:$BQ$45,14,0))</f>
        <v>1</v>
      </c>
      <c r="C12" s="1" t="str">
        <f>VLOOKUP(A12,[7]LISTADHERENT!A$5:H$60,3,0)</f>
        <v>MBOGNING TUGMA GUY</v>
      </c>
      <c r="D12" s="7">
        <f>IF(E12="ECHEC",0,VLOOKUP($A12,[6]HISTODEC23!$A$6:$BB$45,15,0))</f>
        <v>100000</v>
      </c>
      <c r="E12" s="7" t="str">
        <f>VLOOKUP($A12,[6]HISTODEC23!$A$6:$BB$45,8,0)</f>
        <v>ESPECES</v>
      </c>
      <c r="F12" s="7">
        <f>VLOOKUP($A12,[6]HISTODEC23!$A$6:$BB$45,37,0)</f>
        <v>0</v>
      </c>
      <c r="G12" s="7">
        <f>VLOOKUP($A12,[6]HISTODEC23!$A$6:$BB$45,40,0)</f>
        <v>0</v>
      </c>
      <c r="H12" s="7" t="str">
        <f>IF(F12&lt;&gt;0,VLOOKUP($A12,[6]HISTODEC23!$A$6:$BB$45,42,0),"ECHEC")</f>
        <v>ECHEC</v>
      </c>
      <c r="I12" s="7">
        <f>VLOOKUP($A12,[6]HISTODEC23!$A$6:$BB$45,41,0)</f>
        <v>0</v>
      </c>
      <c r="J12" s="7">
        <f>TONTNOV23!F12+TONTNOV23!G12</f>
        <v>307000</v>
      </c>
      <c r="K12" s="7">
        <f>VLOOKUP($A12,[6]HISTODEC23!$A$6:$BB$45,18,0)</f>
        <v>307000</v>
      </c>
      <c r="L12" s="7">
        <f>IF(K12&lt;&gt;0,VLOOKUP($A12,[6]HISTODEC23!$A$6:$BB$45,42,0),"ECHEC")</f>
        <v>0</v>
      </c>
      <c r="M12" s="7" t="str">
        <f>IF(P12&lt;&gt;0,VLOOKUP($A12,[6]HISTODEC23!$A$6:$BB$45,32,0),"ECHEC")</f>
        <v>ECHEC</v>
      </c>
      <c r="N12" s="7">
        <f>VLOOKUP($A12,[6]HISTODEC23!$A$6:$BB$45,33,0)</f>
        <v>0</v>
      </c>
      <c r="O12" s="7">
        <f t="shared" si="0"/>
        <v>0</v>
      </c>
      <c r="P12" s="7">
        <f>VLOOKUP($A12,[6]HISTODEC23!$A$6:$BB$45,31,0)</f>
        <v>0</v>
      </c>
    </row>
    <row r="13" spans="1:16" x14ac:dyDescent="0.25">
      <c r="A13" s="1" t="s">
        <v>9</v>
      </c>
      <c r="B13" s="7">
        <f>IF(D13=0,0,VLOOKUP($A13,[6]HISTODEC23!$A$6:$BQ$45,14,0))</f>
        <v>2</v>
      </c>
      <c r="C13" s="1" t="str">
        <f>VLOOKUP(A13,[7]LISTADHERENT!A$5:H$60,3,0)</f>
        <v>NDJOMO ETIENNE</v>
      </c>
      <c r="D13" s="7">
        <f>IF(E13="ECHEC",0,VLOOKUP($A13,[6]HISTODEC23!$A$6:$BB$45,15,0))</f>
        <v>200000</v>
      </c>
      <c r="E13" s="7" t="str">
        <f>VLOOKUP($A13,[6]HISTODEC23!$A$6:$BB$45,8,0)</f>
        <v>BANQUE</v>
      </c>
      <c r="F13" s="7">
        <f>VLOOKUP($A13,[6]HISTODEC23!$A$6:$BB$45,37,0)</f>
        <v>0</v>
      </c>
      <c r="G13" s="7">
        <f>VLOOKUP($A13,[6]HISTODEC23!$A$6:$BB$45,40,0)</f>
        <v>0</v>
      </c>
      <c r="H13" s="7" t="str">
        <f>IF(F13&lt;&gt;0,VLOOKUP($A13,[6]HISTODEC23!$A$6:$BB$45,42,0),"ECHEC")</f>
        <v>ECHEC</v>
      </c>
      <c r="I13" s="7">
        <f>VLOOKUP($A13,[6]HISTODEC23!$A$6:$BB$45,41,0)</f>
        <v>0</v>
      </c>
      <c r="J13" s="7">
        <f>TONTNOV23!F13+TONTNOV23!G13</f>
        <v>0</v>
      </c>
      <c r="K13" s="7">
        <f>VLOOKUP($A13,[6]HISTODEC23!$A$6:$BB$45,18,0)</f>
        <v>0</v>
      </c>
      <c r="L13" s="7" t="str">
        <f>IF(K13&lt;&gt;0,VLOOKUP($A13,[6]HISTODEC23!$A$6:$BB$45,42,0),"ECHEC")</f>
        <v>ECHEC</v>
      </c>
      <c r="M13" s="7" t="str">
        <f>IF(P13&lt;&gt;0,VLOOKUP($A13,[6]HISTODEC23!$A$6:$BB$45,32,0),"ECHEC")</f>
        <v>ECHEC</v>
      </c>
      <c r="N13" s="7">
        <f>VLOOKUP($A13,[6]HISTODEC23!$A$6:$BB$45,33,0)</f>
        <v>0</v>
      </c>
      <c r="O13" s="7">
        <f t="shared" si="0"/>
        <v>0</v>
      </c>
      <c r="P13" s="7">
        <f>VLOOKUP($A13,[6]HISTODEC23!$A$6:$BB$45,31,0)</f>
        <v>0</v>
      </c>
    </row>
    <row r="14" spans="1:16" x14ac:dyDescent="0.25">
      <c r="A14" s="1" t="s">
        <v>10</v>
      </c>
      <c r="B14" s="7">
        <f>IF(D14=0,0,VLOOKUP($A14,[6]HISTODEC23!$A$6:$BQ$45,14,0))</f>
        <v>1</v>
      </c>
      <c r="C14" s="1" t="str">
        <f>VLOOKUP(A14,[7]LISTADHERENT!A$5:H$60,3,0)</f>
        <v>NGONDIEP CLAUDE</v>
      </c>
      <c r="D14" s="7">
        <f>IF(E14="ECHEC",0,VLOOKUP($A14,[6]HISTODEC23!$A$6:$BB$45,15,0))</f>
        <v>100000</v>
      </c>
      <c r="E14" s="7" t="str">
        <f>VLOOKUP($A14,[6]HISTODEC23!$A$6:$BB$45,8,0)</f>
        <v>BANQUE</v>
      </c>
      <c r="F14" s="7">
        <f>VLOOKUP($A14,[6]HISTODEC23!$A$6:$BB$45,37,0)</f>
        <v>0</v>
      </c>
      <c r="G14" s="7">
        <f>VLOOKUP($A14,[6]HISTODEC23!$A$6:$BB$45,40,0)</f>
        <v>0</v>
      </c>
      <c r="H14" s="7" t="str">
        <f>IF(F14&lt;&gt;0,VLOOKUP($A14,[6]HISTODEC23!$A$6:$BB$45,42,0),"ECHEC")</f>
        <v>ECHEC</v>
      </c>
      <c r="I14" s="7">
        <f>VLOOKUP($A14,[6]HISTODEC23!$A$6:$BB$45,41,0)</f>
        <v>0</v>
      </c>
      <c r="J14" s="7">
        <f>TONTNOV23!F14+TONTNOV23!G14</f>
        <v>202000</v>
      </c>
      <c r="K14" s="7">
        <f>VLOOKUP($A14,[6]HISTODEC23!$A$6:$BB$45,18,0)</f>
        <v>202000</v>
      </c>
      <c r="L14" s="7">
        <f>IF(K14&lt;&gt;0,VLOOKUP($A14,[6]HISTODEC23!$A$6:$BB$45,42,0),"ECHEC")</f>
        <v>0</v>
      </c>
      <c r="M14" s="7" t="str">
        <f>IF(P14&lt;&gt;0,VLOOKUP($A14,[6]HISTODEC23!$A$6:$BB$45,32,0),"ECHEC")</f>
        <v>ECHEC</v>
      </c>
      <c r="N14" s="7">
        <f>VLOOKUP($A14,[6]HISTODEC23!$A$6:$BB$45,33,0)</f>
        <v>0</v>
      </c>
      <c r="O14" s="7">
        <f t="shared" si="0"/>
        <v>0</v>
      </c>
      <c r="P14" s="7">
        <f>VLOOKUP($A14,[6]HISTODEC23!$A$6:$BB$45,31,0)</f>
        <v>0</v>
      </c>
    </row>
    <row r="15" spans="1:16" x14ac:dyDescent="0.25">
      <c r="A15" s="1" t="s">
        <v>44</v>
      </c>
      <c r="B15" s="7">
        <f>IF(D15=0,0,VLOOKUP($A15,[6]HISTODEC23!$A$6:$BQ$45,14,0))</f>
        <v>1</v>
      </c>
      <c r="C15" s="1" t="str">
        <f>VLOOKUP(A15,[7]LISTADHERENT!A$5:H$60,3,0)</f>
        <v>NGUIEMEGNI MATHIEU BLAISE</v>
      </c>
      <c r="D15" s="7">
        <f>IF(E15="ECHEC",0,VLOOKUP($A15,[6]HISTODEC23!$A$6:$BB$45,15,0))</f>
        <v>100000</v>
      </c>
      <c r="E15" s="7" t="str">
        <f>VLOOKUP($A15,[6]HISTODEC23!$A$6:$BB$45,8,0)</f>
        <v>BANQUE</v>
      </c>
      <c r="F15" s="7">
        <f>VLOOKUP($A15,[6]HISTODEC23!$A$6:$BB$45,37,0)</f>
        <v>0</v>
      </c>
      <c r="G15" s="7">
        <f>VLOOKUP($A15,[6]HISTODEC23!$A$6:$BB$45,40,0)</f>
        <v>0</v>
      </c>
      <c r="H15" s="7" t="str">
        <f>IF(F15&lt;&gt;0,VLOOKUP($A15,[6]HISTODEC23!$A$6:$BB$45,42,0),"ECHEC")</f>
        <v>ECHEC</v>
      </c>
      <c r="I15" s="7">
        <f>VLOOKUP($A15,[6]HISTODEC23!$A$6:$BB$45,41,0)</f>
        <v>0</v>
      </c>
      <c r="J15" s="7">
        <f>TONTNOV23!F15+TONTNOV23!G15</f>
        <v>202000</v>
      </c>
      <c r="K15" s="7">
        <f>VLOOKUP($A15,[6]HISTODEC23!$A$6:$BB$45,18,0)</f>
        <v>202000</v>
      </c>
      <c r="L15" s="7">
        <f>IF(K15&lt;&gt;0,VLOOKUP($A15,[6]HISTODEC23!$A$6:$BB$45,42,0),"ECHEC")</f>
        <v>0</v>
      </c>
      <c r="M15" s="7" t="str">
        <f>IF(P15&lt;&gt;0,VLOOKUP($A15,[6]HISTODEC23!$A$6:$BB$45,32,0),"ECHEC")</f>
        <v>ECHEC</v>
      </c>
      <c r="N15" s="7">
        <f>VLOOKUP($A15,[6]HISTODEC23!$A$6:$BB$45,33,0)</f>
        <v>0</v>
      </c>
      <c r="O15" s="7">
        <f t="shared" si="0"/>
        <v>0</v>
      </c>
      <c r="P15" s="7">
        <f>VLOOKUP($A15,[6]HISTODEC23!$A$6:$BB$45,31,0)</f>
        <v>0</v>
      </c>
    </row>
    <row r="16" spans="1:16" x14ac:dyDescent="0.25">
      <c r="A16" s="1" t="s">
        <v>47</v>
      </c>
      <c r="B16" s="7">
        <f>IF(D16=0,0,VLOOKUP($A16,[6]HISTODEC23!$A$6:$BQ$45,14,0))</f>
        <v>1</v>
      </c>
      <c r="C16" s="1" t="str">
        <f>VLOOKUP(A16,[7]LISTADHERENT!A$5:H$60,3,0)</f>
        <v>SIMO PIERRE</v>
      </c>
      <c r="D16" s="7">
        <f>IF(E16="ECHEC",0,VLOOKUP($A16,[6]HISTODEC23!$A$6:$BB$45,15,0))</f>
        <v>100000</v>
      </c>
      <c r="E16" s="7" t="str">
        <f>VLOOKUP($A16,[6]HISTODEC23!$A$6:$BB$45,8,0)</f>
        <v>BANQUE</v>
      </c>
      <c r="F16" s="7">
        <f>VLOOKUP($A16,[6]HISTODEC23!$A$6:$BB$45,37,0)</f>
        <v>0</v>
      </c>
      <c r="G16" s="7">
        <f>VLOOKUP($A16,[6]HISTODEC23!$A$6:$BB$45,40,0)</f>
        <v>0</v>
      </c>
      <c r="H16" s="7" t="str">
        <f>IF(F16&lt;&gt;0,VLOOKUP($A16,[6]HISTODEC23!$A$6:$BB$45,42,0),"ECHEC")</f>
        <v>ECHEC</v>
      </c>
      <c r="I16" s="7">
        <f>VLOOKUP($A16,[6]HISTODEC23!$A$6:$BB$45,41,0)</f>
        <v>0</v>
      </c>
      <c r="J16" s="7">
        <f>TONTNOV23!F16+TONTNOV23!G16</f>
        <v>31000</v>
      </c>
      <c r="K16" s="7">
        <f>VLOOKUP($A16,[6]HISTODEC23!$A$6:$BB$45,18,0)</f>
        <v>31000</v>
      </c>
      <c r="L16" s="7">
        <f>IF(K16&lt;&gt;0,VLOOKUP($A16,[6]HISTODEC23!$A$6:$BB$45,42,0),"ECHEC")</f>
        <v>0</v>
      </c>
      <c r="M16" s="7" t="str">
        <f>IF(P16&lt;&gt;0,VLOOKUP($A16,[6]HISTODEC23!$A$6:$BB$45,32,0),"ECHEC")</f>
        <v>ECHEC</v>
      </c>
      <c r="N16" s="7">
        <f>VLOOKUP($A16,[6]HISTODEC23!$A$6:$BB$45,33,0)</f>
        <v>0</v>
      </c>
      <c r="O16" s="7">
        <f t="shared" si="0"/>
        <v>0</v>
      </c>
      <c r="P16" s="7">
        <f>VLOOKUP($A16,[6]HISTODEC23!$A$6:$BB$45,31,0)</f>
        <v>0</v>
      </c>
    </row>
    <row r="17" spans="1:16" x14ac:dyDescent="0.25">
      <c r="A17" s="1" t="s">
        <v>22</v>
      </c>
      <c r="B17" s="7">
        <f>IF(D17=0,0,VLOOKUP($A17,[6]HISTODEC23!$A$6:$BQ$45,14,0))</f>
        <v>1</v>
      </c>
      <c r="C17" s="1" t="str">
        <f>VLOOKUP(A17,[7]LISTADHERENT!A$5:H$60,3,0)</f>
        <v>YOUMBI EMMANUEL</v>
      </c>
      <c r="D17" s="7">
        <f>IF(E17="ECHEC",0,VLOOKUP($A17,[6]HISTODEC23!$A$6:$BB$45,15,0))</f>
        <v>100000</v>
      </c>
      <c r="E17" s="7" t="str">
        <f>VLOOKUP($A17,[6]HISTODEC23!$A$6:$BB$45,8,0)</f>
        <v>BANQUE</v>
      </c>
      <c r="F17" s="7">
        <f>VLOOKUP($A17,[6]HISTODEC23!$A$6:$BB$45,37,0)</f>
        <v>0</v>
      </c>
      <c r="G17" s="7">
        <f>VLOOKUP($A17,[6]HISTODEC23!$A$6:$BB$45,40,0)</f>
        <v>0</v>
      </c>
      <c r="H17" s="7" t="str">
        <f>IF(F17&lt;&gt;0,VLOOKUP($A17,[6]HISTODEC23!$A$6:$BB$45,42,0),"ECHEC")</f>
        <v>ECHEC</v>
      </c>
      <c r="I17" s="7">
        <f>VLOOKUP($A17,[6]HISTODEC23!$A$6:$BB$45,41,0)</f>
        <v>0</v>
      </c>
      <c r="J17" s="7">
        <f>TONTNOV23!F17+TONTNOV23!G17</f>
        <v>0</v>
      </c>
      <c r="K17" s="7">
        <f>VLOOKUP($A17,[6]HISTODEC23!$A$6:$BB$45,18,0)</f>
        <v>0</v>
      </c>
      <c r="L17" s="7" t="str">
        <f>IF(K17&lt;&gt;0,VLOOKUP($A17,[6]HISTODEC23!$A$6:$BB$45,42,0),"ECHEC")</f>
        <v>ECHEC</v>
      </c>
      <c r="M17" s="7" t="str">
        <f>IF(P17&lt;&gt;0,VLOOKUP($A17,[6]HISTODEC23!$A$6:$BB$45,32,0),"ECHEC")</f>
        <v>ECHEC</v>
      </c>
      <c r="N17" s="7">
        <f>VLOOKUP($A17,[6]HISTODEC23!$A$6:$BB$45,33,0)</f>
        <v>0</v>
      </c>
      <c r="O17" s="7">
        <f t="shared" si="0"/>
        <v>0</v>
      </c>
      <c r="P17" s="7">
        <f>VLOOKUP($A17,[6]HISTODEC23!$A$6:$BB$45,31,0)</f>
        <v>0</v>
      </c>
    </row>
    <row r="18" spans="1:16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16" ht="18" x14ac:dyDescent="0.25">
      <c r="A19" s="1" t="s">
        <v>41</v>
      </c>
      <c r="B19" s="8">
        <f>SUM(B6:B18)</f>
        <v>14</v>
      </c>
      <c r="G19" s="10"/>
    </row>
    <row r="20" spans="1:16" ht="18" x14ac:dyDescent="0.25">
      <c r="A20" s="1" t="s">
        <v>42</v>
      </c>
      <c r="B20" s="15">
        <f>+COUNT(D6:D18)</f>
        <v>12</v>
      </c>
      <c r="C20" s="8"/>
      <c r="D20" s="8">
        <f>SUM(D6:D18)</f>
        <v>1400000</v>
      </c>
      <c r="E20" s="8"/>
      <c r="F20" s="8">
        <f>SUM(F6:F18)</f>
        <v>0</v>
      </c>
      <c r="G20" s="8">
        <f>SUM(G6:G18)</f>
        <v>0</v>
      </c>
      <c r="H20" s="8"/>
      <c r="I20" s="8">
        <f>SUM(I6:I18)</f>
        <v>0</v>
      </c>
      <c r="J20" s="8">
        <f>SUM(J6:J18)</f>
        <v>1154000</v>
      </c>
      <c r="K20" s="8">
        <f>SUM(K6:K18)</f>
        <v>1154000</v>
      </c>
      <c r="L20" s="8"/>
      <c r="M20" s="8"/>
      <c r="N20" s="8">
        <f>SUM(N6:N18)</f>
        <v>0</v>
      </c>
      <c r="O20" s="8">
        <f>SUM(O6:O18)</f>
        <v>1190000</v>
      </c>
      <c r="P20" s="8">
        <f>SUM(P6:P18)</f>
        <v>10000</v>
      </c>
    </row>
    <row r="21" spans="1:16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16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D26+E26+P20+TONTNOV23!N27</f>
        <v>5471500</v>
      </c>
      <c r="M22" s="5"/>
      <c r="N22"/>
      <c r="O22" s="5"/>
    </row>
    <row r="23" spans="1:16" s="2" customFormat="1" ht="18" x14ac:dyDescent="0.25">
      <c r="C23" s="8" t="s">
        <v>11</v>
      </c>
      <c r="D23" s="8">
        <f>SUMIFS(D6:D18,E6:E18,"ESPECES")</f>
        <v>100000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100000</v>
      </c>
      <c r="I23" s="8"/>
      <c r="K23" s="8" t="s">
        <v>35</v>
      </c>
      <c r="L23" s="8">
        <f>C3*COUNTIF(O6:O18,"&gt;0")</f>
        <v>1200000</v>
      </c>
      <c r="M23" s="8">
        <f>D3</f>
        <v>4</v>
      </c>
      <c r="N23" s="8">
        <f>COUNTIF(O6:O17,"&gt;0")</f>
        <v>1</v>
      </c>
      <c r="O23" s="8"/>
    </row>
    <row r="24" spans="1:16" s="2" customFormat="1" ht="18" x14ac:dyDescent="0.25">
      <c r="C24" s="8" t="s">
        <v>7</v>
      </c>
      <c r="D24" s="8">
        <f>SUMIFS(D6:D18,E6:E18,"BANQUE")</f>
        <v>1300000</v>
      </c>
      <c r="E24" s="8">
        <f>SUMIFS(K6:K18,L6:L18,"BANQUE")</f>
        <v>0</v>
      </c>
      <c r="F24" s="8">
        <f>SUMIFS(F6:F18,H6:H18,"BANQUE")</f>
        <v>0</v>
      </c>
      <c r="G24" s="8">
        <f>SUMIFS(O6:O18,M6:M18,"BANQUE")</f>
        <v>0</v>
      </c>
      <c r="H24" s="8">
        <f>D24+E24-F24-G24</f>
        <v>1300000</v>
      </c>
      <c r="I24" s="8"/>
      <c r="L24" s="8"/>
      <c r="M24" s="8"/>
      <c r="N24" s="8"/>
      <c r="O24" s="8"/>
    </row>
    <row r="25" spans="1:16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4271500</v>
      </c>
      <c r="M25" s="8"/>
      <c r="N25" s="8"/>
      <c r="O25" s="8"/>
    </row>
    <row r="26" spans="1:16" s="2" customFormat="1" ht="18" x14ac:dyDescent="0.25">
      <c r="C26" s="8" t="s">
        <v>46</v>
      </c>
      <c r="D26" s="8">
        <f>D23+D24</f>
        <v>1400000</v>
      </c>
      <c r="E26" s="8">
        <f>E23+E24</f>
        <v>0</v>
      </c>
      <c r="F26" s="8">
        <f>F23+F24</f>
        <v>0</v>
      </c>
      <c r="G26" s="8">
        <f t="shared" ref="G26:H26" si="1">G23+G24</f>
        <v>0</v>
      </c>
      <c r="H26" s="8">
        <f t="shared" si="1"/>
        <v>1400000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4271500</v>
      </c>
      <c r="M27"/>
      <c r="N27" s="8">
        <f>TONTDEC23!L27</f>
        <v>4271500</v>
      </c>
      <c r="O27" s="8" t="s">
        <v>29</v>
      </c>
    </row>
    <row r="28" spans="1:16" s="2" customFormat="1" x14ac:dyDescent="0.25">
      <c r="D28" s="5"/>
      <c r="E28"/>
      <c r="F28"/>
      <c r="G28" s="3"/>
      <c r="H28" s="3"/>
      <c r="I28" s="3"/>
      <c r="M28"/>
      <c r="N28" s="3"/>
      <c r="O28" s="3"/>
    </row>
    <row r="29" spans="1:16" ht="18" x14ac:dyDescent="0.25">
      <c r="K29" s="8" t="s">
        <v>36</v>
      </c>
      <c r="L29" s="8">
        <f>COUNTIFS(E6:E24,"ECHEC")*100000</f>
        <v>0</v>
      </c>
      <c r="N29" s="8">
        <f>TONTNOV23!N29+TONTDEC23!L29</f>
        <v>0</v>
      </c>
      <c r="O29" s="8" t="s">
        <v>29</v>
      </c>
    </row>
    <row r="30" spans="1:16" ht="18" x14ac:dyDescent="0.25">
      <c r="K30" s="8" t="s">
        <v>37</v>
      </c>
      <c r="L30" s="8">
        <f>J19-E26</f>
        <v>0</v>
      </c>
      <c r="N30" s="8">
        <f>L20-G26</f>
        <v>0</v>
      </c>
      <c r="O30" s="8" t="s">
        <v>29</v>
      </c>
    </row>
    <row r="31" spans="1:16" x14ac:dyDescent="0.25">
      <c r="K31" s="3"/>
      <c r="L31" s="2"/>
      <c r="N31"/>
      <c r="O31" s="3"/>
    </row>
    <row r="32" spans="1:16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workbookViewId="0">
      <pane xSplit="3" ySplit="5" topLeftCell="P6" activePane="bottomRight" state="frozen"/>
      <selection activeCell="J14" sqref="J14"/>
      <selection pane="topRight" activeCell="J14" sqref="J14"/>
      <selection pane="bottomLeft" activeCell="J14" sqref="J14"/>
      <selection pane="bottomRight" activeCell="V6" sqref="V6"/>
    </sheetView>
  </sheetViews>
  <sheetFormatPr baseColWidth="10" defaultColWidth="11" defaultRowHeight="15" x14ac:dyDescent="0.25"/>
  <cols>
    <col min="1" max="2" width="13.8554687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  <col min="17" max="17" width="12.42578125" bestFit="1" customWidth="1"/>
    <col min="19" max="19" width="16.28515625" customWidth="1"/>
    <col min="20" max="20" width="12.42578125" bestFit="1" customWidth="1"/>
  </cols>
  <sheetData>
    <row r="1" spans="1:22" x14ac:dyDescent="0.25">
      <c r="A1" s="1" t="s">
        <v>0</v>
      </c>
      <c r="B1" s="1" t="s">
        <v>1</v>
      </c>
      <c r="D1" s="1"/>
      <c r="E1" s="1"/>
      <c r="L1" s="1"/>
      <c r="M1" s="1"/>
    </row>
    <row r="2" spans="1:22" x14ac:dyDescent="0.25">
      <c r="A2" s="1" t="s">
        <v>2</v>
      </c>
      <c r="B2" s="1">
        <v>2023</v>
      </c>
      <c r="C2" s="1" t="s">
        <v>38</v>
      </c>
      <c r="D2" s="1" t="s">
        <v>40</v>
      </c>
      <c r="E2" s="1"/>
      <c r="L2" s="1"/>
      <c r="M2" s="1"/>
    </row>
    <row r="3" spans="1:22" x14ac:dyDescent="0.25">
      <c r="A3" s="1" t="s">
        <v>39</v>
      </c>
      <c r="B3" s="4">
        <v>100000</v>
      </c>
      <c r="C3" s="4">
        <f>B3*12</f>
        <v>1200000</v>
      </c>
      <c r="D3" s="1">
        <f>ROUNDDOWN(L22/C3,0)</f>
        <v>15</v>
      </c>
      <c r="E3" s="1"/>
      <c r="L3" s="1"/>
      <c r="M3" s="1"/>
    </row>
    <row r="4" spans="1:22" s="12" customFormat="1" ht="18" x14ac:dyDescent="0.25">
      <c r="B4" s="13"/>
      <c r="C4" s="20" t="s">
        <v>51</v>
      </c>
      <c r="D4" s="21"/>
      <c r="E4" s="21"/>
      <c r="F4" s="21"/>
      <c r="G4" s="21"/>
      <c r="H4" s="21"/>
      <c r="I4" s="21"/>
      <c r="J4" s="21"/>
      <c r="K4" s="21"/>
      <c r="L4" s="21"/>
      <c r="N4" s="14"/>
      <c r="O4" s="14"/>
      <c r="P4" s="14"/>
    </row>
    <row r="5" spans="1:22" ht="58.5" x14ac:dyDescent="0.3">
      <c r="A5" s="1" t="s">
        <v>3</v>
      </c>
      <c r="B5" s="11" t="s">
        <v>30</v>
      </c>
      <c r="C5" s="1" t="s">
        <v>4</v>
      </c>
      <c r="D5" s="5" t="s">
        <v>5</v>
      </c>
      <c r="E5" s="6" t="s">
        <v>31</v>
      </c>
      <c r="F5" s="4" t="s">
        <v>16</v>
      </c>
      <c r="G5" s="5" t="s">
        <v>12</v>
      </c>
      <c r="H5" s="5" t="s">
        <v>17</v>
      </c>
      <c r="I5" s="9" t="s">
        <v>25</v>
      </c>
      <c r="J5" s="5" t="s">
        <v>32</v>
      </c>
      <c r="K5" s="5" t="s">
        <v>14</v>
      </c>
      <c r="L5" s="5" t="s">
        <v>13</v>
      </c>
      <c r="M5" s="5" t="s">
        <v>33</v>
      </c>
      <c r="N5" s="5" t="s">
        <v>25</v>
      </c>
      <c r="O5" s="5" t="s">
        <v>34</v>
      </c>
      <c r="P5" s="5" t="s">
        <v>15</v>
      </c>
      <c r="Q5" s="5" t="s">
        <v>49</v>
      </c>
      <c r="R5" s="5" t="s">
        <v>50</v>
      </c>
      <c r="S5" s="5" t="s">
        <v>55</v>
      </c>
      <c r="V5" s="5" t="s">
        <v>51</v>
      </c>
    </row>
    <row r="6" spans="1:22" ht="18.75" x14ac:dyDescent="0.3">
      <c r="A6" s="1" t="s">
        <v>45</v>
      </c>
      <c r="B6" s="7">
        <f>TONTJANV23!B6+TONTFEV23!B6+TONTMARS23!B6+TONTAVRIL23!B6+TONTMAI23!B6+TONTJUIN23!B6+TONTJUIL23!B6+TONTAOUT23!B6+TONTSEPT23!B6+TONTOCT23!B6+TONTNOV23!B6+TONTDEC23!B6</f>
        <v>12</v>
      </c>
      <c r="C6" s="1" t="str">
        <f>VLOOKUP(A6,[7]LISTADHERENT!A$5:H$60,3,0)</f>
        <v>ASELBY</v>
      </c>
      <c r="D6" s="7">
        <f>TONTJANV23!D6+TONTFEV23!D6+TONTMARS23!D6+TONTAVRIL23!D6+TONTMAI23!D6+TONTJUIN23!D6+TONTJUIL23!D6+TONTAOUT23!D6+TONTSEPT23!D6+TONTOCT23!D6+TONTNOV23!D6+TONTDEC23!D6</f>
        <v>1200000</v>
      </c>
      <c r="E6" s="7" t="str">
        <f>VLOOKUP($A6,[6]HISTOMARS23!$A$6:$BB$45,8,0)</f>
        <v>BANQUE</v>
      </c>
      <c r="F6" s="7">
        <f>TONTJANV23!F6+TONTFEV23!F6+TONTMARS23!F6+TONTAVRIL23!F6+TONTMAI23!F6+TONTJUIN23!F6+TONTJUIL23!F6+TONTAOUT23!F6+TONTSEPT23!F6+TONTOCT23!F6+TONTNOV23!F6+TONTDEC23!F6</f>
        <v>0</v>
      </c>
      <c r="G6" s="7">
        <f>TONTJANV23!G6+TONTFEV23!G6+TONTMARS23!G6+TONTAVRIL23!G6+TONTMAI23!G6+TONTJUIN23!G6+TONTJUIL23!G6+TONTAOUT23!G6+TONTSEPT23!G6+TONTOCT23!G6+TONTNOV23!G6+TONTDEC23!G6</f>
        <v>0</v>
      </c>
      <c r="H6" s="7"/>
      <c r="I6" s="7"/>
      <c r="J6" s="7">
        <f>TONTJANV23!J6+TONTFEV23!J6+TONTMARS23!J6+TONTAVRIL23!J6+TONTMAI23!J6+TONTJUIN23!J6+TONTJUIL23!J6+TONTAOUT23!J6+TONTSEPT23!J6+TONTOCT23!J6+TONTNOV23!J6+TONTDEC23!J6</f>
        <v>0</v>
      </c>
      <c r="K6" s="7">
        <f>TONTJANV23!K6+TONTFEV23!K6+TONTMARS23!K6+TONTAVRIL23!K6+TONTMAI23!K6+TONTJUIN23!K6+TONTJUIL23!K6+TONTAOUT23!K6+TONTSEPT23!K6+TONTOCT23!K6+TONTNOV23!K6+TONTDEC23!K6</f>
        <v>0</v>
      </c>
      <c r="L6" s="7"/>
      <c r="M6" s="7"/>
      <c r="N6" s="7"/>
      <c r="O6" s="7">
        <f>TONTJANV23!O6+TONTFEV23!O6+TONTMARS23!O6+TONTAVRIL23!O6+TONTMAI23!O6+TONTJUIN23!O6+TONTJUIL23!O6+TONTAOUT23!O6+TONTSEPT23!O6+TONTOCT23!O6+TONTNOV23!O6+TONTDEC23!O6</f>
        <v>1190000</v>
      </c>
      <c r="P6" s="7">
        <f>TONTJANV23!P6+TONTFEV23!P6+TONTMARS23!P6+TONTAVRIL23!P6+TONTMAI23!P6+TONTJUIN23!P6+TONTJUIL23!P6+TONTAOUT23!P6+TONTSEPT23!P6+TONTOCT23!P6+TONTNOV23!P6+TONTDEC23!P6</f>
        <v>10000</v>
      </c>
      <c r="Q6" s="16">
        <v>45261</v>
      </c>
      <c r="S6" s="8">
        <f>$Q$28</f>
        <v>44678.571428571428</v>
      </c>
      <c r="T6" s="8">
        <v>44000</v>
      </c>
    </row>
    <row r="7" spans="1:22" ht="18.75" x14ac:dyDescent="0.3">
      <c r="A7" s="1" t="s">
        <v>48</v>
      </c>
      <c r="B7" s="7">
        <f>TONTJANV23!B7+TONTFEV23!B7+TONTMARS23!B7+TONTAVRIL23!B7+TONTMAI23!B7+TONTJUIN23!B7+TONTJUIL23!B7+TONTAOUT23!B7+TONTSEPT23!B7+TONTOCT23!B7+TONTNOV23!B7+TONTDEC23!B7</f>
        <v>12</v>
      </c>
      <c r="C7" s="1" t="str">
        <f>VLOOKUP(A7,[7]LISTADHERENT!A$5:H$60,3,0)</f>
        <v xml:space="preserve">DJOMO JEAN PAUL </v>
      </c>
      <c r="D7" s="7">
        <f>TONTJANV23!D7+TONTFEV23!D7+TONTMARS23!D7+TONTAVRIL23!D7+TONTMAI23!D7+TONTJUIN23!D7+TONTJUIL23!D7+TONTAOUT23!D7+TONTSEPT23!D7+TONTOCT23!D7+TONTNOV23!D7+TONTDEC23!D7</f>
        <v>1200000</v>
      </c>
      <c r="E7" s="7" t="str">
        <f>VLOOKUP($A7,[6]HISTOMARS23!$A$6:$BB$45,8,0)</f>
        <v>BANQUE</v>
      </c>
      <c r="F7" s="7">
        <f>TONTJANV23!F7+TONTFEV23!F7+TONTMARS23!F7+TONTAVRIL23!F7+TONTMAI23!F7+TONTJUIN23!F7+TONTJUIL23!F7+TONTAOUT23!F7+TONTSEPT23!F7+TONTOCT23!F7+TONTNOV23!F7+TONTDEC23!F7</f>
        <v>1184000</v>
      </c>
      <c r="G7" s="7">
        <f>TONTJANV23!G7+TONTFEV23!G7+TONTMARS23!G7+TONTAVRIL23!G7+TONTMAI23!G7+TONTJUIN23!G7+TONTJUIL23!G7+TONTAOUT23!G7+TONTSEPT23!G7+TONTOCT23!G7+TONTNOV23!G7+TONTDEC23!G7</f>
        <v>13500</v>
      </c>
      <c r="H7" s="7"/>
      <c r="I7" s="7"/>
      <c r="J7" s="7">
        <f>TONTJANV23!J7+TONTFEV23!J7+TONTMARS23!J7+TONTAVRIL23!J7+TONTMAI23!J7+TONTJUIN23!J7+TONTJUIL23!J7+TONTAOUT23!J7+TONTSEPT23!J7+TONTOCT23!J7+TONTNOV23!J7+TONTDEC23!J7</f>
        <v>1197500</v>
      </c>
      <c r="K7" s="7">
        <f>TONTJANV23!K7+TONTFEV23!K7+TONTMARS23!K7+TONTAVRIL23!K7+TONTMAI23!K7+TONTJUIN23!K7+TONTJUIL23!K7+TONTAOUT23!K7+TONTSEPT23!K7+TONTOCT23!K7+TONTNOV23!K7+TONTDEC23!K7</f>
        <v>1197500</v>
      </c>
      <c r="L7" s="7"/>
      <c r="M7" s="7"/>
      <c r="N7" s="7"/>
      <c r="O7" s="7">
        <f>TONTJANV23!O7+TONTFEV23!O7+TONTMARS23!O7+TONTAVRIL23!O7+TONTMAI23!O7+TONTJUIN23!O7+TONTJUIL23!O7+TONTAOUT23!O7+TONTSEPT23!O7+TONTOCT23!O7+TONTNOV23!O7+TONTDEC23!O7</f>
        <v>1190000</v>
      </c>
      <c r="P7" s="7">
        <f>TONTJANV23!P7+TONTFEV23!P7+TONTMARS23!P7+TONTAVRIL23!P7+TONTMAI23!P7+TONTJUIN23!P7+TONTJUIL23!P7+TONTAOUT23!P7+TONTSEPT23!P7+TONTOCT23!P7+TONTNOV23!P7+TONTDEC23!P7</f>
        <v>10000</v>
      </c>
      <c r="Q7" s="16">
        <v>44986</v>
      </c>
      <c r="S7" s="8">
        <f t="shared" ref="S7:S17" si="0">$Q$28</f>
        <v>44678.571428571428</v>
      </c>
      <c r="T7" s="8">
        <v>44000</v>
      </c>
    </row>
    <row r="8" spans="1:22" ht="18.75" x14ac:dyDescent="0.3">
      <c r="A8" s="1" t="s">
        <v>20</v>
      </c>
      <c r="B8" s="7">
        <f>TONTJANV23!B8+TONTFEV23!B8+TONTMARS23!B8+TONTAVRIL23!B8+TONTMAI23!B8+TONTJUIN23!B8+TONTJUIL23!B8+TONTAOUT23!B8+TONTSEPT23!B8+TONTOCT23!B8+TONTNOV23!B8+TONTDEC23!B8</f>
        <v>24</v>
      </c>
      <c r="C8" s="1" t="str">
        <f>VLOOKUP(A8,[7]LISTADHERENT!A$5:H$60,3,0)</f>
        <v>DJUOMBESSY ANTOINE</v>
      </c>
      <c r="D8" s="7">
        <f>TONTJANV23!D8+TONTFEV23!D8+TONTMARS23!D8+TONTAVRIL23!D8+TONTMAI23!D8+TONTJUIN23!D8+TONTJUIL23!D8+TONTAOUT23!D8+TONTSEPT23!D8+TONTOCT23!D8+TONTNOV23!D8+TONTDEC23!D8</f>
        <v>2400000</v>
      </c>
      <c r="E8" s="7" t="str">
        <f>VLOOKUP($A8,[6]HISTOMARS23!$A$6:$BB$45,8,0)</f>
        <v>BANQUE</v>
      </c>
      <c r="F8" s="7">
        <f>TONTJANV23!F8+TONTFEV23!F8+TONTMARS23!F8+TONTAVRIL23!F8+TONTMAI23!F8+TONTJUIN23!F8+TONTJUIL23!F8+TONTAOUT23!F8+TONTSEPT23!F8+TONTOCT23!F8+TONTNOV23!F8+TONTDEC23!F8</f>
        <v>802000</v>
      </c>
      <c r="G8" s="7">
        <f>TONTJANV23!G8+TONTFEV23!G8+TONTMARS23!G8+TONTAVRIL23!G8+TONTMAI23!G8+TONTJUIN23!G8+TONTJUIL23!G8+TONTAOUT23!G8+TONTSEPT23!G8+TONTOCT23!G8+TONTNOV23!G8+TONTDEC23!G8</f>
        <v>10000</v>
      </c>
      <c r="H8" s="7"/>
      <c r="I8" s="7"/>
      <c r="J8" s="7">
        <f>TONTJANV23!J8+TONTFEV23!J8+TONTMARS23!J8+TONTAVRIL23!J8+TONTMAI23!J8+TONTJUIN23!J8+TONTJUIL23!J8+TONTAOUT23!J8+TONTSEPT23!J8+TONTOCT23!J8+TONTNOV23!J8+TONTDEC23!J8</f>
        <v>812000</v>
      </c>
      <c r="K8" s="7">
        <f>TONTJANV23!K8+TONTFEV23!K8+TONTMARS23!K8+TONTAVRIL23!K8+TONTMAI23!K8+TONTJUIN23!K8+TONTJUIL23!K8+TONTAOUT23!K8+TONTSEPT23!K8+TONTOCT23!K8+TONTNOV23!K8+TONTDEC23!K8</f>
        <v>812000</v>
      </c>
      <c r="L8" s="7"/>
      <c r="M8" s="7"/>
      <c r="N8" s="7"/>
      <c r="O8" s="7">
        <f>TONTJANV23!O8+TONTFEV23!O8+TONTMARS23!O8+TONTAVRIL23!O8+TONTMAI23!O8+TONTJUIN23!O8+TONTJUIL23!O8+TONTAOUT23!O8+TONTSEPT23!O8+TONTOCT23!O8+TONTNOV23!O8+TONTDEC23!O8</f>
        <v>2380000</v>
      </c>
      <c r="P8" s="7">
        <f>TONTJANV23!P8+TONTFEV23!P8+TONTMARS23!P8+TONTAVRIL23!P8+TONTMAI23!P8+TONTJUIN23!P8+TONTJUIL23!P8+TONTAOUT23!P8+TONTSEPT23!P8+TONTOCT23!P8+TONTNOV23!P8+TONTDEC23!P8</f>
        <v>20000</v>
      </c>
      <c r="Q8" s="16">
        <v>44986</v>
      </c>
      <c r="R8" s="16">
        <v>45139</v>
      </c>
      <c r="S8" s="8">
        <f>$Q$28*2</f>
        <v>89357.142857142855</v>
      </c>
      <c r="T8" s="8">
        <v>88000</v>
      </c>
    </row>
    <row r="9" spans="1:22" ht="18.75" x14ac:dyDescent="0.3">
      <c r="A9" s="1" t="s">
        <v>21</v>
      </c>
      <c r="B9" s="7">
        <f>TONTJANV23!B9+TONTFEV23!B9+TONTMARS23!B9+TONTAVRIL23!B9+TONTMAI23!B9+TONTJUIN23!B9+TONTJUIL23!B9+TONTAOUT23!B9+TONTSEPT23!B9+TONTOCT23!B9+TONTNOV23!B9+TONTDEC23!B9</f>
        <v>12</v>
      </c>
      <c r="C9" s="1" t="str">
        <f>VLOOKUP(A9,[7]LISTADHERENT!A$5:H$60,3,0)</f>
        <v>HOTCHO BENJAMIN</v>
      </c>
      <c r="D9" s="7">
        <f>TONTJANV23!D9+TONTFEV23!D9+TONTMARS23!D9+TONTAVRIL23!D9+TONTMAI23!D9+TONTJUIN23!D9+TONTJUIL23!D9+TONTAOUT23!D9+TONTSEPT23!D9+TONTOCT23!D9+TONTNOV23!D9+TONTDEC23!D9</f>
        <v>1200000</v>
      </c>
      <c r="E9" s="7" t="str">
        <f>VLOOKUP($A9,[6]HISTOMARS23!$A$6:$BB$45,8,0)</f>
        <v>BANQUE</v>
      </c>
      <c r="F9" s="7">
        <f>TONTJANV23!F9+TONTFEV23!F9+TONTMARS23!F9+TONTAVRIL23!F9+TONTMAI23!F9+TONTJUIN23!F9+TONTJUIL23!F9+TONTAOUT23!F9+TONTSEPT23!F9+TONTOCT23!F9+TONTNOV23!F9+TONTDEC23!F9</f>
        <v>766000</v>
      </c>
      <c r="G9" s="7">
        <f>TONTJANV23!G9+TONTFEV23!G9+TONTMARS23!G9+TONTAVRIL23!G9+TONTMAI23!G9+TONTJUIN23!G9+TONTJUIL23!G9+TONTAOUT23!G9+TONTSEPT23!G9+TONTOCT23!G9+TONTNOV23!G9+TONTDEC23!G9</f>
        <v>9000</v>
      </c>
      <c r="H9" s="7"/>
      <c r="I9" s="7"/>
      <c r="J9" s="7">
        <f>TONTJANV23!J9+TONTFEV23!J9+TONTMARS23!J9+TONTAVRIL23!J9+TONTMAI23!J9+TONTJUIN23!J9+TONTJUIL23!J9+TONTAOUT23!J9+TONTSEPT23!J9+TONTOCT23!J9+TONTNOV23!J9+TONTDEC23!J9</f>
        <v>775000</v>
      </c>
      <c r="K9" s="7">
        <f>TONTJANV23!K9+TONTFEV23!K9+TONTMARS23!K9+TONTAVRIL23!K9+TONTMAI23!K9+TONTJUIN23!K9+TONTJUIL23!K9+TONTAOUT23!K9+TONTSEPT23!K9+TONTOCT23!K9+TONTNOV23!K9+TONTDEC23!K9</f>
        <v>775000</v>
      </c>
      <c r="L9" s="7"/>
      <c r="M9" s="7"/>
      <c r="N9" s="7"/>
      <c r="O9" s="7">
        <f>TONTJANV23!O9+TONTFEV23!O9+TONTMARS23!O9+TONTAVRIL23!O9+TONTMAI23!O9+TONTJUIN23!O9+TONTJUIL23!O9+TONTAOUT23!O9+TONTSEPT23!O9+TONTOCT23!O9+TONTNOV23!O9+TONTDEC23!O9</f>
        <v>1172000</v>
      </c>
      <c r="P9" s="7">
        <f>TONTJANV23!P9+TONTFEV23!P9+TONTMARS23!P9+TONTAVRIL23!P9+TONTMAI23!P9+TONTJUIN23!P9+TONTJUIL23!P9+TONTAOUT23!P9+TONTSEPT23!P9+TONTOCT23!P9+TONTNOV23!P9+TONTDEC23!P9</f>
        <v>28000</v>
      </c>
      <c r="Q9" s="16">
        <v>44958</v>
      </c>
      <c r="S9" s="8">
        <f t="shared" si="0"/>
        <v>44678.571428571428</v>
      </c>
      <c r="T9" s="8">
        <v>44000</v>
      </c>
    </row>
    <row r="10" spans="1:22" ht="18.75" x14ac:dyDescent="0.3">
      <c r="A10" s="1" t="s">
        <v>27</v>
      </c>
      <c r="B10" s="7">
        <f>TONTJANV23!B10+TONTFEV23!B10+TONTMARS23!B10+TONTAVRIL23!B10+TONTMAI23!B10+TONTJUIN23!B10+TONTJUIL23!B10+TONTAOUT23!B10+TONTSEPT23!B10+TONTOCT23!B10+TONTNOV23!B10+TONTDEC23!B10</f>
        <v>12</v>
      </c>
      <c r="C10" s="1" t="str">
        <f>VLOOKUP(A10,[7]LISTADHERENT!A$5:H$60,3,0)</f>
        <v>KOUAMOU MOISE</v>
      </c>
      <c r="D10" s="7">
        <f>TONTJANV23!D10+TONTFEV23!D10+TONTMARS23!D10+TONTAVRIL23!D10+TONTMAI23!D10+TONTJUIN23!D10+TONTJUIL23!D10+TONTAOUT23!D10+TONTSEPT23!D10+TONTOCT23!D10+TONTNOV23!D10+TONTDEC23!D10</f>
        <v>1200000</v>
      </c>
      <c r="E10" s="7" t="str">
        <f>VLOOKUP($A10,[6]HISTOMARS23!$A$6:$BB$45,8,0)</f>
        <v>BANQUE</v>
      </c>
      <c r="F10" s="7">
        <f>TONTJANV23!F10+TONTFEV23!F10+TONTMARS23!F10+TONTAVRIL23!F10+TONTMAI23!F10+TONTJUIN23!F10+TONTJUIL23!F10+TONTAOUT23!F10+TONTSEPT23!F10+TONTOCT23!F10+TONTNOV23!F10+TONTDEC23!F10</f>
        <v>300000</v>
      </c>
      <c r="G10" s="7">
        <f>TONTJANV23!G10+TONTFEV23!G10+TONTMARS23!G10+TONTAVRIL23!G10+TONTMAI23!G10+TONTJUIN23!G10+TONTJUIL23!G10+TONTAOUT23!G10+TONTSEPT23!G10+TONTOCT23!G10+TONTNOV23!G10+TONTDEC23!G10</f>
        <v>3000</v>
      </c>
      <c r="H10" s="7"/>
      <c r="I10" s="7"/>
      <c r="J10" s="7">
        <f>TONTJANV23!J10+TONTFEV23!J10+TONTMARS23!J10+TONTAVRIL23!J10+TONTMAI23!J10+TONTJUIN23!J10+TONTJUIL23!J10+TONTAOUT23!J10+TONTSEPT23!J10+TONTOCT23!J10+TONTNOV23!J10+TONTDEC23!J10</f>
        <v>303000</v>
      </c>
      <c r="K10" s="7">
        <f>TONTJANV23!K10+TONTFEV23!K10+TONTMARS23!K10+TONTAVRIL23!K10+TONTMAI23!K10+TONTJUIN23!K10+TONTJUIL23!K10+TONTAOUT23!K10+TONTSEPT23!K10+TONTOCT23!K10+TONTNOV23!K10+TONTDEC23!K10</f>
        <v>303000</v>
      </c>
      <c r="L10" s="7"/>
      <c r="M10" s="7"/>
      <c r="N10" s="7"/>
      <c r="O10" s="7">
        <f>TONTJANV23!O10+TONTFEV23!O10+TONTMARS23!O10+TONTAVRIL23!O10+TONTMAI23!O10+TONTJUIN23!O10+TONTJUIL23!O10+TONTAOUT23!O10+TONTSEPT23!O10+TONTOCT23!O10+TONTNOV23!O10+TONTDEC23!O10</f>
        <v>1172000</v>
      </c>
      <c r="P10" s="7">
        <f>TONTJANV23!P10+TONTFEV23!P10+TONTMARS23!P10+TONTAVRIL23!P10+TONTMAI23!P10+TONTJUIN23!P10+TONTJUIL23!P10+TONTAOUT23!P10+TONTSEPT23!P10+TONTOCT23!P10+TONTNOV23!P10+TONTDEC23!P10</f>
        <v>28000</v>
      </c>
      <c r="Q10" s="16">
        <v>44958</v>
      </c>
      <c r="S10" s="8">
        <f t="shared" si="0"/>
        <v>44678.571428571428</v>
      </c>
      <c r="T10" s="8">
        <v>44000</v>
      </c>
    </row>
    <row r="11" spans="1:22" ht="18.75" x14ac:dyDescent="0.3">
      <c r="A11" s="1" t="s">
        <v>8</v>
      </c>
      <c r="B11" s="7">
        <f>TONTJANV23!B11+TONTFEV23!B11+TONTMARS23!B11+TONTAVRIL23!B11+TONTMAI23!B11+TONTJUIN23!B11+TONTJUIL23!B11+TONTAOUT23!B11+TONTSEPT23!B11+TONTOCT23!B11+TONTNOV23!B11+TONTDEC23!B11</f>
        <v>12</v>
      </c>
      <c r="C11" s="1" t="str">
        <f>VLOOKUP(A11,[7]LISTADHERENT!A$5:H$60,3,0)</f>
        <v>KOUATCHO MESSACK</v>
      </c>
      <c r="D11" s="7">
        <f>TONTJANV23!D11+TONTFEV23!D11+TONTMARS23!D11+TONTAVRIL23!D11+TONTMAI23!D11+TONTJUIN23!D11+TONTJUIL23!D11+TONTAOUT23!D11+TONTSEPT23!D11+TONTOCT23!D11+TONTNOV23!D11+TONTDEC23!D11</f>
        <v>1200000</v>
      </c>
      <c r="E11" s="7" t="str">
        <f>VLOOKUP($A11,[6]HISTOMARS23!$A$6:$BB$45,8,0)</f>
        <v>BANQUE</v>
      </c>
      <c r="F11" s="7">
        <f>TONTJANV23!F11+TONTFEV23!F11+TONTMARS23!F11+TONTAVRIL23!F11+TONTMAI23!F11+TONTJUIN23!F11+TONTJUIL23!F11+TONTAOUT23!F11+TONTSEPT23!F11+TONTOCT23!F11+TONTNOV23!F11+TONTDEC23!F11</f>
        <v>300000</v>
      </c>
      <c r="G11" s="7">
        <f>TONTJANV23!G11+TONTFEV23!G11+TONTMARS23!G11+TONTAVRIL23!G11+TONTMAI23!G11+TONTJUIN23!G11+TONTJUIL23!G11+TONTAOUT23!G11+TONTSEPT23!G11+TONTOCT23!G11+TONTNOV23!G11+TONTDEC23!G11</f>
        <v>3000</v>
      </c>
      <c r="H11" s="7"/>
      <c r="I11" s="7"/>
      <c r="J11" s="7">
        <f>TONTJANV23!J11+TONTFEV23!J11+TONTMARS23!J11+TONTAVRIL23!J11+TONTMAI23!J11+TONTJUIN23!J11+TONTJUIL23!J11+TONTAOUT23!J11+TONTSEPT23!J11+TONTOCT23!J11+TONTNOV23!J11+TONTDEC23!J11</f>
        <v>303000</v>
      </c>
      <c r="K11" s="7">
        <f>TONTJANV23!K11+TONTFEV23!K11+TONTMARS23!K11+TONTAVRIL23!K11+TONTMAI23!K11+TONTJUIN23!K11+TONTJUIL23!K11+TONTAOUT23!K11+TONTSEPT23!K11+TONTOCT23!K11+TONTNOV23!K11+TONTDEC23!K11</f>
        <v>303000</v>
      </c>
      <c r="L11" s="7"/>
      <c r="M11" s="7"/>
      <c r="N11" s="7"/>
      <c r="O11" s="7">
        <f>TONTJANV23!O11+TONTFEV23!O11+TONTMARS23!O11+TONTAVRIL23!O11+TONTMAI23!O11+TONTJUIN23!O11+TONTJUIL23!O11+TONTAOUT23!O11+TONTSEPT23!O11+TONTOCT23!O11+TONTNOV23!O11+TONTDEC23!O11</f>
        <v>1075000</v>
      </c>
      <c r="P11" s="7">
        <f>TONTJANV23!P11+TONTFEV23!P11+TONTMARS23!P11+TONTAVRIL23!P11+TONTMAI23!P11+TONTJUIN23!P11+TONTJUIL23!P11+TONTAOUT23!P11+TONTSEPT23!P11+TONTOCT23!P11+TONTNOV23!P11+TONTDEC23!P11</f>
        <v>125000</v>
      </c>
      <c r="Q11" s="16">
        <v>44927</v>
      </c>
      <c r="S11" s="8">
        <f t="shared" si="0"/>
        <v>44678.571428571428</v>
      </c>
      <c r="T11" s="8">
        <v>44000</v>
      </c>
    </row>
    <row r="12" spans="1:22" ht="18.75" x14ac:dyDescent="0.3">
      <c r="A12" s="1" t="s">
        <v>23</v>
      </c>
      <c r="B12" s="7">
        <f>TONTJANV23!B12+TONTFEV23!B12+TONTMARS23!B12+TONTAVRIL23!B12+TONTMAI23!B12+TONTJUIN23!B12+TONTJUIL23!B12+TONTAOUT23!B12+TONTSEPT23!B12+TONTOCT23!B12+TONTNOV23!B12+TONTDEC23!B12</f>
        <v>12</v>
      </c>
      <c r="C12" s="1" t="str">
        <f>VLOOKUP(A12,[7]LISTADHERENT!A$5:H$60,3,0)</f>
        <v>MBOGNING TUGMA GUY</v>
      </c>
      <c r="D12" s="7">
        <f>TONTJANV23!D12+TONTFEV23!D12+TONTMARS23!D12+TONTAVRIL23!D12+TONTMAI23!D12+TONTJUIN23!D12+TONTJUIL23!D12+TONTAOUT23!D12+TONTSEPT23!D12+TONTOCT23!D12+TONTNOV23!D12+TONTDEC23!D12</f>
        <v>1200000</v>
      </c>
      <c r="E12" s="7" t="str">
        <f>VLOOKUP($A12,[6]HISTOMARS23!$A$6:$BB$45,8,0)</f>
        <v>BANQUE</v>
      </c>
      <c r="F12" s="7">
        <f>TONTJANV23!F12+TONTFEV23!F12+TONTMARS23!F12+TONTAVRIL23!F12+TONTMAI23!F12+TONTJUIN23!F12+TONTJUIL23!F12+TONTAOUT23!F12+TONTSEPT23!F12+TONTOCT23!F12+TONTNOV23!F12+TONTDEC23!F12</f>
        <v>1491500</v>
      </c>
      <c r="G12" s="7">
        <f>TONTJANV23!G12+TONTFEV23!G12+TONTMARS23!G12+TONTAVRIL23!G12+TONTMAI23!G12+TONTJUIN23!G12+TONTJUIL23!G12+TONTAOUT23!G12+TONTSEPT23!G12+TONTOCT23!G12+TONTNOV23!G12+TONTDEC23!G12</f>
        <v>16000</v>
      </c>
      <c r="H12" s="7"/>
      <c r="I12" s="7"/>
      <c r="J12" s="7">
        <f>TONTJANV23!J12+TONTFEV23!J12+TONTMARS23!J12+TONTAVRIL23!J12+TONTMAI23!J12+TONTJUIN23!J12+TONTJUIL23!J12+TONTAOUT23!J12+TONTSEPT23!J12+TONTOCT23!J12+TONTNOV23!J12+TONTDEC23!J12</f>
        <v>1507500</v>
      </c>
      <c r="K12" s="7">
        <f>TONTJANV23!K12+TONTFEV23!K12+TONTMARS23!K12+TONTAVRIL23!K12+TONTMAI23!K12+TONTJUIN23!K12+TONTJUIL23!K12+TONTAOUT23!K12+TONTSEPT23!K12+TONTOCT23!K12+TONTNOV23!K12+TONTDEC23!K12</f>
        <v>1507500</v>
      </c>
      <c r="L12" s="7"/>
      <c r="M12" s="7"/>
      <c r="N12" s="7"/>
      <c r="O12" s="7">
        <f>TONTJANV23!O12+TONTFEV23!O12+TONTMARS23!O12+TONTAVRIL23!O12+TONTMAI23!O12+TONTJUIN23!O12+TONTJUIL23!O12+TONTAOUT23!O12+TONTSEPT23!O12+TONTOCT23!O12+TONTNOV23!O12+TONTDEC23!O12</f>
        <v>1075000</v>
      </c>
      <c r="P12" s="7">
        <f>TONTJANV23!P12+TONTFEV23!P12+TONTMARS23!P12+TONTAVRIL23!P12+TONTMAI23!P12+TONTJUIN23!P12+TONTJUIL23!P12+TONTAOUT23!P12+TONTSEPT23!P12+TONTOCT23!P12+TONTNOV23!P12+TONTDEC23!P12</f>
        <v>125000</v>
      </c>
      <c r="Q12" s="16">
        <v>44927</v>
      </c>
      <c r="S12" s="8">
        <f t="shared" si="0"/>
        <v>44678.571428571428</v>
      </c>
      <c r="T12" s="8">
        <v>44000</v>
      </c>
    </row>
    <row r="13" spans="1:22" ht="18.75" x14ac:dyDescent="0.3">
      <c r="A13" s="1" t="s">
        <v>9</v>
      </c>
      <c r="B13" s="7">
        <f>TONTJANV23!B13+TONTFEV23!B13+TONTMARS23!B13+TONTAVRIL23!B13+TONTMAI23!B13+TONTJUIN23!B13+TONTJUIL23!B13+TONTAOUT23!B13+TONTSEPT23!B13+TONTOCT23!B13+TONTNOV23!B13+TONTDEC23!B13</f>
        <v>24</v>
      </c>
      <c r="C13" s="1" t="str">
        <f>VLOOKUP(A13,[7]LISTADHERENT!A$5:H$60,3,0)</f>
        <v>NDJOMO ETIENNE</v>
      </c>
      <c r="D13" s="7">
        <f>TONTJANV23!D13+TONTFEV23!D13+TONTMARS23!D13+TONTAVRIL23!D13+TONTMAI23!D13+TONTJUIN23!D13+TONTJUIL23!D13+TONTAOUT23!D13+TONTSEPT23!D13+TONTOCT23!D13+TONTNOV23!D13+TONTDEC23!D13</f>
        <v>2400000</v>
      </c>
      <c r="E13" s="7" t="str">
        <f>VLOOKUP($A13,[6]HISTOMARS23!$A$6:$BB$45,8,0)</f>
        <v>BANQUE</v>
      </c>
      <c r="F13" s="7">
        <f>TONTJANV23!F13+TONTFEV23!F13+TONTMARS23!F13+TONTAVRIL23!F13+TONTMAI23!F13+TONTJUIN23!F13+TONTJUIL23!F13+TONTAOUT23!F13+TONTSEPT23!F13+TONTOCT23!F13+TONTNOV23!F13+TONTDEC23!F13</f>
        <v>700000</v>
      </c>
      <c r="G13" s="7">
        <f>TONTJANV23!G13+TONTFEV23!G13+TONTMARS23!G13+TONTAVRIL23!G13+TONTMAI23!G13+TONTJUIN23!G13+TONTJUIL23!G13+TONTAOUT23!G13+TONTSEPT23!G13+TONTOCT23!G13+TONTNOV23!G13+TONTDEC23!G13</f>
        <v>7000</v>
      </c>
      <c r="H13" s="7"/>
      <c r="I13" s="7"/>
      <c r="J13" s="7">
        <f>TONTJANV23!J13+TONTFEV23!J13+TONTMARS23!J13+TONTAVRIL23!J13+TONTMAI23!J13+TONTJUIN23!J13+TONTJUIL23!J13+TONTAOUT23!J13+TONTSEPT23!J13+TONTOCT23!J13+TONTNOV23!J13+TONTDEC23!J13</f>
        <v>707000</v>
      </c>
      <c r="K13" s="7">
        <f>TONTJANV23!K13+TONTFEV23!K13+TONTMARS23!K13+TONTAVRIL23!K13+TONTMAI23!K13+TONTJUIN23!K13+TONTJUIL23!K13+TONTAOUT23!K13+TONTSEPT23!K13+TONTOCT23!K13+TONTNOV23!K13+TONTDEC23!K13</f>
        <v>707000</v>
      </c>
      <c r="L13" s="7"/>
      <c r="M13" s="7"/>
      <c r="N13" s="7"/>
      <c r="O13" s="7">
        <f>TONTJANV23!O13+TONTFEV23!O13+TONTMARS23!O13+TONTAVRIL23!O13+TONTMAI23!O13+TONTJUIN23!O13+TONTJUIL23!O13+TONTAOUT23!O13+TONTSEPT23!O13+TONTOCT23!O13+TONTNOV23!O13+TONTDEC23!O13</f>
        <v>2380000</v>
      </c>
      <c r="P13" s="7">
        <f>TONTJANV23!P13+TONTFEV23!P13+TONTMARS23!P13+TONTAVRIL23!P13+TONTMAI23!P13+TONTJUIN23!P13+TONTJUIL23!P13+TONTAOUT23!P13+TONTSEPT23!P13+TONTOCT23!P13+TONTNOV23!P13+TONTDEC23!P13</f>
        <v>20000</v>
      </c>
      <c r="Q13" s="16">
        <v>45078</v>
      </c>
      <c r="R13" s="16">
        <v>45139</v>
      </c>
      <c r="S13" s="8">
        <f>$Q$28*2</f>
        <v>89357.142857142855</v>
      </c>
      <c r="T13" s="8">
        <v>88000</v>
      </c>
    </row>
    <row r="14" spans="1:22" ht="18.75" x14ac:dyDescent="0.3">
      <c r="A14" s="1" t="s">
        <v>10</v>
      </c>
      <c r="B14" s="7">
        <f>TONTJANV23!B14+TONTFEV23!B14+TONTMARS23!B14+TONTAVRIL23!B14+TONTMAI23!B14+TONTJUIN23!B14+TONTJUIL23!B14+TONTAOUT23!B14+TONTSEPT23!B14+TONTOCT23!B14+TONTNOV23!B14+TONTDEC23!B14</f>
        <v>12</v>
      </c>
      <c r="C14" s="1" t="str">
        <f>VLOOKUP(A14,[7]LISTADHERENT!A$5:H$60,3,0)</f>
        <v>NGONDIEP CLAUDE</v>
      </c>
      <c r="D14" s="7">
        <f>TONTJANV23!D14+TONTFEV23!D14+TONTMARS23!D14+TONTAVRIL23!D14+TONTMAI23!D14+TONTJUIN23!D14+TONTJUIL23!D14+TONTAOUT23!D14+TONTSEPT23!D14+TONTOCT23!D14+TONTNOV23!D14+TONTDEC23!D14</f>
        <v>1200000</v>
      </c>
      <c r="E14" s="7" t="str">
        <f>VLOOKUP($A14,[6]HISTOMARS23!$A$6:$BB$45,8,0)</f>
        <v>ESPECES</v>
      </c>
      <c r="F14" s="7">
        <f>TONTJANV23!F14+TONTFEV23!F14+TONTMARS23!F14+TONTAVRIL23!F14+TONTMAI23!F14+TONTJUIN23!F14+TONTJUIL23!F14+TONTAOUT23!F14+TONTSEPT23!F14+TONTOCT23!F14+TONTNOV23!F14+TONTDEC23!F14</f>
        <v>900000</v>
      </c>
      <c r="G14" s="7">
        <f>TONTJANV23!G14+TONTFEV23!G14+TONTMARS23!G14+TONTAVRIL23!G14+TONTMAI23!G14+TONTJUIN23!G14+TONTJUIL23!G14+TONTAOUT23!G14+TONTSEPT23!G14+TONTOCT23!G14+TONTNOV23!G14+TONTDEC23!G14</f>
        <v>15000</v>
      </c>
      <c r="H14" s="7"/>
      <c r="I14" s="7"/>
      <c r="J14" s="7">
        <f>TONTJANV23!J14+TONTFEV23!J14+TONTMARS23!J14+TONTAVRIL23!J14+TONTMAI23!J14+TONTJUIN23!J14+TONTJUIL23!J14+TONTAOUT23!J14+TONTSEPT23!J14+TONTOCT23!J14+TONTNOV23!J14+TONTDEC23!J14</f>
        <v>915000</v>
      </c>
      <c r="K14" s="7">
        <f>TONTJANV23!K14+TONTFEV23!K14+TONTMARS23!K14+TONTAVRIL23!K14+TONTMAI23!K14+TONTJUIN23!K14+TONTJUIL23!K14+TONTAOUT23!K14+TONTSEPT23!K14+TONTOCT23!K14+TONTNOV23!K14+TONTDEC23!K14</f>
        <v>915000</v>
      </c>
      <c r="L14" s="7"/>
      <c r="M14" s="7"/>
      <c r="N14" s="7"/>
      <c r="O14" s="7">
        <f>TONTJANV23!O14+TONTFEV23!O14+TONTMARS23!O14+TONTAVRIL23!O14+TONTMAI23!O14+TONTJUIN23!O14+TONTJUIL23!O14+TONTAOUT23!O14+TONTSEPT23!O14+TONTOCT23!O14+TONTNOV23!O14+TONTDEC23!O14</f>
        <v>1075000</v>
      </c>
      <c r="P14" s="7">
        <f>TONTJANV23!P14+TONTFEV23!P14+TONTMARS23!P14+TONTAVRIL23!P14+TONTMAI23!P14+TONTJUIN23!P14+TONTJUIL23!P14+TONTAOUT23!P14+TONTSEPT23!P14+TONTOCT23!P14+TONTNOV23!P14+TONTDEC23!P14</f>
        <v>125000</v>
      </c>
      <c r="Q14" s="16">
        <v>44927</v>
      </c>
      <c r="S14" s="8">
        <f t="shared" si="0"/>
        <v>44678.571428571428</v>
      </c>
      <c r="T14" s="8">
        <v>44000</v>
      </c>
    </row>
    <row r="15" spans="1:22" ht="18.75" x14ac:dyDescent="0.3">
      <c r="A15" s="1" t="s">
        <v>44</v>
      </c>
      <c r="B15" s="7">
        <f>TONTJANV23!B15+TONTFEV23!B15+TONTMARS23!B15+TONTAVRIL23!B15+TONTMAI23!B15+TONTJUIN23!B15+TONTJUIL23!B15+TONTAOUT23!B15+TONTSEPT23!B15+TONTOCT23!B15+TONTNOV23!B15+TONTDEC23!B15</f>
        <v>12</v>
      </c>
      <c r="C15" s="1" t="str">
        <f>VLOOKUP(A15,[7]LISTADHERENT!A$5:H$60,3,0)</f>
        <v>NGUIEMEGNI MATHIEU BLAISE</v>
      </c>
      <c r="D15" s="7">
        <f>TONTJANV23!D15+TONTFEV23!D15+TONTMARS23!D15+TONTAVRIL23!D15+TONTMAI23!D15+TONTJUIN23!D15+TONTJUIL23!D15+TONTAOUT23!D15+TONTSEPT23!D15+TONTOCT23!D15+TONTNOV23!D15+TONTDEC23!D15</f>
        <v>1200000</v>
      </c>
      <c r="E15" s="7" t="str">
        <f>VLOOKUP($A15,[6]HISTOMARS23!$A$6:$BB$45,8,0)</f>
        <v>BANQUE</v>
      </c>
      <c r="F15" s="7">
        <f>TONTJANV23!F15+TONTFEV23!F15+TONTMARS23!F15+TONTAVRIL23!F15+TONTMAI23!F15+TONTJUIN23!F15+TONTJUIL23!F15+TONTAOUT23!F15+TONTSEPT23!F15+TONTOCT23!F15+TONTNOV23!F15+TONTDEC23!F15</f>
        <v>868000</v>
      </c>
      <c r="G15" s="7">
        <f>TONTJANV23!G15+TONTFEV23!G15+TONTMARS23!G15+TONTAVRIL23!G15+TONTMAI23!G15+TONTJUIN23!G15+TONTJUIL23!G15+TONTAOUT23!G15+TONTSEPT23!G15+TONTOCT23!G15+TONTNOV23!G15+TONTDEC23!G15</f>
        <v>16000</v>
      </c>
      <c r="H15" s="7"/>
      <c r="I15" s="7"/>
      <c r="J15" s="7">
        <f>TONTJANV23!J15+TONTFEV23!J15+TONTMARS23!J15+TONTAVRIL23!J15+TONTMAI23!J15+TONTJUIN23!J15+TONTJUIL23!J15+TONTAOUT23!J15+TONTSEPT23!J15+TONTOCT23!J15+TONTNOV23!J15+TONTDEC23!J15</f>
        <v>884000</v>
      </c>
      <c r="K15" s="7">
        <f>TONTJANV23!K15+TONTFEV23!K15+TONTMARS23!K15+TONTAVRIL23!K15+TONTMAI23!K15+TONTJUIN23!K15+TONTJUIL23!K15+TONTAOUT23!K15+TONTSEPT23!K15+TONTOCT23!K15+TONTNOV23!K15+TONTDEC23!K15</f>
        <v>884000</v>
      </c>
      <c r="L15" s="7"/>
      <c r="M15" s="7"/>
      <c r="N15" s="7"/>
      <c r="O15" s="7">
        <f>TONTJANV23!O15+TONTFEV23!O15+TONTMARS23!O15+TONTAVRIL23!O15+TONTMAI23!O15+TONTJUIN23!O15+TONTJUIL23!O15+TONTAOUT23!O15+TONTSEPT23!O15+TONTOCT23!O15+TONTNOV23!O15+TONTDEC23!O15</f>
        <v>1180000</v>
      </c>
      <c r="P15" s="7">
        <f>TONTJANV23!P15+TONTFEV23!P15+TONTMARS23!P15+TONTAVRIL23!P15+TONTMAI23!P15+TONTJUIN23!P15+TONTJUIL23!P15+TONTAOUT23!P15+TONTSEPT23!P15+TONTOCT23!P15+TONTNOV23!P15+TONTDEC23!P15</f>
        <v>20000</v>
      </c>
      <c r="Q15" s="16">
        <v>45017</v>
      </c>
      <c r="S15" s="8">
        <f t="shared" si="0"/>
        <v>44678.571428571428</v>
      </c>
      <c r="T15" s="8">
        <v>44000</v>
      </c>
    </row>
    <row r="16" spans="1:22" ht="18.75" x14ac:dyDescent="0.3">
      <c r="A16" s="1" t="s">
        <v>47</v>
      </c>
      <c r="B16" s="7">
        <f>TONTJANV23!B16+TONTFEV23!B16+TONTMARS23!B16+TONTAVRIL23!B16+TONTMAI23!B16+TONTJUIN23!B16+TONTJUIL23!B16+TONTAOUT23!B16+TONTSEPT23!B16+TONTOCT23!B16+TONTNOV23!B16+TONTDEC23!B16</f>
        <v>12</v>
      </c>
      <c r="C16" s="1" t="str">
        <f>VLOOKUP(A16,[7]LISTADHERENT!A$5:H$60,3,0)</f>
        <v>SIMO PIERRE</v>
      </c>
      <c r="D16" s="7">
        <f>TONTJANV23!D16+TONTFEV23!D16+TONTMARS23!D16+TONTAVRIL23!D16+TONTMAI23!D16+TONTJUIN23!D16+TONTJUIL23!D16+TONTAOUT23!D16+TONTSEPT23!D16+TONTOCT23!D16+TONTNOV23!D16+TONTDEC23!D16</f>
        <v>1200000</v>
      </c>
      <c r="E16" s="7" t="str">
        <f>VLOOKUP($A16,[6]HISTOMARS23!$A$6:$BB$45,8,0)</f>
        <v>BANQUE</v>
      </c>
      <c r="F16" s="7">
        <f>TONTJANV23!F16+TONTFEV23!F16+TONTMARS23!F16+TONTAVRIL23!F16+TONTMAI23!F16+TONTJUIN23!F16+TONTJUIL23!F16+TONTAOUT23!F16+TONTSEPT23!F16+TONTOCT23!F16+TONTNOV23!F16+TONTDEC23!F16</f>
        <v>60000</v>
      </c>
      <c r="G16" s="7">
        <f>TONTJANV23!G16+TONTFEV23!G16+TONTMARS23!G16+TONTAVRIL23!G16+TONTMAI23!G16+TONTJUIN23!G16+TONTJUIL23!G16+TONTAOUT23!G16+TONTSEPT23!G16+TONTOCT23!G16+TONTNOV23!G16+TONTDEC23!G16</f>
        <v>2000</v>
      </c>
      <c r="H16" s="7"/>
      <c r="I16" s="7"/>
      <c r="J16" s="7">
        <f>TONTJANV23!J16+TONTFEV23!J16+TONTMARS23!J16+TONTAVRIL23!J16+TONTMAI23!J16+TONTJUIN23!J16+TONTJUIL23!J16+TONTAOUT23!J16+TONTSEPT23!J16+TONTOCT23!J16+TONTNOV23!J16+TONTDEC23!J16</f>
        <v>62000</v>
      </c>
      <c r="K16" s="7">
        <f>TONTJANV23!K16+TONTFEV23!K16+TONTMARS23!K16+TONTAVRIL23!K16+TONTMAI23!K16+TONTJUIN23!K16+TONTJUIL23!K16+TONTAOUT23!K16+TONTSEPT23!K16+TONTOCT23!K16+TONTNOV23!K16+TONTDEC23!K16</f>
        <v>62000</v>
      </c>
      <c r="L16" s="7"/>
      <c r="M16" s="7"/>
      <c r="N16" s="7"/>
      <c r="O16" s="7">
        <f>TONTJANV23!O16+TONTFEV23!O16+TONTMARS23!O16+TONTAVRIL23!O16+TONTMAI23!O16+TONTJUIN23!O16+TONTJUIL23!O16+TONTAOUT23!O16+TONTSEPT23!O16+TONTOCT23!O16+TONTNOV23!O16+TONTDEC23!O16</f>
        <v>1190000</v>
      </c>
      <c r="P16" s="7">
        <f>TONTJANV23!P16+TONTFEV23!P16+TONTMARS23!P16+TONTAVRIL23!P16+TONTMAI23!P16+TONTJUIN23!P16+TONTJUIL23!P16+TONTAOUT23!P16+TONTSEPT23!P16+TONTOCT23!P16+TONTNOV23!P16+TONTDEC23!P16</f>
        <v>10000</v>
      </c>
      <c r="Q16" s="16">
        <v>45047</v>
      </c>
      <c r="S16" s="8">
        <f t="shared" si="0"/>
        <v>44678.571428571428</v>
      </c>
      <c r="T16" s="8">
        <v>44000</v>
      </c>
    </row>
    <row r="17" spans="1:22" ht="18.75" x14ac:dyDescent="0.3">
      <c r="A17" s="1" t="s">
        <v>22</v>
      </c>
      <c r="B17" s="7">
        <f>TONTJANV23!B17+TONTFEV23!B17+TONTMARS23!B17+TONTAVRIL23!B17+TONTMAI23!B17+TONTJUIN23!B17+TONTJUIL23!B17+TONTAOUT23!B17+TONTSEPT23!B17+TONTOCT23!B17+TONTNOV23!B17+TONTDEC23!B17</f>
        <v>12</v>
      </c>
      <c r="C17" s="1" t="str">
        <f>VLOOKUP(A17,[7]LISTADHERENT!A$5:H$60,3,0)</f>
        <v>YOUMBI EMMANUEL</v>
      </c>
      <c r="D17" s="7">
        <f>TONTJANV23!D17+TONTFEV23!D17+TONTMARS23!D17+TONTAVRIL23!D17+TONTMAI23!D17+TONTJUIN23!D17+TONTJUIL23!D17+TONTAOUT23!D17+TONTSEPT23!D17+TONTOCT23!D17+TONTNOV23!D17+TONTDEC23!D17</f>
        <v>1200000</v>
      </c>
      <c r="E17" s="7" t="str">
        <f>VLOOKUP($A17,[6]HISTOMARS23!$A$6:$BB$45,8,0)</f>
        <v>BANQUE</v>
      </c>
      <c r="F17" s="7">
        <f>TONTJANV23!F17+TONTFEV23!F17+TONTMARS23!F17+TONTAVRIL23!F17+TONTMAI23!F17+TONTJUIN23!F17+TONTJUIL23!F17+TONTAOUT23!F17+TONTSEPT23!F17+TONTOCT23!F17+TONTNOV23!F17+TONTDEC23!F17</f>
        <v>0</v>
      </c>
      <c r="G17" s="7">
        <f>TONTJANV23!G17+TONTFEV23!G17+TONTMARS23!G17+TONTAVRIL23!G17+TONTMAI23!G17+TONTJUIN23!G17+TONTJUIL23!G17+TONTAOUT23!G17+TONTSEPT23!G17+TONTOCT23!G17+TONTNOV23!G17+TONTDEC23!G17</f>
        <v>0</v>
      </c>
      <c r="H17" s="7"/>
      <c r="I17" s="7"/>
      <c r="J17" s="7">
        <f>TONTJANV23!J17+TONTFEV23!J17+TONTMARS23!J17+TONTAVRIL23!J17+TONTMAI23!J17+TONTJUIN23!J17+TONTJUIL23!J17+TONTAOUT23!J17+TONTSEPT23!J17+TONTOCT23!J17+TONTNOV23!J17+TONTDEC23!J17</f>
        <v>0</v>
      </c>
      <c r="K17" s="7">
        <f>TONTJANV23!K17+TONTFEV23!K17+TONTMARS23!K17+TONTAVRIL23!K17+TONTMAI23!K17+TONTJUIN23!K17+TONTJUIL23!K17+TONTAOUT23!K17+TONTSEPT23!K17+TONTOCT23!K17+TONTNOV23!K17+TONTDEC23!K17</f>
        <v>0</v>
      </c>
      <c r="L17" s="7"/>
      <c r="M17" s="7"/>
      <c r="N17" s="7"/>
      <c r="O17" s="7">
        <f>TONTJANV23!O17+TONTFEV23!O17+TONTMARS23!O17+TONTAVRIL23!O17+TONTMAI23!O17+TONTJUIN23!O17+TONTJUIL23!O17+TONTAOUT23!O17+TONTSEPT23!O17+TONTOCT23!O17+TONTNOV23!O17+TONTDEC23!O17</f>
        <v>1190000</v>
      </c>
      <c r="P17" s="7">
        <f>TONTJANV23!P17+TONTFEV23!P17+TONTMARS23!P17+TONTAVRIL23!P17+TONTMAI23!P17+TONTJUIN23!P17+TONTJUIL23!P17+TONTAOUT23!P17+TONTSEPT23!P17+TONTOCT23!P17+TONTNOV23!P17+TONTDEC23!P17</f>
        <v>10000</v>
      </c>
      <c r="Q17" s="16">
        <v>45078</v>
      </c>
      <c r="S17" s="8">
        <f t="shared" si="0"/>
        <v>44678.571428571428</v>
      </c>
      <c r="T17" s="8">
        <v>44000</v>
      </c>
    </row>
    <row r="18" spans="1:22" x14ac:dyDescent="0.25">
      <c r="A18" s="1"/>
      <c r="B18" s="7"/>
      <c r="C18" s="1"/>
      <c r="D18" s="7"/>
      <c r="E18" s="7"/>
      <c r="F18" s="7"/>
      <c r="G18" s="7"/>
      <c r="H18" s="7"/>
      <c r="I18" s="7"/>
      <c r="J18"/>
      <c r="K18" s="7"/>
      <c r="L18" s="7"/>
      <c r="M18" s="7"/>
      <c r="N18" s="7"/>
      <c r="O18" s="7"/>
      <c r="P18" s="7"/>
    </row>
    <row r="19" spans="1:22" ht="18" x14ac:dyDescent="0.25">
      <c r="A19" s="1" t="s">
        <v>41</v>
      </c>
      <c r="B19" s="8">
        <f>SUM(B6:B18)</f>
        <v>168</v>
      </c>
      <c r="G19" s="10"/>
    </row>
    <row r="20" spans="1:22" ht="18" x14ac:dyDescent="0.25">
      <c r="A20" s="1" t="s">
        <v>42</v>
      </c>
      <c r="B20" s="15">
        <f>+COUNT(D6:D18)</f>
        <v>12</v>
      </c>
      <c r="C20" s="8"/>
      <c r="D20" s="8">
        <f>SUM(D6:D18)</f>
        <v>16800000</v>
      </c>
      <c r="E20" s="8"/>
      <c r="F20" s="8">
        <f>SUM(F6:F18)</f>
        <v>7371500</v>
      </c>
      <c r="G20" s="8">
        <f>SUM(G6:G18)</f>
        <v>94500</v>
      </c>
      <c r="H20" s="8"/>
      <c r="I20" s="8">
        <f>SUM(I6:I18)</f>
        <v>0</v>
      </c>
      <c r="J20" s="8">
        <f>SUM(J6:J18)</f>
        <v>7466000</v>
      </c>
      <c r="K20" s="8">
        <f>SUM(K6:K18)</f>
        <v>7466000</v>
      </c>
      <c r="L20" s="8"/>
      <c r="M20" s="8"/>
      <c r="N20" s="8">
        <f>SUM(N6:N18)</f>
        <v>0</v>
      </c>
      <c r="O20" s="8">
        <f>SUM(O6:O18)</f>
        <v>16269000</v>
      </c>
      <c r="P20" s="8">
        <f>SUM(P6:P18)</f>
        <v>531000</v>
      </c>
      <c r="S20" s="8">
        <f>SUM(S6:S18)</f>
        <v>625500.00000000012</v>
      </c>
      <c r="T20" s="8">
        <f>SUM(T6:T18)</f>
        <v>616000</v>
      </c>
      <c r="V20" s="8">
        <f>S20-T20</f>
        <v>9500.0000000001164</v>
      </c>
    </row>
    <row r="21" spans="1:22" s="2" customFormat="1" x14ac:dyDescent="0.25">
      <c r="B21"/>
      <c r="C21"/>
      <c r="D21"/>
      <c r="E21"/>
      <c r="F21"/>
      <c r="G21" s="10"/>
      <c r="H21" s="3"/>
      <c r="I21" s="3"/>
      <c r="J21" s="3"/>
      <c r="L21"/>
      <c r="M21" s="5" t="s">
        <v>40</v>
      </c>
      <c r="N21" s="5" t="s">
        <v>43</v>
      </c>
    </row>
    <row r="22" spans="1:22" s="2" customFormat="1" ht="29.25" x14ac:dyDescent="0.25">
      <c r="D22" s="5" t="s">
        <v>5</v>
      </c>
      <c r="E22" s="5" t="s">
        <v>14</v>
      </c>
      <c r="F22" s="5" t="s">
        <v>16</v>
      </c>
      <c r="G22" s="5" t="s">
        <v>18</v>
      </c>
      <c r="H22" s="5" t="s">
        <v>19</v>
      </c>
      <c r="I22" s="5"/>
      <c r="K22" s="8" t="s">
        <v>26</v>
      </c>
      <c r="L22" s="8">
        <f>D26+E26+P20+TONTFEV23!N27</f>
        <v>18175000</v>
      </c>
      <c r="M22" s="5"/>
      <c r="N22"/>
      <c r="O22" s="5"/>
    </row>
    <row r="23" spans="1:22" s="2" customFormat="1" ht="18" x14ac:dyDescent="0.25">
      <c r="C23" s="8" t="s">
        <v>11</v>
      </c>
      <c r="D23" s="8">
        <f>SUMIFS(D6:D18,E6:E18,"ESPECES")</f>
        <v>1200000</v>
      </c>
      <c r="E23" s="8">
        <f>SUMIFS(K6:K18,L6:L18,"ESPECES")</f>
        <v>0</v>
      </c>
      <c r="F23" s="8">
        <f>SUMIFS(F6:F18,H6:H18,"ESPECES")</f>
        <v>0</v>
      </c>
      <c r="G23" s="8">
        <f>SUMIFS(O6:O18,M6:M18,"ESPECES")</f>
        <v>0</v>
      </c>
      <c r="H23" s="8">
        <f>D23+E23-F23-G23</f>
        <v>1200000</v>
      </c>
      <c r="I23" s="8"/>
      <c r="K23" s="8" t="s">
        <v>35</v>
      </c>
      <c r="L23" s="8">
        <f>C3*COUNTIF(O6:O18,"&gt;0")</f>
        <v>14400000</v>
      </c>
      <c r="M23" s="8">
        <f>D3</f>
        <v>15</v>
      </c>
      <c r="N23" s="8">
        <f>COUNTIF(O8:O17,"&gt;0")</f>
        <v>10</v>
      </c>
      <c r="O23" s="8"/>
    </row>
    <row r="24" spans="1:22" s="2" customFormat="1" ht="18" x14ac:dyDescent="0.25">
      <c r="C24" s="8" t="s">
        <v>7</v>
      </c>
      <c r="D24" s="8">
        <f>SUMIFS(D6:D18,E6:E18,"BANQUE")</f>
        <v>15600000</v>
      </c>
      <c r="E24" s="8">
        <f>SUMIFS(K6:K18,L6:L18,"BANQUE")</f>
        <v>0</v>
      </c>
      <c r="F24" s="8">
        <f>SUMIFS(F6:F18,H6:H18,"BANQUE")</f>
        <v>0</v>
      </c>
      <c r="G24" s="8">
        <f>SUMIFS(O6:O18,M6:M18,"BANQUE")</f>
        <v>0</v>
      </c>
      <c r="H24" s="8">
        <f>D24+E24-F24-G24</f>
        <v>15600000</v>
      </c>
      <c r="I24" s="8"/>
      <c r="L24" s="8"/>
      <c r="M24" s="8"/>
      <c r="N24" s="8"/>
      <c r="O24" s="8"/>
      <c r="P24" s="18" t="s">
        <v>12</v>
      </c>
      <c r="Q24" s="8">
        <f>G20</f>
        <v>94500</v>
      </c>
      <c r="S24" s="8">
        <f>[8]TONTRESUME23!$X$38+[9]TONTRESUME23!$U$23+V20</f>
        <v>55999.999999999971</v>
      </c>
    </row>
    <row r="25" spans="1:22" s="2" customFormat="1" ht="18" x14ac:dyDescent="0.25">
      <c r="D25" s="8"/>
      <c r="E25" s="8"/>
      <c r="F25" s="8"/>
      <c r="G25" s="8"/>
      <c r="I25" s="8"/>
      <c r="K25" s="8" t="s">
        <v>24</v>
      </c>
      <c r="L25" s="8">
        <f>L22-L23</f>
        <v>3775000</v>
      </c>
      <c r="M25" s="8"/>
      <c r="N25" s="8"/>
      <c r="O25" s="8"/>
      <c r="T25" s="8">
        <f>S24/7</f>
        <v>7999.9999999999955</v>
      </c>
    </row>
    <row r="26" spans="1:22" s="2" customFormat="1" ht="18" x14ac:dyDescent="0.25">
      <c r="C26" s="8" t="s">
        <v>46</v>
      </c>
      <c r="D26" s="8">
        <f>D23+D24</f>
        <v>16800000</v>
      </c>
      <c r="E26" s="8">
        <f>E23+E24</f>
        <v>0</v>
      </c>
      <c r="F26" s="8">
        <f>F23+F24</f>
        <v>0</v>
      </c>
      <c r="G26" s="8">
        <f t="shared" ref="G26:H26" si="1">G23+G24</f>
        <v>0</v>
      </c>
      <c r="H26" s="8">
        <f t="shared" si="1"/>
        <v>16800000</v>
      </c>
      <c r="I26" s="8"/>
      <c r="L26" s="8"/>
      <c r="M26" s="8"/>
      <c r="N26" s="8"/>
      <c r="O26" s="8"/>
      <c r="P26" s="18" t="s">
        <v>54</v>
      </c>
      <c r="Q26" s="19">
        <f>P20+Q24</f>
        <v>625500</v>
      </c>
    </row>
    <row r="27" spans="1:22" s="2" customFormat="1" ht="18" x14ac:dyDescent="0.25">
      <c r="D27" s="8"/>
      <c r="E27"/>
      <c r="F27"/>
      <c r="G27" s="3"/>
      <c r="H27" s="3"/>
      <c r="I27" s="3"/>
      <c r="K27" s="8" t="s">
        <v>28</v>
      </c>
      <c r="L27" s="8">
        <f>L25-F20</f>
        <v>-3596500</v>
      </c>
      <c r="M27"/>
      <c r="N27" s="8">
        <f>TONTRESUME23!L27</f>
        <v>-3596500</v>
      </c>
      <c r="O27" s="8" t="s">
        <v>29</v>
      </c>
    </row>
    <row r="28" spans="1:22" s="2" customFormat="1" ht="18" x14ac:dyDescent="0.25">
      <c r="D28" s="5"/>
      <c r="E28"/>
      <c r="F28"/>
      <c r="G28" s="3"/>
      <c r="H28" s="3"/>
      <c r="I28" s="3"/>
      <c r="M28"/>
      <c r="N28" s="3"/>
      <c r="O28" s="3"/>
      <c r="P28" s="18" t="s">
        <v>56</v>
      </c>
      <c r="Q28" s="19">
        <f>Q26/14</f>
        <v>44678.571428571428</v>
      </c>
    </row>
    <row r="29" spans="1:22" ht="18" x14ac:dyDescent="0.25">
      <c r="K29" s="8" t="s">
        <v>36</v>
      </c>
      <c r="L29" s="8">
        <f>COUNTIFS(E6:E24,"ECHEC")*100000</f>
        <v>0</v>
      </c>
      <c r="N29" s="8">
        <f>TONTFEV23!N29+TONTRESUME23!L29</f>
        <v>0</v>
      </c>
      <c r="O29" s="8" t="s">
        <v>29</v>
      </c>
    </row>
    <row r="30" spans="1:22" ht="18" x14ac:dyDescent="0.25">
      <c r="K30" s="8" t="s">
        <v>37</v>
      </c>
      <c r="L30" s="8">
        <f>J20-E26</f>
        <v>7466000</v>
      </c>
      <c r="N30" s="8">
        <f>TONTFEV23!N30+TONTRESUME23!L30</f>
        <v>7466000</v>
      </c>
      <c r="O30" s="8" t="s">
        <v>29</v>
      </c>
    </row>
    <row r="31" spans="1:22" x14ac:dyDescent="0.25">
      <c r="K31" s="3"/>
      <c r="L31" s="2"/>
      <c r="N31"/>
      <c r="O31" s="3"/>
    </row>
    <row r="32" spans="1:22" x14ac:dyDescent="0.25">
      <c r="K32" s="3"/>
      <c r="L32" s="2"/>
      <c r="N32"/>
      <c r="O32" s="3"/>
    </row>
  </sheetData>
  <autoFilter ref="A5:P17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9" sqref="I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2</vt:i4>
      </vt:variant>
    </vt:vector>
  </HeadingPairs>
  <TitlesOfParts>
    <vt:vector size="17" baseType="lpstr">
      <vt:lpstr>MODEPAID</vt:lpstr>
      <vt:lpstr>TONTJANV23</vt:lpstr>
      <vt:lpstr>TONTFEV23</vt:lpstr>
      <vt:lpstr>TONTMARS23</vt:lpstr>
      <vt:lpstr>TONTAVRIL23</vt:lpstr>
      <vt:lpstr>TONTMAI23</vt:lpstr>
      <vt:lpstr>TONTJUIN23</vt:lpstr>
      <vt:lpstr>TONTJUIL23</vt:lpstr>
      <vt:lpstr>TONTAOUT23</vt:lpstr>
      <vt:lpstr>TONTSEPT23</vt:lpstr>
      <vt:lpstr>TONTOCT23</vt:lpstr>
      <vt:lpstr>TONTNOV23</vt:lpstr>
      <vt:lpstr>TONTDEC23</vt:lpstr>
      <vt:lpstr>TONTRESUME23</vt:lpstr>
      <vt:lpstr>SYNTHESE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2024-02-10T12:39:59Z</dcterms:modified>
</cp:coreProperties>
</file>