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7095" firstSheet="10" activeTab="13"/>
  </bookViews>
  <sheets>
    <sheet name="MODEVERSEMENT" sheetId="2" r:id="rId1"/>
    <sheet name="COMPTE BANQUE" sheetId="13" r:id="rId2"/>
    <sheet name="HISTOBQUEJANV23" sheetId="26" r:id="rId3"/>
    <sheet name="HISTOBQUEFEV23" sheetId="27" r:id="rId4"/>
    <sheet name="HISTOBQUEMARS23" sheetId="28" r:id="rId5"/>
    <sheet name="HISTOBQUEAVRIL23" sheetId="29" r:id="rId6"/>
    <sheet name="HISTOBQUEMAI23" sheetId="34" r:id="rId7"/>
    <sheet name="HISTOBQUEJUIN23" sheetId="35" r:id="rId8"/>
    <sheet name="HISTOBQUEJUIL23" sheetId="36" r:id="rId9"/>
    <sheet name="HISTOBQUEAOUT23" sheetId="37" r:id="rId10"/>
    <sheet name="HISTOBQUESEPT23" sheetId="32" r:id="rId11"/>
    <sheet name="HISTOBQUEOCT23" sheetId="33" r:id="rId12"/>
    <sheet name="HISTOBQUENOV23" sheetId="30" r:id="rId13"/>
    <sheet name="HISTOBQUEDEC23" sheetId="31" r:id="rId14"/>
    <sheet name="HISTOBQUERESUME23" sheetId="38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9" hidden="1">HISTOBQUEAOUT23!$A$5:$F$36</definedName>
    <definedName name="_xlnm._FilterDatabase" localSheetId="5" hidden="1">HISTOBQUEAVRIL23!$A$5:$F$36</definedName>
    <definedName name="_xlnm._FilterDatabase" localSheetId="13" hidden="1">HISTOBQUEDEC23!$A$5:$F$36</definedName>
    <definedName name="_xlnm._FilterDatabase" localSheetId="3" hidden="1">HISTOBQUEFEV23!$A$5:$F$36</definedName>
    <definedName name="_xlnm._FilterDatabase" localSheetId="2" hidden="1">HISTOBQUEJANV23!$A$5:$F$36</definedName>
    <definedName name="_xlnm._FilterDatabase" localSheetId="8" hidden="1">HISTOBQUEJUIL23!$A$5:$F$36</definedName>
    <definedName name="_xlnm._FilterDatabase" localSheetId="7" hidden="1">HISTOBQUEJUIN23!$A$5:$F$36</definedName>
    <definedName name="_xlnm._FilterDatabase" localSheetId="6" hidden="1">HISTOBQUEMAI23!$A$5:$F$36</definedName>
    <definedName name="_xlnm._FilterDatabase" localSheetId="4" hidden="1">HISTOBQUEMARS23!$A$5:$F$36</definedName>
    <definedName name="_xlnm._FilterDatabase" localSheetId="12" hidden="1">HISTOBQUENOV23!$A$5:$F$36</definedName>
    <definedName name="_xlnm._FilterDatabase" localSheetId="11" hidden="1">HISTOBQUEOCT23!$A$5:$F$36</definedName>
    <definedName name="_xlnm._FilterDatabase" localSheetId="14" hidden="1">HISTOBQUERESUME23!$A$5:$F$36</definedName>
    <definedName name="_xlnm._FilterDatabase" localSheetId="10" hidden="1">HISTOBQUESEPT23!$A$5:$F$36</definedName>
    <definedName name="BANQUE" localSheetId="1">#REF!</definedName>
    <definedName name="BANQUE" localSheetId="9">#REF!</definedName>
    <definedName name="BANQUE" localSheetId="5">#REF!</definedName>
    <definedName name="BANQUE" localSheetId="13">#REF!</definedName>
    <definedName name="BANQUE" localSheetId="3">#REF!</definedName>
    <definedName name="BANQUE" localSheetId="2">#REF!</definedName>
    <definedName name="BANQUE" localSheetId="8">#REF!</definedName>
    <definedName name="BANQUE" localSheetId="7">#REF!</definedName>
    <definedName name="BANQUE" localSheetId="6">#REF!</definedName>
    <definedName name="BANQUE" localSheetId="4">#REF!</definedName>
    <definedName name="BANQUE" localSheetId="12">#REF!</definedName>
    <definedName name="BANQUE" localSheetId="11">#REF!</definedName>
    <definedName name="BANQUE" localSheetId="14">#REF!</definedName>
    <definedName name="BANQUE" localSheetId="10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1">#REF!</definedName>
    <definedName name="MODEVERSEMENT" localSheetId="9">#REF!</definedName>
    <definedName name="MODEVERSEMENT" localSheetId="5">#REF!</definedName>
    <definedName name="MODEVERSEMENT" localSheetId="13">#REF!</definedName>
    <definedName name="MODEVERSEMENT" localSheetId="3">#REF!</definedName>
    <definedName name="MODEVERSEMENT" localSheetId="2">#REF!</definedName>
    <definedName name="MODEVERSEMENT" localSheetId="8">#REF!</definedName>
    <definedName name="MODEVERSEMENT" localSheetId="7">#REF!</definedName>
    <definedName name="MODEVERSEMENT" localSheetId="6">#REF!</definedName>
    <definedName name="MODEVERSEMENT" localSheetId="4">#REF!</definedName>
    <definedName name="MODEVERSEMENT" localSheetId="12">#REF!</definedName>
    <definedName name="MODEVERSEMENT" localSheetId="11">#REF!</definedName>
    <definedName name="MODEVERSEMENT" localSheetId="14">#REF!</definedName>
    <definedName name="MODEVERSEMENT" localSheetId="10">#REF!</definedName>
    <definedName name="MODEVERSEMENT" localSheetId="0">#REF!</definedName>
    <definedName name="MODEVERSEMENT">#REF!</definedName>
    <definedName name="MODEVERSEMENTS" localSheetId="1">[3]MODEVERSEMENT!$A$1:$A$3</definedName>
    <definedName name="MODEVERSEMENTS" localSheetId="9">[3]MODEVERSEMENT!$A$1:$A$3</definedName>
    <definedName name="MODEVERSEMENTS" localSheetId="5">[3]MODEVERSEMENT!$A$1:$A$3</definedName>
    <definedName name="MODEVERSEMENTS" localSheetId="13">[3]MODEVERSEMENT!$A$1:$A$3</definedName>
    <definedName name="MODEVERSEMENTS" localSheetId="3">[3]MODEVERSEMENT!$A$1:$A$3</definedName>
    <definedName name="MODEVERSEMENTS" localSheetId="2">[3]MODEVERSEMENT!$A$1:$A$3</definedName>
    <definedName name="MODEVERSEMENTS" localSheetId="8">[3]MODEVERSEMENT!$A$1:$A$3</definedName>
    <definedName name="MODEVERSEMENTS" localSheetId="7">[3]MODEVERSEMENT!$A$1:$A$3</definedName>
    <definedName name="MODEVERSEMENTS" localSheetId="6">[3]MODEVERSEMENT!$A$1:$A$3</definedName>
    <definedName name="MODEVERSEMENTS" localSheetId="4">[3]MODEVERSEMENT!$A$1:$A$3</definedName>
    <definedName name="MODEVERSEMENTS" localSheetId="12">[3]MODEVERSEMENT!$A$1:$A$3</definedName>
    <definedName name="MODEVERSEMENTS" localSheetId="11">[3]MODEVERSEMENT!$A$1:$A$3</definedName>
    <definedName name="MODEVERSEMENTS" localSheetId="14">[3]MODEVERSEMENT!$A$1:$A$3</definedName>
    <definedName name="MODEVERSEMENTS" localSheetId="10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1" l="1"/>
  <c r="D26" i="31"/>
  <c r="D20" i="31"/>
  <c r="D18" i="31"/>
  <c r="C35" i="31"/>
  <c r="C13" i="31"/>
  <c r="C10" i="31"/>
  <c r="C26" i="31"/>
  <c r="C29" i="31"/>
  <c r="C12" i="31" l="1"/>
  <c r="C23" i="31"/>
  <c r="C33" i="31"/>
  <c r="C31" i="31"/>
  <c r="C22" i="31"/>
  <c r="C24" i="31"/>
  <c r="C18" i="31"/>
  <c r="C21" i="31"/>
  <c r="C32" i="31" l="1"/>
  <c r="H3" i="31"/>
  <c r="C9" i="31"/>
  <c r="F1" i="30"/>
  <c r="I2" i="31"/>
  <c r="G1" i="31"/>
  <c r="C34" i="31"/>
  <c r="C17" i="31"/>
  <c r="C25" i="31"/>
  <c r="C11" i="33" l="1"/>
  <c r="D26" i="33"/>
  <c r="C25" i="32"/>
  <c r="C9" i="35"/>
  <c r="D10" i="35"/>
  <c r="C20" i="28"/>
  <c r="C9" i="30" l="1"/>
  <c r="C8" i="30"/>
  <c r="C20" i="30" l="1"/>
  <c r="C18" i="30"/>
  <c r="C36" i="30" l="1"/>
  <c r="C9" i="33" l="1"/>
  <c r="C24" i="32"/>
  <c r="C11" i="37"/>
  <c r="C9" i="37"/>
  <c r="C32" i="37"/>
  <c r="C21" i="37"/>
  <c r="C12" i="33"/>
  <c r="C16" i="33"/>
  <c r="C36" i="33"/>
  <c r="C20" i="32"/>
  <c r="C11" i="32"/>
  <c r="B34" i="37" l="1"/>
  <c r="B35" i="37"/>
  <c r="B36" i="37"/>
  <c r="E32" i="36" l="1"/>
  <c r="C12" i="36" l="1"/>
  <c r="D11" i="36" l="1"/>
  <c r="D26" i="36" l="1"/>
  <c r="C36" i="31" l="1"/>
  <c r="C30" i="31"/>
  <c r="C28" i="31"/>
  <c r="C27" i="31"/>
  <c r="C19" i="31"/>
  <c r="C16" i="31"/>
  <c r="C15" i="31"/>
  <c r="C14" i="31"/>
  <c r="C11" i="31"/>
  <c r="C8" i="31"/>
  <c r="C6" i="31"/>
  <c r="C35" i="30"/>
  <c r="C32" i="30"/>
  <c r="C30" i="30"/>
  <c r="C29" i="30"/>
  <c r="C28" i="30"/>
  <c r="C27" i="30"/>
  <c r="C26" i="30"/>
  <c r="C23" i="30"/>
  <c r="C22" i="30"/>
  <c r="C21" i="30"/>
  <c r="C19" i="30"/>
  <c r="C17" i="30"/>
  <c r="C16" i="30"/>
  <c r="C15" i="30"/>
  <c r="C14" i="30"/>
  <c r="C13" i="30"/>
  <c r="C12" i="30"/>
  <c r="C11" i="30"/>
  <c r="C10" i="30"/>
  <c r="C7" i="30"/>
  <c r="C6" i="30"/>
  <c r="C35" i="33"/>
  <c r="C33" i="33"/>
  <c r="C32" i="33"/>
  <c r="C30" i="33"/>
  <c r="C29" i="33"/>
  <c r="C28" i="33"/>
  <c r="C27" i="33"/>
  <c r="C26" i="33"/>
  <c r="C23" i="33"/>
  <c r="C22" i="33"/>
  <c r="C21" i="33"/>
  <c r="C19" i="33"/>
  <c r="C17" i="33"/>
  <c r="C15" i="33"/>
  <c r="C14" i="33"/>
  <c r="C13" i="33"/>
  <c r="C8" i="33"/>
  <c r="C7" i="33"/>
  <c r="C6" i="33"/>
  <c r="C35" i="32"/>
  <c r="C33" i="32"/>
  <c r="C31" i="32"/>
  <c r="C30" i="32"/>
  <c r="C29" i="32"/>
  <c r="C28" i="32"/>
  <c r="C27" i="32"/>
  <c r="C23" i="32"/>
  <c r="C22" i="32"/>
  <c r="C21" i="32"/>
  <c r="C19" i="32"/>
  <c r="C18" i="32"/>
  <c r="C17" i="32"/>
  <c r="C16" i="32"/>
  <c r="C15" i="32"/>
  <c r="C14" i="32"/>
  <c r="C13" i="32"/>
  <c r="C12" i="32"/>
  <c r="C8" i="32"/>
  <c r="C7" i="32"/>
  <c r="C6" i="32"/>
  <c r="C36" i="37"/>
  <c r="C35" i="37"/>
  <c r="C34" i="37"/>
  <c r="C33" i="37"/>
  <c r="C31" i="37"/>
  <c r="C30" i="37"/>
  <c r="C29" i="37"/>
  <c r="C28" i="37"/>
  <c r="C27" i="37"/>
  <c r="C22" i="37"/>
  <c r="C18" i="37"/>
  <c r="C16" i="37"/>
  <c r="C15" i="37"/>
  <c r="C14" i="37"/>
  <c r="C13" i="37"/>
  <c r="C12" i="37"/>
  <c r="C10" i="37"/>
  <c r="C8" i="37"/>
  <c r="C7" i="37"/>
  <c r="C6" i="37"/>
  <c r="C7" i="36"/>
  <c r="C8" i="36"/>
  <c r="C10" i="36"/>
  <c r="C11" i="36"/>
  <c r="C13" i="36"/>
  <c r="C14" i="36"/>
  <c r="C15" i="36"/>
  <c r="C16" i="36"/>
  <c r="C17" i="36"/>
  <c r="C18" i="36"/>
  <c r="C19" i="36"/>
  <c r="C21" i="36"/>
  <c r="C22" i="36"/>
  <c r="C23" i="36"/>
  <c r="C26" i="36"/>
  <c r="C27" i="36"/>
  <c r="C28" i="36"/>
  <c r="C29" i="36"/>
  <c r="C30" i="36"/>
  <c r="C31" i="36"/>
  <c r="C32" i="36"/>
  <c r="C33" i="36"/>
  <c r="C34" i="36"/>
  <c r="C35" i="36"/>
  <c r="C36" i="36"/>
  <c r="C6" i="36"/>
  <c r="C10" i="35"/>
  <c r="C8" i="35"/>
  <c r="C13" i="35"/>
  <c r="C14" i="35"/>
  <c r="C15" i="35"/>
  <c r="C16" i="35"/>
  <c r="C17" i="35"/>
  <c r="C19" i="35"/>
  <c r="C21" i="35"/>
  <c r="C22" i="35"/>
  <c r="C24" i="35"/>
  <c r="C26" i="35"/>
  <c r="C28" i="35"/>
  <c r="C29" i="35"/>
  <c r="C30" i="35"/>
  <c r="C31" i="35"/>
  <c r="C33" i="35"/>
  <c r="C34" i="35"/>
  <c r="C35" i="35"/>
  <c r="C36" i="35"/>
  <c r="C7" i="35"/>
  <c r="C6" i="35"/>
  <c r="G36" i="35" l="1"/>
  <c r="D35" i="34" l="1"/>
  <c r="C11" i="34"/>
  <c r="C20" i="34"/>
  <c r="C23" i="29" l="1"/>
  <c r="C18" i="28"/>
  <c r="C29" i="28"/>
  <c r="C18" i="29"/>
  <c r="C12" i="29" l="1"/>
  <c r="C20" i="29"/>
  <c r="C16" i="29"/>
  <c r="G38" i="38" l="1"/>
  <c r="G38" i="31"/>
  <c r="E38" i="31"/>
  <c r="D38" i="31"/>
  <c r="C38" i="31"/>
  <c r="G38" i="30"/>
  <c r="E38" i="30"/>
  <c r="D38" i="30"/>
  <c r="C38" i="30"/>
  <c r="G38" i="33"/>
  <c r="E38" i="33"/>
  <c r="D38" i="33"/>
  <c r="C38" i="33"/>
  <c r="G38" i="32"/>
  <c r="E38" i="32"/>
  <c r="D38" i="32"/>
  <c r="C38" i="32"/>
  <c r="G38" i="37"/>
  <c r="E38" i="37"/>
  <c r="D38" i="37"/>
  <c r="C38" i="37"/>
  <c r="G38" i="36"/>
  <c r="E38" i="36"/>
  <c r="D38" i="36"/>
  <c r="C38" i="36"/>
  <c r="G38" i="35"/>
  <c r="E38" i="35"/>
  <c r="D38" i="35"/>
  <c r="C38" i="35"/>
  <c r="G38" i="34"/>
  <c r="E38" i="34"/>
  <c r="D38" i="34"/>
  <c r="C38" i="34"/>
  <c r="G38" i="29"/>
  <c r="E38" i="29"/>
  <c r="D38" i="29"/>
  <c r="C38" i="29"/>
  <c r="G38" i="27"/>
  <c r="E38" i="27"/>
  <c r="D38" i="27"/>
  <c r="C38" i="27"/>
  <c r="G38" i="26"/>
  <c r="F38" i="26"/>
  <c r="E38" i="26"/>
  <c r="D38" i="26"/>
  <c r="C38" i="26"/>
  <c r="G38" i="28"/>
  <c r="D38" i="28"/>
  <c r="E38" i="28"/>
  <c r="C38" i="2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6" i="38"/>
  <c r="C24" i="38"/>
  <c r="C25" i="38"/>
  <c r="C26" i="38"/>
  <c r="C27" i="38"/>
  <c r="C28" i="38"/>
  <c r="C29" i="38"/>
  <c r="C30" i="38"/>
  <c r="F30" i="38" s="1"/>
  <c r="C31" i="38"/>
  <c r="C32" i="38"/>
  <c r="C33" i="38"/>
  <c r="C34" i="38"/>
  <c r="C35" i="38"/>
  <c r="C36" i="38"/>
  <c r="C7" i="38"/>
  <c r="C8" i="38"/>
  <c r="C9" i="38"/>
  <c r="C10" i="38"/>
  <c r="C11" i="38"/>
  <c r="C12" i="38"/>
  <c r="C13" i="38"/>
  <c r="C14" i="38"/>
  <c r="F14" i="38" s="1"/>
  <c r="C15" i="38"/>
  <c r="C16" i="38"/>
  <c r="C17" i="38"/>
  <c r="C18" i="38"/>
  <c r="C19" i="38"/>
  <c r="C20" i="38"/>
  <c r="C21" i="38"/>
  <c r="C22" i="38"/>
  <c r="C23" i="38"/>
  <c r="C6" i="38"/>
  <c r="H38" i="38"/>
  <c r="B36" i="38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B7" i="38"/>
  <c r="B6" i="38"/>
  <c r="H38" i="37"/>
  <c r="F36" i="37"/>
  <c r="F35" i="37"/>
  <c r="F34" i="37"/>
  <c r="F33" i="37"/>
  <c r="B33" i="37"/>
  <c r="F32" i="37"/>
  <c r="B32" i="37"/>
  <c r="F31" i="37"/>
  <c r="B31" i="37"/>
  <c r="F30" i="37"/>
  <c r="B30" i="37"/>
  <c r="F29" i="37"/>
  <c r="B29" i="37"/>
  <c r="F28" i="37"/>
  <c r="B28" i="37"/>
  <c r="F27" i="37"/>
  <c r="B27" i="37"/>
  <c r="F26" i="37"/>
  <c r="B26" i="37"/>
  <c r="F25" i="37"/>
  <c r="B25" i="37"/>
  <c r="F24" i="37"/>
  <c r="B24" i="37"/>
  <c r="F23" i="37"/>
  <c r="B23" i="37"/>
  <c r="F22" i="37"/>
  <c r="B22" i="37"/>
  <c r="F21" i="37"/>
  <c r="B21" i="37"/>
  <c r="F20" i="37"/>
  <c r="B20" i="37"/>
  <c r="F19" i="37"/>
  <c r="B19" i="37"/>
  <c r="F18" i="37"/>
  <c r="B18" i="37"/>
  <c r="F17" i="37"/>
  <c r="B17" i="37"/>
  <c r="F16" i="37"/>
  <c r="B16" i="37"/>
  <c r="F15" i="37"/>
  <c r="B15" i="37"/>
  <c r="F14" i="37"/>
  <c r="B14" i="37"/>
  <c r="F13" i="37"/>
  <c r="B13" i="37"/>
  <c r="F12" i="37"/>
  <c r="B12" i="37"/>
  <c r="F11" i="37"/>
  <c r="B11" i="37"/>
  <c r="F10" i="37"/>
  <c r="B10" i="37"/>
  <c r="F9" i="37"/>
  <c r="B9" i="37"/>
  <c r="F8" i="37"/>
  <c r="B8" i="37"/>
  <c r="F7" i="37"/>
  <c r="B7" i="37"/>
  <c r="F6" i="37"/>
  <c r="B6" i="37"/>
  <c r="H38" i="36"/>
  <c r="F36" i="36"/>
  <c r="B36" i="36"/>
  <c r="F35" i="36"/>
  <c r="B35" i="36"/>
  <c r="F34" i="36"/>
  <c r="B34" i="36"/>
  <c r="F33" i="36"/>
  <c r="B33" i="36"/>
  <c r="F32" i="36"/>
  <c r="B32" i="36"/>
  <c r="F31" i="36"/>
  <c r="B31" i="36"/>
  <c r="F30" i="36"/>
  <c r="B30" i="36"/>
  <c r="F29" i="36"/>
  <c r="B29" i="36"/>
  <c r="F28" i="36"/>
  <c r="B28" i="36"/>
  <c r="F27" i="36"/>
  <c r="B27" i="36"/>
  <c r="F26" i="36"/>
  <c r="B26" i="36"/>
  <c r="F25" i="36"/>
  <c r="B25" i="36"/>
  <c r="F24" i="36"/>
  <c r="B24" i="36"/>
  <c r="F23" i="36"/>
  <c r="B23" i="36"/>
  <c r="F22" i="36"/>
  <c r="B22" i="36"/>
  <c r="F21" i="36"/>
  <c r="B21" i="36"/>
  <c r="F20" i="36"/>
  <c r="B20" i="36"/>
  <c r="F19" i="36"/>
  <c r="B19" i="36"/>
  <c r="F18" i="36"/>
  <c r="B18" i="36"/>
  <c r="F17" i="36"/>
  <c r="B17" i="36"/>
  <c r="F16" i="36"/>
  <c r="B16" i="36"/>
  <c r="F15" i="36"/>
  <c r="B15" i="36"/>
  <c r="F14" i="36"/>
  <c r="B14" i="36"/>
  <c r="F13" i="36"/>
  <c r="B13" i="36"/>
  <c r="F12" i="36"/>
  <c r="B12" i="36"/>
  <c r="F11" i="36"/>
  <c r="B11" i="36"/>
  <c r="F10" i="36"/>
  <c r="B10" i="36"/>
  <c r="F9" i="36"/>
  <c r="B9" i="36"/>
  <c r="F8" i="36"/>
  <c r="B8" i="36"/>
  <c r="F7" i="36"/>
  <c r="B7" i="36"/>
  <c r="F6" i="36"/>
  <c r="B6" i="36"/>
  <c r="H38" i="35"/>
  <c r="F36" i="35"/>
  <c r="B36" i="35"/>
  <c r="F35" i="35"/>
  <c r="B35" i="35"/>
  <c r="F34" i="35"/>
  <c r="B34" i="35"/>
  <c r="F33" i="35"/>
  <c r="B33" i="35"/>
  <c r="F32" i="35"/>
  <c r="B32" i="35"/>
  <c r="F31" i="35"/>
  <c r="B31" i="35"/>
  <c r="F30" i="35"/>
  <c r="B30" i="35"/>
  <c r="F29" i="35"/>
  <c r="B29" i="35"/>
  <c r="F28" i="35"/>
  <c r="B28" i="35"/>
  <c r="F27" i="35"/>
  <c r="B27" i="35"/>
  <c r="F26" i="35"/>
  <c r="B26" i="35"/>
  <c r="F25" i="35"/>
  <c r="B25" i="35"/>
  <c r="F24" i="35"/>
  <c r="B24" i="35"/>
  <c r="F23" i="35"/>
  <c r="B23" i="35"/>
  <c r="F22" i="35"/>
  <c r="B22" i="35"/>
  <c r="F21" i="35"/>
  <c r="B21" i="35"/>
  <c r="F20" i="35"/>
  <c r="B20" i="35"/>
  <c r="F19" i="35"/>
  <c r="B19" i="35"/>
  <c r="F18" i="35"/>
  <c r="B18" i="35"/>
  <c r="F17" i="35"/>
  <c r="B17" i="35"/>
  <c r="F16" i="35"/>
  <c r="B16" i="35"/>
  <c r="F15" i="35"/>
  <c r="B15" i="35"/>
  <c r="F14" i="35"/>
  <c r="B14" i="35"/>
  <c r="F13" i="35"/>
  <c r="B13" i="35"/>
  <c r="F12" i="35"/>
  <c r="B12" i="35"/>
  <c r="F11" i="35"/>
  <c r="B11" i="35"/>
  <c r="F10" i="35"/>
  <c r="B10" i="35"/>
  <c r="F9" i="35"/>
  <c r="B9" i="35"/>
  <c r="F8" i="35"/>
  <c r="B8" i="35"/>
  <c r="F7" i="35"/>
  <c r="B7" i="35"/>
  <c r="F6" i="35"/>
  <c r="B6" i="35"/>
  <c r="H38" i="34"/>
  <c r="F36" i="34"/>
  <c r="B36" i="34"/>
  <c r="F35" i="34"/>
  <c r="B35" i="34"/>
  <c r="F34" i="34"/>
  <c r="B34" i="34"/>
  <c r="F33" i="34"/>
  <c r="B33" i="34"/>
  <c r="F32" i="34"/>
  <c r="B32" i="34"/>
  <c r="F31" i="34"/>
  <c r="B31" i="34"/>
  <c r="F30" i="34"/>
  <c r="B30" i="34"/>
  <c r="F29" i="34"/>
  <c r="B29" i="34"/>
  <c r="F28" i="34"/>
  <c r="B28" i="34"/>
  <c r="F27" i="34"/>
  <c r="B27" i="34"/>
  <c r="F26" i="34"/>
  <c r="B26" i="34"/>
  <c r="F25" i="34"/>
  <c r="B25" i="34"/>
  <c r="F24" i="34"/>
  <c r="B24" i="34"/>
  <c r="F23" i="34"/>
  <c r="B23" i="34"/>
  <c r="F22" i="34"/>
  <c r="B22" i="34"/>
  <c r="F21" i="34"/>
  <c r="B21" i="34"/>
  <c r="F20" i="34"/>
  <c r="B20" i="34"/>
  <c r="F19" i="34"/>
  <c r="B19" i="34"/>
  <c r="F18" i="34"/>
  <c r="B18" i="34"/>
  <c r="F17" i="34"/>
  <c r="B17" i="34"/>
  <c r="F16" i="34"/>
  <c r="B16" i="34"/>
  <c r="F15" i="34"/>
  <c r="B15" i="34"/>
  <c r="F14" i="34"/>
  <c r="B14" i="34"/>
  <c r="F13" i="34"/>
  <c r="B13" i="34"/>
  <c r="F12" i="34"/>
  <c r="B12" i="34"/>
  <c r="F11" i="34"/>
  <c r="B11" i="34"/>
  <c r="F10" i="34"/>
  <c r="B10" i="34"/>
  <c r="F9" i="34"/>
  <c r="B9" i="34"/>
  <c r="F8" i="34"/>
  <c r="B8" i="34"/>
  <c r="F7" i="34"/>
  <c r="B7" i="34"/>
  <c r="F6" i="34"/>
  <c r="B6" i="34"/>
  <c r="H38" i="33"/>
  <c r="F36" i="33"/>
  <c r="B36" i="33"/>
  <c r="F35" i="33"/>
  <c r="B35" i="33"/>
  <c r="F34" i="33"/>
  <c r="B34" i="33"/>
  <c r="F33" i="33"/>
  <c r="B33" i="33"/>
  <c r="F32" i="33"/>
  <c r="B32" i="33"/>
  <c r="F31" i="33"/>
  <c r="B31" i="33"/>
  <c r="F30" i="33"/>
  <c r="B30" i="33"/>
  <c r="F29" i="33"/>
  <c r="B29" i="33"/>
  <c r="F28" i="33"/>
  <c r="B28" i="33"/>
  <c r="F27" i="33"/>
  <c r="B27" i="33"/>
  <c r="F26" i="33"/>
  <c r="B26" i="33"/>
  <c r="F25" i="33"/>
  <c r="B25" i="33"/>
  <c r="F24" i="33"/>
  <c r="B24" i="33"/>
  <c r="F23" i="33"/>
  <c r="B23" i="33"/>
  <c r="F22" i="33"/>
  <c r="B22" i="33"/>
  <c r="F21" i="33"/>
  <c r="B21" i="33"/>
  <c r="F20" i="33"/>
  <c r="B20" i="33"/>
  <c r="F19" i="33"/>
  <c r="B19" i="33"/>
  <c r="F18" i="33"/>
  <c r="B18" i="33"/>
  <c r="F17" i="33"/>
  <c r="B17" i="33"/>
  <c r="F16" i="33"/>
  <c r="B16" i="33"/>
  <c r="F15" i="33"/>
  <c r="B15" i="33"/>
  <c r="F14" i="33"/>
  <c r="B14" i="33"/>
  <c r="F13" i="33"/>
  <c r="B13" i="33"/>
  <c r="F12" i="33"/>
  <c r="B12" i="33"/>
  <c r="F11" i="33"/>
  <c r="B11" i="33"/>
  <c r="F10" i="33"/>
  <c r="B10" i="33"/>
  <c r="F9" i="33"/>
  <c r="B9" i="33"/>
  <c r="F8" i="33"/>
  <c r="B8" i="33"/>
  <c r="F7" i="33"/>
  <c r="B7" i="33"/>
  <c r="F6" i="33"/>
  <c r="B6" i="33"/>
  <c r="H38" i="32"/>
  <c r="F36" i="32"/>
  <c r="B36" i="32"/>
  <c r="F35" i="32"/>
  <c r="B35" i="32"/>
  <c r="F34" i="32"/>
  <c r="B34" i="32"/>
  <c r="F33" i="32"/>
  <c r="B33" i="32"/>
  <c r="F32" i="32"/>
  <c r="B32" i="32"/>
  <c r="F31" i="32"/>
  <c r="B31" i="32"/>
  <c r="F30" i="32"/>
  <c r="B30" i="32"/>
  <c r="F29" i="32"/>
  <c r="B29" i="32"/>
  <c r="F28" i="32"/>
  <c r="B28" i="32"/>
  <c r="F27" i="32"/>
  <c r="B27" i="32"/>
  <c r="F26" i="32"/>
  <c r="B26" i="32"/>
  <c r="F25" i="32"/>
  <c r="B25" i="32"/>
  <c r="F24" i="32"/>
  <c r="B24" i="32"/>
  <c r="F23" i="32"/>
  <c r="B23" i="32"/>
  <c r="F22" i="32"/>
  <c r="B22" i="32"/>
  <c r="F21" i="32"/>
  <c r="B21" i="32"/>
  <c r="F20" i="32"/>
  <c r="B20" i="32"/>
  <c r="F19" i="32"/>
  <c r="B19" i="32"/>
  <c r="F18" i="32"/>
  <c r="B18" i="32"/>
  <c r="F17" i="32"/>
  <c r="B17" i="32"/>
  <c r="F16" i="32"/>
  <c r="B16" i="32"/>
  <c r="F15" i="32"/>
  <c r="B15" i="32"/>
  <c r="F14" i="32"/>
  <c r="B14" i="32"/>
  <c r="F13" i="32"/>
  <c r="B13" i="32"/>
  <c r="F12" i="32"/>
  <c r="B12" i="32"/>
  <c r="F11" i="32"/>
  <c r="B11" i="32"/>
  <c r="F10" i="32"/>
  <c r="B10" i="32"/>
  <c r="F9" i="32"/>
  <c r="B9" i="32"/>
  <c r="F8" i="32"/>
  <c r="B8" i="32"/>
  <c r="F7" i="32"/>
  <c r="B7" i="32"/>
  <c r="F6" i="32"/>
  <c r="B6" i="32"/>
  <c r="H38" i="31"/>
  <c r="F36" i="31"/>
  <c r="B36" i="31"/>
  <c r="F35" i="31"/>
  <c r="B35" i="31"/>
  <c r="F34" i="31"/>
  <c r="B34" i="31"/>
  <c r="F33" i="31"/>
  <c r="B33" i="31"/>
  <c r="F32" i="31"/>
  <c r="B32" i="31"/>
  <c r="F31" i="31"/>
  <c r="B31" i="31"/>
  <c r="F30" i="31"/>
  <c r="B30" i="31"/>
  <c r="F29" i="31"/>
  <c r="B29" i="31"/>
  <c r="F28" i="31"/>
  <c r="B28" i="31"/>
  <c r="F27" i="31"/>
  <c r="B27" i="31"/>
  <c r="F26" i="31"/>
  <c r="B26" i="31"/>
  <c r="F25" i="31"/>
  <c r="B25" i="31"/>
  <c r="F24" i="31"/>
  <c r="B24" i="31"/>
  <c r="F23" i="31"/>
  <c r="B23" i="31"/>
  <c r="F22" i="31"/>
  <c r="B22" i="31"/>
  <c r="F21" i="31"/>
  <c r="B21" i="31"/>
  <c r="F20" i="31"/>
  <c r="B20" i="31"/>
  <c r="F19" i="31"/>
  <c r="B19" i="31"/>
  <c r="F18" i="31"/>
  <c r="B18" i="31"/>
  <c r="F17" i="31"/>
  <c r="B17" i="31"/>
  <c r="F16" i="31"/>
  <c r="B16" i="31"/>
  <c r="F15" i="31"/>
  <c r="B15" i="31"/>
  <c r="F14" i="31"/>
  <c r="B14" i="31"/>
  <c r="F13" i="31"/>
  <c r="B13" i="31"/>
  <c r="F12" i="31"/>
  <c r="B12" i="31"/>
  <c r="F11" i="31"/>
  <c r="B11" i="31"/>
  <c r="F10" i="31"/>
  <c r="B10" i="31"/>
  <c r="F9" i="31"/>
  <c r="B9" i="31"/>
  <c r="F8" i="31"/>
  <c r="B8" i="31"/>
  <c r="F7" i="31"/>
  <c r="B7" i="31"/>
  <c r="F6" i="31"/>
  <c r="B6" i="31"/>
  <c r="H38" i="30"/>
  <c r="F36" i="30"/>
  <c r="B36" i="30"/>
  <c r="F35" i="30"/>
  <c r="B35" i="30"/>
  <c r="F34" i="30"/>
  <c r="B34" i="30"/>
  <c r="F33" i="30"/>
  <c r="B33" i="30"/>
  <c r="F32" i="30"/>
  <c r="B32" i="30"/>
  <c r="F31" i="30"/>
  <c r="B31" i="30"/>
  <c r="F30" i="30"/>
  <c r="B30" i="30"/>
  <c r="F29" i="30"/>
  <c r="B29" i="30"/>
  <c r="F28" i="30"/>
  <c r="B28" i="30"/>
  <c r="F27" i="30"/>
  <c r="B27" i="30"/>
  <c r="F26" i="30"/>
  <c r="B26" i="30"/>
  <c r="F25" i="30"/>
  <c r="B25" i="30"/>
  <c r="F24" i="30"/>
  <c r="B24" i="30"/>
  <c r="F23" i="30"/>
  <c r="B23" i="30"/>
  <c r="F22" i="30"/>
  <c r="B22" i="30"/>
  <c r="F21" i="30"/>
  <c r="B21" i="30"/>
  <c r="F20" i="30"/>
  <c r="B20" i="30"/>
  <c r="F19" i="30"/>
  <c r="B19" i="30"/>
  <c r="F18" i="30"/>
  <c r="B18" i="30"/>
  <c r="F17" i="30"/>
  <c r="B17" i="30"/>
  <c r="F16" i="30"/>
  <c r="B16" i="30"/>
  <c r="F15" i="30"/>
  <c r="B15" i="30"/>
  <c r="F14" i="30"/>
  <c r="B14" i="30"/>
  <c r="F13" i="30"/>
  <c r="B13" i="30"/>
  <c r="F12" i="30"/>
  <c r="B12" i="30"/>
  <c r="F11" i="30"/>
  <c r="B11" i="30"/>
  <c r="F10" i="30"/>
  <c r="B10" i="30"/>
  <c r="F9" i="30"/>
  <c r="B9" i="30"/>
  <c r="F8" i="30"/>
  <c r="B8" i="30"/>
  <c r="F7" i="30"/>
  <c r="B7" i="30"/>
  <c r="F6" i="30"/>
  <c r="B6" i="30"/>
  <c r="H38" i="29"/>
  <c r="F36" i="29"/>
  <c r="B36" i="29"/>
  <c r="F35" i="29"/>
  <c r="B35" i="29"/>
  <c r="F34" i="29"/>
  <c r="B34" i="29"/>
  <c r="F33" i="29"/>
  <c r="B33" i="29"/>
  <c r="F32" i="29"/>
  <c r="B32" i="29"/>
  <c r="F31" i="29"/>
  <c r="B31" i="29"/>
  <c r="F30" i="29"/>
  <c r="B30" i="29"/>
  <c r="F29" i="29"/>
  <c r="B29" i="29"/>
  <c r="F28" i="29"/>
  <c r="B28" i="29"/>
  <c r="F27" i="29"/>
  <c r="B27" i="29"/>
  <c r="F26" i="29"/>
  <c r="B26" i="29"/>
  <c r="F25" i="29"/>
  <c r="B25" i="29"/>
  <c r="F24" i="29"/>
  <c r="B24" i="29"/>
  <c r="F23" i="29"/>
  <c r="B23" i="29"/>
  <c r="F22" i="29"/>
  <c r="B22" i="29"/>
  <c r="F21" i="29"/>
  <c r="B21" i="29"/>
  <c r="F20" i="29"/>
  <c r="B20" i="29"/>
  <c r="F19" i="29"/>
  <c r="B19" i="29"/>
  <c r="F18" i="29"/>
  <c r="B18" i="29"/>
  <c r="F17" i="29"/>
  <c r="B17" i="29"/>
  <c r="F16" i="29"/>
  <c r="B16" i="29"/>
  <c r="F15" i="29"/>
  <c r="B15" i="29"/>
  <c r="F14" i="29"/>
  <c r="B14" i="29"/>
  <c r="F13" i="29"/>
  <c r="B13" i="29"/>
  <c r="F12" i="29"/>
  <c r="B12" i="29"/>
  <c r="F11" i="29"/>
  <c r="B11" i="29"/>
  <c r="F10" i="29"/>
  <c r="B10" i="29"/>
  <c r="F9" i="29"/>
  <c r="B9" i="29"/>
  <c r="F8" i="29"/>
  <c r="B8" i="29"/>
  <c r="F7" i="29"/>
  <c r="B7" i="29"/>
  <c r="F6" i="29"/>
  <c r="B6" i="29"/>
  <c r="F21" i="38" l="1"/>
  <c r="F11" i="38"/>
  <c r="F38" i="33"/>
  <c r="F38" i="37"/>
  <c r="F38" i="32"/>
  <c r="F38" i="36"/>
  <c r="F38" i="31"/>
  <c r="F38" i="30"/>
  <c r="F38" i="35"/>
  <c r="E38" i="38"/>
  <c r="F35" i="38"/>
  <c r="F38" i="34"/>
  <c r="F17" i="38"/>
  <c r="D38" i="38"/>
  <c r="G41" i="29"/>
  <c r="C38" i="38"/>
  <c r="F38" i="29"/>
  <c r="F33" i="38"/>
  <c r="F31" i="38"/>
  <c r="F27" i="38"/>
  <c r="F23" i="38"/>
  <c r="F19" i="38"/>
  <c r="F15" i="38"/>
  <c r="F7" i="38"/>
  <c r="F29" i="38"/>
  <c r="F25" i="38"/>
  <c r="F13" i="38"/>
  <c r="F9" i="38"/>
  <c r="F20" i="38"/>
  <c r="F16" i="38"/>
  <c r="F12" i="38"/>
  <c r="F36" i="38"/>
  <c r="F32" i="38"/>
  <c r="F28" i="38"/>
  <c r="F24" i="38"/>
  <c r="F34" i="38"/>
  <c r="F26" i="38"/>
  <c r="F22" i="38"/>
  <c r="F18" i="38"/>
  <c r="F10" i="38"/>
  <c r="F6" i="38"/>
  <c r="F8" i="38"/>
  <c r="F38" i="38" l="1"/>
  <c r="H38" i="28"/>
  <c r="F36" i="28"/>
  <c r="B36" i="28"/>
  <c r="F35" i="28"/>
  <c r="B35" i="28"/>
  <c r="F34" i="28"/>
  <c r="B34" i="28"/>
  <c r="F33" i="28"/>
  <c r="B33" i="28"/>
  <c r="F32" i="28"/>
  <c r="B32" i="28"/>
  <c r="F31" i="28"/>
  <c r="B31" i="28"/>
  <c r="F30" i="28"/>
  <c r="B30" i="28"/>
  <c r="F29" i="28"/>
  <c r="B29" i="28"/>
  <c r="F28" i="28"/>
  <c r="B28" i="28"/>
  <c r="F27" i="28"/>
  <c r="B27" i="28"/>
  <c r="F26" i="28"/>
  <c r="B26" i="28"/>
  <c r="F25" i="28"/>
  <c r="B25" i="28"/>
  <c r="F24" i="28"/>
  <c r="B24" i="28"/>
  <c r="F23" i="28"/>
  <c r="B23" i="28"/>
  <c r="F22" i="28"/>
  <c r="B22" i="28"/>
  <c r="F21" i="28"/>
  <c r="B21" i="28"/>
  <c r="F20" i="28"/>
  <c r="B20" i="28"/>
  <c r="F19" i="28"/>
  <c r="B19" i="28"/>
  <c r="F18" i="28"/>
  <c r="B18" i="28"/>
  <c r="F17" i="28"/>
  <c r="B17" i="28"/>
  <c r="F16" i="28"/>
  <c r="B16" i="28"/>
  <c r="F15" i="28"/>
  <c r="B15" i="28"/>
  <c r="F14" i="28"/>
  <c r="B14" i="28"/>
  <c r="F13" i="28"/>
  <c r="B13" i="28"/>
  <c r="F12" i="28"/>
  <c r="B12" i="28"/>
  <c r="F11" i="28"/>
  <c r="B11" i="28"/>
  <c r="F10" i="28"/>
  <c r="B10" i="28"/>
  <c r="F9" i="28"/>
  <c r="B9" i="28"/>
  <c r="F8" i="28"/>
  <c r="B8" i="28"/>
  <c r="F7" i="28"/>
  <c r="B7" i="28"/>
  <c r="F6" i="28"/>
  <c r="B6" i="28"/>
  <c r="F38" i="28" l="1"/>
  <c r="C8" i="27"/>
  <c r="C24" i="27"/>
  <c r="C10" i="27"/>
  <c r="C11" i="27"/>
  <c r="D26" i="27" l="1"/>
  <c r="D18" i="27"/>
  <c r="C25" i="27"/>
  <c r="F7" i="26" l="1"/>
  <c r="F8" i="26"/>
  <c r="F9" i="26"/>
  <c r="F10" i="26"/>
  <c r="F11" i="26"/>
  <c r="F12" i="26"/>
  <c r="F13" i="26"/>
  <c r="F14" i="26"/>
  <c r="F15" i="26"/>
  <c r="F16" i="26"/>
  <c r="F17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27" i="27" l="1"/>
  <c r="F28" i="27"/>
  <c r="F29" i="27"/>
  <c r="F30" i="27"/>
  <c r="F31" i="27"/>
  <c r="F32" i="27"/>
  <c r="F33" i="27"/>
  <c r="F34" i="27"/>
  <c r="F35" i="27"/>
  <c r="F36" i="27"/>
  <c r="F7" i="27"/>
  <c r="F8" i="27"/>
  <c r="F9" i="27"/>
  <c r="F10" i="27"/>
  <c r="F11" i="27"/>
  <c r="F12" i="27"/>
  <c r="F13" i="27"/>
  <c r="F14" i="27"/>
  <c r="F15" i="27"/>
  <c r="F16" i="27"/>
  <c r="F17" i="27"/>
  <c r="F38" i="27" s="1"/>
  <c r="F18" i="27"/>
  <c r="F19" i="27"/>
  <c r="F20" i="27"/>
  <c r="F21" i="27"/>
  <c r="F22" i="27"/>
  <c r="F23" i="27"/>
  <c r="F24" i="27"/>
  <c r="F25" i="27"/>
  <c r="F26" i="27"/>
  <c r="H38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F6" i="27"/>
  <c r="B6" i="27"/>
  <c r="B7" i="26" l="1"/>
  <c r="B34" i="26"/>
  <c r="B8" i="26" l="1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5" i="26"/>
  <c r="B36" i="26"/>
  <c r="B6" i="26"/>
  <c r="C18" i="26" l="1"/>
  <c r="F18" i="26" l="1"/>
  <c r="H38" i="26"/>
  <c r="F6" i="26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D6" i="13" l="1"/>
  <c r="C6" i="13"/>
  <c r="E6" i="13" l="1"/>
  <c r="E7" i="13" s="1"/>
  <c r="E8" i="13" s="1"/>
  <c r="E9" i="13" s="1"/>
</calcChain>
</file>

<file path=xl/comments1.xml><?xml version="1.0" encoding="utf-8"?>
<comments xmlns="http://schemas.openxmlformats.org/spreadsheetml/2006/main">
  <authors>
    <author>DJUOMBESSY</author>
  </authors>
  <commentLis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KOUATCHO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KOUATCHO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T30 NKAMGAING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52 000 VERSE COMPTE MBONING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DJOMO JP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C9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51 000 VERSE PAR DJOMO TCHANDA</t>
        </r>
      </text>
    </comment>
    <comment ref="D10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REMBOURSEMENT 51 000 DE DJOMO TCHANDA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EN DEC 23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20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30 500 VERSE PAR SEUMO POLYCARPE</t>
        </r>
      </text>
    </comment>
  </commentList>
</comments>
</file>

<file path=xl/sharedStrings.xml><?xml version="1.0" encoding="utf-8"?>
<sst xmlns="http://schemas.openxmlformats.org/spreadsheetml/2006/main" count="827" uniqueCount="85">
  <si>
    <t>MATRICULE</t>
  </si>
  <si>
    <t>NOM ET PRENOM</t>
  </si>
  <si>
    <t>ASSOCIATION</t>
  </si>
  <si>
    <t>ASELBY</t>
  </si>
  <si>
    <t>ANNEE</t>
  </si>
  <si>
    <t>BANQUE</t>
  </si>
  <si>
    <t>ESPECES</t>
  </si>
  <si>
    <t>ECHEC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</si>
  <si>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</si>
  <si>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</si>
  <si>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</si>
  <si>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</si>
  <si>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</si>
  <si>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</si>
  <si>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</si>
  <si>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</si>
  <si>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</si>
  <si>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</si>
  <si>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</si>
  <si>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</si>
  <si>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</si>
  <si>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</si>
  <si>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</si>
  <si>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</si>
  <si>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</si>
  <si>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</si>
  <si>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</si>
  <si>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AS201633</t>
  </si>
  <si>
    <t>AS201653</t>
  </si>
  <si>
    <t>AS201638</t>
  </si>
  <si>
    <t>AS201641</t>
  </si>
  <si>
    <t>AS201646</t>
  </si>
  <si>
    <t>AS201647</t>
  </si>
  <si>
    <t>TOTAUX</t>
  </si>
  <si>
    <t>MONTANT ENGAGEMENT</t>
  </si>
  <si>
    <t>HITORIQUE ESPECES</t>
  </si>
  <si>
    <t>HISTORIQUE BANQUE</t>
  </si>
  <si>
    <t>HITORIQUE TONTINE</t>
  </si>
  <si>
    <t>ENTREE</t>
  </si>
  <si>
    <t>SORTIE</t>
  </si>
  <si>
    <t>SOLDE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</si>
  <si>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</si>
  <si>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</si>
  <si>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</si>
  <si>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</si>
  <si>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</si>
  <si>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</si>
  <si>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</si>
  <si>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</si>
  <si>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</si>
  <si>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</si>
  <si>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</si>
  <si>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</si>
  <si>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</si>
  <si>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</si>
  <si>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</si>
  <si>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</si>
  <si>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</si>
  <si>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</si>
  <si>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</si>
  <si>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</si>
  <si>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HISTORIQUE BANCAIRE</t>
  </si>
  <si>
    <t>VERIFICATION</t>
  </si>
  <si>
    <t>AS201648</t>
  </si>
  <si>
    <t>AGIO</t>
  </si>
  <si>
    <t>AS201643</t>
  </si>
  <si>
    <t>AS201656</t>
  </si>
  <si>
    <t>AS201657</t>
  </si>
  <si>
    <t>AS201658</t>
  </si>
  <si>
    <t>AS201601</t>
  </si>
  <si>
    <t>MOIS DE JANVIER</t>
  </si>
  <si>
    <t>MOIS DE FEVRIER</t>
  </si>
  <si>
    <t>MOIS DE MARS</t>
  </si>
  <si>
    <t>MOIS DEAVRIL</t>
  </si>
  <si>
    <t>MOIS DE MAI</t>
  </si>
  <si>
    <t>MOIS DE JUIN</t>
  </si>
  <si>
    <t>MOIS DE JUILLET</t>
  </si>
  <si>
    <t>MOIS DE AOUT</t>
  </si>
  <si>
    <t>MOIS DE SEPTEMBRE</t>
  </si>
  <si>
    <t>MOIS DE OCTOBRE</t>
  </si>
  <si>
    <t>MOIS DE NOVEMBRE</t>
  </si>
  <si>
    <t>MOIS DE DECEMBRE</t>
  </si>
  <si>
    <t>SYNTHESE</t>
  </si>
  <si>
    <t>VALIDATION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</si>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</sst>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4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sz val="14"/>
      <color rgb="FF0070C0"/>
      <name val="Britannic Bold"/>
      <family val="2"/>
    </font>
    <font>
      <sz val="14"/>
      <color rgb="FFC00000"/>
      <name val="Britannic 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 applyAlignment="1">
      <alignment horizontal="center"/>
    </xf>
    <xf numFmtId="3" fontId="5" fillId="0" borderId="0" xfId="0" applyNumberFormat="1" applyFont="1"/>
    <xf numFmtId="3" fontId="6" fillId="0" borderId="0" xfId="0" applyNumberFormat="1" applyFont="1"/>
    <xf numFmtId="0" fontId="8" fillId="0" borderId="0" xfId="0" applyFont="1"/>
    <xf numFmtId="165" fontId="9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4" xfId="0" applyFont="1" applyBorder="1"/>
    <xf numFmtId="0" fontId="1" fillId="0" borderId="5" xfId="0" applyFont="1" applyBorder="1"/>
    <xf numFmtId="3" fontId="5" fillId="0" borderId="5" xfId="0" applyNumberFormat="1" applyFont="1" applyBorder="1"/>
    <xf numFmtId="3" fontId="11" fillId="0" borderId="5" xfId="0" applyNumberFormat="1" applyFont="1" applyBorder="1"/>
    <xf numFmtId="3" fontId="10" fillId="0" borderId="5" xfId="0" applyNumberFormat="1" applyFont="1" applyBorder="1"/>
    <xf numFmtId="164" fontId="4" fillId="0" borderId="5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1" fillId="0" borderId="3" xfId="0" applyFont="1" applyFill="1" applyBorder="1" applyAlignment="1">
      <alignment horizontal="center" wrapText="1"/>
    </xf>
    <xf numFmtId="0" fontId="14" fillId="0" borderId="0" xfId="0" applyFont="1"/>
    <xf numFmtId="164" fontId="4" fillId="0" borderId="10" xfId="0" applyNumberFormat="1" applyFont="1" applyFill="1" applyBorder="1"/>
    <xf numFmtId="3" fontId="0" fillId="0" borderId="0" xfId="0" applyNumberFormat="1"/>
    <xf numFmtId="3" fontId="5" fillId="0" borderId="11" xfId="0" applyNumberFormat="1" applyFont="1" applyBorder="1"/>
    <xf numFmtId="0" fontId="1" fillId="0" borderId="2" xfId="0" applyFont="1" applyFill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0" fillId="0" borderId="9" xfId="0" applyBorder="1"/>
    <xf numFmtId="3" fontId="6" fillId="0" borderId="5" xfId="0" applyNumberFormat="1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MONTVER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VERST"/>
    </sheetNames>
    <sheetDataSet>
      <sheetData sheetId="0">
        <row r="5">
          <cell r="A5" t="str">
            <v>MATRICULE</v>
          </cell>
          <cell r="B5" t="str">
            <v>NOM ET PRENOM</v>
          </cell>
          <cell r="C5" t="str">
            <v>HISTORIQUE BANQUE</v>
          </cell>
          <cell r="D5" t="str">
            <v>HITORIQUE ESPECES</v>
          </cell>
          <cell r="E5" t="str">
            <v>HITORIQUE TONTINE</v>
          </cell>
          <cell r="F5" t="str">
            <v>MONTANT ENGAGEMENT</v>
          </cell>
        </row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D8">
            <v>118000</v>
          </cell>
          <cell r="F8">
            <v>233000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290000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D26">
            <v>40000</v>
          </cell>
          <cell r="F26">
            <v>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D35">
            <v>40000</v>
          </cell>
          <cell r="F35">
            <v>80000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3820000</v>
          </cell>
          <cell r="D38">
            <v>198000</v>
          </cell>
          <cell r="E38">
            <v>0</v>
          </cell>
          <cell r="F38">
            <v>4018000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I5" sqref="I5"/>
    </sheetView>
  </sheetViews>
  <sheetFormatPr baseColWidth="10" defaultColWidth="11"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E7" sqref="E7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33" t="s">
        <v>41</v>
      </c>
      <c r="D1" s="34"/>
      <c r="E1" s="34"/>
      <c r="H1" s="33" t="s">
        <v>60</v>
      </c>
      <c r="I1" s="34"/>
      <c r="J1" s="34"/>
    </row>
    <row r="2" spans="1:10" ht="15.75" x14ac:dyDescent="0.25">
      <c r="A2" s="6" t="s">
        <v>4</v>
      </c>
      <c r="B2" s="6"/>
      <c r="C2" s="35">
        <v>2021</v>
      </c>
      <c r="D2" s="34"/>
      <c r="E2" s="34"/>
      <c r="H2" s="35">
        <v>2021</v>
      </c>
      <c r="I2" s="34"/>
      <c r="J2" s="34"/>
    </row>
    <row r="3" spans="1:10" ht="15.75" x14ac:dyDescent="0.25">
      <c r="A3" s="6"/>
      <c r="B3" s="6"/>
      <c r="C3" s="6"/>
      <c r="D3" s="6"/>
      <c r="E3" s="6"/>
    </row>
    <row r="4" spans="1:10" ht="15.75" x14ac:dyDescent="0.25">
      <c r="A4" s="6" t="s">
        <v>42</v>
      </c>
      <c r="B4" s="6" t="s">
        <v>43</v>
      </c>
      <c r="C4" s="6" t="s">
        <v>44</v>
      </c>
      <c r="D4" s="6" t="s">
        <v>38</v>
      </c>
      <c r="E4" s="6" t="s">
        <v>40</v>
      </c>
      <c r="G4" s="6" t="s">
        <v>59</v>
      </c>
      <c r="H4" s="6" t="s">
        <v>38</v>
      </c>
      <c r="I4" s="6" t="s">
        <v>39</v>
      </c>
      <c r="J4" s="6" t="s">
        <v>40</v>
      </c>
    </row>
    <row r="5" spans="1:10" ht="18" x14ac:dyDescent="0.25">
      <c r="A5" s="6" t="s">
        <v>45</v>
      </c>
      <c r="E5" s="7">
        <f>14283661-6017000</f>
        <v>8266661</v>
      </c>
    </row>
    <row r="6" spans="1:10" ht="18" x14ac:dyDescent="0.25">
      <c r="A6" s="6" t="s">
        <v>46</v>
      </c>
      <c r="C6" s="5" t="e">
        <f>#REF!</f>
        <v>#REF!</v>
      </c>
      <c r="D6" s="4" t="e">
        <f>#REF!</f>
        <v>#REF!</v>
      </c>
      <c r="E6" s="7" t="e">
        <f>IF(D6=0,0,E5+D6-C6)</f>
        <v>#REF!</v>
      </c>
    </row>
    <row r="7" spans="1:10" ht="18" x14ac:dyDescent="0.25">
      <c r="A7" s="6" t="s">
        <v>47</v>
      </c>
      <c r="C7" s="5" t="e">
        <f>#REF!</f>
        <v>#REF!</v>
      </c>
      <c r="D7" s="4" t="e">
        <f>#REF!</f>
        <v>#REF!</v>
      </c>
      <c r="E7" s="7" t="e">
        <f>IF(D7=0,0,E6+D7-C7)</f>
        <v>#REF!</v>
      </c>
      <c r="G7" s="7"/>
    </row>
    <row r="8" spans="1:10" ht="18" x14ac:dyDescent="0.25">
      <c r="A8" s="6" t="s">
        <v>48</v>
      </c>
      <c r="C8" s="5" t="e">
        <f>#REF!</f>
        <v>#REF!</v>
      </c>
      <c r="D8" s="4" t="e">
        <f>#REF!</f>
        <v>#REF!</v>
      </c>
      <c r="E8" s="7" t="e">
        <f t="shared" ref="E8:E17" si="0">IF(D8=0,0,E7+D8-C8)</f>
        <v>#REF!</v>
      </c>
    </row>
    <row r="9" spans="1:10" ht="18" x14ac:dyDescent="0.25">
      <c r="A9" s="6" t="s">
        <v>49</v>
      </c>
      <c r="C9" s="5" t="e">
        <f>#REF!</f>
        <v>#REF!</v>
      </c>
      <c r="D9" s="4" t="e">
        <f>#REF!</f>
        <v>#REF!</v>
      </c>
      <c r="E9" s="7" t="e">
        <f t="shared" si="0"/>
        <v>#REF!</v>
      </c>
    </row>
    <row r="10" spans="1:10" ht="18" x14ac:dyDescent="0.25">
      <c r="A10" s="6" t="s">
        <v>50</v>
      </c>
      <c r="C10" s="5" t="e">
        <f>#REF!</f>
        <v>#REF!</v>
      </c>
      <c r="D10" s="4" t="e">
        <f>#REF!</f>
        <v>#REF!</v>
      </c>
      <c r="E10" s="7" t="e">
        <f t="shared" si="0"/>
        <v>#REF!</v>
      </c>
    </row>
    <row r="11" spans="1:10" ht="18" x14ac:dyDescent="0.25">
      <c r="A11" s="6" t="s">
        <v>51</v>
      </c>
      <c r="C11" s="5" t="e">
        <f>#REF!</f>
        <v>#REF!</v>
      </c>
      <c r="D11" s="4" t="e">
        <f>#REF!</f>
        <v>#REF!</v>
      </c>
      <c r="E11" s="7" t="e">
        <f t="shared" si="0"/>
        <v>#REF!</v>
      </c>
    </row>
    <row r="12" spans="1:10" ht="18" x14ac:dyDescent="0.25">
      <c r="A12" s="6" t="s">
        <v>52</v>
      </c>
      <c r="C12" s="5" t="e">
        <f>#REF!</f>
        <v>#REF!</v>
      </c>
      <c r="D12" s="4" t="e">
        <f>#REF!</f>
        <v>#REF!</v>
      </c>
      <c r="E12" s="7" t="e">
        <f t="shared" si="0"/>
        <v>#REF!</v>
      </c>
    </row>
    <row r="13" spans="1:10" ht="18" x14ac:dyDescent="0.25">
      <c r="A13" s="6" t="s">
        <v>53</v>
      </c>
      <c r="C13" s="5" t="e">
        <f>#REF!</f>
        <v>#REF!</v>
      </c>
      <c r="D13" s="4" t="e">
        <f>#REF!</f>
        <v>#REF!</v>
      </c>
      <c r="E13" s="7" t="e">
        <f t="shared" si="0"/>
        <v>#REF!</v>
      </c>
    </row>
    <row r="14" spans="1:10" ht="18" x14ac:dyDescent="0.25">
      <c r="A14" s="6" t="s">
        <v>54</v>
      </c>
      <c r="C14" s="5" t="e">
        <f>#REF!</f>
        <v>#REF!</v>
      </c>
      <c r="D14" s="4" t="e">
        <f>#REF!</f>
        <v>#REF!</v>
      </c>
      <c r="E14" s="7" t="e">
        <f t="shared" si="0"/>
        <v>#REF!</v>
      </c>
    </row>
    <row r="15" spans="1:10" ht="18" x14ac:dyDescent="0.25">
      <c r="A15" s="6" t="s">
        <v>55</v>
      </c>
      <c r="C15" s="5" t="e">
        <f>#REF!</f>
        <v>#REF!</v>
      </c>
      <c r="D15" s="4" t="e">
        <f>#REF!</f>
        <v>#REF!</v>
      </c>
      <c r="E15" s="7" t="e">
        <f t="shared" si="0"/>
        <v>#REF!</v>
      </c>
    </row>
    <row r="16" spans="1:10" ht="18" x14ac:dyDescent="0.25">
      <c r="A16" s="6" t="s">
        <v>56</v>
      </c>
      <c r="C16" s="5" t="e">
        <f>#REF!</f>
        <v>#REF!</v>
      </c>
      <c r="D16" s="4" t="e">
        <f>#REF!</f>
        <v>#REF!</v>
      </c>
      <c r="E16" s="7" t="e">
        <f t="shared" si="0"/>
        <v>#REF!</v>
      </c>
    </row>
    <row r="17" spans="1:5" ht="18" x14ac:dyDescent="0.25">
      <c r="A17" s="6" t="s">
        <v>57</v>
      </c>
      <c r="C17" s="5" t="e">
        <f>#REF!</f>
        <v>#REF!</v>
      </c>
      <c r="D17" s="4" t="e">
        <f>#REF!</f>
        <v>#REF!</v>
      </c>
      <c r="E17" s="7" t="e">
        <f t="shared" si="0"/>
        <v>#REF!</v>
      </c>
    </row>
    <row r="19" spans="1:5" x14ac:dyDescent="0.25">
      <c r="A19" t="s">
        <v>58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15" activePane="bottomRight" state="frozen"/>
      <selection pane="topRight" activeCell="E1" sqref="E1"/>
      <selection pane="bottomLeft" activeCell="A6" sqref="A6"/>
      <selection pane="bottomRight" activeCell="A18" sqref="A18:XFD1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ht="21" x14ac:dyDescent="0.35">
      <c r="A1" s="1" t="s">
        <v>2</v>
      </c>
      <c r="B1" s="1" t="s">
        <v>3</v>
      </c>
      <c r="C1" s="25" t="s">
        <v>70</v>
      </c>
    </row>
    <row r="2" spans="1:8" x14ac:dyDescent="0.25">
      <c r="A2" s="1" t="s">
        <v>4</v>
      </c>
      <c r="B2" s="1">
        <v>2023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6" t="s">
        <v>61</v>
      </c>
      <c r="C4" s="34"/>
      <c r="D4" s="34"/>
      <c r="E4" s="34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</row>
    <row r="6" spans="1:8" ht="18" x14ac:dyDescent="0.25">
      <c r="A6" s="11" t="s">
        <v>63</v>
      </c>
      <c r="B6" s="12" t="str">
        <f>VLOOKUP(A6,[5]LISTADHERENT!A$5:H$39,3,0)</f>
        <v>ASELBY</v>
      </c>
      <c r="C6" s="13">
        <v>175000</v>
      </c>
      <c r="D6" s="14"/>
      <c r="E6" s="15"/>
      <c r="F6" s="16">
        <f>SUM(C6:E6)</f>
        <v>175000</v>
      </c>
      <c r="G6" s="16"/>
      <c r="H6" s="19"/>
    </row>
    <row r="7" spans="1:8" ht="18" x14ac:dyDescent="0.25">
      <c r="A7" s="11" t="s">
        <v>69</v>
      </c>
      <c r="B7" s="12" t="str">
        <f>VLOOKUP(A7,[5]LISTADHERENT!A$5:H$39,3,0)</f>
        <v>BAKOP ACHILLE</v>
      </c>
      <c r="C7" s="13"/>
      <c r="D7" s="14">
        <v>104000</v>
      </c>
      <c r="E7" s="15"/>
      <c r="F7" s="16">
        <f t="shared" ref="F7:F36" si="0">SUM(C7:E7)</f>
        <v>104000</v>
      </c>
      <c r="G7" s="16"/>
      <c r="H7" s="19"/>
    </row>
    <row r="8" spans="1:8" ht="18" x14ac:dyDescent="0.25">
      <c r="A8" s="11" t="s">
        <v>8</v>
      </c>
      <c r="B8" s="12" t="str">
        <f>VLOOKUP(A8,[5]LISTADHERENT!A$5:H$39,3,0)</f>
        <v>BOUTCHOUANG WILLIAM</v>
      </c>
      <c r="C8" s="13">
        <v>105000</v>
      </c>
      <c r="D8" s="14">
        <v>10000</v>
      </c>
      <c r="E8" s="15"/>
      <c r="F8" s="16">
        <f t="shared" si="0"/>
        <v>115000</v>
      </c>
      <c r="G8" s="16">
        <v>40000</v>
      </c>
      <c r="H8" s="19"/>
    </row>
    <row r="9" spans="1:8" ht="18" x14ac:dyDescent="0.25">
      <c r="A9" s="11" t="s">
        <v>9</v>
      </c>
      <c r="B9" s="12" t="str">
        <f>VLOOKUP(A9,[5]LISTADHERENT!A$5:H$39,3,0)</f>
        <v xml:space="preserve">DJOMO JEAN PAUL </v>
      </c>
      <c r="C9" s="13">
        <v>160000</v>
      </c>
      <c r="D9" s="14"/>
      <c r="E9" s="15"/>
      <c r="F9" s="16">
        <f t="shared" si="0"/>
        <v>160000</v>
      </c>
      <c r="G9" s="16">
        <v>115000</v>
      </c>
      <c r="H9" s="19"/>
    </row>
    <row r="10" spans="1:8" ht="18" x14ac:dyDescent="0.25">
      <c r="A10" s="11" t="s">
        <v>10</v>
      </c>
      <c r="B10" s="12" t="str">
        <f>VLOOKUP(A10,[5]LISTADHERENT!A$5:H$39,3,0)</f>
        <v>DJOMOU TCHAPDA</v>
      </c>
      <c r="C10" s="13">
        <v>40000</v>
      </c>
      <c r="D10" s="14"/>
      <c r="E10" s="15"/>
      <c r="F10" s="16">
        <f t="shared" si="0"/>
        <v>40000</v>
      </c>
      <c r="G10" s="16">
        <v>250000</v>
      </c>
      <c r="H10" s="19"/>
    </row>
    <row r="11" spans="1:8" ht="18" x14ac:dyDescent="0.25">
      <c r="A11" s="11" t="s">
        <v>11</v>
      </c>
      <c r="B11" s="12" t="str">
        <f>VLOOKUP(A11,[5]LISTADHERENT!A$5:H$39,3,0)</f>
        <v>DJOUKWE NANGUEN GUY BLAISE</v>
      </c>
      <c r="C11" s="13">
        <v>115000</v>
      </c>
      <c r="D11" s="14"/>
      <c r="E11" s="15"/>
      <c r="F11" s="16">
        <f t="shared" si="0"/>
        <v>115000</v>
      </c>
      <c r="G11" s="16">
        <v>115000</v>
      </c>
      <c r="H11" s="19"/>
    </row>
    <row r="12" spans="1:8" ht="18" x14ac:dyDescent="0.25">
      <c r="A12" s="11" t="s">
        <v>12</v>
      </c>
      <c r="B12" s="12" t="str">
        <f>VLOOKUP(A12,[5]LISTADHERENT!A$5:H$39,3,0)</f>
        <v>DJUOMBESSY ANTOINE</v>
      </c>
      <c r="C12" s="13">
        <v>320000</v>
      </c>
      <c r="D12" s="14"/>
      <c r="E12" s="15"/>
      <c r="F12" s="16">
        <f t="shared" si="0"/>
        <v>320000</v>
      </c>
      <c r="G12" s="16">
        <v>280000</v>
      </c>
      <c r="H12" s="19"/>
    </row>
    <row r="13" spans="1:8" ht="18" x14ac:dyDescent="0.25">
      <c r="A13" s="11" t="s">
        <v>13</v>
      </c>
      <c r="B13" s="12" t="str">
        <f>VLOOKUP(A13,[5]LISTADHERENT!A$5:H$39,3,0)</f>
        <v>DOMOU FABIEN</v>
      </c>
      <c r="C13" s="13">
        <v>40000</v>
      </c>
      <c r="D13" s="14"/>
      <c r="E13" s="15"/>
      <c r="F13" s="16">
        <f t="shared" si="0"/>
        <v>40000</v>
      </c>
      <c r="G13" s="16">
        <v>115000</v>
      </c>
      <c r="H13" s="19"/>
    </row>
    <row r="14" spans="1:8" ht="18" x14ac:dyDescent="0.25">
      <c r="A14" s="11" t="s">
        <v>14</v>
      </c>
      <c r="B14" s="12" t="str">
        <f>VLOOKUP(A14,[5]LISTADHERENT!A$5:H$39,3,0)</f>
        <v>DONHOU DAVID</v>
      </c>
      <c r="C14" s="13">
        <v>40000</v>
      </c>
      <c r="D14" s="14"/>
      <c r="E14" s="15"/>
      <c r="F14" s="16">
        <f t="shared" si="0"/>
        <v>40000</v>
      </c>
      <c r="G14" s="16">
        <v>140000</v>
      </c>
      <c r="H14" s="19"/>
    </row>
    <row r="15" spans="1:8" ht="18" x14ac:dyDescent="0.25">
      <c r="A15" s="11" t="s">
        <v>15</v>
      </c>
      <c r="B15" s="12" t="str">
        <f>VLOOKUP(A15,[5]LISTADHERENT!A$5:H$39,3,0)</f>
        <v>HENGUE PAUL OMER</v>
      </c>
      <c r="C15" s="13">
        <v>115000</v>
      </c>
      <c r="D15" s="14"/>
      <c r="E15" s="15"/>
      <c r="F15" s="16">
        <f t="shared" si="0"/>
        <v>115000</v>
      </c>
      <c r="G15" s="16">
        <v>105000</v>
      </c>
      <c r="H15" s="19"/>
    </row>
    <row r="16" spans="1:8" ht="18" x14ac:dyDescent="0.25">
      <c r="A16" s="11" t="s">
        <v>16</v>
      </c>
      <c r="B16" s="12" t="str">
        <f>VLOOKUP(A16,[5]LISTADHERENT!A$5:H$39,3,0)</f>
        <v>HOTCHO BENJAMIN</v>
      </c>
      <c r="C16" s="13">
        <v>250000</v>
      </c>
      <c r="D16" s="14"/>
      <c r="E16" s="15"/>
      <c r="F16" s="16">
        <f t="shared" si="0"/>
        <v>250000</v>
      </c>
      <c r="G16" s="16">
        <v>320000</v>
      </c>
      <c r="H16" s="19"/>
    </row>
    <row r="17" spans="1:8" ht="18" x14ac:dyDescent="0.25">
      <c r="A17" s="11" t="s">
        <v>17</v>
      </c>
      <c r="B17" s="12" t="str">
        <f>VLOOKUP(A17,[5]LISTADHERENT!A$5:H$39,3,0)</f>
        <v>KOUAMOU MOISE</v>
      </c>
      <c r="C17" s="13">
        <v>140000</v>
      </c>
      <c r="D17" s="14"/>
      <c r="E17" s="15"/>
      <c r="F17" s="16">
        <f t="shared" si="0"/>
        <v>140000</v>
      </c>
      <c r="G17" s="16">
        <v>290000</v>
      </c>
      <c r="H17" s="19"/>
    </row>
    <row r="18" spans="1:8" ht="18" x14ac:dyDescent="0.25">
      <c r="A18" s="11" t="s">
        <v>18</v>
      </c>
      <c r="B18" s="12" t="str">
        <f>VLOOKUP(A18,[5]LISTADHERENT!A$5:H$39,3,0)</f>
        <v>KOUATCHO MESSACK</v>
      </c>
      <c r="C18" s="13">
        <f>260000-80000</f>
        <v>180000</v>
      </c>
      <c r="D18" s="14">
        <v>35000</v>
      </c>
      <c r="E18" s="15"/>
      <c r="F18" s="16">
        <f t="shared" si="0"/>
        <v>215000</v>
      </c>
      <c r="G18" s="16">
        <v>250000</v>
      </c>
      <c r="H18" s="19"/>
    </row>
    <row r="19" spans="1:8" ht="18" x14ac:dyDescent="0.25">
      <c r="A19" s="11" t="s">
        <v>19</v>
      </c>
      <c r="B19" s="12" t="str">
        <f>VLOOKUP(A19,[5]LISTADHERENT!A$5:H$39,3,0)</f>
        <v>LOWE JEAN</v>
      </c>
      <c r="C19" s="13">
        <v>40000</v>
      </c>
      <c r="D19" s="14"/>
      <c r="E19" s="15"/>
      <c r="F19" s="16">
        <f t="shared" si="0"/>
        <v>40000</v>
      </c>
      <c r="G19" s="16">
        <v>40000</v>
      </c>
      <c r="H19" s="19"/>
    </row>
    <row r="20" spans="1:8" ht="18" x14ac:dyDescent="0.25">
      <c r="A20" s="11" t="s">
        <v>20</v>
      </c>
      <c r="B20" s="12" t="str">
        <f>VLOOKUP(A20,[5]LISTADHERENT!A$5:H$39,3,0)</f>
        <v>MBOGNING TUGMA GUY</v>
      </c>
      <c r="C20" s="13">
        <v>215000</v>
      </c>
      <c r="D20" s="14"/>
      <c r="E20" s="15"/>
      <c r="F20" s="16">
        <f t="shared" si="0"/>
        <v>215000</v>
      </c>
      <c r="G20" s="16">
        <v>215000</v>
      </c>
      <c r="H20" s="19"/>
    </row>
    <row r="21" spans="1:8" ht="18" x14ac:dyDescent="0.25">
      <c r="A21" s="11" t="s">
        <v>21</v>
      </c>
      <c r="B21" s="12" t="str">
        <f>VLOOKUP(A21,[5]LISTADHERENT!A$5:H$39,3,0)</f>
        <v>NANGUEN MARTIN</v>
      </c>
      <c r="C21" s="13">
        <v>40000</v>
      </c>
      <c r="D21" s="14"/>
      <c r="E21" s="15"/>
      <c r="F21" s="16">
        <f t="shared" si="0"/>
        <v>40000</v>
      </c>
      <c r="G21" s="16">
        <v>160000</v>
      </c>
      <c r="H21" s="19"/>
    </row>
    <row r="22" spans="1:8" ht="18" x14ac:dyDescent="0.25">
      <c r="A22" s="11" t="s">
        <v>22</v>
      </c>
      <c r="B22" s="12" t="str">
        <f>VLOOKUP(A22,[5]LISTADHERENT!A$5:H$39,3,0)</f>
        <v>NANKAM APPOLINAIRE</v>
      </c>
      <c r="C22" s="13">
        <v>115000</v>
      </c>
      <c r="D22" s="14"/>
      <c r="E22" s="15"/>
      <c r="F22" s="16">
        <f t="shared" si="0"/>
        <v>115000</v>
      </c>
      <c r="G22" s="16">
        <v>115000</v>
      </c>
      <c r="H22" s="19"/>
    </row>
    <row r="23" spans="1:8" ht="18" x14ac:dyDescent="0.25">
      <c r="A23" s="11" t="s">
        <v>23</v>
      </c>
      <c r="B23" s="12" t="str">
        <f>VLOOKUP(A23,[5]LISTADHERENT!A$5:H$39,3,0)</f>
        <v>NDJOMO ETIENNE</v>
      </c>
      <c r="C23" s="13">
        <v>250000</v>
      </c>
      <c r="D23" s="14"/>
      <c r="E23" s="15"/>
      <c r="F23" s="16">
        <f t="shared" si="0"/>
        <v>250000</v>
      </c>
      <c r="G23" s="16">
        <v>40000</v>
      </c>
      <c r="H23" s="19"/>
    </row>
    <row r="24" spans="1:8" ht="18" x14ac:dyDescent="0.25">
      <c r="A24" s="11" t="s">
        <v>24</v>
      </c>
      <c r="B24" s="12" t="str">
        <f>VLOOKUP(A24,[5]LISTADHERENT!A$5:H$39,3,0)</f>
        <v>NGONDIEP CLAUDE</v>
      </c>
      <c r="C24" s="13">
        <v>210000</v>
      </c>
      <c r="D24" s="14">
        <v>5000</v>
      </c>
      <c r="E24" s="15"/>
      <c r="F24" s="16">
        <f t="shared" si="0"/>
        <v>215000</v>
      </c>
      <c r="G24" s="16">
        <v>115000</v>
      </c>
      <c r="H24" s="19"/>
    </row>
    <row r="25" spans="1:8" ht="18" x14ac:dyDescent="0.25">
      <c r="A25" s="11" t="s">
        <v>25</v>
      </c>
      <c r="B25" s="12" t="str">
        <f>VLOOKUP(A25,[5]LISTADHERENT!A$5:H$39,3,0)</f>
        <v>NGUIEMEGNI MATHIEU BLAISE</v>
      </c>
      <c r="C25" s="13">
        <v>280000</v>
      </c>
      <c r="D25" s="14">
        <v>10000</v>
      </c>
      <c r="E25" s="15"/>
      <c r="F25" s="16">
        <f t="shared" si="0"/>
        <v>290000</v>
      </c>
      <c r="G25" s="16"/>
      <c r="H25" s="19"/>
    </row>
    <row r="26" spans="1:8" ht="18" x14ac:dyDescent="0.25">
      <c r="A26" s="11" t="s">
        <v>26</v>
      </c>
      <c r="B26" s="12" t="str">
        <f>VLOOKUP(A26,[5]LISTADHERENT!A$5:H$39,3,0)</f>
        <v>NKAMGANG JUSTIN DEJOLIE</v>
      </c>
      <c r="C26" s="13"/>
      <c r="D26" s="14">
        <v>40000</v>
      </c>
      <c r="E26" s="15"/>
      <c r="F26" s="16">
        <f t="shared" si="0"/>
        <v>40000</v>
      </c>
      <c r="G26" s="16"/>
      <c r="H26" s="19"/>
    </row>
    <row r="27" spans="1:8" ht="18" x14ac:dyDescent="0.25">
      <c r="A27" s="11" t="s">
        <v>66</v>
      </c>
      <c r="B27" s="12" t="str">
        <f>VLOOKUP(A27,[5]LISTADHERENT!A$5:H$39,3,0)</f>
        <v>NOUBE ETIENNE</v>
      </c>
      <c r="C27" s="13"/>
      <c r="D27" s="14">
        <v>65000</v>
      </c>
      <c r="E27" s="15"/>
      <c r="F27" s="16">
        <f t="shared" si="0"/>
        <v>65000</v>
      </c>
      <c r="G27" s="16"/>
      <c r="H27" s="19"/>
    </row>
    <row r="28" spans="1:8" ht="18" x14ac:dyDescent="0.25">
      <c r="A28" s="11" t="s">
        <v>27</v>
      </c>
      <c r="B28" s="12" t="str">
        <f>VLOOKUP(A28,[5]LISTADHERENT!A$5:H$39,3,0)</f>
        <v>PATEGO NJOSSU GUSTAVE</v>
      </c>
      <c r="C28" s="13">
        <v>115000</v>
      </c>
      <c r="D28" s="14"/>
      <c r="E28" s="15"/>
      <c r="F28" s="16">
        <f t="shared" si="0"/>
        <v>115000</v>
      </c>
      <c r="G28" s="16"/>
      <c r="H28" s="19"/>
    </row>
    <row r="29" spans="1:8" ht="18" x14ac:dyDescent="0.25">
      <c r="A29" s="11" t="s">
        <v>67</v>
      </c>
      <c r="B29" s="12" t="str">
        <f>VLOOKUP(A29,[5]LISTADHERENT!A$5:H$39,3,0)</f>
        <v>SEUMO POLYCARPE</v>
      </c>
      <c r="C29" s="13"/>
      <c r="D29" s="14">
        <v>65000</v>
      </c>
      <c r="E29" s="15"/>
      <c r="F29" s="16">
        <f t="shared" si="0"/>
        <v>65000</v>
      </c>
      <c r="G29" s="16"/>
      <c r="H29" s="19"/>
    </row>
    <row r="30" spans="1:8" ht="18" x14ac:dyDescent="0.25">
      <c r="A30" s="11" t="s">
        <v>28</v>
      </c>
      <c r="B30" s="12" t="str">
        <f>VLOOKUP(A30,[5]LISTADHERENT!A$5:H$39,3,0)</f>
        <v>SIME BRICE</v>
      </c>
      <c r="C30" s="13"/>
      <c r="D30" s="14">
        <v>115000</v>
      </c>
      <c r="E30" s="15"/>
      <c r="F30" s="16">
        <f t="shared" si="0"/>
        <v>115000</v>
      </c>
      <c r="G30" s="16"/>
      <c r="H30" s="19"/>
    </row>
    <row r="31" spans="1:8" ht="18" x14ac:dyDescent="0.25">
      <c r="A31" s="11" t="s">
        <v>29</v>
      </c>
      <c r="B31" s="12" t="str">
        <f>VLOOKUP(A31,[5]LISTADHERENT!A$5:H$39,3,0)</f>
        <v>SIMO PIERRE</v>
      </c>
      <c r="C31" s="13">
        <v>250000</v>
      </c>
      <c r="D31" s="14"/>
      <c r="E31" s="15"/>
      <c r="F31" s="16">
        <f t="shared" si="0"/>
        <v>250000</v>
      </c>
      <c r="G31" s="16"/>
      <c r="H31" s="19"/>
    </row>
    <row r="32" spans="1:8" ht="18" x14ac:dyDescent="0.25">
      <c r="A32" s="11" t="s">
        <v>30</v>
      </c>
      <c r="B32" s="12" t="str">
        <f>VLOOKUP(A32,[5]LISTADHERENT!A$5:H$39,3,0)</f>
        <v>TCHOUAMOU MATHIEU</v>
      </c>
      <c r="C32" s="13">
        <v>115000</v>
      </c>
      <c r="D32" s="14"/>
      <c r="E32" s="15"/>
      <c r="F32" s="16">
        <f t="shared" si="0"/>
        <v>115000</v>
      </c>
      <c r="G32" s="16"/>
      <c r="H32" s="19"/>
    </row>
    <row r="33" spans="1:8" ht="18" x14ac:dyDescent="0.25">
      <c r="A33" s="11" t="s">
        <v>65</v>
      </c>
      <c r="B33" s="12" t="str">
        <f>VLOOKUP(A33,[5]LISTADHERENT!A$5:H$39,3,0)</f>
        <v>TCHOUTOU NANA CLAUDE</v>
      </c>
      <c r="C33" s="13"/>
      <c r="D33" s="14">
        <v>40000</v>
      </c>
      <c r="E33" s="15"/>
      <c r="F33" s="16">
        <f t="shared" si="0"/>
        <v>40000</v>
      </c>
      <c r="G33" s="16"/>
      <c r="H33" s="19"/>
    </row>
    <row r="34" spans="1:8" ht="18" x14ac:dyDescent="0.25">
      <c r="A34" s="11" t="s">
        <v>68</v>
      </c>
      <c r="B34" s="12" t="str">
        <f>VLOOKUP(A34,[5]LISTADHERENT!A$5:H$39,3,0)</f>
        <v>YANTCHOU GERVAIS</v>
      </c>
      <c r="C34" s="13"/>
      <c r="D34" s="14">
        <v>100000</v>
      </c>
      <c r="E34" s="15"/>
      <c r="F34" s="16">
        <f t="shared" si="0"/>
        <v>100000</v>
      </c>
      <c r="G34" s="16"/>
      <c r="H34" s="19"/>
    </row>
    <row r="35" spans="1:8" ht="18" x14ac:dyDescent="0.25">
      <c r="A35" s="11" t="s">
        <v>31</v>
      </c>
      <c r="B35" s="12" t="str">
        <f>VLOOKUP(A35,[5]LISTADHERENT!A$5:H$39,3,0)</f>
        <v>YEPMOU JEAN JACQUES</v>
      </c>
      <c r="C35" s="13">
        <v>40000</v>
      </c>
      <c r="D35" s="14"/>
      <c r="E35" s="15"/>
      <c r="F35" s="16">
        <f t="shared" si="0"/>
        <v>40000</v>
      </c>
      <c r="G35" s="16"/>
      <c r="H35" s="19"/>
    </row>
    <row r="36" spans="1:8" ht="18" x14ac:dyDescent="0.25">
      <c r="A36" s="11" t="s">
        <v>32</v>
      </c>
      <c r="B36" s="12" t="str">
        <f>VLOOKUP(A36,[5]LISTADHERENT!A$5:H$39,3,0)</f>
        <v>YOUMBI EMMANUEL</v>
      </c>
      <c r="C36" s="13">
        <v>290000</v>
      </c>
      <c r="D36" s="14"/>
      <c r="E36" s="15"/>
      <c r="F36" s="16">
        <f t="shared" si="0"/>
        <v>290000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33</v>
      </c>
      <c r="C38" s="22">
        <f>SUM(C7:C37)</f>
        <v>3465000</v>
      </c>
      <c r="D38" s="22">
        <f t="shared" ref="D38:G38" si="1">SUM(D7:D37)</f>
        <v>589000</v>
      </c>
      <c r="E38" s="22">
        <f t="shared" si="1"/>
        <v>0</v>
      </c>
      <c r="F38" s="22">
        <f t="shared" si="1"/>
        <v>4054000</v>
      </c>
      <c r="G38" s="22">
        <f t="shared" si="1"/>
        <v>2705000</v>
      </c>
      <c r="H38" s="23">
        <f t="shared" ref="H38" si="2">SUM(H8:H37)</f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zoomScale="106" zoomScaleNormal="106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C24" sqref="C24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ht="21" x14ac:dyDescent="0.35">
      <c r="A1" s="1" t="s">
        <v>2</v>
      </c>
      <c r="B1" s="1" t="s">
        <v>3</v>
      </c>
      <c r="C1" s="25" t="s">
        <v>71</v>
      </c>
    </row>
    <row r="2" spans="1:8" x14ac:dyDescent="0.25">
      <c r="A2" s="1" t="s">
        <v>4</v>
      </c>
      <c r="B2" s="1">
        <v>2023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6" t="s">
        <v>61</v>
      </c>
      <c r="C4" s="34"/>
      <c r="D4" s="34"/>
      <c r="E4" s="34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</row>
    <row r="6" spans="1:8" ht="18" x14ac:dyDescent="0.25">
      <c r="A6" s="11" t="s">
        <v>63</v>
      </c>
      <c r="B6" s="12" t="str">
        <f>VLOOKUP(A6,[5]LISTADHERENT!A$5:H$39,3,0)</f>
        <v>ASELBY</v>
      </c>
      <c r="C6" s="13">
        <v>175000</v>
      </c>
      <c r="D6" s="14"/>
      <c r="E6" s="15"/>
      <c r="F6" s="16">
        <f>SUM(C6:E6)</f>
        <v>175000</v>
      </c>
      <c r="G6" s="16"/>
      <c r="H6" s="19"/>
    </row>
    <row r="7" spans="1:8" ht="18" x14ac:dyDescent="0.25">
      <c r="A7" s="11" t="s">
        <v>69</v>
      </c>
      <c r="B7" s="12" t="str">
        <f>VLOOKUP(A7,[5]LISTADHERENT!A$5:H$39,3,0)</f>
        <v>BAKOP ACHILLE</v>
      </c>
      <c r="C7" s="13"/>
      <c r="D7" s="14">
        <v>40000</v>
      </c>
      <c r="E7" s="15"/>
      <c r="F7" s="16">
        <f t="shared" ref="F7:F36" si="0">SUM(C7:E7)</f>
        <v>40000</v>
      </c>
      <c r="G7" s="16"/>
      <c r="H7" s="19"/>
    </row>
    <row r="8" spans="1:8" ht="18" x14ac:dyDescent="0.25">
      <c r="A8" s="11" t="s">
        <v>8</v>
      </c>
      <c r="B8" s="12" t="str">
        <f>VLOOKUP(A8,[5]LISTADHERENT!A$5:H$39,3,0)</f>
        <v>BOUTCHOUANG WILLIAM</v>
      </c>
      <c r="C8" s="13">
        <f>115000+500000</f>
        <v>615000</v>
      </c>
      <c r="D8" s="14"/>
      <c r="E8" s="15"/>
      <c r="F8" s="16">
        <f t="shared" si="0"/>
        <v>615000</v>
      </c>
      <c r="G8" s="16"/>
      <c r="H8" s="19"/>
    </row>
    <row r="9" spans="1:8" ht="18" x14ac:dyDescent="0.25">
      <c r="A9" s="11" t="s">
        <v>9</v>
      </c>
      <c r="B9" s="12" t="str">
        <f>VLOOKUP(A9,[5]LISTADHERENT!A$5:H$39,3,0)</f>
        <v xml:space="preserve">DJOMO JEAN PAUL </v>
      </c>
      <c r="C9" s="13">
        <v>120000</v>
      </c>
      <c r="D9" s="14">
        <v>80000</v>
      </c>
      <c r="E9" s="15"/>
      <c r="F9" s="16">
        <f t="shared" si="0"/>
        <v>200000</v>
      </c>
      <c r="G9" s="16"/>
      <c r="H9" s="19"/>
    </row>
    <row r="10" spans="1:8" ht="18" x14ac:dyDescent="0.25">
      <c r="A10" s="11" t="s">
        <v>10</v>
      </c>
      <c r="B10" s="12" t="str">
        <f>VLOOKUP(A10,[5]LISTADHERENT!A$5:H$39,3,0)</f>
        <v>DJOMOU TCHAPDA</v>
      </c>
      <c r="C10" s="13">
        <f>40000+63000</f>
        <v>103000</v>
      </c>
      <c r="D10" s="14"/>
      <c r="E10" s="15"/>
      <c r="F10" s="16">
        <f t="shared" si="0"/>
        <v>103000</v>
      </c>
      <c r="G10" s="16"/>
      <c r="H10" s="19"/>
    </row>
    <row r="11" spans="1:8" ht="18" x14ac:dyDescent="0.25">
      <c r="A11" s="11" t="s">
        <v>11</v>
      </c>
      <c r="B11" s="12" t="str">
        <f>VLOOKUP(A11,[5]LISTADHERENT!A$5:H$39,3,0)</f>
        <v>DJOUKWE NANGUEN GUY BLAISE</v>
      </c>
      <c r="C11" s="13">
        <f>115000+62000</f>
        <v>177000</v>
      </c>
      <c r="D11" s="14"/>
      <c r="E11" s="15"/>
      <c r="F11" s="16">
        <f t="shared" si="0"/>
        <v>177000</v>
      </c>
      <c r="G11" s="16"/>
      <c r="H11" s="19"/>
    </row>
    <row r="12" spans="1:8" ht="18" x14ac:dyDescent="0.25">
      <c r="A12" s="11" t="s">
        <v>12</v>
      </c>
      <c r="B12" s="12" t="str">
        <f>VLOOKUP(A12,[5]LISTADHERENT!A$5:H$39,3,0)</f>
        <v>DJUOMBESSY ANTOINE</v>
      </c>
      <c r="C12" s="13">
        <v>320000</v>
      </c>
      <c r="D12" s="14"/>
      <c r="E12" s="15"/>
      <c r="F12" s="16">
        <f t="shared" si="0"/>
        <v>320000</v>
      </c>
      <c r="G12" s="16"/>
      <c r="H12" s="19"/>
    </row>
    <row r="13" spans="1:8" ht="18" x14ac:dyDescent="0.25">
      <c r="A13" s="11" t="s">
        <v>13</v>
      </c>
      <c r="B13" s="12" t="str">
        <f>VLOOKUP(A13,[5]LISTADHERENT!A$5:H$39,3,0)</f>
        <v>DOMOU FABIEN</v>
      </c>
      <c r="C13" s="13"/>
      <c r="D13" s="14">
        <v>40000</v>
      </c>
      <c r="E13" s="15"/>
      <c r="F13" s="16">
        <f t="shared" si="0"/>
        <v>40000</v>
      </c>
      <c r="G13" s="16"/>
      <c r="H13" s="19"/>
    </row>
    <row r="14" spans="1:8" ht="18" x14ac:dyDescent="0.25">
      <c r="A14" s="11" t="s">
        <v>14</v>
      </c>
      <c r="B14" s="12" t="str">
        <f>VLOOKUP(A14,[5]LISTADHERENT!A$5:H$39,3,0)</f>
        <v>DONHOU DAVID</v>
      </c>
      <c r="C14" s="13">
        <v>40000</v>
      </c>
      <c r="D14" s="14"/>
      <c r="E14" s="15"/>
      <c r="F14" s="16">
        <f t="shared" si="0"/>
        <v>40000</v>
      </c>
      <c r="G14" s="16"/>
      <c r="H14" s="19"/>
    </row>
    <row r="15" spans="1:8" ht="18" x14ac:dyDescent="0.25">
      <c r="A15" s="11" t="s">
        <v>15</v>
      </c>
      <c r="B15" s="12" t="str">
        <f>VLOOKUP(A15,[5]LISTADHERENT!A$5:H$39,3,0)</f>
        <v>HENGUE PAUL OMER</v>
      </c>
      <c r="C15" s="13">
        <v>115000</v>
      </c>
      <c r="D15" s="14"/>
      <c r="E15" s="15"/>
      <c r="F15" s="16">
        <f t="shared" si="0"/>
        <v>115000</v>
      </c>
      <c r="G15" s="16"/>
      <c r="H15" s="19"/>
    </row>
    <row r="16" spans="1:8" ht="18" x14ac:dyDescent="0.25">
      <c r="A16" s="11" t="s">
        <v>16</v>
      </c>
      <c r="B16" s="12" t="str">
        <f>VLOOKUP(A16,[5]LISTADHERENT!A$5:H$39,3,0)</f>
        <v>HOTCHO BENJAMIN</v>
      </c>
      <c r="C16" s="13">
        <v>250000</v>
      </c>
      <c r="D16" s="14"/>
      <c r="E16" s="15">
        <v>1000000</v>
      </c>
      <c r="F16" s="16">
        <f t="shared" si="0"/>
        <v>1250000</v>
      </c>
      <c r="G16" s="16"/>
      <c r="H16" s="19"/>
    </row>
    <row r="17" spans="1:8" ht="18" x14ac:dyDescent="0.25">
      <c r="A17" s="11" t="s">
        <v>17</v>
      </c>
      <c r="B17" s="12" t="str">
        <f>VLOOKUP(A17,[5]LISTADHERENT!A$5:H$39,3,0)</f>
        <v>KOUAMOU MOISE</v>
      </c>
      <c r="C17" s="13">
        <v>140000</v>
      </c>
      <c r="D17" s="14"/>
      <c r="E17" s="15"/>
      <c r="F17" s="16">
        <f t="shared" si="0"/>
        <v>140000</v>
      </c>
      <c r="G17" s="16"/>
      <c r="H17" s="19"/>
    </row>
    <row r="18" spans="1:8" ht="18" x14ac:dyDescent="0.25">
      <c r="A18" s="11" t="s">
        <v>18</v>
      </c>
      <c r="B18" s="12" t="str">
        <f>VLOOKUP(A18,[5]LISTADHERENT!A$5:H$39,3,0)</f>
        <v>KOUATCHO MESSACK</v>
      </c>
      <c r="C18" s="13">
        <v>51000</v>
      </c>
      <c r="D18" s="14">
        <f>100000+75000+40000+51000</f>
        <v>266000</v>
      </c>
      <c r="E18" s="15"/>
      <c r="F18" s="16">
        <f t="shared" si="0"/>
        <v>317000</v>
      </c>
      <c r="G18" s="16"/>
      <c r="H18" s="19"/>
    </row>
    <row r="19" spans="1:8" ht="18" x14ac:dyDescent="0.25">
      <c r="A19" s="11" t="s">
        <v>19</v>
      </c>
      <c r="B19" s="12" t="str">
        <f>VLOOKUP(A19,[5]LISTADHERENT!A$5:H$39,3,0)</f>
        <v>LOWE JEAN</v>
      </c>
      <c r="C19" s="13"/>
      <c r="D19" s="14">
        <v>40000</v>
      </c>
      <c r="E19" s="15"/>
      <c r="F19" s="16">
        <f t="shared" si="0"/>
        <v>40000</v>
      </c>
      <c r="G19" s="16"/>
      <c r="H19" s="19"/>
    </row>
    <row r="20" spans="1:8" ht="18" x14ac:dyDescent="0.25">
      <c r="A20" s="11" t="s">
        <v>20</v>
      </c>
      <c r="B20" s="12" t="str">
        <f>VLOOKUP(A20,[5]LISTADHERENT!A$5:H$39,3,0)</f>
        <v>MBOGNING TUGMA GUY</v>
      </c>
      <c r="C20" s="13">
        <v>107000</v>
      </c>
      <c r="D20" s="14">
        <v>215000</v>
      </c>
      <c r="E20" s="15"/>
      <c r="F20" s="16">
        <f t="shared" si="0"/>
        <v>322000</v>
      </c>
      <c r="G20" s="16"/>
      <c r="H20" s="19"/>
    </row>
    <row r="21" spans="1:8" ht="18" x14ac:dyDescent="0.25">
      <c r="A21" s="11" t="s">
        <v>21</v>
      </c>
      <c r="B21" s="12" t="str">
        <f>VLOOKUP(A21,[5]LISTADHERENT!A$5:H$39,3,0)</f>
        <v>NANGUEN MARTIN</v>
      </c>
      <c r="C21" s="13">
        <v>40000</v>
      </c>
      <c r="D21" s="14"/>
      <c r="E21" s="15"/>
      <c r="F21" s="16">
        <f t="shared" si="0"/>
        <v>40000</v>
      </c>
      <c r="G21" s="16"/>
      <c r="H21" s="19"/>
    </row>
    <row r="22" spans="1:8" ht="18" x14ac:dyDescent="0.25">
      <c r="A22" s="11" t="s">
        <v>22</v>
      </c>
      <c r="B22" s="12" t="str">
        <f>VLOOKUP(A22,[5]LISTADHERENT!A$5:H$39,3,0)</f>
        <v>NANKAM APPOLINAIRE</v>
      </c>
      <c r="C22" s="13">
        <v>115000</v>
      </c>
      <c r="D22" s="14"/>
      <c r="E22" s="15"/>
      <c r="F22" s="16">
        <f t="shared" si="0"/>
        <v>115000</v>
      </c>
      <c r="G22" s="16"/>
      <c r="H22" s="19"/>
    </row>
    <row r="23" spans="1:8" ht="18" x14ac:dyDescent="0.25">
      <c r="A23" s="11" t="s">
        <v>23</v>
      </c>
      <c r="B23" s="12" t="str">
        <f>VLOOKUP(A23,[5]LISTADHERENT!A$5:H$39,3,0)</f>
        <v>NDJOMO ETIENNE</v>
      </c>
      <c r="C23" s="13">
        <v>250000</v>
      </c>
      <c r="D23" s="14"/>
      <c r="E23" s="15"/>
      <c r="F23" s="16">
        <f t="shared" si="0"/>
        <v>250000</v>
      </c>
      <c r="G23" s="16"/>
      <c r="H23" s="19"/>
    </row>
    <row r="24" spans="1:8" ht="18" x14ac:dyDescent="0.25">
      <c r="A24" s="11" t="s">
        <v>24</v>
      </c>
      <c r="B24" s="12" t="str">
        <f>VLOOKUP(A24,[5]LISTADHERENT!A$5:H$39,3,0)</f>
        <v>NGONDIEP CLAUDE</v>
      </c>
      <c r="C24" s="13">
        <f>365000+134000+52000</f>
        <v>551000</v>
      </c>
      <c r="D24" s="14"/>
      <c r="E24" s="15"/>
      <c r="F24" s="16">
        <f t="shared" si="0"/>
        <v>551000</v>
      </c>
      <c r="G24" s="16"/>
      <c r="H24" s="19"/>
    </row>
    <row r="25" spans="1:8" ht="18" x14ac:dyDescent="0.25">
      <c r="A25" s="11" t="s">
        <v>25</v>
      </c>
      <c r="B25" s="12" t="str">
        <f>VLOOKUP(A25,[5]LISTADHERENT!A$5:H$39,3,0)</f>
        <v>NGUIEMEGNI MATHIEU BLAISE</v>
      </c>
      <c r="C25" s="13">
        <f>430000+21000</f>
        <v>451000</v>
      </c>
      <c r="D25" s="14">
        <v>50000</v>
      </c>
      <c r="E25" s="15">
        <v>70000</v>
      </c>
      <c r="F25" s="16">
        <f t="shared" si="0"/>
        <v>571000</v>
      </c>
      <c r="G25" s="16"/>
      <c r="H25" s="19"/>
    </row>
    <row r="26" spans="1:8" ht="18" x14ac:dyDescent="0.25">
      <c r="A26" s="11" t="s">
        <v>26</v>
      </c>
      <c r="B26" s="12" t="str">
        <f>VLOOKUP(A26,[5]LISTADHERENT!A$5:H$39,3,0)</f>
        <v>NKAMGANG JUSTIN DEJOLIE</v>
      </c>
      <c r="C26" s="13"/>
      <c r="D26" s="14">
        <f>40000+62000</f>
        <v>102000</v>
      </c>
      <c r="E26" s="15">
        <v>70000</v>
      </c>
      <c r="F26" s="16">
        <f t="shared" si="0"/>
        <v>172000</v>
      </c>
      <c r="G26" s="16"/>
      <c r="H26" s="19"/>
    </row>
    <row r="27" spans="1:8" ht="18" x14ac:dyDescent="0.25">
      <c r="A27" s="11" t="s">
        <v>66</v>
      </c>
      <c r="B27" s="12" t="str">
        <f>VLOOKUP(A27,[5]LISTADHERENT!A$5:H$39,3,0)</f>
        <v>NOUBE ETIENNE</v>
      </c>
      <c r="C27" s="13">
        <v>40000</v>
      </c>
      <c r="D27" s="14"/>
      <c r="E27" s="15"/>
      <c r="F27" s="16">
        <f>SUM(C27:E27)</f>
        <v>40000</v>
      </c>
      <c r="G27" s="16"/>
      <c r="H27" s="19"/>
    </row>
    <row r="28" spans="1:8" ht="18" x14ac:dyDescent="0.25">
      <c r="A28" s="11" t="s">
        <v>27</v>
      </c>
      <c r="B28" s="12" t="str">
        <f>VLOOKUP(A28,[5]LISTADHERENT!A$5:H$39,3,0)</f>
        <v>PATEGO NJOSSU GUSTAVE</v>
      </c>
      <c r="C28" s="13">
        <v>115000</v>
      </c>
      <c r="D28" s="14"/>
      <c r="E28" s="15"/>
      <c r="F28" s="16">
        <f t="shared" si="0"/>
        <v>115000</v>
      </c>
      <c r="G28" s="16"/>
      <c r="H28" s="19"/>
    </row>
    <row r="29" spans="1:8" ht="18" x14ac:dyDescent="0.25">
      <c r="A29" s="11" t="s">
        <v>67</v>
      </c>
      <c r="B29" s="12" t="str">
        <f>VLOOKUP(A29,[5]LISTADHERENT!A$5:H$39,3,0)</f>
        <v>SEUMO POLYCARPE</v>
      </c>
      <c r="C29" s="13">
        <v>40000</v>
      </c>
      <c r="D29" s="14"/>
      <c r="E29" s="15"/>
      <c r="F29" s="16">
        <f t="shared" si="0"/>
        <v>40000</v>
      </c>
      <c r="G29" s="16"/>
      <c r="H29" s="19"/>
    </row>
    <row r="30" spans="1:8" ht="18" x14ac:dyDescent="0.25">
      <c r="A30" s="11" t="s">
        <v>28</v>
      </c>
      <c r="B30" s="12" t="str">
        <f>VLOOKUP(A30,[5]LISTADHERENT!A$5:H$39,3,0)</f>
        <v>SIME BRICE</v>
      </c>
      <c r="C30" s="13">
        <v>115000</v>
      </c>
      <c r="D30" s="14"/>
      <c r="E30" s="15"/>
      <c r="F30" s="16">
        <f t="shared" si="0"/>
        <v>115000</v>
      </c>
      <c r="G30" s="16"/>
      <c r="H30" s="19"/>
    </row>
    <row r="31" spans="1:8" ht="18" x14ac:dyDescent="0.25">
      <c r="A31" s="11" t="s">
        <v>29</v>
      </c>
      <c r="B31" s="12" t="str">
        <f>VLOOKUP(A31,[5]LISTADHERENT!A$5:H$39,3,0)</f>
        <v>SIMO PIERRE</v>
      </c>
      <c r="C31" s="13"/>
      <c r="D31" s="14">
        <v>140000</v>
      </c>
      <c r="E31" s="15"/>
      <c r="F31" s="16">
        <f t="shared" si="0"/>
        <v>140000</v>
      </c>
      <c r="G31" s="16"/>
      <c r="H31" s="19"/>
    </row>
    <row r="32" spans="1:8" ht="18" x14ac:dyDescent="0.25">
      <c r="A32" s="11" t="s">
        <v>30</v>
      </c>
      <c r="B32" s="12" t="str">
        <f>VLOOKUP(A32,[5]LISTADHERENT!A$5:H$39,3,0)</f>
        <v>TCHOUAMOU MATHIEU</v>
      </c>
      <c r="C32" s="13">
        <v>115000</v>
      </c>
      <c r="D32" s="14"/>
      <c r="E32" s="15"/>
      <c r="F32" s="16">
        <f t="shared" si="0"/>
        <v>115000</v>
      </c>
      <c r="G32" s="16"/>
      <c r="H32" s="19"/>
    </row>
    <row r="33" spans="1:8" ht="18" x14ac:dyDescent="0.25">
      <c r="A33" s="11" t="s">
        <v>65</v>
      </c>
      <c r="B33" s="12" t="str">
        <f>VLOOKUP(A33,[5]LISTADHERENT!A$5:H$39,3,0)</f>
        <v>TCHOUTOU NANA CLAUDE</v>
      </c>
      <c r="C33" s="13"/>
      <c r="D33" s="14">
        <v>40000</v>
      </c>
      <c r="E33" s="15"/>
      <c r="F33" s="16">
        <f t="shared" si="0"/>
        <v>40000</v>
      </c>
      <c r="G33" s="16"/>
      <c r="H33" s="19"/>
    </row>
    <row r="34" spans="1:8" ht="18" x14ac:dyDescent="0.25">
      <c r="A34" s="11" t="s">
        <v>68</v>
      </c>
      <c r="B34" s="12" t="str">
        <f>VLOOKUP(A34,[5]LISTADHERENT!A$5:H$39,3,0)</f>
        <v>YANTCHOU GERVAIS</v>
      </c>
      <c r="C34" s="13">
        <v>100000</v>
      </c>
      <c r="D34" s="14"/>
      <c r="E34" s="15"/>
      <c r="F34" s="16">
        <f t="shared" si="0"/>
        <v>100000</v>
      </c>
      <c r="G34" s="16"/>
      <c r="H34" s="19"/>
    </row>
    <row r="35" spans="1:8" ht="18" x14ac:dyDescent="0.25">
      <c r="A35" s="11" t="s">
        <v>31</v>
      </c>
      <c r="B35" s="12" t="str">
        <f>VLOOKUP(A35,[5]LISTADHERENT!A$5:H$39,3,0)</f>
        <v>YEPMOU JEAN JACQUES</v>
      </c>
      <c r="C35" s="13">
        <v>40000</v>
      </c>
      <c r="D35" s="14"/>
      <c r="E35" s="15"/>
      <c r="F35" s="16">
        <f t="shared" si="0"/>
        <v>40000</v>
      </c>
      <c r="G35" s="16"/>
      <c r="H35" s="19"/>
    </row>
    <row r="36" spans="1:8" ht="18" x14ac:dyDescent="0.25">
      <c r="A36" s="11" t="s">
        <v>32</v>
      </c>
      <c r="B36" s="12" t="str">
        <f>VLOOKUP(A36,[5]LISTADHERENT!A$5:H$39,3,0)</f>
        <v>YOUMBI EMMANUEL</v>
      </c>
      <c r="C36" s="13">
        <v>290000</v>
      </c>
      <c r="D36" s="14"/>
      <c r="E36" s="15"/>
      <c r="F36" s="16">
        <f t="shared" si="0"/>
        <v>290000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33</v>
      </c>
      <c r="C38" s="22">
        <f>SUM(C7:C37)</f>
        <v>4300000</v>
      </c>
      <c r="D38" s="22">
        <f t="shared" ref="D38:G38" si="1">SUM(D7:D37)</f>
        <v>1013000</v>
      </c>
      <c r="E38" s="22">
        <f t="shared" si="1"/>
        <v>1140000</v>
      </c>
      <c r="F38" s="22">
        <f t="shared" si="1"/>
        <v>6453000</v>
      </c>
      <c r="G38" s="22">
        <f t="shared" si="1"/>
        <v>0</v>
      </c>
      <c r="H38" s="23">
        <f t="shared" ref="H38" si="2">SUM(H8:H37)</f>
        <v>0</v>
      </c>
    </row>
    <row r="39" spans="1:8" ht="15.75" thickTop="1" x14ac:dyDescent="0.25"/>
    <row r="40" spans="1:8" x14ac:dyDescent="0.25">
      <c r="E40">
        <v>422000</v>
      </c>
    </row>
    <row r="41" spans="1:8" x14ac:dyDescent="0.25">
      <c r="E41">
        <v>201000</v>
      </c>
    </row>
    <row r="42" spans="1:8" x14ac:dyDescent="0.25">
      <c r="E42">
        <v>390000</v>
      </c>
    </row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18" activePane="bottomRight" state="frozen"/>
      <selection pane="topRight" activeCell="E1" sqref="E1"/>
      <selection pane="bottomLeft" activeCell="A6" sqref="A6"/>
      <selection pane="bottomRight" activeCell="C20" sqref="C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ht="21" x14ac:dyDescent="0.35">
      <c r="A1" s="1" t="s">
        <v>2</v>
      </c>
      <c r="B1" s="1" t="s">
        <v>3</v>
      </c>
      <c r="C1" s="25" t="s">
        <v>72</v>
      </c>
    </row>
    <row r="2" spans="1:8" x14ac:dyDescent="0.25">
      <c r="A2" s="1" t="s">
        <v>4</v>
      </c>
      <c r="B2" s="1">
        <v>2023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6" t="s">
        <v>61</v>
      </c>
      <c r="C4" s="34"/>
      <c r="D4" s="34"/>
      <c r="E4" s="34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</row>
    <row r="6" spans="1:8" ht="18" x14ac:dyDescent="0.25">
      <c r="A6" s="11" t="s">
        <v>63</v>
      </c>
      <c r="B6" s="12" t="str">
        <f>VLOOKUP(A6,[5]LISTADHERENT!A$5:H$39,3,0)</f>
        <v>ASELBY</v>
      </c>
      <c r="C6" s="13">
        <v>175000</v>
      </c>
      <c r="D6" s="14"/>
      <c r="E6" s="15"/>
      <c r="F6" s="16">
        <f>SUM(C6:E6)</f>
        <v>175000</v>
      </c>
      <c r="G6" s="16"/>
      <c r="H6" s="19"/>
    </row>
    <row r="7" spans="1:8" ht="18" x14ac:dyDescent="0.25">
      <c r="A7" s="11" t="s">
        <v>69</v>
      </c>
      <c r="B7" s="12" t="str">
        <f>VLOOKUP(A7,[5]LISTADHERENT!A$5:H$39,3,0)</f>
        <v>BAKOP ACHILLE</v>
      </c>
      <c r="C7" s="13">
        <v>40000</v>
      </c>
      <c r="D7" s="14"/>
      <c r="E7" s="15"/>
      <c r="F7" s="16">
        <f t="shared" ref="F7:F36" si="0">SUM(C7:E7)</f>
        <v>40000</v>
      </c>
      <c r="G7" s="16">
        <v>40000</v>
      </c>
      <c r="H7" s="19"/>
    </row>
    <row r="8" spans="1:8" ht="18" x14ac:dyDescent="0.25">
      <c r="A8" s="11" t="s">
        <v>8</v>
      </c>
      <c r="B8" s="12" t="str">
        <f>VLOOKUP(A8,[5]LISTADHERENT!A$5:H$39,3,0)</f>
        <v>BOUTCHOUANG WILLIAM</v>
      </c>
      <c r="C8" s="13">
        <v>115000</v>
      </c>
      <c r="D8" s="14"/>
      <c r="E8" s="15"/>
      <c r="F8" s="16">
        <f t="shared" si="0"/>
        <v>115000</v>
      </c>
      <c r="G8" s="16">
        <v>20000</v>
      </c>
      <c r="H8" s="19"/>
    </row>
    <row r="9" spans="1:8" ht="18" x14ac:dyDescent="0.25">
      <c r="A9" s="11" t="s">
        <v>9</v>
      </c>
      <c r="B9" s="12" t="str">
        <f>VLOOKUP(A9,[5]LISTADHERENT!A$5:H$39,3,0)</f>
        <v xml:space="preserve">DJOMO JEAN PAUL </v>
      </c>
      <c r="C9" s="13">
        <v>140000</v>
      </c>
      <c r="D9" s="14"/>
      <c r="E9" s="15"/>
      <c r="F9" s="16">
        <f t="shared" si="0"/>
        <v>140000</v>
      </c>
      <c r="G9" s="16">
        <v>140000</v>
      </c>
      <c r="H9" s="19"/>
    </row>
    <row r="10" spans="1:8" ht="18" x14ac:dyDescent="0.25">
      <c r="A10" s="11" t="s">
        <v>10</v>
      </c>
      <c r="B10" s="12" t="str">
        <f>VLOOKUP(A10,[5]LISTADHERENT!A$5:H$39,3,0)</f>
        <v>DJOMOU TCHAPDA</v>
      </c>
      <c r="C10" s="13">
        <v>82000</v>
      </c>
      <c r="D10" s="14"/>
      <c r="E10" s="15"/>
      <c r="F10" s="16">
        <f t="shared" si="0"/>
        <v>82000</v>
      </c>
      <c r="G10" s="16">
        <v>115000</v>
      </c>
      <c r="H10" s="19"/>
    </row>
    <row r="11" spans="1:8" ht="18" x14ac:dyDescent="0.25">
      <c r="A11" s="11" t="s">
        <v>11</v>
      </c>
      <c r="B11" s="12" t="str">
        <f>VLOOKUP(A11,[5]LISTADHERENT!A$5:H$39,3,0)</f>
        <v>DJOUKWE NANGUEN GUY BLAISE</v>
      </c>
      <c r="C11" s="13">
        <v>20000</v>
      </c>
      <c r="D11" s="14"/>
      <c r="E11" s="15"/>
      <c r="F11" s="16">
        <f t="shared" si="0"/>
        <v>20000</v>
      </c>
      <c r="G11" s="16">
        <v>320000</v>
      </c>
      <c r="H11" s="19"/>
    </row>
    <row r="12" spans="1:8" ht="18" x14ac:dyDescent="0.25">
      <c r="A12" s="11" t="s">
        <v>12</v>
      </c>
      <c r="B12" s="12" t="str">
        <f>VLOOKUP(A12,[5]LISTADHERENT!A$5:H$39,3,0)</f>
        <v>DJUOMBESSY ANTOINE</v>
      </c>
      <c r="C12" s="13">
        <v>320000</v>
      </c>
      <c r="D12" s="14"/>
      <c r="E12" s="15"/>
      <c r="F12" s="16">
        <f t="shared" si="0"/>
        <v>320000</v>
      </c>
      <c r="G12" s="16">
        <v>140000</v>
      </c>
      <c r="H12" s="19"/>
    </row>
    <row r="13" spans="1:8" ht="18" x14ac:dyDescent="0.25">
      <c r="A13" s="11" t="s">
        <v>13</v>
      </c>
      <c r="B13" s="12" t="str">
        <f>VLOOKUP(A13,[5]LISTADHERENT!A$5:H$39,3,0)</f>
        <v>DOMOU FABIEN</v>
      </c>
      <c r="C13" s="13">
        <v>40000</v>
      </c>
      <c r="D13" s="14"/>
      <c r="E13" s="15"/>
      <c r="F13" s="16">
        <f t="shared" si="0"/>
        <v>40000</v>
      </c>
      <c r="G13" s="16">
        <v>115000</v>
      </c>
      <c r="H13" s="19"/>
    </row>
    <row r="14" spans="1:8" ht="18" x14ac:dyDescent="0.25">
      <c r="A14" s="11" t="s">
        <v>14</v>
      </c>
      <c r="B14" s="12" t="str">
        <f>VLOOKUP(A14,[5]LISTADHERENT!A$5:H$39,3,0)</f>
        <v>DONHOU DAVID</v>
      </c>
      <c r="C14" s="13">
        <v>40000</v>
      </c>
      <c r="D14" s="14"/>
      <c r="E14" s="15"/>
      <c r="F14" s="16">
        <f t="shared" si="0"/>
        <v>40000</v>
      </c>
      <c r="G14" s="16">
        <v>40000</v>
      </c>
      <c r="H14" s="19"/>
    </row>
    <row r="15" spans="1:8" ht="18" x14ac:dyDescent="0.25">
      <c r="A15" s="11" t="s">
        <v>15</v>
      </c>
      <c r="B15" s="12" t="str">
        <f>VLOOKUP(A15,[5]LISTADHERENT!A$5:H$39,3,0)</f>
        <v>HENGUE PAUL OMER</v>
      </c>
      <c r="C15" s="13">
        <v>115000</v>
      </c>
      <c r="D15" s="14"/>
      <c r="E15" s="15"/>
      <c r="F15" s="16">
        <f t="shared" si="0"/>
        <v>115000</v>
      </c>
      <c r="G15" s="16">
        <v>250000</v>
      </c>
      <c r="H15" s="19"/>
    </row>
    <row r="16" spans="1:8" ht="18" x14ac:dyDescent="0.25">
      <c r="A16" s="11" t="s">
        <v>16</v>
      </c>
      <c r="B16" s="12" t="str">
        <f>VLOOKUP(A16,[5]LISTADHERENT!A$5:H$39,3,0)</f>
        <v>HOTCHO BENJAMIN</v>
      </c>
      <c r="C16" s="13">
        <v>250000</v>
      </c>
      <c r="D16" s="14"/>
      <c r="E16" s="15"/>
      <c r="F16" s="16">
        <f t="shared" si="0"/>
        <v>250000</v>
      </c>
      <c r="G16" s="16">
        <v>100000</v>
      </c>
      <c r="H16" s="19"/>
    </row>
    <row r="17" spans="1:8" ht="18" x14ac:dyDescent="0.25">
      <c r="A17" s="11" t="s">
        <v>17</v>
      </c>
      <c r="B17" s="12" t="str">
        <f>VLOOKUP(A17,[5]LISTADHERENT!A$5:H$39,3,0)</f>
        <v>KOUAMOU MOISE</v>
      </c>
      <c r="C17" s="13">
        <v>140000</v>
      </c>
      <c r="D17" s="14"/>
      <c r="E17" s="15"/>
      <c r="F17" s="16">
        <f t="shared" si="0"/>
        <v>140000</v>
      </c>
      <c r="G17" s="16">
        <v>72500</v>
      </c>
      <c r="H17" s="19"/>
    </row>
    <row r="18" spans="1:8" ht="18" x14ac:dyDescent="0.25">
      <c r="A18" s="11" t="s">
        <v>18</v>
      </c>
      <c r="B18" s="12" t="str">
        <f>VLOOKUP(A18,[5]LISTADHERENT!A$5:H$39,3,0)</f>
        <v>KOUATCHO MESSACK</v>
      </c>
      <c r="C18" s="13">
        <f>267000-52000</f>
        <v>215000</v>
      </c>
      <c r="D18" s="14"/>
      <c r="E18" s="15"/>
      <c r="F18" s="16">
        <f t="shared" si="0"/>
        <v>215000</v>
      </c>
      <c r="G18" s="16">
        <v>250000</v>
      </c>
      <c r="H18" s="19"/>
    </row>
    <row r="19" spans="1:8" ht="18" x14ac:dyDescent="0.25">
      <c r="A19" s="11" t="s">
        <v>19</v>
      </c>
      <c r="B19" s="12" t="str">
        <f>VLOOKUP(A19,[5]LISTADHERENT!A$5:H$39,3,0)</f>
        <v>LOWE JEAN</v>
      </c>
      <c r="C19" s="13">
        <v>40000</v>
      </c>
      <c r="D19" s="14"/>
      <c r="E19" s="15"/>
      <c r="F19" s="16">
        <f t="shared" si="0"/>
        <v>40000</v>
      </c>
      <c r="G19" s="16">
        <v>267000</v>
      </c>
      <c r="H19" s="19"/>
    </row>
    <row r="20" spans="1:8" ht="18" x14ac:dyDescent="0.25">
      <c r="A20" s="11" t="s">
        <v>20</v>
      </c>
      <c r="B20" s="12" t="str">
        <f>VLOOKUP(A20,[5]LISTADHERENT!A$5:H$39,3,0)</f>
        <v>MBOGNING TUGMA GUY</v>
      </c>
      <c r="C20" s="13">
        <f>319000+32500+52000</f>
        <v>403500</v>
      </c>
      <c r="D20" s="14"/>
      <c r="E20" s="15"/>
      <c r="F20" s="16">
        <f t="shared" si="0"/>
        <v>403500</v>
      </c>
      <c r="G20" s="16">
        <v>319000</v>
      </c>
      <c r="H20" s="19"/>
    </row>
    <row r="21" spans="1:8" ht="18" x14ac:dyDescent="0.25">
      <c r="A21" s="11" t="s">
        <v>21</v>
      </c>
      <c r="B21" s="12" t="str">
        <f>VLOOKUP(A21,[5]LISTADHERENT!A$5:H$39,3,0)</f>
        <v>NANGUEN MARTIN</v>
      </c>
      <c r="C21" s="13">
        <v>40000</v>
      </c>
      <c r="D21" s="14"/>
      <c r="E21" s="15"/>
      <c r="F21" s="16">
        <f t="shared" si="0"/>
        <v>40000</v>
      </c>
      <c r="G21" s="16">
        <v>40000</v>
      </c>
      <c r="H21" s="19"/>
    </row>
    <row r="22" spans="1:8" ht="18" x14ac:dyDescent="0.25">
      <c r="A22" s="11" t="s">
        <v>22</v>
      </c>
      <c r="B22" s="12" t="str">
        <f>VLOOKUP(A22,[5]LISTADHERENT!A$5:H$39,3,0)</f>
        <v>NANKAM APPOLINAIRE</v>
      </c>
      <c r="C22" s="13">
        <v>115000</v>
      </c>
      <c r="D22" s="14"/>
      <c r="E22" s="15"/>
      <c r="F22" s="16">
        <f t="shared" si="0"/>
        <v>115000</v>
      </c>
      <c r="G22" s="16">
        <v>40000</v>
      </c>
      <c r="H22" s="19"/>
    </row>
    <row r="23" spans="1:8" ht="18" x14ac:dyDescent="0.25">
      <c r="A23" s="11" t="s">
        <v>23</v>
      </c>
      <c r="B23" s="12" t="str">
        <f>VLOOKUP(A23,[5]LISTADHERENT!A$5:H$39,3,0)</f>
        <v>NDJOMO ETIENNE</v>
      </c>
      <c r="C23" s="13">
        <v>250000</v>
      </c>
      <c r="D23" s="14"/>
      <c r="E23" s="15"/>
      <c r="F23" s="16">
        <f t="shared" si="0"/>
        <v>250000</v>
      </c>
      <c r="G23" s="16">
        <v>115000</v>
      </c>
      <c r="H23" s="19"/>
    </row>
    <row r="24" spans="1:8" ht="18" x14ac:dyDescent="0.25">
      <c r="A24" s="11" t="s">
        <v>24</v>
      </c>
      <c r="B24" s="12" t="str">
        <f>VLOOKUP(A24,[5]LISTADHERENT!A$5:H$39,3,0)</f>
        <v>NGONDIEP CLAUDE</v>
      </c>
      <c r="C24" s="13"/>
      <c r="D24" s="14">
        <v>215000</v>
      </c>
      <c r="E24" s="15"/>
      <c r="F24" s="16">
        <f t="shared" si="0"/>
        <v>215000</v>
      </c>
      <c r="G24" s="16">
        <v>290000</v>
      </c>
      <c r="H24" s="19"/>
    </row>
    <row r="25" spans="1:8" ht="18" x14ac:dyDescent="0.25">
      <c r="A25" s="11" t="s">
        <v>25</v>
      </c>
      <c r="B25" s="12" t="str">
        <f>VLOOKUP(A25,[5]LISTADHERENT!A$5:H$39,3,0)</f>
        <v>NGUIEMEGNI MATHIEU BLAISE</v>
      </c>
      <c r="C25" s="13">
        <v>280000</v>
      </c>
      <c r="D25" s="14"/>
      <c r="E25" s="15"/>
      <c r="F25" s="16">
        <f t="shared" si="0"/>
        <v>280000</v>
      </c>
      <c r="G25" s="16">
        <v>50000</v>
      </c>
      <c r="H25" s="19"/>
    </row>
    <row r="26" spans="1:8" ht="18" x14ac:dyDescent="0.25">
      <c r="A26" s="11" t="s">
        <v>26</v>
      </c>
      <c r="B26" s="12" t="str">
        <f>VLOOKUP(A26,[5]LISTADHERENT!A$5:H$39,3,0)</f>
        <v>NKAMGANG JUSTIN DEJOLIE</v>
      </c>
      <c r="C26" s="13"/>
      <c r="D26" s="14">
        <v>84000</v>
      </c>
      <c r="E26" s="15"/>
      <c r="F26" s="16">
        <f t="shared" si="0"/>
        <v>84000</v>
      </c>
      <c r="G26" s="16">
        <v>280000</v>
      </c>
      <c r="H26" s="19"/>
    </row>
    <row r="27" spans="1:8" ht="18" x14ac:dyDescent="0.25">
      <c r="A27" s="11" t="s">
        <v>66</v>
      </c>
      <c r="B27" s="12" t="str">
        <f>VLOOKUP(A27,[5]LISTADHERENT!A$5:H$39,3,0)</f>
        <v>NOUBE ETIENNE</v>
      </c>
      <c r="C27" s="13">
        <v>50000</v>
      </c>
      <c r="D27" s="14"/>
      <c r="E27" s="15"/>
      <c r="F27" s="16">
        <f>SUM(C27:E27)</f>
        <v>50000</v>
      </c>
      <c r="G27" s="26">
        <v>140000</v>
      </c>
      <c r="H27" s="19"/>
    </row>
    <row r="28" spans="1:8" ht="18" x14ac:dyDescent="0.25">
      <c r="A28" s="11" t="s">
        <v>27</v>
      </c>
      <c r="B28" s="12" t="str">
        <f>VLOOKUP(A28,[5]LISTADHERENT!A$5:H$39,3,0)</f>
        <v>PATEGO NJOSSU GUSTAVE</v>
      </c>
      <c r="C28" s="13">
        <v>115000</v>
      </c>
      <c r="D28" s="14"/>
      <c r="E28" s="15"/>
      <c r="F28" s="16">
        <f t="shared" si="0"/>
        <v>115000</v>
      </c>
      <c r="G28" s="16">
        <v>115000</v>
      </c>
      <c r="H28" s="19"/>
    </row>
    <row r="29" spans="1:8" ht="18" x14ac:dyDescent="0.25">
      <c r="A29" s="11" t="s">
        <v>67</v>
      </c>
      <c r="B29" s="12" t="str">
        <f>VLOOKUP(A29,[5]LISTADHERENT!A$5:H$39,3,0)</f>
        <v>SEUMO POLYCARPE</v>
      </c>
      <c r="C29" s="13">
        <f>72500-32500</f>
        <v>40000</v>
      </c>
      <c r="D29" s="14"/>
      <c r="E29" s="15"/>
      <c r="F29" s="16">
        <f t="shared" si="0"/>
        <v>40000</v>
      </c>
      <c r="G29" s="16">
        <v>115000</v>
      </c>
      <c r="H29" s="19"/>
    </row>
    <row r="30" spans="1:8" ht="18" x14ac:dyDescent="0.25">
      <c r="A30" s="11" t="s">
        <v>28</v>
      </c>
      <c r="B30" s="12" t="str">
        <f>VLOOKUP(A30,[5]LISTADHERENT!A$5:H$39,3,0)</f>
        <v>SIME BRICE</v>
      </c>
      <c r="C30" s="13">
        <v>115000</v>
      </c>
      <c r="D30" s="14"/>
      <c r="E30" s="15"/>
      <c r="F30" s="16">
        <f t="shared" si="0"/>
        <v>115000</v>
      </c>
      <c r="G30" s="16">
        <v>82000</v>
      </c>
      <c r="H30" s="19"/>
    </row>
    <row r="31" spans="1:8" ht="18" x14ac:dyDescent="0.25">
      <c r="A31" s="11" t="s">
        <v>29</v>
      </c>
      <c r="B31" s="12" t="str">
        <f>VLOOKUP(A31,[5]LISTADHERENT!A$5:H$39,3,0)</f>
        <v>SIMO PIERRE</v>
      </c>
      <c r="C31" s="13">
        <v>140000</v>
      </c>
      <c r="D31" s="14"/>
      <c r="E31" s="15"/>
      <c r="F31" s="16">
        <f t="shared" si="0"/>
        <v>140000</v>
      </c>
      <c r="G31" s="16">
        <v>40000</v>
      </c>
      <c r="H31" s="19"/>
    </row>
    <row r="32" spans="1:8" ht="18" x14ac:dyDescent="0.25">
      <c r="A32" s="11" t="s">
        <v>30</v>
      </c>
      <c r="B32" s="12" t="str">
        <f>VLOOKUP(A32,[5]LISTADHERENT!A$5:H$39,3,0)</f>
        <v>TCHOUAMOU MATHIEU</v>
      </c>
      <c r="C32" s="13">
        <v>115000</v>
      </c>
      <c r="D32" s="14"/>
      <c r="E32" s="15"/>
      <c r="F32" s="16">
        <f t="shared" si="0"/>
        <v>115000</v>
      </c>
      <c r="G32" s="16">
        <v>34000</v>
      </c>
      <c r="H32" s="19"/>
    </row>
    <row r="33" spans="1:8" ht="18" x14ac:dyDescent="0.25">
      <c r="A33" s="11" t="s">
        <v>65</v>
      </c>
      <c r="B33" s="12" t="str">
        <f>VLOOKUP(A33,[5]LISTADHERENT!A$5:H$39,3,0)</f>
        <v>TCHOUTOU NANA CLAUDE</v>
      </c>
      <c r="C33" s="13">
        <v>40000</v>
      </c>
      <c r="D33" s="14"/>
      <c r="E33" s="15"/>
      <c r="F33" s="16">
        <f t="shared" si="0"/>
        <v>40000</v>
      </c>
      <c r="G33" s="16">
        <v>115000</v>
      </c>
      <c r="H33" s="19"/>
    </row>
    <row r="34" spans="1:8" ht="18" x14ac:dyDescent="0.25">
      <c r="A34" s="11" t="s">
        <v>68</v>
      </c>
      <c r="B34" s="12" t="str">
        <f>VLOOKUP(A34,[5]LISTADHERENT!A$5:H$39,3,0)</f>
        <v>YANTCHOU GERVAIS</v>
      </c>
      <c r="C34" s="13">
        <v>100000</v>
      </c>
      <c r="D34" s="14"/>
      <c r="E34" s="15"/>
      <c r="F34" s="16">
        <f t="shared" si="0"/>
        <v>100000</v>
      </c>
      <c r="G34" s="16">
        <v>40000</v>
      </c>
      <c r="H34" s="19"/>
    </row>
    <row r="35" spans="1:8" ht="18" x14ac:dyDescent="0.25">
      <c r="A35" s="11" t="s">
        <v>31</v>
      </c>
      <c r="B35" s="12" t="str">
        <f>VLOOKUP(A35,[5]LISTADHERENT!A$5:H$39,3,0)</f>
        <v>YEPMOU JEAN JACQUES</v>
      </c>
      <c r="C35" s="13">
        <v>34000</v>
      </c>
      <c r="D35" s="14"/>
      <c r="E35" s="15"/>
      <c r="F35" s="16">
        <f t="shared" si="0"/>
        <v>34000</v>
      </c>
      <c r="G35" s="16"/>
      <c r="H35" s="19"/>
    </row>
    <row r="36" spans="1:8" ht="18" x14ac:dyDescent="0.25">
      <c r="A36" s="11" t="s">
        <v>32</v>
      </c>
      <c r="B36" s="12" t="str">
        <f>VLOOKUP(A36,[5]LISTADHERENT!A$5:H$39,3,0)</f>
        <v>YOUMBI EMMANUEL</v>
      </c>
      <c r="C36" s="13">
        <v>290000</v>
      </c>
      <c r="D36" s="14"/>
      <c r="E36" s="15"/>
      <c r="F36" s="16">
        <f t="shared" si="0"/>
        <v>290000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33</v>
      </c>
      <c r="C38" s="22">
        <f>SUM(C7:C37)</f>
        <v>3684500</v>
      </c>
      <c r="D38" s="22">
        <f t="shared" ref="D38:G38" si="1">SUM(D7:D37)</f>
        <v>299000</v>
      </c>
      <c r="E38" s="22">
        <f t="shared" si="1"/>
        <v>0</v>
      </c>
      <c r="F38" s="22">
        <f t="shared" si="1"/>
        <v>3983500</v>
      </c>
      <c r="G38" s="22">
        <f t="shared" si="1"/>
        <v>3684500</v>
      </c>
      <c r="H38" s="23">
        <f t="shared" ref="H38" si="2">SUM(H8:H37)</f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="106" zoomScaleNormal="106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C6" sqref="C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4.710937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ht="21" x14ac:dyDescent="0.35">
      <c r="A1" s="1" t="s">
        <v>2</v>
      </c>
      <c r="B1" s="1" t="s">
        <v>3</v>
      </c>
      <c r="C1" s="25" t="s">
        <v>73</v>
      </c>
    </row>
    <row r="2" spans="1:8" x14ac:dyDescent="0.25">
      <c r="A2" s="1" t="s">
        <v>4</v>
      </c>
      <c r="B2" s="1">
        <v>2023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6" t="s">
        <v>61</v>
      </c>
      <c r="C4" s="34"/>
      <c r="D4" s="34"/>
      <c r="E4" s="34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</row>
    <row r="6" spans="1:8" ht="18" x14ac:dyDescent="0.25">
      <c r="A6" s="11" t="s">
        <v>63</v>
      </c>
      <c r="B6" s="12" t="str">
        <f>VLOOKUP(A6,[5]LISTADHERENT!A$5:H$39,3,0)</f>
        <v>ASELBY</v>
      </c>
      <c r="C6" s="13">
        <v>175000</v>
      </c>
      <c r="D6" s="14"/>
      <c r="E6" s="15"/>
      <c r="F6" s="16">
        <f>SUM(C6:E6)</f>
        <v>175000</v>
      </c>
      <c r="G6" s="16"/>
      <c r="H6" s="19"/>
    </row>
    <row r="7" spans="1:8" ht="18" x14ac:dyDescent="0.25">
      <c r="A7" s="11" t="s">
        <v>69</v>
      </c>
      <c r="B7" s="12" t="str">
        <f>VLOOKUP(A7,[5]LISTADHERENT!A$5:H$39,3,0)</f>
        <v>BAKOP ACHILLE</v>
      </c>
      <c r="C7" s="13">
        <v>40000</v>
      </c>
      <c r="D7" s="14"/>
      <c r="E7" s="15"/>
      <c r="F7" s="16">
        <f t="shared" ref="F7:F36" si="0">SUM(C7:E7)</f>
        <v>40000</v>
      </c>
      <c r="G7" s="16">
        <v>115000</v>
      </c>
      <c r="H7" s="19"/>
    </row>
    <row r="8" spans="1:8" ht="18" x14ac:dyDescent="0.25">
      <c r="A8" s="11" t="s">
        <v>8</v>
      </c>
      <c r="B8" s="12" t="str">
        <f>VLOOKUP(A8,[5]LISTADHERENT!A$5:H$39,3,0)</f>
        <v>BOUTCHOUANG WILLIAM</v>
      </c>
      <c r="C8" s="13">
        <v>115000</v>
      </c>
      <c r="D8" s="14"/>
      <c r="E8" s="15"/>
      <c r="F8" s="16">
        <f t="shared" si="0"/>
        <v>115000</v>
      </c>
      <c r="G8" s="16">
        <v>115000</v>
      </c>
      <c r="H8" s="19"/>
    </row>
    <row r="9" spans="1:8" ht="18" x14ac:dyDescent="0.25">
      <c r="A9" s="11" t="s">
        <v>9</v>
      </c>
      <c r="B9" s="12" t="str">
        <f>VLOOKUP(A9,[5]LISTADHERENT!A$5:H$39,3,0)</f>
        <v xml:space="preserve">DJOMO JEAN PAUL </v>
      </c>
      <c r="C9" s="13">
        <v>145000</v>
      </c>
      <c r="D9" s="14"/>
      <c r="E9" s="15"/>
      <c r="F9" s="16">
        <f t="shared" si="0"/>
        <v>145000</v>
      </c>
      <c r="G9" s="16">
        <v>40000</v>
      </c>
      <c r="H9" s="19"/>
    </row>
    <row r="10" spans="1:8" ht="18" x14ac:dyDescent="0.25">
      <c r="A10" s="11" t="s">
        <v>10</v>
      </c>
      <c r="B10" s="12" t="str">
        <f>VLOOKUP(A10,[5]LISTADHERENT!A$5:H$39,3,0)</f>
        <v>DJOMOU TCHAPDA</v>
      </c>
      <c r="C10" s="13"/>
      <c r="D10" s="14">
        <v>43000</v>
      </c>
      <c r="E10" s="15"/>
      <c r="F10" s="16">
        <f t="shared" si="0"/>
        <v>43000</v>
      </c>
      <c r="G10" s="16">
        <v>115000</v>
      </c>
      <c r="H10" s="19"/>
    </row>
    <row r="11" spans="1:8" ht="18" x14ac:dyDescent="0.25">
      <c r="A11" s="11" t="s">
        <v>11</v>
      </c>
      <c r="B11" s="12" t="str">
        <f>VLOOKUP(A11,[5]LISTADHERENT!A$5:H$39,3,0)</f>
        <v>DJOUKWE NANGUEN GUY BLAISE</v>
      </c>
      <c r="C11" s="13">
        <v>115000</v>
      </c>
      <c r="D11" s="14"/>
      <c r="E11" s="15"/>
      <c r="F11" s="16">
        <f t="shared" si="0"/>
        <v>115000</v>
      </c>
      <c r="G11" s="16">
        <v>241000</v>
      </c>
      <c r="H11" s="19"/>
    </row>
    <row r="12" spans="1:8" ht="18" x14ac:dyDescent="0.25">
      <c r="A12" s="11" t="s">
        <v>12</v>
      </c>
      <c r="B12" s="12" t="str">
        <f>VLOOKUP(A12,[5]LISTADHERENT!A$5:H$39,3,0)</f>
        <v>DJUOMBESSY ANTOINE</v>
      </c>
      <c r="C12" s="13">
        <f>100000+220000</f>
        <v>320000</v>
      </c>
      <c r="D12" s="14"/>
      <c r="E12" s="15"/>
      <c r="F12" s="16">
        <f t="shared" si="0"/>
        <v>320000</v>
      </c>
      <c r="G12" s="16">
        <v>140000</v>
      </c>
      <c r="H12" s="19"/>
    </row>
    <row r="13" spans="1:8" ht="18" x14ac:dyDescent="0.25">
      <c r="A13" s="11" t="s">
        <v>13</v>
      </c>
      <c r="B13" s="12" t="str">
        <f>VLOOKUP(A13,[5]LISTADHERENT!A$5:H$39,3,0)</f>
        <v>DOMOU FABIEN</v>
      </c>
      <c r="C13" s="13">
        <v>40000</v>
      </c>
      <c r="D13" s="14"/>
      <c r="E13" s="15"/>
      <c r="F13" s="16">
        <f t="shared" si="0"/>
        <v>40000</v>
      </c>
      <c r="G13" s="16">
        <v>115000</v>
      </c>
      <c r="H13" s="19"/>
    </row>
    <row r="14" spans="1:8" ht="18" x14ac:dyDescent="0.25">
      <c r="A14" s="11" t="s">
        <v>14</v>
      </c>
      <c r="B14" s="12" t="str">
        <f>VLOOKUP(A14,[5]LISTADHERENT!A$5:H$39,3,0)</f>
        <v>DONHOU DAVID</v>
      </c>
      <c r="C14" s="13">
        <v>40000</v>
      </c>
      <c r="D14" s="14"/>
      <c r="E14" s="15"/>
      <c r="F14" s="16">
        <f t="shared" si="0"/>
        <v>40000</v>
      </c>
      <c r="G14" s="16">
        <v>50000</v>
      </c>
      <c r="H14" s="19"/>
    </row>
    <row r="15" spans="1:8" ht="18" x14ac:dyDescent="0.25">
      <c r="A15" s="11" t="s">
        <v>15</v>
      </c>
      <c r="B15" s="12" t="str">
        <f>VLOOKUP(A15,[5]LISTADHERENT!A$5:H$39,3,0)</f>
        <v>HENGUE PAUL OMER</v>
      </c>
      <c r="C15" s="13">
        <v>115000</v>
      </c>
      <c r="D15" s="14"/>
      <c r="E15" s="15"/>
      <c r="F15" s="16">
        <f t="shared" si="0"/>
        <v>115000</v>
      </c>
      <c r="G15" s="16">
        <v>516000</v>
      </c>
      <c r="H15" s="19"/>
    </row>
    <row r="16" spans="1:8" ht="18" x14ac:dyDescent="0.25">
      <c r="A16" s="11" t="s">
        <v>16</v>
      </c>
      <c r="B16" s="12" t="str">
        <f>VLOOKUP(A16,[5]LISTADHERENT!A$5:H$39,3,0)</f>
        <v>HOTCHO BENJAMIN</v>
      </c>
      <c r="C16" s="13">
        <f>351000+165000</f>
        <v>516000</v>
      </c>
      <c r="D16" s="14"/>
      <c r="E16" s="15"/>
      <c r="F16" s="16">
        <f t="shared" si="0"/>
        <v>516000</v>
      </c>
      <c r="G16" s="16">
        <v>160000</v>
      </c>
      <c r="H16" s="19"/>
    </row>
    <row r="17" spans="1:8" ht="18" x14ac:dyDescent="0.25">
      <c r="A17" s="11" t="s">
        <v>17</v>
      </c>
      <c r="B17" s="12" t="str">
        <f>VLOOKUP(A17,[5]LISTADHERENT!A$5:H$39,3,0)</f>
        <v>KOUAMOU MOISE</v>
      </c>
      <c r="C17" s="13">
        <v>241000</v>
      </c>
      <c r="D17" s="14"/>
      <c r="E17" s="15"/>
      <c r="F17" s="16">
        <f t="shared" si="0"/>
        <v>241000</v>
      </c>
      <c r="G17" s="16">
        <v>422000</v>
      </c>
      <c r="H17" s="19"/>
    </row>
    <row r="18" spans="1:8" ht="18" x14ac:dyDescent="0.25">
      <c r="A18" s="11" t="s">
        <v>18</v>
      </c>
      <c r="B18" s="12" t="str">
        <f>VLOOKUP(A18,[5]LISTADHERENT!A$5:H$39,3,0)</f>
        <v>KOUATCHO MESSACK</v>
      </c>
      <c r="C18" s="13">
        <f>419000</f>
        <v>419000</v>
      </c>
      <c r="D18" s="14"/>
      <c r="E18" s="15"/>
      <c r="F18" s="16">
        <f t="shared" si="0"/>
        <v>419000</v>
      </c>
      <c r="G18" s="16">
        <v>452000</v>
      </c>
      <c r="H18" s="19"/>
    </row>
    <row r="19" spans="1:8" ht="18" x14ac:dyDescent="0.25">
      <c r="A19" s="11" t="s">
        <v>19</v>
      </c>
      <c r="B19" s="12" t="str">
        <f>VLOOKUP(A19,[5]LISTADHERENT!A$5:H$39,3,0)</f>
        <v>LOWE JEAN</v>
      </c>
      <c r="C19" s="13">
        <v>40000</v>
      </c>
      <c r="D19" s="14"/>
      <c r="E19" s="15"/>
      <c r="F19" s="16">
        <f t="shared" si="0"/>
        <v>40000</v>
      </c>
      <c r="G19" s="16">
        <v>320000</v>
      </c>
      <c r="H19" s="19"/>
    </row>
    <row r="20" spans="1:8" ht="18" x14ac:dyDescent="0.25">
      <c r="A20" s="11" t="s">
        <v>20</v>
      </c>
      <c r="B20" s="12" t="str">
        <f>VLOOKUP(A20,[5]LISTADHERENT!A$5:H$39,3,0)</f>
        <v>MBOGNING TUGMA GUY</v>
      </c>
      <c r="C20" s="13">
        <f>220000+202000</f>
        <v>422000</v>
      </c>
      <c r="D20" s="14"/>
      <c r="E20" s="15"/>
      <c r="F20" s="16">
        <f t="shared" si="0"/>
        <v>422000</v>
      </c>
      <c r="G20" s="16">
        <v>115000</v>
      </c>
      <c r="H20" s="19"/>
    </row>
    <row r="21" spans="1:8" ht="18" x14ac:dyDescent="0.25">
      <c r="A21" s="11" t="s">
        <v>21</v>
      </c>
      <c r="B21" s="12" t="str">
        <f>VLOOKUP(A21,[5]LISTADHERENT!A$5:H$39,3,0)</f>
        <v>NANGUEN MARTIN</v>
      </c>
      <c r="C21" s="13">
        <v>40000</v>
      </c>
      <c r="D21" s="14"/>
      <c r="E21" s="15"/>
      <c r="F21" s="16">
        <f t="shared" si="0"/>
        <v>40000</v>
      </c>
      <c r="G21" s="16">
        <v>40000</v>
      </c>
      <c r="H21" s="19"/>
    </row>
    <row r="22" spans="1:8" ht="18" x14ac:dyDescent="0.25">
      <c r="A22" s="11" t="s">
        <v>22</v>
      </c>
      <c r="B22" s="12" t="str">
        <f>VLOOKUP(A22,[5]LISTADHERENT!A$5:H$39,3,0)</f>
        <v>NANKAM APPOLINAIRE</v>
      </c>
      <c r="C22" s="13">
        <v>115000</v>
      </c>
      <c r="D22" s="14"/>
      <c r="E22" s="15"/>
      <c r="F22" s="16">
        <f t="shared" si="0"/>
        <v>115000</v>
      </c>
      <c r="G22" s="16">
        <v>40000</v>
      </c>
      <c r="H22" s="19"/>
    </row>
    <row r="23" spans="1:8" ht="18" x14ac:dyDescent="0.25">
      <c r="A23" s="11" t="s">
        <v>23</v>
      </c>
      <c r="B23" s="12" t="str">
        <f>VLOOKUP(A23,[5]LISTADHERENT!A$5:H$39,3,0)</f>
        <v>NDJOMO ETIENNE</v>
      </c>
      <c r="C23" s="13">
        <f>250000+101000+101000</f>
        <v>452000</v>
      </c>
      <c r="D23" s="14"/>
      <c r="E23" s="15"/>
      <c r="F23" s="16">
        <f t="shared" si="0"/>
        <v>452000</v>
      </c>
      <c r="G23" s="16">
        <v>280000</v>
      </c>
      <c r="H23" s="19"/>
    </row>
    <row r="24" spans="1:8" ht="18" x14ac:dyDescent="0.25">
      <c r="A24" s="11" t="s">
        <v>24</v>
      </c>
      <c r="B24" s="12" t="str">
        <f>VLOOKUP(A24,[5]LISTADHERENT!A$5:H$39,3,0)</f>
        <v>NGONDIEP CLAUDE</v>
      </c>
      <c r="C24" s="13">
        <v>220000</v>
      </c>
      <c r="D24" s="14"/>
      <c r="E24" s="15"/>
      <c r="F24" s="16">
        <f t="shared" si="0"/>
        <v>220000</v>
      </c>
      <c r="G24" s="16">
        <v>145000</v>
      </c>
      <c r="H24" s="19"/>
    </row>
    <row r="25" spans="1:8" ht="18" x14ac:dyDescent="0.25">
      <c r="A25" s="11" t="s">
        <v>25</v>
      </c>
      <c r="B25" s="12" t="str">
        <f>VLOOKUP(A25,[5]LISTADHERENT!A$5:H$39,3,0)</f>
        <v>NGUIEMEGNI MATHIEU BLAISE</v>
      </c>
      <c r="C25" s="13">
        <v>280000</v>
      </c>
      <c r="D25" s="14"/>
      <c r="E25" s="15"/>
      <c r="F25" s="16">
        <f t="shared" si="0"/>
        <v>280000</v>
      </c>
      <c r="G25" s="16">
        <v>220000</v>
      </c>
      <c r="H25" s="19"/>
    </row>
    <row r="26" spans="1:8" ht="18" x14ac:dyDescent="0.25">
      <c r="A26" s="11" t="s">
        <v>26</v>
      </c>
      <c r="B26" s="12" t="str">
        <f>VLOOKUP(A26,[5]LISTADHERENT!A$5:H$39,3,0)</f>
        <v>NKAMGANG JUSTIN DEJOLIE</v>
      </c>
      <c r="C26" s="13"/>
      <c r="D26" s="14">
        <v>43000</v>
      </c>
      <c r="E26" s="15"/>
      <c r="F26" s="16">
        <f t="shared" si="0"/>
        <v>43000</v>
      </c>
      <c r="G26" s="16">
        <v>419000</v>
      </c>
      <c r="H26" s="19"/>
    </row>
    <row r="27" spans="1:8" ht="18" x14ac:dyDescent="0.25">
      <c r="A27" s="11" t="s">
        <v>66</v>
      </c>
      <c r="B27" s="12" t="str">
        <f>VLOOKUP(A27,[5]LISTADHERENT!A$5:H$39,3,0)</f>
        <v>NOUBE ETIENNE</v>
      </c>
      <c r="C27" s="13">
        <v>50000</v>
      </c>
      <c r="D27" s="14"/>
      <c r="E27" s="15"/>
      <c r="F27" s="16">
        <f>SUM(C27:E27)</f>
        <v>50000</v>
      </c>
      <c r="G27" s="16">
        <v>40000</v>
      </c>
      <c r="H27" s="19"/>
    </row>
    <row r="28" spans="1:8" ht="18" x14ac:dyDescent="0.25">
      <c r="A28" s="11" t="s">
        <v>27</v>
      </c>
      <c r="B28" s="12" t="str">
        <f>VLOOKUP(A28,[5]LISTADHERENT!A$5:H$39,3,0)</f>
        <v>PATEGO NJOSSU GUSTAVE</v>
      </c>
      <c r="C28" s="13">
        <v>115000</v>
      </c>
      <c r="D28" s="14"/>
      <c r="E28" s="15"/>
      <c r="F28" s="16">
        <f t="shared" si="0"/>
        <v>115000</v>
      </c>
      <c r="G28" s="16">
        <v>115000</v>
      </c>
      <c r="H28" s="19"/>
    </row>
    <row r="29" spans="1:8" ht="18" x14ac:dyDescent="0.25">
      <c r="A29" s="11" t="s">
        <v>67</v>
      </c>
      <c r="B29" s="12" t="str">
        <f>VLOOKUP(A29,[5]LISTADHERENT!A$5:H$39,3,0)</f>
        <v>SEUMO POLYCARPE</v>
      </c>
      <c r="C29" s="13">
        <v>160000</v>
      </c>
      <c r="D29" s="14"/>
      <c r="E29" s="15"/>
      <c r="F29" s="16">
        <f t="shared" si="0"/>
        <v>160000</v>
      </c>
      <c r="G29" s="16">
        <v>40000</v>
      </c>
      <c r="H29" s="19"/>
    </row>
    <row r="30" spans="1:8" ht="18" x14ac:dyDescent="0.25">
      <c r="A30" s="11" t="s">
        <v>28</v>
      </c>
      <c r="B30" s="12" t="str">
        <f>VLOOKUP(A30,[5]LISTADHERENT!A$5:H$39,3,0)</f>
        <v>SIME BRICE</v>
      </c>
      <c r="C30" s="13">
        <v>115000</v>
      </c>
      <c r="D30" s="14"/>
      <c r="E30" s="15"/>
      <c r="F30" s="16">
        <f t="shared" si="0"/>
        <v>115000</v>
      </c>
      <c r="G30" s="16">
        <v>290000</v>
      </c>
      <c r="H30" s="19"/>
    </row>
    <row r="31" spans="1:8" ht="18" x14ac:dyDescent="0.25">
      <c r="A31" s="11" t="s">
        <v>29</v>
      </c>
      <c r="B31" s="12" t="str">
        <f>VLOOKUP(A31,[5]LISTADHERENT!A$5:H$39,3,0)</f>
        <v>SIMO PIERRE</v>
      </c>
      <c r="C31" s="13">
        <v>140000</v>
      </c>
      <c r="D31" s="14"/>
      <c r="E31" s="15"/>
      <c r="F31" s="16">
        <f t="shared" si="0"/>
        <v>140000</v>
      </c>
      <c r="G31" s="16">
        <v>115000</v>
      </c>
      <c r="H31" s="19"/>
    </row>
    <row r="32" spans="1:8" ht="18" x14ac:dyDescent="0.25">
      <c r="A32" s="11" t="s">
        <v>30</v>
      </c>
      <c r="B32" s="12" t="str">
        <f>VLOOKUP(A32,[5]LISTADHERENT!A$5:H$39,3,0)</f>
        <v>TCHOUAMOU MATHIEU</v>
      </c>
      <c r="C32" s="13">
        <v>115000</v>
      </c>
      <c r="D32" s="14"/>
      <c r="E32" s="15"/>
      <c r="F32" s="16">
        <f t="shared" si="0"/>
        <v>115000</v>
      </c>
      <c r="G32" s="16"/>
      <c r="H32" s="19"/>
    </row>
    <row r="33" spans="1:8" ht="18" x14ac:dyDescent="0.25">
      <c r="A33" s="11" t="s">
        <v>65</v>
      </c>
      <c r="B33" s="12" t="str">
        <f>VLOOKUP(A33,[5]LISTADHERENT!A$5:H$39,3,0)</f>
        <v>TCHOUTOU NANA CLAUDE</v>
      </c>
      <c r="C33" s="13"/>
      <c r="D33" s="14">
        <v>43000</v>
      </c>
      <c r="E33" s="15"/>
      <c r="F33" s="16">
        <f t="shared" si="0"/>
        <v>43000</v>
      </c>
      <c r="G33" s="16"/>
      <c r="H33" s="19"/>
    </row>
    <row r="34" spans="1:8" ht="18" x14ac:dyDescent="0.25">
      <c r="A34" s="11" t="s">
        <v>68</v>
      </c>
      <c r="B34" s="12" t="str">
        <f>VLOOKUP(A34,[5]LISTADHERENT!A$5:H$39,3,0)</f>
        <v>YANTCHOU GERVAIS</v>
      </c>
      <c r="C34" s="13"/>
      <c r="D34" s="14">
        <v>100000</v>
      </c>
      <c r="E34" s="15"/>
      <c r="F34" s="16">
        <f t="shared" si="0"/>
        <v>100000</v>
      </c>
      <c r="G34" s="16"/>
      <c r="H34" s="19"/>
    </row>
    <row r="35" spans="1:8" ht="18" x14ac:dyDescent="0.25">
      <c r="A35" s="11" t="s">
        <v>31</v>
      </c>
      <c r="B35" s="12" t="str">
        <f>VLOOKUP(A35,[5]LISTADHERENT!A$5:H$39,3,0)</f>
        <v>YEPMOU JEAN JACQUES</v>
      </c>
      <c r="C35" s="13"/>
      <c r="D35" s="14"/>
      <c r="E35" s="15"/>
      <c r="F35" s="16">
        <f t="shared" si="0"/>
        <v>0</v>
      </c>
      <c r="G35" s="16"/>
      <c r="H35" s="19"/>
    </row>
    <row r="36" spans="1:8" ht="18" x14ac:dyDescent="0.25">
      <c r="A36" s="11" t="s">
        <v>32</v>
      </c>
      <c r="B36" s="12" t="str">
        <f>VLOOKUP(A36,[5]LISTADHERENT!A$5:H$39,3,0)</f>
        <v>YOUMBI EMMANUEL</v>
      </c>
      <c r="C36" s="13">
        <v>290000</v>
      </c>
      <c r="D36" s="14"/>
      <c r="E36" s="15"/>
      <c r="F36" s="16">
        <f t="shared" si="0"/>
        <v>290000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33</v>
      </c>
      <c r="C38" s="22">
        <f>SUM(C7:C37)</f>
        <v>4660000</v>
      </c>
      <c r="D38" s="22">
        <f t="shared" ref="D38:G38" si="1">SUM(D7:D37)</f>
        <v>229000</v>
      </c>
      <c r="E38" s="22">
        <f t="shared" si="1"/>
        <v>0</v>
      </c>
      <c r="F38" s="22">
        <f t="shared" si="1"/>
        <v>4889000</v>
      </c>
      <c r="G38" s="22">
        <f t="shared" si="1"/>
        <v>4660000</v>
      </c>
      <c r="H38" s="23">
        <f t="shared" ref="H38" si="2">SUM(H8:H37)</f>
        <v>0</v>
      </c>
    </row>
    <row r="39" spans="1:8" ht="15.75" thickTop="1" x14ac:dyDescent="0.25"/>
    <row r="41" spans="1:8" x14ac:dyDescent="0.25">
      <c r="G41" s="27">
        <f>+C38-G38</f>
        <v>0</v>
      </c>
    </row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C6" sqref="C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ht="21" x14ac:dyDescent="0.35">
      <c r="A1" s="1" t="s">
        <v>2</v>
      </c>
      <c r="B1" s="1" t="s">
        <v>3</v>
      </c>
      <c r="C1" s="25" t="s">
        <v>74</v>
      </c>
    </row>
    <row r="2" spans="1:8" x14ac:dyDescent="0.25">
      <c r="A2" s="1" t="s">
        <v>4</v>
      </c>
      <c r="B2" s="1">
        <v>2023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6" t="s">
        <v>61</v>
      </c>
      <c r="C4" s="34"/>
      <c r="D4" s="34"/>
      <c r="E4" s="34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</row>
    <row r="6" spans="1:8" ht="18" x14ac:dyDescent="0.25">
      <c r="A6" s="11" t="s">
        <v>63</v>
      </c>
      <c r="B6" s="12" t="str">
        <f>VLOOKUP(A6,[5]LISTADHERENT!A$5:H$39,3,0)</f>
        <v>ASELBY</v>
      </c>
      <c r="C6" s="13">
        <v>175000</v>
      </c>
      <c r="D6" s="14"/>
      <c r="E6" s="15"/>
      <c r="F6" s="16">
        <f>SUM(C6:E6)</f>
        <v>175000</v>
      </c>
      <c r="G6" s="16"/>
      <c r="H6" s="19"/>
    </row>
    <row r="7" spans="1:8" ht="18" x14ac:dyDescent="0.25">
      <c r="A7" s="11" t="s">
        <v>69</v>
      </c>
      <c r="B7" s="12" t="str">
        <f>VLOOKUP(A7,[5]LISTADHERENT!A$5:H$39,3,0)</f>
        <v>BAKOP ACHILLE</v>
      </c>
      <c r="C7" s="13">
        <v>40000</v>
      </c>
      <c r="D7" s="14"/>
      <c r="E7" s="15"/>
      <c r="F7" s="16">
        <f t="shared" ref="F7:F36" si="0">SUM(C7:E7)</f>
        <v>40000</v>
      </c>
      <c r="G7" s="16">
        <v>255000</v>
      </c>
      <c r="H7" s="19"/>
    </row>
    <row r="8" spans="1:8" ht="18" x14ac:dyDescent="0.25">
      <c r="A8" s="11" t="s">
        <v>8</v>
      </c>
      <c r="B8" s="12" t="str">
        <f>VLOOKUP(A8,[5]LISTADHERENT!A$5:H$39,3,0)</f>
        <v>BOUTCHOUANG WILLIAM</v>
      </c>
      <c r="C8" s="13">
        <v>115000</v>
      </c>
      <c r="D8" s="14"/>
      <c r="E8" s="15"/>
      <c r="F8" s="16">
        <f t="shared" si="0"/>
        <v>115000</v>
      </c>
      <c r="G8" s="16">
        <v>115000</v>
      </c>
      <c r="H8" s="19"/>
    </row>
    <row r="9" spans="1:8" ht="18" x14ac:dyDescent="0.25">
      <c r="A9" s="11" t="s">
        <v>9</v>
      </c>
      <c r="B9" s="12" t="str">
        <f>VLOOKUP(A9,[5]LISTADHERENT!A$5:H$39,3,0)</f>
        <v xml:space="preserve">DJOMO JEAN PAUL </v>
      </c>
      <c r="C9" s="13">
        <v>145000</v>
      </c>
      <c r="D9" s="14">
        <v>23000</v>
      </c>
      <c r="E9" s="15"/>
      <c r="F9" s="16">
        <f t="shared" si="0"/>
        <v>168000</v>
      </c>
      <c r="G9" s="16">
        <v>115000</v>
      </c>
      <c r="H9" s="19"/>
    </row>
    <row r="10" spans="1:8" ht="18" x14ac:dyDescent="0.25">
      <c r="A10" s="11" t="s">
        <v>10</v>
      </c>
      <c r="B10" s="12" t="str">
        <f>VLOOKUP(A10,[5]LISTADHERENT!A$5:H$39,3,0)</f>
        <v>DJOMOU TCHAPDA</v>
      </c>
      <c r="C10" s="13"/>
      <c r="D10" s="14">
        <v>105000</v>
      </c>
      <c r="E10" s="15"/>
      <c r="F10" s="16">
        <f t="shared" si="0"/>
        <v>105000</v>
      </c>
      <c r="G10" s="16">
        <v>40000</v>
      </c>
      <c r="H10" s="19"/>
    </row>
    <row r="11" spans="1:8" ht="18" x14ac:dyDescent="0.25">
      <c r="A11" s="11" t="s">
        <v>11</v>
      </c>
      <c r="B11" s="12" t="str">
        <f>VLOOKUP(A11,[5]LISTADHERENT!A$5:H$39,3,0)</f>
        <v>DJOUKWE NANGUEN GUY BLAISE</v>
      </c>
      <c r="C11" s="13">
        <f>115000+152000</f>
        <v>267000</v>
      </c>
      <c r="D11" s="14"/>
      <c r="E11" s="15"/>
      <c r="F11" s="16">
        <f t="shared" si="0"/>
        <v>267000</v>
      </c>
      <c r="G11" s="16">
        <v>140000</v>
      </c>
      <c r="H11" s="19"/>
    </row>
    <row r="12" spans="1:8" ht="18" x14ac:dyDescent="0.25">
      <c r="A12" s="11" t="s">
        <v>12</v>
      </c>
      <c r="B12" s="12" t="str">
        <f>VLOOKUP(A12,[5]LISTADHERENT!A$5:H$39,3,0)</f>
        <v>DJUOMBESSY ANTOINE</v>
      </c>
      <c r="C12" s="13">
        <v>420000</v>
      </c>
      <c r="D12" s="14"/>
      <c r="E12" s="15">
        <v>70000</v>
      </c>
      <c r="F12" s="16">
        <f t="shared" si="0"/>
        <v>490000</v>
      </c>
      <c r="G12" s="16">
        <v>380000</v>
      </c>
      <c r="H12" s="19"/>
    </row>
    <row r="13" spans="1:8" ht="18" x14ac:dyDescent="0.25">
      <c r="A13" s="11" t="s">
        <v>13</v>
      </c>
      <c r="B13" s="12" t="str">
        <f>VLOOKUP(A13,[5]LISTADHERENT!A$5:H$39,3,0)</f>
        <v>DOMOU FABIEN</v>
      </c>
      <c r="C13" s="13">
        <v>40000</v>
      </c>
      <c r="D13" s="14"/>
      <c r="E13" s="15"/>
      <c r="F13" s="16">
        <f t="shared" si="0"/>
        <v>40000</v>
      </c>
      <c r="G13" s="16">
        <v>560000</v>
      </c>
      <c r="H13" s="19"/>
    </row>
    <row r="14" spans="1:8" ht="18" x14ac:dyDescent="0.25">
      <c r="A14" s="11" t="s">
        <v>14</v>
      </c>
      <c r="B14" s="12" t="str">
        <f>VLOOKUP(A14,[5]LISTADHERENT!A$5:H$39,3,0)</f>
        <v>DONHOU DAVID</v>
      </c>
      <c r="C14" s="13">
        <v>40000</v>
      </c>
      <c r="D14" s="14"/>
      <c r="E14" s="15"/>
      <c r="F14" s="16">
        <f t="shared" si="0"/>
        <v>40000</v>
      </c>
      <c r="G14" s="16">
        <v>420000</v>
      </c>
      <c r="H14" s="19"/>
    </row>
    <row r="15" spans="1:8" ht="18" x14ac:dyDescent="0.25">
      <c r="A15" s="11" t="s">
        <v>15</v>
      </c>
      <c r="B15" s="12" t="str">
        <f>VLOOKUP(A15,[5]LISTADHERENT!A$5:H$39,3,0)</f>
        <v>HENGUE PAUL OMER</v>
      </c>
      <c r="C15" s="13"/>
      <c r="D15" s="14">
        <v>118000</v>
      </c>
      <c r="E15" s="15"/>
      <c r="F15" s="16">
        <f t="shared" si="0"/>
        <v>118000</v>
      </c>
      <c r="G15" s="16">
        <v>230000</v>
      </c>
      <c r="H15" s="19"/>
    </row>
    <row r="16" spans="1:8" ht="18" x14ac:dyDescent="0.25">
      <c r="A16" s="11" t="s">
        <v>16</v>
      </c>
      <c r="B16" s="12" t="str">
        <f>VLOOKUP(A16,[5]LISTADHERENT!A$5:H$39,3,0)</f>
        <v>HOTCHO BENJAMIN</v>
      </c>
      <c r="C16" s="13">
        <v>230000</v>
      </c>
      <c r="D16" s="14"/>
      <c r="E16" s="15">
        <v>70000</v>
      </c>
      <c r="F16" s="16">
        <f t="shared" si="0"/>
        <v>300000</v>
      </c>
      <c r="G16" s="16">
        <v>115000</v>
      </c>
      <c r="H16" s="19"/>
    </row>
    <row r="17" spans="1:8" ht="18" x14ac:dyDescent="0.25">
      <c r="A17" s="11" t="s">
        <v>17</v>
      </c>
      <c r="B17" s="12" t="str">
        <f>VLOOKUP(A17,[5]LISTADHERENT!A$5:H$39,3,0)</f>
        <v>KOUAMOU MOISE</v>
      </c>
      <c r="C17" s="13">
        <v>140000</v>
      </c>
      <c r="D17" s="14"/>
      <c r="E17" s="15"/>
      <c r="F17" s="16">
        <f t="shared" si="0"/>
        <v>140000</v>
      </c>
      <c r="G17" s="16">
        <v>140000</v>
      </c>
      <c r="H17" s="19"/>
    </row>
    <row r="18" spans="1:8" ht="18" x14ac:dyDescent="0.25">
      <c r="A18" s="11" t="s">
        <v>18</v>
      </c>
      <c r="B18" s="12" t="str">
        <f>VLOOKUP(A18,[5]LISTADHERENT!A$5:H$39,3,0)</f>
        <v>KOUATCHO MESSACK</v>
      </c>
      <c r="C18" s="13">
        <v>315000</v>
      </c>
      <c r="D18" s="14"/>
      <c r="E18" s="15"/>
      <c r="F18" s="16">
        <f t="shared" si="0"/>
        <v>315000</v>
      </c>
      <c r="G18" s="16">
        <v>40000</v>
      </c>
      <c r="H18" s="19"/>
    </row>
    <row r="19" spans="1:8" ht="18" x14ac:dyDescent="0.25">
      <c r="A19" s="11" t="s">
        <v>19</v>
      </c>
      <c r="B19" s="12" t="str">
        <f>VLOOKUP(A19,[5]LISTADHERENT!A$5:H$39,3,0)</f>
        <v>LOWE JEAN</v>
      </c>
      <c r="C19" s="13">
        <v>40000</v>
      </c>
      <c r="D19" s="14"/>
      <c r="E19" s="15">
        <v>70000</v>
      </c>
      <c r="F19" s="16">
        <f t="shared" si="0"/>
        <v>110000</v>
      </c>
      <c r="G19" s="16">
        <v>100000</v>
      </c>
      <c r="H19" s="19"/>
    </row>
    <row r="20" spans="1:8" ht="18" x14ac:dyDescent="0.25">
      <c r="A20" s="11" t="s">
        <v>20</v>
      </c>
      <c r="B20" s="12" t="str">
        <f>VLOOKUP(A20,[5]LISTADHERENT!A$5:H$39,3,0)</f>
        <v>MBOGNING TUGMA GUY</v>
      </c>
      <c r="C20" s="13">
        <f>367000-152000</f>
        <v>215000</v>
      </c>
      <c r="D20" s="14"/>
      <c r="E20" s="15"/>
      <c r="F20" s="16">
        <f t="shared" si="0"/>
        <v>215000</v>
      </c>
      <c r="G20" s="16">
        <v>115000</v>
      </c>
      <c r="H20" s="19"/>
    </row>
    <row r="21" spans="1:8" ht="18" x14ac:dyDescent="0.25">
      <c r="A21" s="11" t="s">
        <v>21</v>
      </c>
      <c r="B21" s="12" t="str">
        <f>VLOOKUP(A21,[5]LISTADHERENT!A$5:H$39,3,0)</f>
        <v>NANGUEN MARTIN</v>
      </c>
      <c r="C21" s="13">
        <v>40000</v>
      </c>
      <c r="D21" s="14"/>
      <c r="E21" s="15"/>
      <c r="F21" s="16">
        <f t="shared" si="0"/>
        <v>40000</v>
      </c>
      <c r="G21" s="16">
        <v>140000</v>
      </c>
      <c r="H21" s="19"/>
    </row>
    <row r="22" spans="1:8" ht="18" x14ac:dyDescent="0.25">
      <c r="A22" s="11" t="s">
        <v>22</v>
      </c>
      <c r="B22" s="12" t="str">
        <f>VLOOKUP(A22,[5]LISTADHERENT!A$5:H$39,3,0)</f>
        <v>NANKAM APPOLINAIRE</v>
      </c>
      <c r="C22" s="13">
        <v>115000</v>
      </c>
      <c r="D22" s="14"/>
      <c r="E22" s="15"/>
      <c r="F22" s="16">
        <f t="shared" si="0"/>
        <v>115000</v>
      </c>
      <c r="G22" s="16">
        <v>40000</v>
      </c>
      <c r="H22" s="19"/>
    </row>
    <row r="23" spans="1:8" ht="18" x14ac:dyDescent="0.25">
      <c r="A23" s="11" t="s">
        <v>23</v>
      </c>
      <c r="B23" s="12" t="str">
        <f>VLOOKUP(A23,[5]LISTADHERENT!A$5:H$39,3,0)</f>
        <v>NDJOMO ETIENNE</v>
      </c>
      <c r="C23" s="13">
        <v>250000</v>
      </c>
      <c r="D23" s="14"/>
      <c r="E23" s="15"/>
      <c r="F23" s="16">
        <f t="shared" si="0"/>
        <v>250000</v>
      </c>
      <c r="G23" s="16">
        <v>40000</v>
      </c>
      <c r="H23" s="19"/>
    </row>
    <row r="24" spans="1:8" ht="18" x14ac:dyDescent="0.25">
      <c r="A24" s="11" t="s">
        <v>24</v>
      </c>
      <c r="B24" s="12" t="str">
        <f>VLOOKUP(A24,[5]LISTADHERENT!A$5:H$39,3,0)</f>
        <v>NGONDIEP CLAUDE</v>
      </c>
      <c r="C24" s="13">
        <v>210000</v>
      </c>
      <c r="D24" s="14"/>
      <c r="E24" s="15"/>
      <c r="F24" s="16">
        <f t="shared" si="0"/>
        <v>210000</v>
      </c>
      <c r="G24" s="16">
        <v>367000</v>
      </c>
      <c r="H24" s="19"/>
    </row>
    <row r="25" spans="1:8" ht="18" x14ac:dyDescent="0.25">
      <c r="A25" s="11" t="s">
        <v>25</v>
      </c>
      <c r="B25" s="12" t="str">
        <f>VLOOKUP(A25,[5]LISTADHERENT!A$5:H$39,3,0)</f>
        <v>NGUIEMEGNI MATHIEU BLAISE</v>
      </c>
      <c r="C25" s="13">
        <v>380000</v>
      </c>
      <c r="D25" s="14"/>
      <c r="E25" s="15"/>
      <c r="F25" s="16">
        <f t="shared" si="0"/>
        <v>380000</v>
      </c>
      <c r="G25" s="16">
        <v>250000</v>
      </c>
      <c r="H25" s="19"/>
    </row>
    <row r="26" spans="1:8" ht="18" x14ac:dyDescent="0.25">
      <c r="A26" s="11" t="s">
        <v>26</v>
      </c>
      <c r="B26" s="12" t="str">
        <f>VLOOKUP(A26,[5]LISTADHERENT!A$5:H$39,3,0)</f>
        <v>NKAMGANG JUSTIN DEJOLIE</v>
      </c>
      <c r="C26" s="13"/>
      <c r="D26" s="14">
        <v>104000</v>
      </c>
      <c r="E26" s="15"/>
      <c r="F26" s="16">
        <f t="shared" si="0"/>
        <v>104000</v>
      </c>
      <c r="G26" s="16">
        <v>40000</v>
      </c>
      <c r="H26" s="19"/>
    </row>
    <row r="27" spans="1:8" ht="18" x14ac:dyDescent="0.25">
      <c r="A27" s="11" t="s">
        <v>66</v>
      </c>
      <c r="B27" s="12" t="str">
        <f>VLOOKUP(A27,[5]LISTADHERENT!A$5:H$39,3,0)</f>
        <v>NOUBE ETIENNE</v>
      </c>
      <c r="C27" s="13">
        <v>560000</v>
      </c>
      <c r="D27" s="14"/>
      <c r="E27" s="15"/>
      <c r="F27" s="16">
        <f>SUM(C27:E27)</f>
        <v>560000</v>
      </c>
      <c r="G27" s="16">
        <v>40000</v>
      </c>
      <c r="H27" s="19"/>
    </row>
    <row r="28" spans="1:8" ht="18" x14ac:dyDescent="0.25">
      <c r="A28" s="11" t="s">
        <v>27</v>
      </c>
      <c r="B28" s="12" t="str">
        <f>VLOOKUP(A28,[5]LISTADHERENT!A$5:H$39,3,0)</f>
        <v>PATEGO NJOSSU GUSTAVE</v>
      </c>
      <c r="C28" s="13">
        <v>115000</v>
      </c>
      <c r="D28" s="14"/>
      <c r="E28" s="15"/>
      <c r="F28" s="16">
        <f t="shared" si="0"/>
        <v>115000</v>
      </c>
      <c r="G28" s="16">
        <v>315000</v>
      </c>
      <c r="H28" s="19"/>
    </row>
    <row r="29" spans="1:8" ht="18" x14ac:dyDescent="0.25">
      <c r="A29" s="11" t="s">
        <v>67</v>
      </c>
      <c r="B29" s="12" t="str">
        <f>VLOOKUP(A29,[5]LISTADHERENT!A$5:H$39,3,0)</f>
        <v>SEUMO POLYCARPE</v>
      </c>
      <c r="C29" s="13">
        <v>40000</v>
      </c>
      <c r="D29" s="14"/>
      <c r="E29" s="15"/>
      <c r="F29" s="16">
        <f t="shared" si="0"/>
        <v>40000</v>
      </c>
      <c r="G29" s="16">
        <v>210000</v>
      </c>
      <c r="H29" s="19"/>
    </row>
    <row r="30" spans="1:8" ht="18" x14ac:dyDescent="0.25">
      <c r="A30" s="11" t="s">
        <v>28</v>
      </c>
      <c r="B30" s="12" t="str">
        <f>VLOOKUP(A30,[5]LISTADHERENT!A$5:H$39,3,0)</f>
        <v>SIME BRICE</v>
      </c>
      <c r="C30" s="13">
        <v>115000</v>
      </c>
      <c r="D30" s="14"/>
      <c r="E30" s="15"/>
      <c r="F30" s="16">
        <f t="shared" si="0"/>
        <v>115000</v>
      </c>
      <c r="G30" s="16"/>
      <c r="H30" s="19"/>
    </row>
    <row r="31" spans="1:8" ht="18" x14ac:dyDescent="0.25">
      <c r="A31" s="11" t="s">
        <v>29</v>
      </c>
      <c r="B31" s="12" t="str">
        <f>VLOOKUP(A31,[5]LISTADHERENT!A$5:H$39,3,0)</f>
        <v>SIMO PIERRE</v>
      </c>
      <c r="C31" s="13">
        <v>140000</v>
      </c>
      <c r="D31" s="14"/>
      <c r="E31" s="15"/>
      <c r="F31" s="16">
        <f t="shared" si="0"/>
        <v>140000</v>
      </c>
      <c r="G31" s="16"/>
      <c r="H31" s="19"/>
    </row>
    <row r="32" spans="1:8" ht="18" x14ac:dyDescent="0.25">
      <c r="A32" s="11" t="s">
        <v>30</v>
      </c>
      <c r="B32" s="12" t="str">
        <f>VLOOKUP(A32,[5]LISTADHERENT!A$5:H$39,3,0)</f>
        <v>TCHOUAMOU MATHIEU</v>
      </c>
      <c r="C32" s="13">
        <v>255000</v>
      </c>
      <c r="D32" s="14"/>
      <c r="E32" s="15"/>
      <c r="F32" s="16">
        <f t="shared" si="0"/>
        <v>255000</v>
      </c>
      <c r="G32" s="16"/>
      <c r="H32" s="19"/>
    </row>
    <row r="33" spans="1:8" ht="18" x14ac:dyDescent="0.25">
      <c r="A33" s="11" t="s">
        <v>65</v>
      </c>
      <c r="B33" s="12" t="str">
        <f>VLOOKUP(A33,[5]LISTADHERENT!A$5:H$39,3,0)</f>
        <v>TCHOUTOU NANA CLAUDE</v>
      </c>
      <c r="C33" s="13"/>
      <c r="D33" s="14">
        <v>40000</v>
      </c>
      <c r="E33" s="15"/>
      <c r="F33" s="16">
        <f t="shared" si="0"/>
        <v>40000</v>
      </c>
      <c r="G33" s="16"/>
      <c r="H33" s="19"/>
    </row>
    <row r="34" spans="1:8" ht="18" x14ac:dyDescent="0.25">
      <c r="A34" s="11" t="s">
        <v>68</v>
      </c>
      <c r="B34" s="12" t="str">
        <f>VLOOKUP(A34,[5]LISTADHERENT!A$5:H$39,3,0)</f>
        <v>YANTCHOU GERVAIS</v>
      </c>
      <c r="C34" s="13">
        <v>100000</v>
      </c>
      <c r="D34" s="14"/>
      <c r="E34" s="15"/>
      <c r="F34" s="16">
        <f t="shared" si="0"/>
        <v>100000</v>
      </c>
      <c r="G34" s="16"/>
      <c r="H34" s="19"/>
    </row>
    <row r="35" spans="1:8" ht="18" x14ac:dyDescent="0.25">
      <c r="A35" s="11" t="s">
        <v>31</v>
      </c>
      <c r="B35" s="12" t="str">
        <f>VLOOKUP(A35,[5]LISTADHERENT!A$5:H$39,3,0)</f>
        <v>YEPMOU JEAN JACQUES</v>
      </c>
      <c r="C35" s="13"/>
      <c r="D35" s="14">
        <f>43000+43000</f>
        <v>86000</v>
      </c>
      <c r="E35" s="15"/>
      <c r="F35" s="16">
        <f t="shared" si="0"/>
        <v>86000</v>
      </c>
      <c r="G35" s="16"/>
      <c r="H35" s="19"/>
    </row>
    <row r="36" spans="1:8" ht="18" x14ac:dyDescent="0.25">
      <c r="A36" s="11" t="s">
        <v>32</v>
      </c>
      <c r="B36" s="12" t="str">
        <f>VLOOKUP(A36,[5]LISTADHERENT!A$5:H$39,3,0)</f>
        <v>YOUMBI EMMANUEL</v>
      </c>
      <c r="C36" s="13">
        <v>290000</v>
      </c>
      <c r="D36" s="14"/>
      <c r="E36" s="15"/>
      <c r="F36" s="16">
        <f t="shared" si="0"/>
        <v>290000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33</v>
      </c>
      <c r="C38" s="22">
        <f>SUM(C7:C37)</f>
        <v>4617000</v>
      </c>
      <c r="D38" s="22">
        <f t="shared" ref="D38:G38" si="1">SUM(D7:D37)</f>
        <v>476000</v>
      </c>
      <c r="E38" s="22">
        <f t="shared" si="1"/>
        <v>210000</v>
      </c>
      <c r="F38" s="22">
        <f t="shared" si="1"/>
        <v>5303000</v>
      </c>
      <c r="G38" s="22">
        <f t="shared" si="1"/>
        <v>4207000</v>
      </c>
      <c r="H38" s="23">
        <f t="shared" ref="H38" si="2">SUM(H8:H37)</f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9"/>
  <sheetViews>
    <sheetView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E1" sqref="E1:E104857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  <col min="9" max="9" width="12.5703125" customWidth="1"/>
    <col min="10" max="10" width="15" bestFit="1" customWidth="1"/>
  </cols>
  <sheetData>
    <row r="1" spans="1:10" ht="21" x14ac:dyDescent="0.35">
      <c r="A1" s="1" t="s">
        <v>2</v>
      </c>
      <c r="B1" s="1" t="s">
        <v>3</v>
      </c>
      <c r="C1" s="25" t="s">
        <v>75</v>
      </c>
    </row>
    <row r="2" spans="1:10" x14ac:dyDescent="0.25">
      <c r="A2" s="1" t="s">
        <v>4</v>
      </c>
      <c r="B2" s="1">
        <v>2023</v>
      </c>
    </row>
    <row r="3" spans="1:10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0" ht="29.25" thickBot="1" x14ac:dyDescent="0.5">
      <c r="B4" s="36" t="s">
        <v>61</v>
      </c>
      <c r="C4" s="34"/>
      <c r="D4" s="34"/>
      <c r="E4" s="34"/>
      <c r="F4" s="3"/>
    </row>
    <row r="5" spans="1:10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9" t="s">
        <v>64</v>
      </c>
      <c r="I5" s="24" t="s">
        <v>83</v>
      </c>
    </row>
    <row r="6" spans="1:10" ht="18" x14ac:dyDescent="0.25">
      <c r="A6" s="11" t="s">
        <v>63</v>
      </c>
      <c r="B6" s="12" t="str">
        <f>VLOOKUP(A6,[5]LISTADHERENT!A$5:H$39,3,0)</f>
        <v>ASELBY</v>
      </c>
      <c r="C6" s="13">
        <f>IF(I6="OK",VLOOKUP(A6,[6]MONTVERST!A$5:F$39,3,0),0)</f>
        <v>175000</v>
      </c>
      <c r="D6" s="12"/>
      <c r="E6" s="15"/>
      <c r="F6" s="16">
        <f>SUM(C6:E6)</f>
        <v>175000</v>
      </c>
      <c r="G6" s="16"/>
      <c r="H6" s="18"/>
      <c r="I6" s="30" t="s">
        <v>84</v>
      </c>
      <c r="J6" s="28"/>
    </row>
    <row r="7" spans="1:10" ht="18" x14ac:dyDescent="0.25">
      <c r="A7" s="11" t="s">
        <v>69</v>
      </c>
      <c r="B7" s="12" t="str">
        <f>VLOOKUP(A7,[5]LISTADHERENT!A$5:H$39,3,0)</f>
        <v>BAKOP ACHILLE</v>
      </c>
      <c r="C7" s="13">
        <f>IF(I7="OK",VLOOKUP(A7,[6]MONTVERST!A$5:F$39,3,0),0)</f>
        <v>40000</v>
      </c>
      <c r="D7" s="14"/>
      <c r="E7" s="15"/>
      <c r="F7" s="16">
        <f t="shared" ref="F7:F36" si="0">SUM(C7:E7)</f>
        <v>40000</v>
      </c>
      <c r="G7" s="16">
        <v>115000</v>
      </c>
      <c r="H7" s="18"/>
      <c r="I7" s="30" t="s">
        <v>84</v>
      </c>
      <c r="J7" s="28"/>
    </row>
    <row r="8" spans="1:10" ht="18" x14ac:dyDescent="0.25">
      <c r="A8" s="11" t="s">
        <v>8</v>
      </c>
      <c r="B8" s="12" t="str">
        <f>VLOOKUP(A8,[5]LISTADHERENT!A$5:H$39,3,0)</f>
        <v>BOUTCHOUANG WILLIAM</v>
      </c>
      <c r="C8" s="13">
        <f>IF(I8="OK",VLOOKUP(A8,[6]MONTVERST!A$5:F$39,3,0),0)</f>
        <v>115000</v>
      </c>
      <c r="D8" s="14"/>
      <c r="E8" s="15"/>
      <c r="F8" s="16">
        <f t="shared" si="0"/>
        <v>115000</v>
      </c>
      <c r="G8" s="16">
        <v>40000</v>
      </c>
      <c r="H8" s="18"/>
      <c r="I8" s="30" t="s">
        <v>84</v>
      </c>
      <c r="J8" s="28"/>
    </row>
    <row r="9" spans="1:10" ht="18" x14ac:dyDescent="0.25">
      <c r="A9" s="11" t="s">
        <v>9</v>
      </c>
      <c r="B9" s="12" t="str">
        <f>VLOOKUP(A9,[5]LISTADHERENT!A$5:H$39,3,0)</f>
        <v xml:space="preserve">DJOMO JEAN PAUL </v>
      </c>
      <c r="C9" s="13">
        <f>140000+51000</f>
        <v>191000</v>
      </c>
      <c r="D9" s="14"/>
      <c r="E9" s="15"/>
      <c r="F9" s="16">
        <f t="shared" si="0"/>
        <v>191000</v>
      </c>
      <c r="G9" s="16">
        <v>170000</v>
      </c>
      <c r="H9" s="18"/>
      <c r="I9" s="30" t="s">
        <v>84</v>
      </c>
      <c r="J9" s="28"/>
    </row>
    <row r="10" spans="1:10" ht="18" x14ac:dyDescent="0.25">
      <c r="A10" s="11" t="s">
        <v>10</v>
      </c>
      <c r="B10" s="12" t="str">
        <f>VLOOKUP(A10,[5]LISTADHERENT!A$5:H$39,3,0)</f>
        <v>DJOMOU TCHAPDA</v>
      </c>
      <c r="C10" s="13">
        <f>IF(I10="OK",VLOOKUP(A10,[6]MONTVERST!A$5:F$39,3,0),0)</f>
        <v>0</v>
      </c>
      <c r="D10" s="14">
        <f>94000-51000</f>
        <v>43000</v>
      </c>
      <c r="E10" s="15"/>
      <c r="F10" s="16">
        <f t="shared" si="0"/>
        <v>43000</v>
      </c>
      <c r="G10" s="16">
        <v>40000</v>
      </c>
      <c r="H10" s="18"/>
      <c r="I10" s="30"/>
      <c r="J10" s="28"/>
    </row>
    <row r="11" spans="1:10" ht="18" x14ac:dyDescent="0.25">
      <c r="A11" s="11" t="s">
        <v>11</v>
      </c>
      <c r="B11" s="12" t="str">
        <f>VLOOKUP(A11,[5]LISTADHERENT!A$5:H$39,3,0)</f>
        <v>DJOUKWE NANGUEN GUY BLAISE</v>
      </c>
      <c r="C11" s="13">
        <v>170000</v>
      </c>
      <c r="D11" s="14"/>
      <c r="E11" s="15"/>
      <c r="F11" s="16">
        <f t="shared" si="0"/>
        <v>170000</v>
      </c>
      <c r="G11" s="16">
        <v>140000</v>
      </c>
      <c r="H11" s="18"/>
      <c r="I11" s="30" t="s">
        <v>84</v>
      </c>
      <c r="J11" s="28"/>
    </row>
    <row r="12" spans="1:10" ht="18" x14ac:dyDescent="0.25">
      <c r="A12" s="11" t="s">
        <v>12</v>
      </c>
      <c r="B12" s="12" t="str">
        <f>VLOOKUP(A12,[5]LISTADHERENT!A$5:H$39,3,0)</f>
        <v>DJUOMBESSY ANTOINE</v>
      </c>
      <c r="C12" s="13">
        <v>388000</v>
      </c>
      <c r="D12" s="14"/>
      <c r="E12" s="15"/>
      <c r="F12" s="16">
        <f t="shared" si="0"/>
        <v>388000</v>
      </c>
      <c r="G12" s="16">
        <v>350000</v>
      </c>
      <c r="H12" s="18"/>
      <c r="I12" s="30" t="s">
        <v>84</v>
      </c>
      <c r="J12" s="28"/>
    </row>
    <row r="13" spans="1:10" ht="18" x14ac:dyDescent="0.25">
      <c r="A13" s="11" t="s">
        <v>13</v>
      </c>
      <c r="B13" s="12" t="str">
        <f>VLOOKUP(A13,[5]LISTADHERENT!A$5:H$39,3,0)</f>
        <v>DOMOU FABIEN</v>
      </c>
      <c r="C13" s="13">
        <f>IF(I13="OK",VLOOKUP(A13,[6]MONTVERST!A$5:F$39,3,0),0)</f>
        <v>40000</v>
      </c>
      <c r="D13" s="14"/>
      <c r="E13" s="15"/>
      <c r="F13" s="16">
        <f t="shared" si="0"/>
        <v>40000</v>
      </c>
      <c r="G13" s="16">
        <v>140000</v>
      </c>
      <c r="H13" s="18"/>
      <c r="I13" s="30" t="s">
        <v>84</v>
      </c>
      <c r="J13" s="28"/>
    </row>
    <row r="14" spans="1:10" ht="18" x14ac:dyDescent="0.25">
      <c r="A14" s="11" t="s">
        <v>14</v>
      </c>
      <c r="B14" s="12" t="str">
        <f>VLOOKUP(A14,[5]LISTADHERENT!A$5:H$39,3,0)</f>
        <v>DONHOU DAVID</v>
      </c>
      <c r="C14" s="13">
        <f>IF(I14="OK",VLOOKUP(A14,[6]MONTVERST!A$5:F$39,3,0),0)</f>
        <v>40000</v>
      </c>
      <c r="D14" s="14"/>
      <c r="E14" s="15"/>
      <c r="F14" s="16">
        <f t="shared" si="0"/>
        <v>40000</v>
      </c>
      <c r="G14" s="16">
        <v>1215000</v>
      </c>
      <c r="H14" s="18"/>
      <c r="I14" s="30" t="s">
        <v>84</v>
      </c>
      <c r="J14" s="28"/>
    </row>
    <row r="15" spans="1:10" ht="18" x14ac:dyDescent="0.25">
      <c r="A15" s="11" t="s">
        <v>15</v>
      </c>
      <c r="B15" s="12" t="str">
        <f>VLOOKUP(A15,[5]LISTADHERENT!A$5:H$39,3,0)</f>
        <v>HENGUE PAUL OMER</v>
      </c>
      <c r="C15" s="13">
        <f>IF(I15="OK",VLOOKUP(A15,[6]MONTVERST!A$5:F$39,3,0),0)</f>
        <v>115000</v>
      </c>
      <c r="D15" s="14"/>
      <c r="E15" s="15"/>
      <c r="F15" s="16">
        <f t="shared" si="0"/>
        <v>115000</v>
      </c>
      <c r="G15" s="16">
        <v>40000</v>
      </c>
      <c r="H15" s="18"/>
      <c r="I15" s="30" t="s">
        <v>84</v>
      </c>
      <c r="J15" s="28"/>
    </row>
    <row r="16" spans="1:10" ht="18" x14ac:dyDescent="0.25">
      <c r="A16" s="11" t="s">
        <v>16</v>
      </c>
      <c r="B16" s="12" t="str">
        <f>VLOOKUP(A16,[5]LISTADHERENT!A$5:H$39,3,0)</f>
        <v>HOTCHO BENJAMIN</v>
      </c>
      <c r="C16" s="13">
        <f>IF(I16="OK",VLOOKUP(A16,[6]MONTVERST!A$5:F$39,3,0),0)</f>
        <v>250000</v>
      </c>
      <c r="D16" s="14"/>
      <c r="E16" s="15"/>
      <c r="F16" s="16">
        <f t="shared" si="0"/>
        <v>250000</v>
      </c>
      <c r="G16" s="16">
        <v>100000</v>
      </c>
      <c r="H16" s="18"/>
      <c r="I16" s="30" t="s">
        <v>84</v>
      </c>
      <c r="J16" s="28"/>
    </row>
    <row r="17" spans="1:10" ht="18" x14ac:dyDescent="0.25">
      <c r="A17" s="11" t="s">
        <v>17</v>
      </c>
      <c r="B17" s="12" t="str">
        <f>VLOOKUP(A17,[5]LISTADHERENT!A$5:H$39,3,0)</f>
        <v>KOUAMOU MOISE</v>
      </c>
      <c r="C17" s="13">
        <f>IF(I17="OK",VLOOKUP(A17,[6]MONTVERST!A$5:F$39,3,0),0)</f>
        <v>140000</v>
      </c>
      <c r="D17" s="14"/>
      <c r="E17" s="15"/>
      <c r="F17" s="16">
        <f t="shared" si="0"/>
        <v>140000</v>
      </c>
      <c r="G17" s="16">
        <v>290000</v>
      </c>
      <c r="H17" s="18"/>
      <c r="I17" s="30" t="s">
        <v>84</v>
      </c>
      <c r="J17" s="28"/>
    </row>
    <row r="18" spans="1:10" ht="18" x14ac:dyDescent="0.25">
      <c r="A18" s="11" t="s">
        <v>18</v>
      </c>
      <c r="B18" s="12" t="str">
        <f>VLOOKUP(A18,[5]LISTADHERENT!A$5:H$39,3,0)</f>
        <v>KOUATCHO MESSACK</v>
      </c>
      <c r="C18" s="13">
        <v>1215000</v>
      </c>
      <c r="D18" s="14"/>
      <c r="E18" s="15"/>
      <c r="F18" s="16">
        <f t="shared" si="0"/>
        <v>1215000</v>
      </c>
      <c r="G18" s="16">
        <v>115000</v>
      </c>
      <c r="H18" s="18"/>
      <c r="I18" s="30" t="s">
        <v>84</v>
      </c>
      <c r="J18" s="28"/>
    </row>
    <row r="19" spans="1:10" ht="18" x14ac:dyDescent="0.25">
      <c r="A19" s="11" t="s">
        <v>19</v>
      </c>
      <c r="B19" s="12" t="str">
        <f>VLOOKUP(A19,[5]LISTADHERENT!A$5:H$39,3,0)</f>
        <v>LOWE JEAN</v>
      </c>
      <c r="C19" s="13">
        <f>IF(I19="OK",VLOOKUP(A19,[6]MONTVERST!A$5:F$39,3,0),0)</f>
        <v>40000</v>
      </c>
      <c r="D19" s="14"/>
      <c r="E19" s="15"/>
      <c r="F19" s="16">
        <f t="shared" si="0"/>
        <v>40000</v>
      </c>
      <c r="G19" s="16">
        <v>115000</v>
      </c>
      <c r="H19" s="18"/>
      <c r="I19" s="30" t="s">
        <v>84</v>
      </c>
      <c r="J19" s="28"/>
    </row>
    <row r="20" spans="1:10" ht="18" x14ac:dyDescent="0.25">
      <c r="A20" s="11" t="s">
        <v>20</v>
      </c>
      <c r="B20" s="12" t="str">
        <f>VLOOKUP(A20,[5]LISTADHERENT!A$5:H$39,3,0)</f>
        <v>MBOGNING TUGMA GUY</v>
      </c>
      <c r="C20" s="13">
        <v>998000</v>
      </c>
      <c r="D20" s="14"/>
      <c r="E20" s="15"/>
      <c r="F20" s="16">
        <f t="shared" si="0"/>
        <v>998000</v>
      </c>
      <c r="G20" s="16">
        <v>102000</v>
      </c>
      <c r="H20" s="18"/>
      <c r="I20" s="30" t="s">
        <v>84</v>
      </c>
      <c r="J20" s="28"/>
    </row>
    <row r="21" spans="1:10" ht="18" x14ac:dyDescent="0.25">
      <c r="A21" s="11" t="s">
        <v>21</v>
      </c>
      <c r="B21" s="12" t="str">
        <f>VLOOKUP(A21,[5]LISTADHERENT!A$5:H$39,3,0)</f>
        <v>NANGUEN MARTIN</v>
      </c>
      <c r="C21" s="13">
        <f>IF(I21="OK",VLOOKUP(A21,[6]MONTVERST!A$5:F$39,3,0),0)</f>
        <v>40000</v>
      </c>
      <c r="D21" s="14"/>
      <c r="E21" s="15"/>
      <c r="F21" s="16">
        <f t="shared" si="0"/>
        <v>40000</v>
      </c>
      <c r="G21" s="16">
        <v>250000</v>
      </c>
      <c r="H21" s="18"/>
      <c r="I21" s="30" t="s">
        <v>84</v>
      </c>
      <c r="J21" s="28"/>
    </row>
    <row r="22" spans="1:10" ht="18" x14ac:dyDescent="0.25">
      <c r="A22" s="11" t="s">
        <v>22</v>
      </c>
      <c r="B22" s="12" t="str">
        <f>VLOOKUP(A22,[5]LISTADHERENT!A$5:H$39,3,0)</f>
        <v>NANKAM APPOLINAIRE</v>
      </c>
      <c r="C22" s="13">
        <f>IF(I22="OK",VLOOKUP(A22,[6]MONTVERST!A$5:F$39,3,0),0)</f>
        <v>115000</v>
      </c>
      <c r="D22" s="14"/>
      <c r="E22" s="15">
        <v>70000</v>
      </c>
      <c r="F22" s="16">
        <f t="shared" si="0"/>
        <v>185000</v>
      </c>
      <c r="G22" s="16">
        <v>115000</v>
      </c>
      <c r="H22" s="18"/>
      <c r="I22" s="30" t="s">
        <v>84</v>
      </c>
      <c r="J22" s="28"/>
    </row>
    <row r="23" spans="1:10" ht="18" x14ac:dyDescent="0.25">
      <c r="A23" s="11" t="s">
        <v>23</v>
      </c>
      <c r="B23" s="12" t="str">
        <f>VLOOKUP(A23,[5]LISTADHERENT!A$5:H$39,3,0)</f>
        <v>NDJOMO ETIENNE</v>
      </c>
      <c r="C23" s="13">
        <v>452000</v>
      </c>
      <c r="D23" s="14"/>
      <c r="E23" s="15"/>
      <c r="F23" s="16">
        <f t="shared" si="0"/>
        <v>452000</v>
      </c>
      <c r="G23" s="16">
        <v>115000</v>
      </c>
      <c r="H23" s="18"/>
      <c r="I23" s="30" t="s">
        <v>84</v>
      </c>
      <c r="J23" s="28"/>
    </row>
    <row r="24" spans="1:10" ht="18" x14ac:dyDescent="0.25">
      <c r="A24" s="11" t="s">
        <v>24</v>
      </c>
      <c r="B24" s="12" t="str">
        <f>VLOOKUP(A24,[5]LISTADHERENT!A$5:H$39,3,0)</f>
        <v>NGONDIEP CLAUDE</v>
      </c>
      <c r="C24" s="13">
        <f>IF(I24="OK",VLOOKUP(A24,[6]MONTVERST!A$5:F$39,3,0),0)</f>
        <v>215000</v>
      </c>
      <c r="D24" s="14"/>
      <c r="E24" s="15"/>
      <c r="F24" s="16">
        <f t="shared" si="0"/>
        <v>215000</v>
      </c>
      <c r="G24" s="16">
        <v>350000</v>
      </c>
      <c r="H24" s="18"/>
      <c r="I24" s="30" t="s">
        <v>84</v>
      </c>
      <c r="J24" s="28"/>
    </row>
    <row r="25" spans="1:10" ht="18" x14ac:dyDescent="0.25">
      <c r="A25" s="11" t="s">
        <v>25</v>
      </c>
      <c r="B25" s="12" t="str">
        <f>VLOOKUP(A25,[5]LISTADHERENT!A$5:H$39,3,0)</f>
        <v>NGUIEMEGNI MATHIEU BLAISE</v>
      </c>
      <c r="C25" s="13">
        <v>350000</v>
      </c>
      <c r="D25" s="14"/>
      <c r="E25" s="15"/>
      <c r="F25" s="16">
        <f t="shared" si="0"/>
        <v>350000</v>
      </c>
      <c r="G25" s="16">
        <v>38500</v>
      </c>
      <c r="H25" s="18"/>
      <c r="I25" s="30" t="s">
        <v>84</v>
      </c>
      <c r="J25" s="28"/>
    </row>
    <row r="26" spans="1:10" ht="18" x14ac:dyDescent="0.25">
      <c r="A26" s="11" t="s">
        <v>26</v>
      </c>
      <c r="B26" s="12" t="str">
        <f>VLOOKUP(A26,[5]LISTADHERENT!A$5:H$39,3,0)</f>
        <v>NKAMGANG JUSTIN DEJOLIE</v>
      </c>
      <c r="C26" s="13">
        <f>IF(I26="OK",VLOOKUP(A26,[6]MONTVERST!A$5:F$39,3,0),0)</f>
        <v>40000</v>
      </c>
      <c r="D26" s="14"/>
      <c r="E26" s="15"/>
      <c r="F26" s="16">
        <f t="shared" si="0"/>
        <v>40000</v>
      </c>
      <c r="G26" s="16">
        <v>250000</v>
      </c>
      <c r="H26" s="18"/>
      <c r="I26" s="30" t="s">
        <v>84</v>
      </c>
      <c r="J26" s="28"/>
    </row>
    <row r="27" spans="1:10" ht="18" x14ac:dyDescent="0.25">
      <c r="A27" s="11" t="s">
        <v>66</v>
      </c>
      <c r="B27" s="12" t="str">
        <f>VLOOKUP(A27,[5]LISTADHERENT!A$5:H$39,3,0)</f>
        <v>NOUBE ETIENNE</v>
      </c>
      <c r="C27" s="13">
        <v>45000</v>
      </c>
      <c r="D27" s="14"/>
      <c r="E27" s="15"/>
      <c r="F27" s="16">
        <f>SUM(C27:E27)</f>
        <v>45000</v>
      </c>
      <c r="G27" s="16">
        <v>202000</v>
      </c>
      <c r="H27" s="18"/>
      <c r="I27" s="30" t="s">
        <v>84</v>
      </c>
      <c r="J27" s="28"/>
    </row>
    <row r="28" spans="1:10" ht="18" x14ac:dyDescent="0.25">
      <c r="A28" s="11" t="s">
        <v>27</v>
      </c>
      <c r="B28" s="12" t="str">
        <f>VLOOKUP(A28,[5]LISTADHERENT!A$5:H$39,3,0)</f>
        <v>PATEGO NJOSSU GUSTAVE</v>
      </c>
      <c r="C28" s="13">
        <f>IF(I28="OK",VLOOKUP(A28,[6]MONTVERST!A$5:F$39,3,0),0)</f>
        <v>115000</v>
      </c>
      <c r="D28" s="14"/>
      <c r="E28" s="15"/>
      <c r="F28" s="16">
        <f t="shared" si="0"/>
        <v>115000</v>
      </c>
      <c r="G28" s="16">
        <v>998000</v>
      </c>
      <c r="H28" s="18"/>
      <c r="I28" s="30" t="s">
        <v>84</v>
      </c>
      <c r="J28" s="28"/>
    </row>
    <row r="29" spans="1:10" ht="18" x14ac:dyDescent="0.25">
      <c r="A29" s="11" t="s">
        <v>67</v>
      </c>
      <c r="B29" s="12" t="str">
        <f>VLOOKUP(A29,[5]LISTADHERENT!A$5:H$39,3,0)</f>
        <v>SEUMO POLYCARPE</v>
      </c>
      <c r="C29" s="13">
        <f>IF(I29="OK",VLOOKUP(A29,[6]MONTVERST!A$5:F$39,3,0),0)</f>
        <v>40000</v>
      </c>
      <c r="D29" s="14"/>
      <c r="E29" s="15"/>
      <c r="F29" s="16">
        <f t="shared" si="0"/>
        <v>40000</v>
      </c>
      <c r="G29" s="16">
        <v>40000</v>
      </c>
      <c r="H29" s="18"/>
      <c r="I29" s="30" t="s">
        <v>84</v>
      </c>
      <c r="J29" s="28"/>
    </row>
    <row r="30" spans="1:10" ht="18" x14ac:dyDescent="0.25">
      <c r="A30" s="11" t="s">
        <v>28</v>
      </c>
      <c r="B30" s="12" t="str">
        <f>VLOOKUP(A30,[5]LISTADHERENT!A$5:H$39,3,0)</f>
        <v>SIME BRICE</v>
      </c>
      <c r="C30" s="13">
        <f>IF(I30="OK",VLOOKUP(A30,[6]MONTVERST!A$5:F$39,3,0),0)</f>
        <v>115000</v>
      </c>
      <c r="D30" s="14"/>
      <c r="E30" s="15"/>
      <c r="F30" s="16">
        <f t="shared" si="0"/>
        <v>115000</v>
      </c>
      <c r="G30" s="16">
        <v>40000</v>
      </c>
      <c r="H30" s="18"/>
      <c r="I30" s="30" t="s">
        <v>84</v>
      </c>
      <c r="J30" s="28"/>
    </row>
    <row r="31" spans="1:10" ht="18" x14ac:dyDescent="0.25">
      <c r="A31" s="11" t="s">
        <v>29</v>
      </c>
      <c r="B31" s="12" t="str">
        <f>VLOOKUP(A31,[5]LISTADHERENT!A$5:H$39,3,0)</f>
        <v>SIMO PIERRE</v>
      </c>
      <c r="C31" s="13">
        <f>IF(I31="OK",VLOOKUP(A31,[6]MONTVERST!A$5:F$39,3,0),0)</f>
        <v>140000</v>
      </c>
      <c r="D31" s="14"/>
      <c r="E31" s="15"/>
      <c r="F31" s="16">
        <f t="shared" si="0"/>
        <v>140000</v>
      </c>
      <c r="G31" s="16">
        <v>45000</v>
      </c>
      <c r="H31" s="18"/>
      <c r="I31" s="30" t="s">
        <v>84</v>
      </c>
      <c r="J31" s="28"/>
    </row>
    <row r="32" spans="1:10" ht="18" x14ac:dyDescent="0.25">
      <c r="A32" s="11" t="s">
        <v>30</v>
      </c>
      <c r="B32" s="12" t="str">
        <f>VLOOKUP(A32,[5]LISTADHERENT!A$5:H$39,3,0)</f>
        <v>TCHOUAMOU MATHIEU</v>
      </c>
      <c r="C32" s="13">
        <v>217000</v>
      </c>
      <c r="D32" s="14"/>
      <c r="E32" s="15"/>
      <c r="F32" s="16">
        <f t="shared" si="0"/>
        <v>217000</v>
      </c>
      <c r="G32" s="16">
        <v>40000</v>
      </c>
      <c r="H32" s="18"/>
      <c r="I32" s="30" t="s">
        <v>84</v>
      </c>
      <c r="J32" s="28"/>
    </row>
    <row r="33" spans="1:10" ht="18" x14ac:dyDescent="0.25">
      <c r="A33" s="11" t="s">
        <v>65</v>
      </c>
      <c r="B33" s="12" t="str">
        <f>VLOOKUP(A33,[5]LISTADHERENT!A$5:H$39,3,0)</f>
        <v>TCHOUTOU NANA CLAUDE</v>
      </c>
      <c r="C33" s="13">
        <f>IF(I33="OK",VLOOKUP(A33,[6]MONTVERST!A$5:F$39,3,0),0)</f>
        <v>40000</v>
      </c>
      <c r="D33" s="14"/>
      <c r="E33" s="15"/>
      <c r="F33" s="16">
        <f t="shared" si="0"/>
        <v>40000</v>
      </c>
      <c r="G33" s="16">
        <v>40000</v>
      </c>
      <c r="H33" s="18"/>
      <c r="I33" s="30" t="s">
        <v>84</v>
      </c>
      <c r="J33" s="28"/>
    </row>
    <row r="34" spans="1:10" ht="18" x14ac:dyDescent="0.25">
      <c r="A34" s="11" t="s">
        <v>68</v>
      </c>
      <c r="B34" s="12" t="str">
        <f>VLOOKUP(A34,[5]LISTADHERENT!A$5:H$39,3,0)</f>
        <v>YANTCHOU GERVAIS</v>
      </c>
      <c r="C34" s="13">
        <f>IF(I34="OK",VLOOKUP(A34,[6]MONTVERST!A$5:F$39,3,0),0)</f>
        <v>100000</v>
      </c>
      <c r="D34" s="14"/>
      <c r="E34" s="15"/>
      <c r="F34" s="16">
        <f t="shared" si="0"/>
        <v>100000</v>
      </c>
      <c r="G34" s="16">
        <v>40000</v>
      </c>
      <c r="H34" s="18"/>
      <c r="I34" s="30" t="s">
        <v>84</v>
      </c>
      <c r="J34" s="28"/>
    </row>
    <row r="35" spans="1:10" ht="18" x14ac:dyDescent="0.25">
      <c r="A35" s="11" t="s">
        <v>31</v>
      </c>
      <c r="B35" s="12" t="str">
        <f>VLOOKUP(A35,[5]LISTADHERENT!A$5:H$39,3,0)</f>
        <v>YEPMOU JEAN JACQUES</v>
      </c>
      <c r="C35" s="13">
        <f>IF(I35="OK",VLOOKUP(A35,[6]MONTVERST!A$5:F$39,3,0),0)</f>
        <v>40000</v>
      </c>
      <c r="D35" s="14"/>
      <c r="E35" s="15"/>
      <c r="F35" s="16">
        <f t="shared" si="0"/>
        <v>40000</v>
      </c>
      <c r="G35" s="16">
        <v>40000</v>
      </c>
      <c r="H35" s="18"/>
      <c r="I35" s="30" t="s">
        <v>84</v>
      </c>
      <c r="J35" s="28"/>
    </row>
    <row r="36" spans="1:10" ht="18" x14ac:dyDescent="0.25">
      <c r="A36" s="11" t="s">
        <v>32</v>
      </c>
      <c r="B36" s="12" t="str">
        <f>VLOOKUP(A36,[5]LISTADHERENT!A$5:H$39,3,0)</f>
        <v>YOUMBI EMMANUEL</v>
      </c>
      <c r="C36" s="13">
        <f>IF(I36="OK",VLOOKUP(A36,[6]MONTVERST!A$5:F$39,3,0),0)</f>
        <v>290000</v>
      </c>
      <c r="D36" s="14"/>
      <c r="E36" s="15"/>
      <c r="F36" s="16">
        <f t="shared" si="0"/>
        <v>290000</v>
      </c>
      <c r="G36" s="16">
        <f>255000+215000</f>
        <v>470000</v>
      </c>
      <c r="H36" s="18"/>
      <c r="I36" s="30" t="s">
        <v>84</v>
      </c>
      <c r="J36" s="28"/>
    </row>
    <row r="37" spans="1:10" x14ac:dyDescent="0.25">
      <c r="A37" s="17"/>
      <c r="B37" s="18"/>
      <c r="C37" s="18"/>
      <c r="D37" s="18"/>
      <c r="E37" s="18"/>
      <c r="F37" s="18"/>
      <c r="G37" s="18"/>
      <c r="H37" s="18"/>
      <c r="I37" s="19"/>
    </row>
    <row r="38" spans="1:10" ht="18.75" thickBot="1" x14ac:dyDescent="0.3">
      <c r="A38" s="20"/>
      <c r="B38" s="21" t="s">
        <v>33</v>
      </c>
      <c r="C38" s="22">
        <f>SUM(C7:C37)</f>
        <v>6096000</v>
      </c>
      <c r="D38" s="22">
        <f t="shared" ref="D38:G38" si="1">SUM(D7:D37)</f>
        <v>43000</v>
      </c>
      <c r="E38" s="22">
        <f t="shared" si="1"/>
        <v>70000</v>
      </c>
      <c r="F38" s="22">
        <f t="shared" si="1"/>
        <v>6209000</v>
      </c>
      <c r="G38" s="22">
        <f t="shared" si="1"/>
        <v>6045500</v>
      </c>
      <c r="H38" s="22">
        <f t="shared" ref="H38" si="2">SUM(H8:H37)</f>
        <v>0</v>
      </c>
      <c r="I38" s="31"/>
    </row>
    <row r="39" spans="1:10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="106" zoomScaleNormal="106" workbookViewId="0">
      <pane xSplit="3" ySplit="5" topLeftCell="D18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C24" sqref="C24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  <col min="9" max="9" width="12.5703125" customWidth="1"/>
  </cols>
  <sheetData>
    <row r="1" spans="1:9" ht="21" x14ac:dyDescent="0.35">
      <c r="A1" s="1" t="s">
        <v>2</v>
      </c>
      <c r="B1" s="1" t="s">
        <v>3</v>
      </c>
      <c r="C1" s="25" t="s">
        <v>76</v>
      </c>
    </row>
    <row r="2" spans="1:9" x14ac:dyDescent="0.25">
      <c r="A2" s="1" t="s">
        <v>4</v>
      </c>
      <c r="B2" s="1">
        <v>2023</v>
      </c>
    </row>
    <row r="3" spans="1:9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9" ht="29.25" thickBot="1" x14ac:dyDescent="0.5">
      <c r="B4" s="36" t="s">
        <v>61</v>
      </c>
      <c r="C4" s="34"/>
      <c r="D4" s="34"/>
      <c r="E4" s="34"/>
      <c r="F4" s="3"/>
    </row>
    <row r="5" spans="1:9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  <c r="I5" s="24" t="s">
        <v>83</v>
      </c>
    </row>
    <row r="6" spans="1:9" ht="18" x14ac:dyDescent="0.25">
      <c r="A6" s="11" t="s">
        <v>63</v>
      </c>
      <c r="B6" s="12" t="str">
        <f>VLOOKUP(A6,[5]LISTADHERENT!A$5:H$39,3,0)</f>
        <v>ASELBY</v>
      </c>
      <c r="C6" s="13">
        <f>IF(I6="OK",VLOOKUP(A6,[6]MONTVERST!A$5:F$39,3,0),0)</f>
        <v>175000</v>
      </c>
      <c r="D6" s="14"/>
      <c r="E6" s="15"/>
      <c r="F6" s="16">
        <f>SUM(C6:E6)</f>
        <v>175000</v>
      </c>
      <c r="G6" s="16"/>
      <c r="H6" s="19"/>
      <c r="I6" s="30" t="s">
        <v>84</v>
      </c>
    </row>
    <row r="7" spans="1:9" ht="18" x14ac:dyDescent="0.25">
      <c r="A7" s="11" t="s">
        <v>69</v>
      </c>
      <c r="B7" s="12" t="str">
        <f>VLOOKUP(A7,[5]LISTADHERENT!A$5:H$39,3,0)</f>
        <v>BAKOP ACHILLE</v>
      </c>
      <c r="C7" s="13">
        <f>IF(I7="OK",VLOOKUP(A7,[6]MONTVERST!A$5:F$39,3,0),0)</f>
        <v>40000</v>
      </c>
      <c r="D7" s="14">
        <v>33500</v>
      </c>
      <c r="E7" s="15">
        <v>140000</v>
      </c>
      <c r="F7" s="16">
        <f t="shared" ref="F7:F36" si="0">SUM(C7:E7)</f>
        <v>213500</v>
      </c>
      <c r="G7" s="16"/>
      <c r="H7" s="19"/>
      <c r="I7" s="30" t="s">
        <v>84</v>
      </c>
    </row>
    <row r="8" spans="1:9" ht="18" x14ac:dyDescent="0.25">
      <c r="A8" s="11" t="s">
        <v>8</v>
      </c>
      <c r="B8" s="12" t="str">
        <f>VLOOKUP(A8,[5]LISTADHERENT!A$5:H$39,3,0)</f>
        <v>BOUTCHOUANG WILLIAM</v>
      </c>
      <c r="C8" s="13">
        <f>IF(I8="OK",VLOOKUP(A8,[6]MONTVERST!A$5:F$39,3,0),0)</f>
        <v>115000</v>
      </c>
      <c r="D8" s="14"/>
      <c r="E8" s="15"/>
      <c r="F8" s="16">
        <f t="shared" si="0"/>
        <v>115000</v>
      </c>
      <c r="G8" s="16"/>
      <c r="H8" s="19"/>
      <c r="I8" s="30" t="s">
        <v>84</v>
      </c>
    </row>
    <row r="9" spans="1:9" ht="18" x14ac:dyDescent="0.25">
      <c r="A9" s="11" t="s">
        <v>9</v>
      </c>
      <c r="B9" s="12" t="str">
        <f>VLOOKUP(A9,[5]LISTADHERENT!A$5:H$39,3,0)</f>
        <v xml:space="preserve">DJOMO JEAN PAUL </v>
      </c>
      <c r="C9" s="13">
        <v>241000</v>
      </c>
      <c r="D9" s="14">
        <v>87500</v>
      </c>
      <c r="E9" s="15"/>
      <c r="F9" s="16">
        <f t="shared" si="0"/>
        <v>328500</v>
      </c>
      <c r="G9" s="16"/>
      <c r="H9" s="19"/>
      <c r="I9" s="30" t="s">
        <v>84</v>
      </c>
    </row>
    <row r="10" spans="1:9" ht="18" x14ac:dyDescent="0.25">
      <c r="A10" s="11" t="s">
        <v>10</v>
      </c>
      <c r="B10" s="12" t="str">
        <f>VLOOKUP(A10,[5]LISTADHERENT!A$5:H$39,3,0)</f>
        <v>DJOMOU TCHAPDA</v>
      </c>
      <c r="C10" s="13">
        <f>IF(I10="OK",VLOOKUP(A10,[6]MONTVERST!A$5:F$39,3,0),0)</f>
        <v>0</v>
      </c>
      <c r="D10" s="14">
        <v>40000</v>
      </c>
      <c r="E10" s="15"/>
      <c r="F10" s="16">
        <f t="shared" si="0"/>
        <v>40000</v>
      </c>
      <c r="G10" s="16"/>
      <c r="H10" s="19"/>
      <c r="I10" s="30"/>
    </row>
    <row r="11" spans="1:9" ht="18" x14ac:dyDescent="0.25">
      <c r="A11" s="11" t="s">
        <v>11</v>
      </c>
      <c r="B11" s="12" t="str">
        <f>VLOOKUP(A11,[5]LISTADHERENT!A$5:H$39,3,0)</f>
        <v>DJOUKWE NANGUEN GUY BLAISE</v>
      </c>
      <c r="C11" s="13">
        <f>IF(I11="OK",VLOOKUP(A11,[6]MONTVERST!A$5:F$39,3,0),0)</f>
        <v>115000</v>
      </c>
      <c r="D11" s="14">
        <f>50000+35500</f>
        <v>85500</v>
      </c>
      <c r="E11" s="15"/>
      <c r="F11" s="16">
        <f t="shared" si="0"/>
        <v>200500</v>
      </c>
      <c r="G11" s="16"/>
      <c r="H11" s="19"/>
      <c r="I11" s="30" t="s">
        <v>84</v>
      </c>
    </row>
    <row r="12" spans="1:9" ht="18" x14ac:dyDescent="0.25">
      <c r="A12" s="11" t="s">
        <v>12</v>
      </c>
      <c r="B12" s="12" t="str">
        <f>VLOOKUP(A12,[5]LISTADHERENT!A$5:H$39,3,0)</f>
        <v>DJUOMBESSY ANTOINE</v>
      </c>
      <c r="C12" s="13">
        <f>IF(I12="OK",VLOOKUP(A12,[6]MONTVERST!A$5:F$39,3,0),0)+40000</f>
        <v>360000</v>
      </c>
      <c r="D12" s="14"/>
      <c r="E12" s="15"/>
      <c r="F12" s="16">
        <f t="shared" si="0"/>
        <v>360000</v>
      </c>
      <c r="G12" s="16"/>
      <c r="H12" s="19"/>
      <c r="I12" s="30" t="s">
        <v>84</v>
      </c>
    </row>
    <row r="13" spans="1:9" ht="18" x14ac:dyDescent="0.25">
      <c r="A13" s="11" t="s">
        <v>13</v>
      </c>
      <c r="B13" s="12" t="str">
        <f>VLOOKUP(A13,[5]LISTADHERENT!A$5:H$39,3,0)</f>
        <v>DOMOU FABIEN</v>
      </c>
      <c r="C13" s="13">
        <f>IF(I13="OK",VLOOKUP(A13,[6]MONTVERST!A$5:F$39,3,0),0)</f>
        <v>40000</v>
      </c>
      <c r="D13" s="14"/>
      <c r="E13" s="15"/>
      <c r="F13" s="16">
        <f t="shared" si="0"/>
        <v>40000</v>
      </c>
      <c r="G13" s="16"/>
      <c r="H13" s="19"/>
      <c r="I13" s="30" t="s">
        <v>84</v>
      </c>
    </row>
    <row r="14" spans="1:9" ht="18" x14ac:dyDescent="0.25">
      <c r="A14" s="11" t="s">
        <v>14</v>
      </c>
      <c r="B14" s="12" t="str">
        <f>VLOOKUP(A14,[5]LISTADHERENT!A$5:H$39,3,0)</f>
        <v>DONHOU DAVID</v>
      </c>
      <c r="C14" s="13">
        <f>IF(I14="OK",VLOOKUP(A14,[6]MONTVERST!A$5:F$39,3,0),0)</f>
        <v>40000</v>
      </c>
      <c r="D14" s="14"/>
      <c r="E14" s="15"/>
      <c r="F14" s="16">
        <f t="shared" si="0"/>
        <v>40000</v>
      </c>
      <c r="G14" s="16"/>
      <c r="H14" s="19"/>
      <c r="I14" s="30" t="s">
        <v>84</v>
      </c>
    </row>
    <row r="15" spans="1:9" ht="18" x14ac:dyDescent="0.25">
      <c r="A15" s="11" t="s">
        <v>15</v>
      </c>
      <c r="B15" s="12" t="str">
        <f>VLOOKUP(A15,[5]LISTADHERENT!A$5:H$39,3,0)</f>
        <v>HENGUE PAUL OMER</v>
      </c>
      <c r="C15" s="13">
        <f>IF(I15="OK",VLOOKUP(A15,[6]MONTVERST!A$5:F$39,3,0),0)</f>
        <v>115000</v>
      </c>
      <c r="D15" s="14"/>
      <c r="E15" s="15">
        <v>70000</v>
      </c>
      <c r="F15" s="16">
        <f t="shared" si="0"/>
        <v>185000</v>
      </c>
      <c r="G15" s="16"/>
      <c r="H15" s="19"/>
      <c r="I15" s="30" t="s">
        <v>84</v>
      </c>
    </row>
    <row r="16" spans="1:9" ht="18" x14ac:dyDescent="0.25">
      <c r="A16" s="11" t="s">
        <v>16</v>
      </c>
      <c r="B16" s="12" t="str">
        <f>VLOOKUP(A16,[5]LISTADHERENT!A$5:H$39,3,0)</f>
        <v>HOTCHO BENJAMIN</v>
      </c>
      <c r="C16" s="13">
        <f>IF(I16="OK",VLOOKUP(A16,[6]MONTVERST!A$5:F$39,3,0),0)</f>
        <v>250000</v>
      </c>
      <c r="D16" s="14"/>
      <c r="E16" s="15"/>
      <c r="F16" s="16">
        <f t="shared" si="0"/>
        <v>250000</v>
      </c>
      <c r="G16" s="16"/>
      <c r="H16" s="19"/>
      <c r="I16" s="30" t="s">
        <v>84</v>
      </c>
    </row>
    <row r="17" spans="1:9" ht="18" x14ac:dyDescent="0.25">
      <c r="A17" s="11" t="s">
        <v>17</v>
      </c>
      <c r="B17" s="12" t="str">
        <f>VLOOKUP(A17,[5]LISTADHERENT!A$5:H$39,3,0)</f>
        <v>KOUAMOU MOISE</v>
      </c>
      <c r="C17" s="13">
        <f>IF(I17="OK",VLOOKUP(A17,[6]MONTVERST!A$5:F$39,3,0),0)</f>
        <v>140000</v>
      </c>
      <c r="D17" s="14"/>
      <c r="E17" s="15"/>
      <c r="F17" s="16">
        <f t="shared" si="0"/>
        <v>140000</v>
      </c>
      <c r="G17" s="16"/>
      <c r="H17" s="19"/>
      <c r="I17" s="30" t="s">
        <v>84</v>
      </c>
    </row>
    <row r="18" spans="1:9" ht="18" x14ac:dyDescent="0.25">
      <c r="A18" s="11" t="s">
        <v>18</v>
      </c>
      <c r="B18" s="12" t="str">
        <f>VLOOKUP(A18,[5]LISTADHERENT!A$5:H$39,3,0)</f>
        <v>KOUATCHO MESSACK</v>
      </c>
      <c r="C18" s="13">
        <f>IF(I18="OK",VLOOKUP(A18,[6]MONTVERST!A$5:F$39,3,0),0)</f>
        <v>215000</v>
      </c>
      <c r="D18" s="14"/>
      <c r="E18" s="15"/>
      <c r="F18" s="16">
        <f t="shared" si="0"/>
        <v>215000</v>
      </c>
      <c r="G18" s="16"/>
      <c r="H18" s="19"/>
      <c r="I18" s="30" t="s">
        <v>84</v>
      </c>
    </row>
    <row r="19" spans="1:9" ht="18" x14ac:dyDescent="0.25">
      <c r="A19" s="11" t="s">
        <v>19</v>
      </c>
      <c r="B19" s="12" t="str">
        <f>VLOOKUP(A19,[5]LISTADHERENT!A$5:H$39,3,0)</f>
        <v>LOWE JEAN</v>
      </c>
      <c r="C19" s="13">
        <f>IF(I19="OK",VLOOKUP(A19,[6]MONTVERST!A$5:F$39,3,0),0)</f>
        <v>40000</v>
      </c>
      <c r="D19" s="14"/>
      <c r="E19" s="15"/>
      <c r="F19" s="16">
        <f t="shared" si="0"/>
        <v>40000</v>
      </c>
      <c r="G19" s="16"/>
      <c r="H19" s="19"/>
      <c r="I19" s="30" t="s">
        <v>84</v>
      </c>
    </row>
    <row r="20" spans="1:9" ht="18" x14ac:dyDescent="0.25">
      <c r="A20" s="11" t="s">
        <v>20</v>
      </c>
      <c r="B20" s="12" t="str">
        <f>VLOOKUP(A20,[5]LISTADHERENT!A$5:H$39,3,0)</f>
        <v>MBOGNING TUGMA GUY</v>
      </c>
      <c r="C20" s="13">
        <v>1021000</v>
      </c>
      <c r="D20" s="14"/>
      <c r="E20" s="15"/>
      <c r="F20" s="16">
        <f t="shared" si="0"/>
        <v>1021000</v>
      </c>
      <c r="G20" s="16"/>
      <c r="H20" s="19"/>
      <c r="I20" s="30" t="s">
        <v>84</v>
      </c>
    </row>
    <row r="21" spans="1:9" ht="18" x14ac:dyDescent="0.25">
      <c r="A21" s="11" t="s">
        <v>21</v>
      </c>
      <c r="B21" s="12" t="str">
        <f>VLOOKUP(A21,[5]LISTADHERENT!A$5:H$39,3,0)</f>
        <v>NANGUEN MARTIN</v>
      </c>
      <c r="C21" s="13">
        <f>IF(I21="OK",VLOOKUP(A21,[6]MONTVERST!A$5:F$39,3,0),0)</f>
        <v>40000</v>
      </c>
      <c r="D21" s="14"/>
      <c r="E21" s="15"/>
      <c r="F21" s="16">
        <f t="shared" si="0"/>
        <v>40000</v>
      </c>
      <c r="G21" s="16"/>
      <c r="H21" s="19"/>
      <c r="I21" s="30" t="s">
        <v>84</v>
      </c>
    </row>
    <row r="22" spans="1:9" ht="18" x14ac:dyDescent="0.25">
      <c r="A22" s="11" t="s">
        <v>22</v>
      </c>
      <c r="B22" s="12" t="str">
        <f>VLOOKUP(A22,[5]LISTADHERENT!A$5:H$39,3,0)</f>
        <v>NANKAM APPOLINAIRE</v>
      </c>
      <c r="C22" s="13">
        <f>IF(I22="OK",VLOOKUP(A22,[6]MONTVERST!A$5:F$39,3,0),0)</f>
        <v>115000</v>
      </c>
      <c r="D22" s="14"/>
      <c r="E22" s="15"/>
      <c r="F22" s="16">
        <f t="shared" si="0"/>
        <v>115000</v>
      </c>
      <c r="G22" s="16"/>
      <c r="H22" s="19"/>
      <c r="I22" s="30" t="s">
        <v>84</v>
      </c>
    </row>
    <row r="23" spans="1:9" ht="18" x14ac:dyDescent="0.25">
      <c r="A23" s="11" t="s">
        <v>23</v>
      </c>
      <c r="B23" s="12" t="str">
        <f>VLOOKUP(A23,[5]LISTADHERENT!A$5:H$39,3,0)</f>
        <v>NDJOMO ETIENNE</v>
      </c>
      <c r="C23" s="13">
        <f>IF(I23="OK",VLOOKUP(A23,[6]MONTVERST!A$5:F$39,3,0),0)</f>
        <v>250000</v>
      </c>
      <c r="D23" s="14"/>
      <c r="E23" s="15"/>
      <c r="F23" s="16">
        <f t="shared" si="0"/>
        <v>250000</v>
      </c>
      <c r="G23" s="16"/>
      <c r="H23" s="19"/>
      <c r="I23" s="30" t="s">
        <v>84</v>
      </c>
    </row>
    <row r="24" spans="1:9" ht="18" x14ac:dyDescent="0.25">
      <c r="A24" s="11" t="s">
        <v>24</v>
      </c>
      <c r="B24" s="12" t="str">
        <f>VLOOKUP(A24,[5]LISTADHERENT!A$5:H$39,3,0)</f>
        <v>NGONDIEP CLAUDE</v>
      </c>
      <c r="C24" s="13">
        <v>220000</v>
      </c>
      <c r="D24" s="14"/>
      <c r="E24" s="15"/>
      <c r="F24" s="16">
        <f t="shared" si="0"/>
        <v>220000</v>
      </c>
      <c r="G24" s="16"/>
      <c r="H24" s="19"/>
      <c r="I24" s="30" t="s">
        <v>84</v>
      </c>
    </row>
    <row r="25" spans="1:9" ht="18" x14ac:dyDescent="0.25">
      <c r="A25" s="11" t="s">
        <v>25</v>
      </c>
      <c r="B25" s="12" t="str">
        <f>VLOOKUP(A25,[5]LISTADHERENT!A$5:H$39,3,0)</f>
        <v>NGUIEMEGNI MATHIEU BLAISE</v>
      </c>
      <c r="C25" s="13">
        <v>400000</v>
      </c>
      <c r="D25" s="14"/>
      <c r="E25" s="15"/>
      <c r="F25" s="16">
        <f t="shared" si="0"/>
        <v>400000</v>
      </c>
      <c r="G25" s="16"/>
      <c r="H25" s="19"/>
      <c r="I25" s="30" t="s">
        <v>84</v>
      </c>
    </row>
    <row r="26" spans="1:9" ht="18" x14ac:dyDescent="0.25">
      <c r="A26" s="11" t="s">
        <v>26</v>
      </c>
      <c r="B26" s="12" t="str">
        <f>VLOOKUP(A26,[5]LISTADHERENT!A$5:H$39,3,0)</f>
        <v>NKAMGANG JUSTIN DEJOLIE</v>
      </c>
      <c r="C26" s="13">
        <f>IF(I26="OK",VLOOKUP(A26,[6]MONTVERST!A$5:F$39,3,0),0)</f>
        <v>0</v>
      </c>
      <c r="D26" s="14">
        <f>43000</f>
        <v>43000</v>
      </c>
      <c r="E26" s="15"/>
      <c r="F26" s="16">
        <f t="shared" si="0"/>
        <v>43000</v>
      </c>
      <c r="G26" s="16"/>
      <c r="H26" s="19"/>
      <c r="I26" s="30"/>
    </row>
    <row r="27" spans="1:9" ht="18" x14ac:dyDescent="0.25">
      <c r="A27" s="11" t="s">
        <v>66</v>
      </c>
      <c r="B27" s="12" t="str">
        <f>VLOOKUP(A27,[5]LISTADHERENT!A$5:H$39,3,0)</f>
        <v>NOUBE ETIENNE</v>
      </c>
      <c r="C27" s="13">
        <f>IF(I27="OK",VLOOKUP(A27,[6]MONTVERST!A$5:F$39,3,0),0)</f>
        <v>50000</v>
      </c>
      <c r="D27" s="14"/>
      <c r="E27" s="15"/>
      <c r="F27" s="16">
        <f>SUM(C27:E27)</f>
        <v>50000</v>
      </c>
      <c r="G27" s="16"/>
      <c r="H27" s="19"/>
      <c r="I27" s="30" t="s">
        <v>84</v>
      </c>
    </row>
    <row r="28" spans="1:9" ht="18" x14ac:dyDescent="0.25">
      <c r="A28" s="11" t="s">
        <v>27</v>
      </c>
      <c r="B28" s="12" t="str">
        <f>VLOOKUP(A28,[5]LISTADHERENT!A$5:H$39,3,0)</f>
        <v>PATEGO NJOSSU GUSTAVE</v>
      </c>
      <c r="C28" s="13">
        <f>IF(I28="OK",VLOOKUP(A28,[6]MONTVERST!A$5:F$39,3,0),0)</f>
        <v>115000</v>
      </c>
      <c r="D28" s="14"/>
      <c r="E28" s="15"/>
      <c r="F28" s="16">
        <f t="shared" si="0"/>
        <v>115000</v>
      </c>
      <c r="G28" s="16"/>
      <c r="H28" s="19"/>
      <c r="I28" s="30" t="s">
        <v>84</v>
      </c>
    </row>
    <row r="29" spans="1:9" ht="18" x14ac:dyDescent="0.25">
      <c r="A29" s="11" t="s">
        <v>67</v>
      </c>
      <c r="B29" s="12" t="str">
        <f>VLOOKUP(A29,[5]LISTADHERENT!A$5:H$39,3,0)</f>
        <v>SEUMO POLYCARPE</v>
      </c>
      <c r="C29" s="13">
        <f>IF(I29="OK",VLOOKUP(A29,[6]MONTVERST!A$5:F$39,3,0),0)</f>
        <v>40000</v>
      </c>
      <c r="D29" s="14"/>
      <c r="E29" s="15"/>
      <c r="F29" s="16">
        <f t="shared" si="0"/>
        <v>40000</v>
      </c>
      <c r="G29" s="16"/>
      <c r="H29" s="19"/>
      <c r="I29" s="30" t="s">
        <v>84</v>
      </c>
    </row>
    <row r="30" spans="1:9" ht="18" x14ac:dyDescent="0.25">
      <c r="A30" s="11" t="s">
        <v>28</v>
      </c>
      <c r="B30" s="12" t="str">
        <f>VLOOKUP(A30,[5]LISTADHERENT!A$5:H$39,3,0)</f>
        <v>SIME BRICE</v>
      </c>
      <c r="C30" s="13">
        <f>IF(I30="OK",VLOOKUP(A30,[6]MONTVERST!A$5:F$39,3,0),0)</f>
        <v>115000</v>
      </c>
      <c r="D30" s="14"/>
      <c r="E30" s="15"/>
      <c r="F30" s="16">
        <f t="shared" si="0"/>
        <v>115000</v>
      </c>
      <c r="G30" s="16"/>
      <c r="H30" s="19"/>
      <c r="I30" s="30" t="s">
        <v>84</v>
      </c>
    </row>
    <row r="31" spans="1:9" ht="18" x14ac:dyDescent="0.25">
      <c r="A31" s="11" t="s">
        <v>29</v>
      </c>
      <c r="B31" s="12" t="str">
        <f>VLOOKUP(A31,[5]LISTADHERENT!A$5:H$39,3,0)</f>
        <v>SIMO PIERRE</v>
      </c>
      <c r="C31" s="13">
        <f>IF(I31="OK",VLOOKUP(A31,[6]MONTVERST!A$5:F$39,3,0),0)</f>
        <v>140000</v>
      </c>
      <c r="D31" s="14"/>
      <c r="E31" s="15"/>
      <c r="F31" s="16">
        <f t="shared" si="0"/>
        <v>140000</v>
      </c>
      <c r="G31" s="16"/>
      <c r="H31" s="19"/>
      <c r="I31" s="30" t="s">
        <v>84</v>
      </c>
    </row>
    <row r="32" spans="1:9" ht="18" x14ac:dyDescent="0.25">
      <c r="A32" s="11" t="s">
        <v>30</v>
      </c>
      <c r="B32" s="12" t="str">
        <f>VLOOKUP(A32,[5]LISTADHERENT!A$5:H$39,3,0)</f>
        <v>TCHOUAMOU MATHIEU</v>
      </c>
      <c r="C32" s="13">
        <f>IF(I32="OK",VLOOKUP(A32,[6]MONTVERST!A$5:F$39,3,0),0)</f>
        <v>115000</v>
      </c>
      <c r="D32" s="14">
        <v>102000</v>
      </c>
      <c r="E32" s="15">
        <f>70000</f>
        <v>70000</v>
      </c>
      <c r="F32" s="16">
        <f t="shared" si="0"/>
        <v>287000</v>
      </c>
      <c r="G32" s="16"/>
      <c r="H32" s="19"/>
      <c r="I32" s="30" t="s">
        <v>84</v>
      </c>
    </row>
    <row r="33" spans="1:9" ht="18" x14ac:dyDescent="0.25">
      <c r="A33" s="11" t="s">
        <v>65</v>
      </c>
      <c r="B33" s="12" t="str">
        <f>VLOOKUP(A33,[5]LISTADHERENT!A$5:H$39,3,0)</f>
        <v>TCHOUTOU NANA CLAUDE</v>
      </c>
      <c r="C33" s="13">
        <f>IF(I33="OK",VLOOKUP(A33,[6]MONTVERST!A$5:F$39,3,0),0)</f>
        <v>40000</v>
      </c>
      <c r="D33" s="14"/>
      <c r="E33" s="15"/>
      <c r="F33" s="16">
        <f t="shared" si="0"/>
        <v>40000</v>
      </c>
      <c r="G33" s="16"/>
      <c r="H33" s="19"/>
      <c r="I33" s="30" t="s">
        <v>84</v>
      </c>
    </row>
    <row r="34" spans="1:9" ht="18" x14ac:dyDescent="0.25">
      <c r="A34" s="11" t="s">
        <v>68</v>
      </c>
      <c r="B34" s="12" t="str">
        <f>VLOOKUP(A34,[5]LISTADHERENT!A$5:H$39,3,0)</f>
        <v>YANTCHOU GERVAIS</v>
      </c>
      <c r="C34" s="13">
        <f>IF(I34="OK",VLOOKUP(A34,[6]MONTVERST!A$5:F$39,3,0),0)</f>
        <v>100000</v>
      </c>
      <c r="D34" s="14"/>
      <c r="E34" s="15"/>
      <c r="F34" s="16">
        <f t="shared" si="0"/>
        <v>100000</v>
      </c>
      <c r="G34" s="16"/>
      <c r="H34" s="19"/>
      <c r="I34" s="30" t="s">
        <v>84</v>
      </c>
    </row>
    <row r="35" spans="1:9" ht="18" x14ac:dyDescent="0.25">
      <c r="A35" s="11" t="s">
        <v>31</v>
      </c>
      <c r="B35" s="12" t="str">
        <f>VLOOKUP(A35,[5]LISTADHERENT!A$5:H$39,3,0)</f>
        <v>YEPMOU JEAN JACQUES</v>
      </c>
      <c r="C35" s="13">
        <f>IF(I35="OK",VLOOKUP(A35,[6]MONTVERST!A$5:F$39,3,0),0)</f>
        <v>40000</v>
      </c>
      <c r="D35" s="14"/>
      <c r="E35" s="15"/>
      <c r="F35" s="16">
        <f t="shared" si="0"/>
        <v>40000</v>
      </c>
      <c r="G35" s="16"/>
      <c r="H35" s="19"/>
      <c r="I35" s="30" t="s">
        <v>84</v>
      </c>
    </row>
    <row r="36" spans="1:9" ht="18" x14ac:dyDescent="0.25">
      <c r="A36" s="11" t="s">
        <v>32</v>
      </c>
      <c r="B36" s="12" t="str">
        <f>VLOOKUP(A36,[5]LISTADHERENT!A$5:H$39,3,0)</f>
        <v>YOUMBI EMMANUEL</v>
      </c>
      <c r="C36" s="13">
        <f>IF(I36="OK",VLOOKUP(A36,[6]MONTVERST!A$5:F$39,3,0),0)</f>
        <v>290000</v>
      </c>
      <c r="D36" s="14"/>
      <c r="E36" s="15"/>
      <c r="F36" s="16">
        <f t="shared" si="0"/>
        <v>290000</v>
      </c>
      <c r="G36" s="16"/>
      <c r="H36" s="19"/>
      <c r="I36" s="30" t="s">
        <v>84</v>
      </c>
    </row>
    <row r="37" spans="1:9" x14ac:dyDescent="0.25">
      <c r="A37" s="17"/>
      <c r="B37" s="18"/>
      <c r="C37" s="18"/>
      <c r="D37" s="18"/>
      <c r="E37" s="18"/>
      <c r="F37" s="18"/>
      <c r="G37" s="18"/>
      <c r="H37" s="19"/>
      <c r="I37" s="19"/>
    </row>
    <row r="38" spans="1:9" ht="18.75" thickBot="1" x14ac:dyDescent="0.3">
      <c r="A38" s="20"/>
      <c r="B38" s="21" t="s">
        <v>33</v>
      </c>
      <c r="C38" s="22">
        <f>SUM(C7:C37)</f>
        <v>4802000</v>
      </c>
      <c r="D38" s="22">
        <f t="shared" ref="D38:G38" si="1">SUM(D7:D37)</f>
        <v>391500</v>
      </c>
      <c r="E38" s="22">
        <f t="shared" si="1"/>
        <v>280000</v>
      </c>
      <c r="F38" s="22">
        <f t="shared" si="1"/>
        <v>5473500</v>
      </c>
      <c r="G38" s="22">
        <f t="shared" si="1"/>
        <v>0</v>
      </c>
      <c r="H38" s="23">
        <f t="shared" ref="H38" si="2">SUM(H8:H37)</f>
        <v>0</v>
      </c>
      <c r="I38" s="31"/>
    </row>
    <row r="39" spans="1:9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D9" sqref="D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  <col min="9" max="9" width="12.5703125" customWidth="1"/>
  </cols>
  <sheetData>
    <row r="1" spans="1:9" ht="21" x14ac:dyDescent="0.35">
      <c r="A1" s="1" t="s">
        <v>2</v>
      </c>
      <c r="B1" s="1" t="s">
        <v>3</v>
      </c>
      <c r="C1" s="25" t="s">
        <v>77</v>
      </c>
    </row>
    <row r="2" spans="1:9" x14ac:dyDescent="0.25">
      <c r="A2" s="1" t="s">
        <v>4</v>
      </c>
      <c r="B2" s="1">
        <v>2023</v>
      </c>
    </row>
    <row r="3" spans="1:9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9" ht="29.25" thickBot="1" x14ac:dyDescent="0.5">
      <c r="B4" s="36" t="s">
        <v>61</v>
      </c>
      <c r="C4" s="34"/>
      <c r="D4" s="34"/>
      <c r="E4" s="34"/>
      <c r="F4" s="3"/>
    </row>
    <row r="5" spans="1:9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  <c r="I5" s="24" t="s">
        <v>83</v>
      </c>
    </row>
    <row r="6" spans="1:9" ht="18" x14ac:dyDescent="0.25">
      <c r="A6" s="11" t="s">
        <v>63</v>
      </c>
      <c r="B6" s="12" t="str">
        <f>VLOOKUP(A6,[5]LISTADHERENT!A$5:H$39,3,0)</f>
        <v>ASELBY</v>
      </c>
      <c r="C6" s="13">
        <f>IF(I6="OK",VLOOKUP(A6,[6]MONTVERST!A$5:F$39,3,0),0)</f>
        <v>175000</v>
      </c>
      <c r="D6" s="14"/>
      <c r="E6" s="15"/>
      <c r="F6" s="16">
        <f>SUM(C6:E6)</f>
        <v>175000</v>
      </c>
      <c r="G6" s="16"/>
      <c r="H6" s="19"/>
      <c r="I6" s="30" t="s">
        <v>84</v>
      </c>
    </row>
    <row r="7" spans="1:9" ht="18" x14ac:dyDescent="0.25">
      <c r="A7" s="11" t="s">
        <v>69</v>
      </c>
      <c r="B7" s="12" t="str">
        <f>VLOOKUP(A7,[5]LISTADHERENT!A$5:H$39,3,0)</f>
        <v>BAKOP ACHILLE</v>
      </c>
      <c r="C7" s="13">
        <f>IF(I7="OK",VLOOKUP(A7,[6]MONTVERST!A$5:F$39,3,0),0)</f>
        <v>40000</v>
      </c>
      <c r="D7" s="14"/>
      <c r="E7" s="15"/>
      <c r="F7" s="16">
        <f t="shared" ref="F7:F36" si="0">SUM(C7:E7)</f>
        <v>40000</v>
      </c>
      <c r="G7" s="16"/>
      <c r="H7" s="19"/>
      <c r="I7" s="30" t="s">
        <v>84</v>
      </c>
    </row>
    <row r="8" spans="1:9" ht="18" x14ac:dyDescent="0.25">
      <c r="A8" s="11" t="s">
        <v>8</v>
      </c>
      <c r="B8" s="12" t="str">
        <f>VLOOKUP(A8,[5]LISTADHERENT!A$5:H$39,3,0)</f>
        <v>BOUTCHOUANG WILLIAM</v>
      </c>
      <c r="C8" s="13">
        <f>IF(I8="OK",VLOOKUP(A8,[6]MONTVERST!A$5:F$39,3,0),0)</f>
        <v>115000</v>
      </c>
      <c r="D8" s="14"/>
      <c r="E8" s="15"/>
      <c r="F8" s="16">
        <f t="shared" si="0"/>
        <v>115000</v>
      </c>
      <c r="G8" s="16"/>
      <c r="H8" s="19"/>
      <c r="I8" s="30" t="s">
        <v>84</v>
      </c>
    </row>
    <row r="9" spans="1:9" ht="18" x14ac:dyDescent="0.25">
      <c r="A9" s="11" t="s">
        <v>9</v>
      </c>
      <c r="B9" s="12" t="str">
        <f>VLOOKUP(A9,[5]LISTADHERENT!A$5:H$39,3,0)</f>
        <v xml:space="preserve">DJOMO JEAN PAUL </v>
      </c>
      <c r="C9" s="13">
        <f>IF(I9="OK",VLOOKUP(A9,[6]MONTVERST!A$5:F$39,3,0),0)</f>
        <v>140000</v>
      </c>
      <c r="D9" s="14">
        <v>202000</v>
      </c>
      <c r="E9" s="15"/>
      <c r="F9" s="16">
        <f t="shared" si="0"/>
        <v>342000</v>
      </c>
      <c r="G9" s="16"/>
      <c r="H9" s="19"/>
      <c r="I9" s="30" t="s">
        <v>84</v>
      </c>
    </row>
    <row r="10" spans="1:9" ht="18" x14ac:dyDescent="0.25">
      <c r="A10" s="11" t="s">
        <v>10</v>
      </c>
      <c r="B10" s="12" t="str">
        <f>VLOOKUP(A10,[5]LISTADHERENT!A$5:H$39,3,0)</f>
        <v>DJOMOU TCHAPDA</v>
      </c>
      <c r="C10" s="13">
        <f>IF(I10="OK",VLOOKUP(A10,[6]MONTVERST!A$5:F$39,3,0),0)</f>
        <v>0</v>
      </c>
      <c r="D10" s="14">
        <v>43000</v>
      </c>
      <c r="E10" s="15"/>
      <c r="F10" s="16">
        <f t="shared" si="0"/>
        <v>43000</v>
      </c>
      <c r="G10" s="16"/>
      <c r="H10" s="19"/>
      <c r="I10" s="30"/>
    </row>
    <row r="11" spans="1:9" ht="18" x14ac:dyDescent="0.25">
      <c r="A11" s="11" t="s">
        <v>11</v>
      </c>
      <c r="B11" s="12" t="str">
        <f>VLOOKUP(A11,[5]LISTADHERENT!A$5:H$39,3,0)</f>
        <v>DJOUKWE NANGUEN GUY BLAISE</v>
      </c>
      <c r="C11" s="13">
        <f>IF(I11="OK",VLOOKUP(A11,[6]MONTVERST!A$5:F$39,3,0),0)</f>
        <v>115000</v>
      </c>
      <c r="D11" s="14"/>
      <c r="E11" s="15"/>
      <c r="F11" s="16">
        <f t="shared" si="0"/>
        <v>115000</v>
      </c>
      <c r="G11" s="16"/>
      <c r="H11" s="19"/>
      <c r="I11" s="30" t="s">
        <v>84</v>
      </c>
    </row>
    <row r="12" spans="1:9" ht="18" x14ac:dyDescent="0.25">
      <c r="A12" s="11" t="s">
        <v>12</v>
      </c>
      <c r="B12" s="12" t="str">
        <f>VLOOKUP(A12,[5]LISTADHERENT!A$5:H$39,3,0)</f>
        <v>DJUOMBESSY ANTOINE</v>
      </c>
      <c r="C12" s="13">
        <f>IF(I12="OK",VLOOKUP(A12,[6]MONTVERST!A$5:F$39,3,0),0)</f>
        <v>320000</v>
      </c>
      <c r="D12" s="14"/>
      <c r="E12" s="15"/>
      <c r="F12" s="16">
        <f t="shared" si="0"/>
        <v>320000</v>
      </c>
      <c r="G12" s="16"/>
      <c r="H12" s="19"/>
      <c r="I12" s="30" t="s">
        <v>84</v>
      </c>
    </row>
    <row r="13" spans="1:9" ht="18" x14ac:dyDescent="0.25">
      <c r="A13" s="11" t="s">
        <v>13</v>
      </c>
      <c r="B13" s="12" t="str">
        <f>VLOOKUP(A13,[5]LISTADHERENT!A$5:H$39,3,0)</f>
        <v>DOMOU FABIEN</v>
      </c>
      <c r="C13" s="13">
        <f>IF(I13="OK",VLOOKUP(A13,[6]MONTVERST!A$5:F$39,3,0),0)</f>
        <v>40000</v>
      </c>
      <c r="D13" s="14"/>
      <c r="E13" s="15"/>
      <c r="F13" s="16">
        <f t="shared" si="0"/>
        <v>40000</v>
      </c>
      <c r="G13" s="16"/>
      <c r="H13" s="19"/>
      <c r="I13" s="30" t="s">
        <v>84</v>
      </c>
    </row>
    <row r="14" spans="1:9" ht="18" x14ac:dyDescent="0.25">
      <c r="A14" s="11" t="s">
        <v>14</v>
      </c>
      <c r="B14" s="12" t="str">
        <f>VLOOKUP(A14,[5]LISTADHERENT!A$5:H$39,3,0)</f>
        <v>DONHOU DAVID</v>
      </c>
      <c r="C14" s="13">
        <f>IF(I14="OK",VLOOKUP(A14,[6]MONTVERST!A$5:F$39,3,0),0)</f>
        <v>40000</v>
      </c>
      <c r="D14" s="14"/>
      <c r="E14" s="15"/>
      <c r="F14" s="16">
        <f t="shared" si="0"/>
        <v>40000</v>
      </c>
      <c r="G14" s="16"/>
      <c r="H14" s="19"/>
      <c r="I14" s="30" t="s">
        <v>84</v>
      </c>
    </row>
    <row r="15" spans="1:9" ht="18" x14ac:dyDescent="0.25">
      <c r="A15" s="11" t="s">
        <v>15</v>
      </c>
      <c r="B15" s="12" t="str">
        <f>VLOOKUP(A15,[5]LISTADHERENT!A$5:H$39,3,0)</f>
        <v>HENGUE PAUL OMER</v>
      </c>
      <c r="C15" s="13">
        <f>IF(I15="OK",VLOOKUP(A15,[6]MONTVERST!A$5:F$39,3,0),0)</f>
        <v>115000</v>
      </c>
      <c r="D15" s="14"/>
      <c r="E15" s="15"/>
      <c r="F15" s="16">
        <f t="shared" si="0"/>
        <v>115000</v>
      </c>
      <c r="G15" s="16"/>
      <c r="H15" s="19"/>
      <c r="I15" s="30" t="s">
        <v>84</v>
      </c>
    </row>
    <row r="16" spans="1:9" ht="18" x14ac:dyDescent="0.25">
      <c r="A16" s="11" t="s">
        <v>16</v>
      </c>
      <c r="B16" s="12" t="str">
        <f>VLOOKUP(A16,[5]LISTADHERENT!A$5:H$39,3,0)</f>
        <v>HOTCHO BENJAMIN</v>
      </c>
      <c r="C16" s="13">
        <f>IF(I16="OK",VLOOKUP(A16,[6]MONTVERST!A$5:F$39,3,0),0)</f>
        <v>250000</v>
      </c>
      <c r="D16" s="14"/>
      <c r="E16" s="15"/>
      <c r="F16" s="16">
        <f t="shared" si="0"/>
        <v>250000</v>
      </c>
      <c r="G16" s="16"/>
      <c r="H16" s="19"/>
      <c r="I16" s="30" t="s">
        <v>84</v>
      </c>
    </row>
    <row r="17" spans="1:9" ht="18" x14ac:dyDescent="0.25">
      <c r="A17" s="11" t="s">
        <v>17</v>
      </c>
      <c r="B17" s="12" t="str">
        <f>VLOOKUP(A17,[5]LISTADHERENT!A$5:H$39,3,0)</f>
        <v>KOUAMOU MOISE</v>
      </c>
      <c r="C17" s="13">
        <v>241000</v>
      </c>
      <c r="D17" s="14"/>
      <c r="E17" s="15"/>
      <c r="F17" s="16">
        <f t="shared" si="0"/>
        <v>241000</v>
      </c>
      <c r="G17" s="16"/>
      <c r="H17" s="19"/>
      <c r="I17" s="30" t="s">
        <v>84</v>
      </c>
    </row>
    <row r="18" spans="1:9" ht="18" x14ac:dyDescent="0.25">
      <c r="A18" s="11" t="s">
        <v>18</v>
      </c>
      <c r="B18" s="12" t="str">
        <f>VLOOKUP(A18,[5]LISTADHERENT!A$5:H$39,3,0)</f>
        <v>KOUATCHO MESSACK</v>
      </c>
      <c r="C18" s="13">
        <f>IF(I18="OK",VLOOKUP(A18,[6]MONTVERST!A$5:F$39,3,0),0)</f>
        <v>215000</v>
      </c>
      <c r="D18" s="14"/>
      <c r="E18" s="15"/>
      <c r="F18" s="16">
        <f t="shared" si="0"/>
        <v>215000</v>
      </c>
      <c r="G18" s="16"/>
      <c r="H18" s="19"/>
      <c r="I18" s="30" t="s">
        <v>84</v>
      </c>
    </row>
    <row r="19" spans="1:9" ht="18" x14ac:dyDescent="0.25">
      <c r="A19" s="11" t="s">
        <v>19</v>
      </c>
      <c r="B19" s="12" t="str">
        <f>VLOOKUP(A19,[5]LISTADHERENT!A$5:H$39,3,0)</f>
        <v>LOWE JEAN</v>
      </c>
      <c r="C19" s="13">
        <v>340000</v>
      </c>
      <c r="D19" s="14"/>
      <c r="E19" s="15"/>
      <c r="F19" s="16">
        <f t="shared" si="0"/>
        <v>340000</v>
      </c>
      <c r="G19" s="16"/>
      <c r="H19" s="19"/>
      <c r="I19" s="30" t="s">
        <v>84</v>
      </c>
    </row>
    <row r="20" spans="1:9" ht="18" x14ac:dyDescent="0.25">
      <c r="A20" s="11" t="s">
        <v>20</v>
      </c>
      <c r="B20" s="12" t="str">
        <f>VLOOKUP(A20,[5]LISTADHERENT!A$5:H$39,3,0)</f>
        <v>MBOGNING TUGMA GUY</v>
      </c>
      <c r="C20" s="13">
        <v>586500</v>
      </c>
      <c r="D20" s="14"/>
      <c r="E20" s="15"/>
      <c r="F20" s="16">
        <f t="shared" si="0"/>
        <v>586500</v>
      </c>
      <c r="G20" s="16"/>
      <c r="H20" s="19"/>
      <c r="I20" s="30" t="s">
        <v>84</v>
      </c>
    </row>
    <row r="21" spans="1:9" ht="18" x14ac:dyDescent="0.25">
      <c r="A21" s="11" t="s">
        <v>21</v>
      </c>
      <c r="B21" s="12" t="str">
        <f>VLOOKUP(A21,[5]LISTADHERENT!A$5:H$39,3,0)</f>
        <v>NANGUEN MARTIN</v>
      </c>
      <c r="C21" s="13">
        <f>IF(I21="OK",VLOOKUP(A21,[6]MONTVERST!A$5:F$39,3,0),0)</f>
        <v>40000</v>
      </c>
      <c r="D21" s="14"/>
      <c r="E21" s="15">
        <v>70000</v>
      </c>
      <c r="F21" s="16">
        <f t="shared" si="0"/>
        <v>110000</v>
      </c>
      <c r="G21" s="16"/>
      <c r="H21" s="19"/>
      <c r="I21" s="30" t="s">
        <v>84</v>
      </c>
    </row>
    <row r="22" spans="1:9" ht="18" x14ac:dyDescent="0.25">
      <c r="A22" s="11" t="s">
        <v>22</v>
      </c>
      <c r="B22" s="12" t="str">
        <f>VLOOKUP(A22,[5]LISTADHERENT!A$5:H$39,3,0)</f>
        <v>NANKAM APPOLINAIRE</v>
      </c>
      <c r="C22" s="13">
        <f>IF(I22="OK",VLOOKUP(A22,[6]MONTVERST!A$5:F$39,3,0),0)</f>
        <v>115000</v>
      </c>
      <c r="D22" s="14"/>
      <c r="E22" s="15"/>
      <c r="F22" s="16">
        <f t="shared" si="0"/>
        <v>115000</v>
      </c>
      <c r="G22" s="16"/>
      <c r="H22" s="19"/>
      <c r="I22" s="30" t="s">
        <v>84</v>
      </c>
    </row>
    <row r="23" spans="1:9" ht="18" x14ac:dyDescent="0.25">
      <c r="A23" s="11" t="s">
        <v>23</v>
      </c>
      <c r="B23" s="12" t="str">
        <f>VLOOKUP(A23,[5]LISTADHERENT!A$5:H$39,3,0)</f>
        <v>NDJOMO ETIENNE</v>
      </c>
      <c r="C23" s="13">
        <v>270000</v>
      </c>
      <c r="D23" s="14"/>
      <c r="E23" s="15"/>
      <c r="F23" s="16">
        <f t="shared" si="0"/>
        <v>270000</v>
      </c>
      <c r="G23" s="16"/>
      <c r="H23" s="19"/>
      <c r="I23" s="30" t="s">
        <v>84</v>
      </c>
    </row>
    <row r="24" spans="1:9" ht="18" x14ac:dyDescent="0.25">
      <c r="A24" s="11" t="s">
        <v>24</v>
      </c>
      <c r="B24" s="12" t="str">
        <f>VLOOKUP(A24,[5]LISTADHERENT!A$5:H$39,3,0)</f>
        <v>NGONDIEP CLAUDE</v>
      </c>
      <c r="C24" s="13">
        <v>320000</v>
      </c>
      <c r="D24" s="14"/>
      <c r="E24" s="15"/>
      <c r="F24" s="16">
        <f t="shared" si="0"/>
        <v>320000</v>
      </c>
      <c r="G24" s="16"/>
      <c r="H24" s="19"/>
      <c r="I24" s="30" t="s">
        <v>84</v>
      </c>
    </row>
    <row r="25" spans="1:9" ht="18" x14ac:dyDescent="0.25">
      <c r="A25" s="11" t="s">
        <v>25</v>
      </c>
      <c r="B25" s="12" t="str">
        <f>VLOOKUP(A25,[5]LISTADHERENT!A$5:H$39,3,0)</f>
        <v>NGUIEMEGNI MATHIEU BLAISE</v>
      </c>
      <c r="C25" s="13">
        <v>400000</v>
      </c>
      <c r="D25" s="14"/>
      <c r="E25" s="15"/>
      <c r="F25" s="16">
        <f t="shared" si="0"/>
        <v>400000</v>
      </c>
      <c r="G25" s="16"/>
      <c r="H25" s="19"/>
      <c r="I25" s="30" t="s">
        <v>84</v>
      </c>
    </row>
    <row r="26" spans="1:9" ht="18" x14ac:dyDescent="0.25">
      <c r="A26" s="11" t="s">
        <v>26</v>
      </c>
      <c r="B26" s="12" t="str">
        <f>VLOOKUP(A26,[5]LISTADHERENT!A$5:H$39,3,0)</f>
        <v>NKAMGANG JUSTIN DEJOLIE</v>
      </c>
      <c r="C26" s="13">
        <v>116000</v>
      </c>
      <c r="D26" s="14"/>
      <c r="E26" s="15"/>
      <c r="F26" s="16">
        <f t="shared" si="0"/>
        <v>116000</v>
      </c>
      <c r="G26" s="16"/>
      <c r="H26" s="19"/>
      <c r="I26" s="30" t="s">
        <v>84</v>
      </c>
    </row>
    <row r="27" spans="1:9" ht="18" x14ac:dyDescent="0.25">
      <c r="A27" s="11" t="s">
        <v>66</v>
      </c>
      <c r="B27" s="12" t="str">
        <f>VLOOKUP(A27,[5]LISTADHERENT!A$5:H$39,3,0)</f>
        <v>NOUBE ETIENNE</v>
      </c>
      <c r="C27" s="13">
        <f>IF(I27="OK",VLOOKUP(A27,[6]MONTVERST!A$5:F$39,3,0),0)</f>
        <v>50000</v>
      </c>
      <c r="D27" s="14"/>
      <c r="E27" s="15"/>
      <c r="F27" s="16">
        <f>SUM(C27:E27)</f>
        <v>50000</v>
      </c>
      <c r="G27" s="16"/>
      <c r="H27" s="19"/>
      <c r="I27" s="30" t="s">
        <v>84</v>
      </c>
    </row>
    <row r="28" spans="1:9" ht="18" x14ac:dyDescent="0.25">
      <c r="A28" s="11" t="s">
        <v>27</v>
      </c>
      <c r="B28" s="12" t="str">
        <f>VLOOKUP(A28,[5]LISTADHERENT!A$5:H$39,3,0)</f>
        <v>PATEGO NJOSSU GUSTAVE</v>
      </c>
      <c r="C28" s="13">
        <f>IF(I28="OK",VLOOKUP(A28,[6]MONTVERST!A$5:F$39,3,0),0)</f>
        <v>115000</v>
      </c>
      <c r="D28" s="14"/>
      <c r="E28" s="15"/>
      <c r="F28" s="16">
        <f t="shared" si="0"/>
        <v>115000</v>
      </c>
      <c r="G28" s="16"/>
      <c r="H28" s="19"/>
      <c r="I28" s="30" t="s">
        <v>84</v>
      </c>
    </row>
    <row r="29" spans="1:9" ht="18" x14ac:dyDescent="0.25">
      <c r="A29" s="11" t="s">
        <v>67</v>
      </c>
      <c r="B29" s="12" t="str">
        <f>VLOOKUP(A29,[5]LISTADHERENT!A$5:H$39,3,0)</f>
        <v>SEUMO POLYCARPE</v>
      </c>
      <c r="C29" s="13">
        <f>IF(I29="OK",VLOOKUP(A29,[6]MONTVERST!A$5:F$39,3,0),0)</f>
        <v>40000</v>
      </c>
      <c r="D29" s="14"/>
      <c r="E29" s="15"/>
      <c r="F29" s="16">
        <f t="shared" si="0"/>
        <v>40000</v>
      </c>
      <c r="G29" s="16"/>
      <c r="H29" s="19"/>
      <c r="I29" s="30" t="s">
        <v>84</v>
      </c>
    </row>
    <row r="30" spans="1:9" ht="18" x14ac:dyDescent="0.25">
      <c r="A30" s="11" t="s">
        <v>28</v>
      </c>
      <c r="B30" s="12" t="str">
        <f>VLOOKUP(A30,[5]LISTADHERENT!A$5:H$39,3,0)</f>
        <v>SIME BRICE</v>
      </c>
      <c r="C30" s="13">
        <f>IF(I30="OK",VLOOKUP(A30,[6]MONTVERST!A$5:F$39,3,0),0)</f>
        <v>115000</v>
      </c>
      <c r="D30" s="14"/>
      <c r="E30" s="15">
        <v>70000</v>
      </c>
      <c r="F30" s="16">
        <f t="shared" si="0"/>
        <v>185000</v>
      </c>
      <c r="G30" s="16"/>
      <c r="H30" s="19"/>
      <c r="I30" s="30" t="s">
        <v>84</v>
      </c>
    </row>
    <row r="31" spans="1:9" ht="18" x14ac:dyDescent="0.25">
      <c r="A31" s="11" t="s">
        <v>29</v>
      </c>
      <c r="B31" s="12" t="str">
        <f>VLOOKUP(A31,[5]LISTADHERENT!A$5:H$39,3,0)</f>
        <v>SIMO PIERRE</v>
      </c>
      <c r="C31" s="13">
        <f>IF(I31="OK",VLOOKUP(A31,[6]MONTVERST!A$5:F$39,3,0),0)</f>
        <v>140000</v>
      </c>
      <c r="D31" s="14"/>
      <c r="E31" s="15"/>
      <c r="F31" s="16">
        <f t="shared" si="0"/>
        <v>140000</v>
      </c>
      <c r="G31" s="16"/>
      <c r="H31" s="19"/>
      <c r="I31" s="30" t="s">
        <v>84</v>
      </c>
    </row>
    <row r="32" spans="1:9" ht="18" x14ac:dyDescent="0.25">
      <c r="A32" s="11" t="s">
        <v>30</v>
      </c>
      <c r="B32" s="12" t="str">
        <f>VLOOKUP(A32,[5]LISTADHERENT!A$5:H$39,3,0)</f>
        <v>TCHOUAMOU MATHIEU</v>
      </c>
      <c r="C32" s="13">
        <f>115000+250000</f>
        <v>365000</v>
      </c>
      <c r="D32" s="14"/>
      <c r="E32" s="15"/>
      <c r="F32" s="16">
        <f t="shared" si="0"/>
        <v>365000</v>
      </c>
      <c r="G32" s="16"/>
      <c r="H32" s="19"/>
      <c r="I32" s="30" t="s">
        <v>84</v>
      </c>
    </row>
    <row r="33" spans="1:9" ht="18" x14ac:dyDescent="0.25">
      <c r="A33" s="11" t="s">
        <v>65</v>
      </c>
      <c r="B33" s="12" t="str">
        <f>VLOOKUP(A33,[5]LISTADHERENT!A$5:H$39,3,0)</f>
        <v>TCHOUTOU NANA CLAUDE</v>
      </c>
      <c r="C33" s="13">
        <f>IF(I33="OK",VLOOKUP(A33,[6]MONTVERST!A$5:F$39,3,0),0)</f>
        <v>0</v>
      </c>
      <c r="D33" s="14"/>
      <c r="E33" s="15"/>
      <c r="F33" s="16">
        <f t="shared" si="0"/>
        <v>0</v>
      </c>
      <c r="G33" s="16"/>
      <c r="H33" s="19"/>
      <c r="I33" s="30"/>
    </row>
    <row r="34" spans="1:9" ht="18" x14ac:dyDescent="0.25">
      <c r="A34" s="11" t="s">
        <v>68</v>
      </c>
      <c r="B34" s="12" t="str">
        <f>VLOOKUP(A34,[5]LISTADHERENT!A$5:H$39,3,0)</f>
        <v>YANTCHOU GERVAIS</v>
      </c>
      <c r="C34" s="13">
        <f>IF(I34="OK",VLOOKUP(A34,[6]MONTVERST!A$5:F$39,3,0),0)</f>
        <v>100000</v>
      </c>
      <c r="D34" s="14"/>
      <c r="E34" s="15"/>
      <c r="F34" s="16">
        <f t="shared" si="0"/>
        <v>100000</v>
      </c>
      <c r="G34" s="16"/>
      <c r="H34" s="19"/>
      <c r="I34" s="30" t="s">
        <v>84</v>
      </c>
    </row>
    <row r="35" spans="1:9" ht="18" x14ac:dyDescent="0.25">
      <c r="A35" s="11" t="s">
        <v>31</v>
      </c>
      <c r="B35" s="12" t="str">
        <f>VLOOKUP(A35,[5]LISTADHERENT!A$5:H$39,3,0)</f>
        <v>YEPMOU JEAN JACQUES</v>
      </c>
      <c r="C35" s="13">
        <f>IF(I35="OK",VLOOKUP(A35,[6]MONTVERST!A$5:F$39,3,0),0)</f>
        <v>40000</v>
      </c>
      <c r="D35" s="14"/>
      <c r="E35" s="15"/>
      <c r="F35" s="16">
        <f t="shared" si="0"/>
        <v>40000</v>
      </c>
      <c r="G35" s="16"/>
      <c r="H35" s="19"/>
      <c r="I35" s="30" t="s">
        <v>84</v>
      </c>
    </row>
    <row r="36" spans="1:9" ht="18" x14ac:dyDescent="0.25">
      <c r="A36" s="11" t="s">
        <v>32</v>
      </c>
      <c r="B36" s="12" t="str">
        <f>VLOOKUP(A36,[5]LISTADHERENT!A$5:H$39,3,0)</f>
        <v>YOUMBI EMMANUEL</v>
      </c>
      <c r="C36" s="13">
        <f>IF(I36="OK",VLOOKUP(A36,[6]MONTVERST!A$5:F$39,3,0),0)</f>
        <v>290000</v>
      </c>
      <c r="D36" s="14"/>
      <c r="E36" s="15"/>
      <c r="F36" s="16">
        <f t="shared" si="0"/>
        <v>290000</v>
      </c>
      <c r="G36" s="16"/>
      <c r="H36" s="19"/>
      <c r="I36" s="30" t="s">
        <v>84</v>
      </c>
    </row>
    <row r="37" spans="1:9" x14ac:dyDescent="0.25">
      <c r="A37" s="17"/>
      <c r="B37" s="18"/>
      <c r="C37" s="18"/>
      <c r="D37" s="18"/>
      <c r="E37" s="18"/>
      <c r="F37" s="18"/>
      <c r="G37" s="18"/>
      <c r="H37" s="19"/>
      <c r="I37" s="19"/>
    </row>
    <row r="38" spans="1:9" ht="18.75" thickBot="1" x14ac:dyDescent="0.3">
      <c r="A38" s="20"/>
      <c r="B38" s="21" t="s">
        <v>33</v>
      </c>
      <c r="C38" s="22">
        <f>SUM(C7:C37)</f>
        <v>5073500</v>
      </c>
      <c r="D38" s="22">
        <f t="shared" ref="D38:G38" si="1">SUM(D7:D37)</f>
        <v>245000</v>
      </c>
      <c r="E38" s="22">
        <f t="shared" si="1"/>
        <v>140000</v>
      </c>
      <c r="F38" s="22">
        <f t="shared" si="1"/>
        <v>5458500</v>
      </c>
      <c r="G38" s="22">
        <f t="shared" si="1"/>
        <v>0</v>
      </c>
      <c r="H38" s="23">
        <f t="shared" ref="H38" si="2">SUM(H8:H37)</f>
        <v>0</v>
      </c>
      <c r="I38" s="31"/>
    </row>
    <row r="39" spans="1:9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zoomScale="106" zoomScaleNormal="106" workbookViewId="0">
      <pane xSplit="3" ySplit="5" topLeftCell="D33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E18" sqref="E1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  <col min="9" max="9" width="12.5703125" customWidth="1"/>
  </cols>
  <sheetData>
    <row r="1" spans="1:9" ht="21" x14ac:dyDescent="0.35">
      <c r="A1" s="1" t="s">
        <v>2</v>
      </c>
      <c r="B1" s="1" t="s">
        <v>3</v>
      </c>
      <c r="C1" s="25" t="s">
        <v>78</v>
      </c>
    </row>
    <row r="2" spans="1:9" x14ac:dyDescent="0.25">
      <c r="A2" s="1" t="s">
        <v>4</v>
      </c>
      <c r="B2" s="1">
        <v>2023</v>
      </c>
    </row>
    <row r="3" spans="1:9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9" ht="29.25" thickBot="1" x14ac:dyDescent="0.5">
      <c r="B4" s="36" t="s">
        <v>61</v>
      </c>
      <c r="C4" s="34"/>
      <c r="D4" s="34"/>
      <c r="E4" s="34"/>
      <c r="F4" s="3"/>
    </row>
    <row r="5" spans="1:9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  <c r="I5" s="24" t="s">
        <v>83</v>
      </c>
    </row>
    <row r="6" spans="1:9" ht="18" x14ac:dyDescent="0.25">
      <c r="A6" s="11" t="s">
        <v>63</v>
      </c>
      <c r="B6" s="12" t="str">
        <f>VLOOKUP(A6,[5]LISTADHERENT!A$5:H$39,3,0)</f>
        <v>ASELBY</v>
      </c>
      <c r="C6" s="13">
        <f>IF(I6="OK",VLOOKUP(A6,[6]MONTVERST!A$5:F$39,3,0),0)</f>
        <v>175000</v>
      </c>
      <c r="D6" s="14"/>
      <c r="E6" s="15"/>
      <c r="F6" s="16">
        <f>SUM(C6:E6)</f>
        <v>175000</v>
      </c>
      <c r="G6" s="16"/>
      <c r="H6" s="19"/>
      <c r="I6" s="30" t="s">
        <v>84</v>
      </c>
    </row>
    <row r="7" spans="1:9" ht="18" x14ac:dyDescent="0.25">
      <c r="A7" s="11" t="s">
        <v>69</v>
      </c>
      <c r="B7" s="12" t="str">
        <f>VLOOKUP(A7,[5]LISTADHERENT!A$5:H$39,3,0)</f>
        <v>BAKOP ACHILLE</v>
      </c>
      <c r="C7" s="13">
        <f>IF(I7="OK",VLOOKUP(A7,[6]MONTVERST!A$5:F$39,3,0),0)</f>
        <v>40000</v>
      </c>
      <c r="D7" s="14"/>
      <c r="E7" s="15"/>
      <c r="F7" s="16">
        <f t="shared" ref="F7:F36" si="0">SUM(C7:E7)</f>
        <v>40000</v>
      </c>
      <c r="G7" s="16"/>
      <c r="H7" s="19"/>
      <c r="I7" s="30" t="s">
        <v>84</v>
      </c>
    </row>
    <row r="8" spans="1:9" ht="18" x14ac:dyDescent="0.25">
      <c r="A8" s="11" t="s">
        <v>8</v>
      </c>
      <c r="B8" s="12" t="str">
        <f>VLOOKUP(A8,[5]LISTADHERENT!A$5:H$39,3,0)</f>
        <v>BOUTCHOUANG WILLIAM</v>
      </c>
      <c r="C8" s="13">
        <f>IF(I8="OK",VLOOKUP(A8,[6]MONTVERST!A$5:F$39,3,0),0)</f>
        <v>115000</v>
      </c>
      <c r="D8" s="14"/>
      <c r="E8" s="15"/>
      <c r="F8" s="16">
        <f t="shared" si="0"/>
        <v>115000</v>
      </c>
      <c r="G8" s="16"/>
      <c r="H8" s="19"/>
      <c r="I8" s="30" t="s">
        <v>84</v>
      </c>
    </row>
    <row r="9" spans="1:9" ht="18" x14ac:dyDescent="0.25">
      <c r="A9" s="11" t="s">
        <v>9</v>
      </c>
      <c r="B9" s="12" t="str">
        <f>VLOOKUP(A9,[5]LISTADHERENT!A$5:H$39,3,0)</f>
        <v xml:space="preserve">DJOMO JEAN PAUL </v>
      </c>
      <c r="C9" s="13">
        <v>340000</v>
      </c>
      <c r="D9" s="14"/>
      <c r="E9" s="15"/>
      <c r="F9" s="16">
        <f t="shared" si="0"/>
        <v>340000</v>
      </c>
      <c r="G9" s="16"/>
      <c r="H9" s="19"/>
      <c r="I9" s="30" t="s">
        <v>84</v>
      </c>
    </row>
    <row r="10" spans="1:9" ht="18" x14ac:dyDescent="0.25">
      <c r="A10" s="11" t="s">
        <v>10</v>
      </c>
      <c r="B10" s="12" t="str">
        <f>VLOOKUP(A10,[5]LISTADHERENT!A$5:H$39,3,0)</f>
        <v>DJOMOU TCHAPDA</v>
      </c>
      <c r="C10" s="13">
        <v>141000</v>
      </c>
      <c r="D10" s="14"/>
      <c r="E10" s="15"/>
      <c r="F10" s="16">
        <f t="shared" si="0"/>
        <v>141000</v>
      </c>
      <c r="G10" s="16"/>
      <c r="H10" s="19"/>
      <c r="I10" s="30" t="s">
        <v>84</v>
      </c>
    </row>
    <row r="11" spans="1:9" ht="18" x14ac:dyDescent="0.25">
      <c r="A11" s="11" t="s">
        <v>11</v>
      </c>
      <c r="B11" s="12" t="str">
        <f>VLOOKUP(A11,[5]LISTADHERENT!A$5:H$39,3,0)</f>
        <v>DJOUKWE NANGUEN GUY BLAISE</v>
      </c>
      <c r="C11" s="13">
        <f>315000+32000</f>
        <v>347000</v>
      </c>
      <c r="D11" s="14"/>
      <c r="E11" s="15"/>
      <c r="F11" s="16">
        <f t="shared" si="0"/>
        <v>347000</v>
      </c>
      <c r="G11" s="16"/>
      <c r="H11" s="19"/>
      <c r="I11" s="30" t="s">
        <v>84</v>
      </c>
    </row>
    <row r="12" spans="1:9" ht="18" x14ac:dyDescent="0.25">
      <c r="A12" s="11" t="s">
        <v>12</v>
      </c>
      <c r="B12" s="12" t="str">
        <f>VLOOKUP(A12,[5]LISTADHERENT!A$5:H$39,3,0)</f>
        <v>DJUOMBESSY ANTOINE</v>
      </c>
      <c r="C12" s="13">
        <f>IF(I12="OK",VLOOKUP(A12,[6]MONTVERST!A$5:F$39,3,0),0)</f>
        <v>320000</v>
      </c>
      <c r="D12" s="14"/>
      <c r="E12" s="15"/>
      <c r="F12" s="16">
        <f t="shared" si="0"/>
        <v>320000</v>
      </c>
      <c r="G12" s="16"/>
      <c r="H12" s="19"/>
      <c r="I12" s="30" t="s">
        <v>84</v>
      </c>
    </row>
    <row r="13" spans="1:9" ht="18" x14ac:dyDescent="0.25">
      <c r="A13" s="11" t="s">
        <v>13</v>
      </c>
      <c r="B13" s="12" t="str">
        <f>VLOOKUP(A13,[5]LISTADHERENT!A$5:H$39,3,0)</f>
        <v>DOMOU FABIEN</v>
      </c>
      <c r="C13" s="13">
        <f>IF(I13="OK",VLOOKUP(A13,[6]MONTVERST!A$5:F$39,3,0),0)</f>
        <v>40000</v>
      </c>
      <c r="D13" s="14"/>
      <c r="E13" s="15"/>
      <c r="F13" s="16">
        <f t="shared" si="0"/>
        <v>40000</v>
      </c>
      <c r="G13" s="16"/>
      <c r="H13" s="19"/>
      <c r="I13" s="30" t="s">
        <v>84</v>
      </c>
    </row>
    <row r="14" spans="1:9" ht="18" x14ac:dyDescent="0.25">
      <c r="A14" s="11" t="s">
        <v>14</v>
      </c>
      <c r="B14" s="12" t="str">
        <f>VLOOKUP(A14,[5]LISTADHERENT!A$5:H$39,3,0)</f>
        <v>DONHOU DAVID</v>
      </c>
      <c r="C14" s="13">
        <f>IF(I14="OK",VLOOKUP(A14,[6]MONTVERST!A$5:F$39,3,0),0)</f>
        <v>40000</v>
      </c>
      <c r="D14" s="14"/>
      <c r="E14" s="15"/>
      <c r="F14" s="16">
        <f t="shared" si="0"/>
        <v>40000</v>
      </c>
      <c r="G14" s="16"/>
      <c r="H14" s="19"/>
      <c r="I14" s="30" t="s">
        <v>84</v>
      </c>
    </row>
    <row r="15" spans="1:9" ht="18" x14ac:dyDescent="0.25">
      <c r="A15" s="11" t="s">
        <v>15</v>
      </c>
      <c r="B15" s="12" t="str">
        <f>VLOOKUP(A15,[5]LISTADHERENT!A$5:H$39,3,0)</f>
        <v>HENGUE PAUL OMER</v>
      </c>
      <c r="C15" s="13">
        <f>IF(I15="OK",VLOOKUP(A15,[6]MONTVERST!A$5:F$39,3,0),0)</f>
        <v>115000</v>
      </c>
      <c r="D15" s="14"/>
      <c r="E15" s="15"/>
      <c r="F15" s="16">
        <f t="shared" si="0"/>
        <v>115000</v>
      </c>
      <c r="G15" s="16"/>
      <c r="H15" s="19"/>
      <c r="I15" s="30" t="s">
        <v>84</v>
      </c>
    </row>
    <row r="16" spans="1:9" ht="18" x14ac:dyDescent="0.25">
      <c r="A16" s="11" t="s">
        <v>16</v>
      </c>
      <c r="B16" s="12" t="str">
        <f>VLOOKUP(A16,[5]LISTADHERENT!A$5:H$39,3,0)</f>
        <v>HOTCHO BENJAMIN</v>
      </c>
      <c r="C16" s="13">
        <f>IF(I16="OK",VLOOKUP(A16,[6]MONTVERST!A$5:F$39,3,0),0)</f>
        <v>250000</v>
      </c>
      <c r="D16" s="14"/>
      <c r="E16" s="15"/>
      <c r="F16" s="16">
        <f t="shared" si="0"/>
        <v>250000</v>
      </c>
      <c r="G16" s="16"/>
      <c r="H16" s="19"/>
      <c r="I16" s="30" t="s">
        <v>84</v>
      </c>
    </row>
    <row r="17" spans="1:9" ht="18" x14ac:dyDescent="0.25">
      <c r="A17" s="11" t="s">
        <v>17</v>
      </c>
      <c r="B17" s="12" t="str">
        <f>VLOOKUP(A17,[5]LISTADHERENT!A$5:H$39,3,0)</f>
        <v>KOUAMOU MOISE</v>
      </c>
      <c r="C17" s="13">
        <f>IF(I17="OK",VLOOKUP(A17,[6]MONTVERST!A$5:F$39,3,0),0)</f>
        <v>140000</v>
      </c>
      <c r="D17" s="14"/>
      <c r="E17" s="15"/>
      <c r="F17" s="16">
        <f t="shared" si="0"/>
        <v>140000</v>
      </c>
      <c r="G17" s="16"/>
      <c r="H17" s="19"/>
      <c r="I17" s="30" t="s">
        <v>84</v>
      </c>
    </row>
    <row r="18" spans="1:9" ht="18" x14ac:dyDescent="0.25">
      <c r="A18" s="11" t="s">
        <v>18</v>
      </c>
      <c r="B18" s="12" t="str">
        <f>VLOOKUP(A18,[5]LISTADHERENT!A$5:H$39,3,0)</f>
        <v>KOUATCHO MESSACK</v>
      </c>
      <c r="C18" s="13">
        <f>IF(I18="OK",VLOOKUP(A18,[6]MONTVERST!A$5:F$39,3,0),0)</f>
        <v>215000</v>
      </c>
      <c r="D18" s="14">
        <v>100000</v>
      </c>
      <c r="E18" s="15"/>
      <c r="F18" s="16">
        <f t="shared" si="0"/>
        <v>315000</v>
      </c>
      <c r="G18" s="16"/>
      <c r="H18" s="19"/>
      <c r="I18" s="30" t="s">
        <v>84</v>
      </c>
    </row>
    <row r="19" spans="1:9" ht="18" x14ac:dyDescent="0.25">
      <c r="A19" s="11" t="s">
        <v>19</v>
      </c>
      <c r="B19" s="12" t="str">
        <f>VLOOKUP(A19,[5]LISTADHERENT!A$5:H$39,3,0)</f>
        <v>LOWE JEAN</v>
      </c>
      <c r="C19" s="13">
        <f>IF(I19="OK",VLOOKUP(A19,[6]MONTVERST!A$5:F$39,3,0),0)</f>
        <v>40000</v>
      </c>
      <c r="D19" s="14"/>
      <c r="E19" s="15"/>
      <c r="F19" s="16">
        <f t="shared" si="0"/>
        <v>40000</v>
      </c>
      <c r="G19" s="16"/>
      <c r="H19" s="19"/>
      <c r="I19" s="30" t="s">
        <v>84</v>
      </c>
    </row>
    <row r="20" spans="1:9" ht="18" x14ac:dyDescent="0.25">
      <c r="A20" s="11" t="s">
        <v>20</v>
      </c>
      <c r="B20" s="12" t="str">
        <f>VLOOKUP(A20,[5]LISTADHERENT!A$5:H$39,3,0)</f>
        <v>MBOGNING TUGMA GUY</v>
      </c>
      <c r="C20" s="13">
        <f>498000+30500</f>
        <v>528500</v>
      </c>
      <c r="D20" s="14"/>
      <c r="E20" s="15"/>
      <c r="F20" s="16">
        <f t="shared" si="0"/>
        <v>528500</v>
      </c>
      <c r="G20" s="16"/>
      <c r="H20" s="19"/>
      <c r="I20" s="30" t="s">
        <v>84</v>
      </c>
    </row>
    <row r="21" spans="1:9" ht="18" x14ac:dyDescent="0.25">
      <c r="A21" s="11" t="s">
        <v>21</v>
      </c>
      <c r="B21" s="12" t="str">
        <f>VLOOKUP(A21,[5]LISTADHERENT!A$5:H$39,3,0)</f>
        <v>NANGUEN MARTIN</v>
      </c>
      <c r="C21" s="13">
        <f>IF(I21="OK",VLOOKUP(A21,[6]MONTVERST!A$5:F$39,3,0),0)</f>
        <v>40000</v>
      </c>
      <c r="D21" s="14"/>
      <c r="E21" s="15"/>
      <c r="F21" s="16">
        <f t="shared" si="0"/>
        <v>40000</v>
      </c>
      <c r="G21" s="16"/>
      <c r="H21" s="19"/>
      <c r="I21" s="30" t="s">
        <v>84</v>
      </c>
    </row>
    <row r="22" spans="1:9" ht="18" x14ac:dyDescent="0.25">
      <c r="A22" s="11" t="s">
        <v>22</v>
      </c>
      <c r="B22" s="12" t="str">
        <f>VLOOKUP(A22,[5]LISTADHERENT!A$5:H$39,3,0)</f>
        <v>NANKAM APPOLINAIRE</v>
      </c>
      <c r="C22" s="13">
        <f>IF(I22="OK",VLOOKUP(A22,[6]MONTVERST!A$5:F$39,3,0),0)</f>
        <v>115000</v>
      </c>
      <c r="D22" s="14"/>
      <c r="E22" s="15"/>
      <c r="F22" s="16">
        <f t="shared" si="0"/>
        <v>115000</v>
      </c>
      <c r="G22" s="16"/>
      <c r="H22" s="19"/>
      <c r="I22" s="30" t="s">
        <v>84</v>
      </c>
    </row>
    <row r="23" spans="1:9" ht="18" x14ac:dyDescent="0.25">
      <c r="A23" s="11" t="s">
        <v>23</v>
      </c>
      <c r="B23" s="12" t="str">
        <f>VLOOKUP(A23,[5]LISTADHERENT!A$5:H$39,3,0)</f>
        <v>NDJOMO ETIENNE</v>
      </c>
      <c r="C23" s="13">
        <f>IF(I23="OK",VLOOKUP(A23,[6]MONTVERST!A$5:F$39,3,0),0)</f>
        <v>250000</v>
      </c>
      <c r="D23" s="14"/>
      <c r="E23" s="15"/>
      <c r="F23" s="16">
        <f t="shared" si="0"/>
        <v>250000</v>
      </c>
      <c r="G23" s="16"/>
      <c r="H23" s="19"/>
      <c r="I23" s="30" t="s">
        <v>84</v>
      </c>
    </row>
    <row r="24" spans="1:9" ht="18" x14ac:dyDescent="0.25">
      <c r="A24" s="11" t="s">
        <v>24</v>
      </c>
      <c r="B24" s="12" t="str">
        <f>VLOOKUP(A24,[5]LISTADHERENT!A$5:H$39,3,0)</f>
        <v>NGONDIEP CLAUDE</v>
      </c>
      <c r="C24" s="13">
        <f>IF(I24="OK",VLOOKUP(A24,[6]MONTVERST!A$5:F$39,3,0),0)</f>
        <v>215000</v>
      </c>
      <c r="D24" s="14"/>
      <c r="E24" s="15"/>
      <c r="F24" s="16">
        <f t="shared" si="0"/>
        <v>215000</v>
      </c>
      <c r="G24" s="16"/>
      <c r="H24" s="19"/>
      <c r="I24" s="30" t="s">
        <v>84</v>
      </c>
    </row>
    <row r="25" spans="1:9" ht="18" x14ac:dyDescent="0.25">
      <c r="A25" s="11" t="s">
        <v>25</v>
      </c>
      <c r="B25" s="12" t="str">
        <f>VLOOKUP(A25,[5]LISTADHERENT!A$5:H$39,3,0)</f>
        <v>NGUIEMEGNI MATHIEU BLAISE</v>
      </c>
      <c r="C25" s="13">
        <f>400000+40000</f>
        <v>440000</v>
      </c>
      <c r="D25" s="14"/>
      <c r="E25" s="15"/>
      <c r="F25" s="16">
        <f t="shared" si="0"/>
        <v>440000</v>
      </c>
      <c r="G25" s="16"/>
      <c r="H25" s="19"/>
      <c r="I25" s="30" t="s">
        <v>84</v>
      </c>
    </row>
    <row r="26" spans="1:9" ht="18" x14ac:dyDescent="0.25">
      <c r="A26" s="11" t="s">
        <v>26</v>
      </c>
      <c r="B26" s="12" t="str">
        <f>VLOOKUP(A26,[5]LISTADHERENT!A$5:H$39,3,0)</f>
        <v>NKAMGANG JUSTIN DEJOLIE</v>
      </c>
      <c r="C26" s="13">
        <v>50000</v>
      </c>
      <c r="D26" s="14">
        <v>94000</v>
      </c>
      <c r="E26" s="15"/>
      <c r="F26" s="16">
        <f t="shared" si="0"/>
        <v>144000</v>
      </c>
      <c r="G26" s="16"/>
      <c r="H26" s="19"/>
      <c r="I26" s="30" t="s">
        <v>84</v>
      </c>
    </row>
    <row r="27" spans="1:9" ht="18" x14ac:dyDescent="0.25">
      <c r="A27" s="11" t="s">
        <v>66</v>
      </c>
      <c r="B27" s="12" t="str">
        <f>VLOOKUP(A27,[5]LISTADHERENT!A$5:H$39,3,0)</f>
        <v>NOUBE ETIENNE</v>
      </c>
      <c r="C27" s="13">
        <f>IF(I27="OK",VLOOKUP(A27,[6]MONTVERST!A$5:F$39,3,0),0)</f>
        <v>50000</v>
      </c>
      <c r="D27" s="14"/>
      <c r="E27" s="15"/>
      <c r="F27" s="16">
        <f>SUM(C27:E27)</f>
        <v>50000</v>
      </c>
      <c r="G27" s="16"/>
      <c r="H27" s="19"/>
      <c r="I27" s="30" t="s">
        <v>84</v>
      </c>
    </row>
    <row r="28" spans="1:9" ht="18" x14ac:dyDescent="0.25">
      <c r="A28" s="11" t="s">
        <v>27</v>
      </c>
      <c r="B28" s="12" t="str">
        <f>VLOOKUP(A28,[5]LISTADHERENT!A$5:H$39,3,0)</f>
        <v>PATEGO NJOSSU GUSTAVE</v>
      </c>
      <c r="C28" s="13">
        <f>IF(I28="OK",VLOOKUP(A28,[6]MONTVERST!A$5:F$39,3,0),0)</f>
        <v>115000</v>
      </c>
      <c r="D28" s="14"/>
      <c r="E28" s="15"/>
      <c r="F28" s="16">
        <f t="shared" si="0"/>
        <v>115000</v>
      </c>
      <c r="G28" s="16"/>
      <c r="H28" s="19"/>
      <c r="I28" s="30" t="s">
        <v>84</v>
      </c>
    </row>
    <row r="29" spans="1:9" ht="18" x14ac:dyDescent="0.25">
      <c r="A29" s="11" t="s">
        <v>67</v>
      </c>
      <c r="B29" s="12" t="str">
        <f>VLOOKUP(A29,[5]LISTADHERENT!A$5:H$39,3,0)</f>
        <v>SEUMO POLYCARPE</v>
      </c>
      <c r="C29" s="13">
        <f>IF(I29="OK",VLOOKUP(A29,[6]MONTVERST!A$5:F$39,3,0),0)</f>
        <v>40000</v>
      </c>
      <c r="D29" s="14"/>
      <c r="E29" s="15"/>
      <c r="F29" s="16">
        <f t="shared" si="0"/>
        <v>40000</v>
      </c>
      <c r="G29" s="16"/>
      <c r="H29" s="19"/>
      <c r="I29" s="30" t="s">
        <v>84</v>
      </c>
    </row>
    <row r="30" spans="1:9" ht="18" x14ac:dyDescent="0.25">
      <c r="A30" s="11" t="s">
        <v>28</v>
      </c>
      <c r="B30" s="12" t="str">
        <f>VLOOKUP(A30,[5]LISTADHERENT!A$5:H$39,3,0)</f>
        <v>SIME BRICE</v>
      </c>
      <c r="C30" s="13">
        <f>IF(I30="OK",VLOOKUP(A30,[6]MONTVERST!A$5:F$39,3,0),0)</f>
        <v>115000</v>
      </c>
      <c r="D30" s="14"/>
      <c r="E30" s="15"/>
      <c r="F30" s="16">
        <f t="shared" si="0"/>
        <v>115000</v>
      </c>
      <c r="G30" s="16"/>
      <c r="H30" s="19"/>
      <c r="I30" s="30" t="s">
        <v>84</v>
      </c>
    </row>
    <row r="31" spans="1:9" ht="18" x14ac:dyDescent="0.25">
      <c r="A31" s="11" t="s">
        <v>29</v>
      </c>
      <c r="B31" s="12" t="str">
        <f>VLOOKUP(A31,[5]LISTADHERENT!A$5:H$39,3,0)</f>
        <v>SIMO PIERRE</v>
      </c>
      <c r="C31" s="13">
        <f>IF(I31="OK",VLOOKUP(A31,[6]MONTVERST!A$5:F$39,3,0),0)</f>
        <v>140000</v>
      </c>
      <c r="D31" s="14"/>
      <c r="E31" s="15"/>
      <c r="F31" s="16">
        <f t="shared" si="0"/>
        <v>140000</v>
      </c>
      <c r="G31" s="16"/>
      <c r="H31" s="19"/>
      <c r="I31" s="30" t="s">
        <v>84</v>
      </c>
    </row>
    <row r="32" spans="1:9" ht="18" x14ac:dyDescent="0.25">
      <c r="A32" s="11" t="s">
        <v>30</v>
      </c>
      <c r="B32" s="12" t="str">
        <f>VLOOKUP(A32,[5]LISTADHERENT!A$5:H$39,3,0)</f>
        <v>TCHOUAMOU MATHIEU</v>
      </c>
      <c r="C32" s="13">
        <v>191000</v>
      </c>
      <c r="D32" s="14"/>
      <c r="E32" s="15"/>
      <c r="F32" s="16">
        <f t="shared" si="0"/>
        <v>191000</v>
      </c>
      <c r="G32" s="16"/>
      <c r="H32" s="19"/>
      <c r="I32" s="30" t="s">
        <v>84</v>
      </c>
    </row>
    <row r="33" spans="1:9" ht="18" x14ac:dyDescent="0.25">
      <c r="A33" s="11" t="s">
        <v>65</v>
      </c>
      <c r="B33" s="12" t="str">
        <f>VLOOKUP(A33,[5]LISTADHERENT!A$5:H$39,3,0)</f>
        <v>TCHOUTOU NANA CLAUDE</v>
      </c>
      <c r="C33" s="13">
        <f>IF(I33="OK",VLOOKUP(A33,[6]MONTVERST!A$5:F$39,3,0),0)</f>
        <v>0</v>
      </c>
      <c r="D33" s="14"/>
      <c r="E33" s="15"/>
      <c r="F33" s="16">
        <f t="shared" si="0"/>
        <v>0</v>
      </c>
      <c r="G33" s="16"/>
      <c r="H33" s="19"/>
      <c r="I33" s="30"/>
    </row>
    <row r="34" spans="1:9" ht="18" x14ac:dyDescent="0.25">
      <c r="A34" s="11" t="s">
        <v>68</v>
      </c>
      <c r="B34" s="12" t="str">
        <f>VLOOKUP(A34,[5]LISTADHERENT!A$5:H$39,3,0)</f>
        <v>YANTCHOU GERVAIS</v>
      </c>
      <c r="C34" s="13">
        <v>40000</v>
      </c>
      <c r="D34" s="14"/>
      <c r="E34" s="15"/>
      <c r="F34" s="16">
        <f t="shared" si="0"/>
        <v>40000</v>
      </c>
      <c r="G34" s="16"/>
      <c r="H34" s="19"/>
      <c r="I34" s="30" t="s">
        <v>84</v>
      </c>
    </row>
    <row r="35" spans="1:9" ht="18" x14ac:dyDescent="0.25">
      <c r="A35" s="11" t="s">
        <v>31</v>
      </c>
      <c r="B35" s="12" t="str">
        <f>VLOOKUP(A35,[5]LISTADHERENT!A$5:H$39,3,0)</f>
        <v>YEPMOU JEAN JACQUES</v>
      </c>
      <c r="C35" s="13">
        <f>IF(I35="OK",VLOOKUP(A35,[6]MONTVERST!A$5:F$39,3,0),0)</f>
        <v>40000</v>
      </c>
      <c r="D35" s="14"/>
      <c r="E35" s="15"/>
      <c r="F35" s="16">
        <f t="shared" si="0"/>
        <v>40000</v>
      </c>
      <c r="G35" s="16"/>
      <c r="H35" s="19"/>
      <c r="I35" s="30" t="s">
        <v>84</v>
      </c>
    </row>
    <row r="36" spans="1:9" ht="18" x14ac:dyDescent="0.25">
      <c r="A36" s="11" t="s">
        <v>32</v>
      </c>
      <c r="B36" s="12" t="str">
        <f>VLOOKUP(A36,[5]LISTADHERENT!A$5:H$39,3,0)</f>
        <v>YOUMBI EMMANUEL</v>
      </c>
      <c r="C36" s="13">
        <v>400000</v>
      </c>
      <c r="D36" s="14"/>
      <c r="E36" s="15"/>
      <c r="F36" s="16">
        <f t="shared" si="0"/>
        <v>400000</v>
      </c>
      <c r="G36" s="16"/>
      <c r="H36" s="19"/>
      <c r="I36" s="30" t="s">
        <v>84</v>
      </c>
    </row>
    <row r="37" spans="1:9" x14ac:dyDescent="0.25">
      <c r="A37" s="17"/>
      <c r="B37" s="18"/>
      <c r="C37" s="18"/>
      <c r="D37" s="18"/>
      <c r="E37" s="18"/>
      <c r="F37" s="18"/>
      <c r="G37" s="18"/>
      <c r="H37" s="19"/>
      <c r="I37" s="19"/>
    </row>
    <row r="38" spans="1:9" ht="18.75" thickBot="1" x14ac:dyDescent="0.3">
      <c r="A38" s="20"/>
      <c r="B38" s="21" t="s">
        <v>33</v>
      </c>
      <c r="C38" s="22">
        <f>SUM(C7:C37)</f>
        <v>4912500</v>
      </c>
      <c r="D38" s="22">
        <f t="shared" ref="D38:G38" si="1">SUM(D7:D37)</f>
        <v>194000</v>
      </c>
      <c r="E38" s="22">
        <f t="shared" si="1"/>
        <v>0</v>
      </c>
      <c r="F38" s="22">
        <f t="shared" si="1"/>
        <v>5106500</v>
      </c>
      <c r="G38" s="22">
        <f t="shared" si="1"/>
        <v>0</v>
      </c>
      <c r="H38" s="23">
        <f t="shared" ref="H38" si="2">SUM(H8:H37)</f>
        <v>0</v>
      </c>
      <c r="I38" s="31"/>
    </row>
    <row r="39" spans="1:9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9"/>
  <sheetViews>
    <sheetView zoomScale="106" zoomScaleNormal="106" workbookViewId="0">
      <pane xSplit="3" ySplit="5" topLeftCell="D3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C33" sqref="C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  <col min="9" max="9" width="12.5703125" customWidth="1"/>
  </cols>
  <sheetData>
    <row r="1" spans="1:9" ht="21" x14ac:dyDescent="0.35">
      <c r="A1" s="1" t="s">
        <v>2</v>
      </c>
      <c r="B1" s="1" t="s">
        <v>3</v>
      </c>
      <c r="C1" s="25" t="s">
        <v>79</v>
      </c>
    </row>
    <row r="2" spans="1:9" x14ac:dyDescent="0.25">
      <c r="A2" s="1" t="s">
        <v>4</v>
      </c>
      <c r="B2" s="1">
        <v>2023</v>
      </c>
    </row>
    <row r="3" spans="1:9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9" ht="29.25" thickBot="1" x14ac:dyDescent="0.5">
      <c r="B4" s="36" t="s">
        <v>61</v>
      </c>
      <c r="C4" s="34"/>
      <c r="D4" s="34"/>
      <c r="E4" s="34"/>
      <c r="F4" s="3"/>
    </row>
    <row r="5" spans="1:9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  <c r="I5" s="24" t="s">
        <v>83</v>
      </c>
    </row>
    <row r="6" spans="1:9" ht="18" x14ac:dyDescent="0.25">
      <c r="A6" s="11" t="s">
        <v>63</v>
      </c>
      <c r="B6" s="12" t="str">
        <f>VLOOKUP(A6,[5]LISTADHERENT!A$5:H$39,3,0)</f>
        <v>ASELBY</v>
      </c>
      <c r="C6" s="13">
        <f>IF(I6="OK",VLOOKUP(A6,[6]MONTVERST!A$5:F$39,3,0),0)</f>
        <v>175000</v>
      </c>
      <c r="D6" s="14"/>
      <c r="E6" s="15"/>
      <c r="F6" s="16">
        <f>SUM(C6:E6)</f>
        <v>175000</v>
      </c>
      <c r="G6" s="16"/>
      <c r="H6" s="19"/>
      <c r="I6" s="30" t="s">
        <v>84</v>
      </c>
    </row>
    <row r="7" spans="1:9" ht="18" x14ac:dyDescent="0.25">
      <c r="A7" s="11" t="s">
        <v>69</v>
      </c>
      <c r="B7" s="12" t="str">
        <f>VLOOKUP(A7,[5]LISTADHERENT!A$5:H$39,3,0)</f>
        <v>BAKOP ACHILLE</v>
      </c>
      <c r="C7" s="13">
        <f>IF(I7="OK",VLOOKUP(A7,[6]MONTVERST!A$5:F$39,3,0),0)</f>
        <v>40000</v>
      </c>
      <c r="D7" s="14"/>
      <c r="E7" s="15"/>
      <c r="F7" s="16">
        <f t="shared" ref="F7:F36" si="0">SUM(C7:E7)</f>
        <v>40000</v>
      </c>
      <c r="G7" s="16"/>
      <c r="H7" s="19"/>
      <c r="I7" s="30" t="s">
        <v>84</v>
      </c>
    </row>
    <row r="8" spans="1:9" ht="18" x14ac:dyDescent="0.25">
      <c r="A8" s="11" t="s">
        <v>8</v>
      </c>
      <c r="B8" s="12" t="str">
        <f>VLOOKUP(A8,[5]LISTADHERENT!A$5:H$39,3,0)</f>
        <v>BOUTCHOUANG WILLIAM</v>
      </c>
      <c r="C8" s="13">
        <f>IF(I8="OK",VLOOKUP(A8,[6]MONTVERST!A$5:F$39,3,0),0)</f>
        <v>0</v>
      </c>
      <c r="D8" s="14">
        <v>115000</v>
      </c>
      <c r="E8" s="15"/>
      <c r="F8" s="16">
        <f t="shared" si="0"/>
        <v>115000</v>
      </c>
      <c r="G8" s="16"/>
      <c r="H8" s="19"/>
      <c r="I8" s="30"/>
    </row>
    <row r="9" spans="1:9" ht="18" x14ac:dyDescent="0.25">
      <c r="A9" s="11" t="s">
        <v>9</v>
      </c>
      <c r="B9" s="12" t="str">
        <f>VLOOKUP(A9,[5]LISTADHERENT!A$5:H$39,3,0)</f>
        <v xml:space="preserve">DJOMO JEAN PAUL </v>
      </c>
      <c r="C9" s="13">
        <f>IF(I9="OK",VLOOKUP(A9,[6]MONTVERST!A$5:F$39,3,0),0)</f>
        <v>140000</v>
      </c>
      <c r="D9" s="14"/>
      <c r="E9" s="15"/>
      <c r="F9" s="16">
        <f t="shared" si="0"/>
        <v>140000</v>
      </c>
      <c r="G9" s="16"/>
      <c r="H9" s="19"/>
      <c r="I9" s="30" t="s">
        <v>84</v>
      </c>
    </row>
    <row r="10" spans="1:9" ht="18" x14ac:dyDescent="0.25">
      <c r="A10" s="11" t="s">
        <v>10</v>
      </c>
      <c r="B10" s="12" t="str">
        <f>VLOOKUP(A10,[5]LISTADHERENT!A$5:H$39,3,0)</f>
        <v>DJOMOU TCHAPDA</v>
      </c>
      <c r="C10" s="13">
        <v>343000</v>
      </c>
      <c r="D10" s="14"/>
      <c r="E10" s="15"/>
      <c r="F10" s="16">
        <f t="shared" si="0"/>
        <v>343000</v>
      </c>
      <c r="G10" s="16"/>
      <c r="H10" s="19"/>
      <c r="I10" s="30" t="s">
        <v>84</v>
      </c>
    </row>
    <row r="11" spans="1:9" ht="18" x14ac:dyDescent="0.25">
      <c r="A11" s="11" t="s">
        <v>11</v>
      </c>
      <c r="B11" s="12" t="str">
        <f>VLOOKUP(A11,[5]LISTADHERENT!A$5:H$39,3,0)</f>
        <v>DJOUKWE NANGUEN GUY BLAISE</v>
      </c>
      <c r="C11" s="13">
        <f>IF(I11="OK",VLOOKUP(A11,[6]MONTVERST!A$5:F$39,3,0),0)</f>
        <v>115000</v>
      </c>
      <c r="D11" s="14">
        <v>59000</v>
      </c>
      <c r="E11" s="15"/>
      <c r="F11" s="16">
        <f t="shared" si="0"/>
        <v>174000</v>
      </c>
      <c r="G11" s="16"/>
      <c r="H11" s="19"/>
      <c r="I11" s="30" t="s">
        <v>84</v>
      </c>
    </row>
    <row r="12" spans="1:9" ht="18" x14ac:dyDescent="0.25">
      <c r="A12" s="11" t="s">
        <v>12</v>
      </c>
      <c r="B12" s="12" t="str">
        <f>VLOOKUP(A12,[5]LISTADHERENT!A$5:H$39,3,0)</f>
        <v>DJUOMBESSY ANTOINE</v>
      </c>
      <c r="C12" s="13">
        <f>320000+202000</f>
        <v>522000</v>
      </c>
      <c r="D12" s="14"/>
      <c r="E12" s="15"/>
      <c r="F12" s="16">
        <f t="shared" si="0"/>
        <v>522000</v>
      </c>
      <c r="G12" s="16"/>
      <c r="H12" s="19"/>
      <c r="I12" s="30" t="s">
        <v>84</v>
      </c>
    </row>
    <row r="13" spans="1:9" ht="18" x14ac:dyDescent="0.25">
      <c r="A13" s="11" t="s">
        <v>13</v>
      </c>
      <c r="B13" s="12" t="str">
        <f>VLOOKUP(A13,[5]LISTADHERENT!A$5:H$39,3,0)</f>
        <v>DOMOU FABIEN</v>
      </c>
      <c r="C13" s="13">
        <f>IF(I13="OK",VLOOKUP(A13,[6]MONTVERST!A$5:F$39,3,0),0)</f>
        <v>40000</v>
      </c>
      <c r="D13" s="14"/>
      <c r="E13" s="15"/>
      <c r="F13" s="16">
        <f t="shared" si="0"/>
        <v>40000</v>
      </c>
      <c r="G13" s="16"/>
      <c r="H13" s="19"/>
      <c r="I13" s="30" t="s">
        <v>84</v>
      </c>
    </row>
    <row r="14" spans="1:9" ht="18" x14ac:dyDescent="0.25">
      <c r="A14" s="11" t="s">
        <v>14</v>
      </c>
      <c r="B14" s="12" t="str">
        <f>VLOOKUP(A14,[5]LISTADHERENT!A$5:H$39,3,0)</f>
        <v>DONHOU DAVID</v>
      </c>
      <c r="C14" s="13">
        <f>IF(I14="OK",VLOOKUP(A14,[6]MONTVERST!A$5:F$39,3,0),0)</f>
        <v>40000</v>
      </c>
      <c r="D14" s="14"/>
      <c r="E14" s="15"/>
      <c r="F14" s="16">
        <f t="shared" si="0"/>
        <v>40000</v>
      </c>
      <c r="G14" s="16"/>
      <c r="H14" s="19"/>
      <c r="I14" s="30" t="s">
        <v>84</v>
      </c>
    </row>
    <row r="15" spans="1:9" ht="18" x14ac:dyDescent="0.25">
      <c r="A15" s="11" t="s">
        <v>15</v>
      </c>
      <c r="B15" s="12" t="str">
        <f>VLOOKUP(A15,[5]LISTADHERENT!A$5:H$39,3,0)</f>
        <v>HENGUE PAUL OMER</v>
      </c>
      <c r="C15" s="13">
        <f>IF(I15="OK",VLOOKUP(A15,[6]MONTVERST!A$5:F$39,3,0),0)</f>
        <v>115000</v>
      </c>
      <c r="D15" s="14"/>
      <c r="E15" s="15"/>
      <c r="F15" s="16">
        <f t="shared" si="0"/>
        <v>115000</v>
      </c>
      <c r="G15" s="16"/>
      <c r="H15" s="19"/>
      <c r="I15" s="30" t="s">
        <v>84</v>
      </c>
    </row>
    <row r="16" spans="1:9" ht="18" x14ac:dyDescent="0.25">
      <c r="A16" s="11" t="s">
        <v>16</v>
      </c>
      <c r="B16" s="12" t="str">
        <f>VLOOKUP(A16,[5]LISTADHERENT!A$5:H$39,3,0)</f>
        <v>HOTCHO BENJAMIN</v>
      </c>
      <c r="C16" s="13">
        <f>250000+202000</f>
        <v>452000</v>
      </c>
      <c r="D16" s="14">
        <v>136500</v>
      </c>
      <c r="E16" s="15"/>
      <c r="F16" s="16">
        <f t="shared" si="0"/>
        <v>588500</v>
      </c>
      <c r="G16" s="16"/>
      <c r="H16" s="19"/>
      <c r="I16" s="30" t="s">
        <v>84</v>
      </c>
    </row>
    <row r="17" spans="1:9" ht="18" x14ac:dyDescent="0.25">
      <c r="A17" s="11" t="s">
        <v>17</v>
      </c>
      <c r="B17" s="12" t="str">
        <f>VLOOKUP(A17,[5]LISTADHERENT!A$5:H$39,3,0)</f>
        <v>KOUAMOU MOISE</v>
      </c>
      <c r="C17" s="13">
        <f>IF(I17="OK",VLOOKUP(A17,[6]MONTVERST!A$5:F$39,3,0),0)</f>
        <v>140000</v>
      </c>
      <c r="D17" s="14"/>
      <c r="E17" s="15"/>
      <c r="F17" s="16">
        <f t="shared" si="0"/>
        <v>140000</v>
      </c>
      <c r="G17" s="16"/>
      <c r="H17" s="19"/>
      <c r="I17" s="30" t="s">
        <v>84</v>
      </c>
    </row>
    <row r="18" spans="1:9" ht="18" x14ac:dyDescent="0.25">
      <c r="A18" s="11" t="s">
        <v>18</v>
      </c>
      <c r="B18" s="12" t="str">
        <f>VLOOKUP(A18,[5]LISTADHERENT!A$5:H$39,3,0)</f>
        <v>KOUATCHO MESSACK</v>
      </c>
      <c r="C18" s="13">
        <v>355000</v>
      </c>
      <c r="D18" s="14"/>
      <c r="E18" s="15"/>
      <c r="F18" s="16">
        <f t="shared" si="0"/>
        <v>355000</v>
      </c>
      <c r="G18" s="16"/>
      <c r="H18" s="19"/>
      <c r="I18" s="30" t="s">
        <v>84</v>
      </c>
    </row>
    <row r="19" spans="1:9" ht="18" x14ac:dyDescent="0.25">
      <c r="A19" s="11" t="s">
        <v>19</v>
      </c>
      <c r="B19" s="12" t="str">
        <f>VLOOKUP(A19,[5]LISTADHERENT!A$5:H$39,3,0)</f>
        <v>LOWE JEAN</v>
      </c>
      <c r="C19" s="13">
        <f>IF(I19="OK",VLOOKUP(A19,[6]MONTVERST!A$5:F$39,3,0),0)</f>
        <v>40000</v>
      </c>
      <c r="D19" s="14"/>
      <c r="E19" s="15"/>
      <c r="F19" s="16">
        <f t="shared" si="0"/>
        <v>40000</v>
      </c>
      <c r="G19" s="16"/>
      <c r="H19" s="19"/>
      <c r="I19" s="30" t="s">
        <v>84</v>
      </c>
    </row>
    <row r="20" spans="1:9" ht="18" x14ac:dyDescent="0.25">
      <c r="A20" s="11" t="s">
        <v>20</v>
      </c>
      <c r="B20" s="12" t="str">
        <f>VLOOKUP(A20,[5]LISTADHERENT!A$5:H$39,3,0)</f>
        <v>MBOGNING TUGMA GUY</v>
      </c>
      <c r="C20" s="13">
        <v>417000</v>
      </c>
      <c r="D20" s="14"/>
      <c r="E20" s="15"/>
      <c r="F20" s="16">
        <f t="shared" si="0"/>
        <v>417000</v>
      </c>
      <c r="G20" s="16"/>
      <c r="H20" s="19"/>
      <c r="I20" s="30" t="s">
        <v>84</v>
      </c>
    </row>
    <row r="21" spans="1:9" ht="18" x14ac:dyDescent="0.25">
      <c r="A21" s="11" t="s">
        <v>21</v>
      </c>
      <c r="B21" s="12" t="str">
        <f>VLOOKUP(A21,[5]LISTADHERENT!A$5:H$39,3,0)</f>
        <v>NANGUEN MARTIN</v>
      </c>
      <c r="C21" s="13">
        <f>IF(I21="OK",VLOOKUP(A21,[6]MONTVERST!A$5:F$39,3,0),0)</f>
        <v>40000</v>
      </c>
      <c r="D21" s="14"/>
      <c r="E21" s="15"/>
      <c r="F21" s="16">
        <f t="shared" si="0"/>
        <v>40000</v>
      </c>
      <c r="G21" s="16"/>
      <c r="H21" s="19"/>
      <c r="I21" s="30" t="s">
        <v>84</v>
      </c>
    </row>
    <row r="22" spans="1:9" ht="18" x14ac:dyDescent="0.25">
      <c r="A22" s="11" t="s">
        <v>22</v>
      </c>
      <c r="B22" s="12" t="str">
        <f>VLOOKUP(A22,[5]LISTADHERENT!A$5:H$39,3,0)</f>
        <v>NANKAM APPOLINAIRE</v>
      </c>
      <c r="C22" s="13">
        <f>IF(I22="OK",VLOOKUP(A22,[6]MONTVERST!A$5:F$39,3,0),0)</f>
        <v>115000</v>
      </c>
      <c r="D22" s="14"/>
      <c r="E22" s="15"/>
      <c r="F22" s="16">
        <f t="shared" si="0"/>
        <v>115000</v>
      </c>
      <c r="G22" s="16"/>
      <c r="H22" s="19"/>
      <c r="I22" s="30" t="s">
        <v>84</v>
      </c>
    </row>
    <row r="23" spans="1:9" ht="18" x14ac:dyDescent="0.25">
      <c r="A23" s="11" t="s">
        <v>23</v>
      </c>
      <c r="B23" s="12" t="str">
        <f>VLOOKUP(A23,[5]LISTADHERENT!A$5:H$39,3,0)</f>
        <v>NDJOMO ETIENNE</v>
      </c>
      <c r="C23" s="13">
        <f>IF(I23="OK",VLOOKUP(A23,[6]MONTVERST!A$5:F$39,3,0),0)</f>
        <v>250000</v>
      </c>
      <c r="D23" s="14"/>
      <c r="E23" s="15"/>
      <c r="F23" s="16">
        <f t="shared" si="0"/>
        <v>250000</v>
      </c>
      <c r="G23" s="16"/>
      <c r="H23" s="19"/>
      <c r="I23" s="30" t="s">
        <v>84</v>
      </c>
    </row>
    <row r="24" spans="1:9" ht="18" x14ac:dyDescent="0.25">
      <c r="A24" s="11" t="s">
        <v>24</v>
      </c>
      <c r="B24" s="12" t="str">
        <f>VLOOKUP(A24,[5]LISTADHERENT!A$5:H$39,3,0)</f>
        <v>NGONDIEP CLAUDE</v>
      </c>
      <c r="C24" s="13">
        <v>400000</v>
      </c>
      <c r="D24" s="14">
        <v>17000</v>
      </c>
      <c r="E24" s="15"/>
      <c r="F24" s="16">
        <f t="shared" si="0"/>
        <v>417000</v>
      </c>
      <c r="G24" s="16"/>
      <c r="H24" s="19"/>
      <c r="I24" s="30" t="s">
        <v>84</v>
      </c>
    </row>
    <row r="25" spans="1:9" ht="18" x14ac:dyDescent="0.25">
      <c r="A25" s="11" t="s">
        <v>25</v>
      </c>
      <c r="B25" s="12" t="str">
        <f>VLOOKUP(A25,[5]LISTADHERENT!A$5:H$39,3,0)</f>
        <v>NGUIEMEGNI MATHIEU BLAISE</v>
      </c>
      <c r="C25" s="13">
        <v>500000</v>
      </c>
      <c r="D25" s="14"/>
      <c r="E25" s="15"/>
      <c r="F25" s="16">
        <f t="shared" si="0"/>
        <v>500000</v>
      </c>
      <c r="G25" s="16"/>
      <c r="H25" s="19"/>
      <c r="I25" s="30" t="s">
        <v>84</v>
      </c>
    </row>
    <row r="26" spans="1:9" ht="18" x14ac:dyDescent="0.25">
      <c r="A26" s="11" t="s">
        <v>26</v>
      </c>
      <c r="B26" s="12" t="str">
        <f>VLOOKUP(A26,[5]LISTADHERENT!A$5:H$39,3,0)</f>
        <v>NKAMGANG JUSTIN DEJOLIE</v>
      </c>
      <c r="C26" s="13">
        <f>IF(I26="OK",VLOOKUP(A26,[6]MONTVERST!A$5:F$39,3,0),0)</f>
        <v>0</v>
      </c>
      <c r="D26" s="14">
        <f>40000+101000+17500</f>
        <v>158500</v>
      </c>
      <c r="E26" s="15"/>
      <c r="F26" s="16">
        <f t="shared" si="0"/>
        <v>158500</v>
      </c>
      <c r="G26" s="16"/>
      <c r="H26" s="19"/>
      <c r="I26" s="30"/>
    </row>
    <row r="27" spans="1:9" ht="18" x14ac:dyDescent="0.25">
      <c r="A27" s="11" t="s">
        <v>66</v>
      </c>
      <c r="B27" s="12" t="str">
        <f>VLOOKUP(A27,[5]LISTADHERENT!A$5:H$39,3,0)</f>
        <v>NOUBE ETIENNE</v>
      </c>
      <c r="C27" s="13">
        <f>IF(I27="OK",VLOOKUP(A27,[6]MONTVERST!A$5:F$39,3,0),0)</f>
        <v>50000</v>
      </c>
      <c r="D27" s="14"/>
      <c r="E27" s="15"/>
      <c r="F27" s="16">
        <f>SUM(C27:E27)</f>
        <v>50000</v>
      </c>
      <c r="G27" s="16"/>
      <c r="H27" s="19"/>
      <c r="I27" s="30" t="s">
        <v>84</v>
      </c>
    </row>
    <row r="28" spans="1:9" ht="18" x14ac:dyDescent="0.25">
      <c r="A28" s="11" t="s">
        <v>27</v>
      </c>
      <c r="B28" s="12" t="str">
        <f>VLOOKUP(A28,[5]LISTADHERENT!A$5:H$39,3,0)</f>
        <v>PATEGO NJOSSU GUSTAVE</v>
      </c>
      <c r="C28" s="13">
        <f>IF(I28="OK",VLOOKUP(A28,[6]MONTVERST!A$5:F$39,3,0),0)</f>
        <v>115000</v>
      </c>
      <c r="D28" s="14"/>
      <c r="E28" s="15"/>
      <c r="F28" s="16">
        <f t="shared" si="0"/>
        <v>115000</v>
      </c>
      <c r="G28" s="16"/>
      <c r="H28" s="19"/>
      <c r="I28" s="30" t="s">
        <v>84</v>
      </c>
    </row>
    <row r="29" spans="1:9" ht="18" x14ac:dyDescent="0.25">
      <c r="A29" s="11" t="s">
        <v>67</v>
      </c>
      <c r="B29" s="12" t="str">
        <f>VLOOKUP(A29,[5]LISTADHERENT!A$5:H$39,3,0)</f>
        <v>SEUMO POLYCARPE</v>
      </c>
      <c r="C29" s="13">
        <f>IF(I29="OK",VLOOKUP(A29,[6]MONTVERST!A$5:F$39,3,0),0)</f>
        <v>40000</v>
      </c>
      <c r="D29" s="14"/>
      <c r="E29" s="15"/>
      <c r="F29" s="16">
        <f t="shared" si="0"/>
        <v>40000</v>
      </c>
      <c r="G29" s="16"/>
      <c r="H29" s="19"/>
      <c r="I29" s="30" t="s">
        <v>84</v>
      </c>
    </row>
    <row r="30" spans="1:9" ht="18" x14ac:dyDescent="0.25">
      <c r="A30" s="11" t="s">
        <v>28</v>
      </c>
      <c r="B30" s="12" t="str">
        <f>VLOOKUP(A30,[5]LISTADHERENT!A$5:H$39,3,0)</f>
        <v>SIME BRICE</v>
      </c>
      <c r="C30" s="13">
        <f>IF(I30="OK",VLOOKUP(A30,[6]MONTVERST!A$5:F$39,3,0),0)</f>
        <v>115000</v>
      </c>
      <c r="D30" s="14"/>
      <c r="E30" s="15"/>
      <c r="F30" s="16">
        <f t="shared" si="0"/>
        <v>115000</v>
      </c>
      <c r="G30" s="16"/>
      <c r="H30" s="19"/>
      <c r="I30" s="30" t="s">
        <v>84</v>
      </c>
    </row>
    <row r="31" spans="1:9" ht="18" x14ac:dyDescent="0.25">
      <c r="A31" s="11" t="s">
        <v>29</v>
      </c>
      <c r="B31" s="12" t="str">
        <f>VLOOKUP(A31,[5]LISTADHERENT!A$5:H$39,3,0)</f>
        <v>SIMO PIERRE</v>
      </c>
      <c r="C31" s="13">
        <v>171000</v>
      </c>
      <c r="D31" s="14"/>
      <c r="E31" s="15"/>
      <c r="F31" s="16">
        <f t="shared" si="0"/>
        <v>171000</v>
      </c>
      <c r="G31" s="16"/>
      <c r="H31" s="19"/>
      <c r="I31" s="30" t="s">
        <v>84</v>
      </c>
    </row>
    <row r="32" spans="1:9" ht="18" x14ac:dyDescent="0.25">
      <c r="A32" s="11" t="s">
        <v>30</v>
      </c>
      <c r="B32" s="12" t="str">
        <f>VLOOKUP(A32,[5]LISTADHERENT!A$5:H$39,3,0)</f>
        <v>TCHOUAMOU MATHIEU</v>
      </c>
      <c r="C32" s="13">
        <f>IF(I32="OK",VLOOKUP(A32,[6]MONTVERST!A$5:F$39,3,0),0)</f>
        <v>115000</v>
      </c>
      <c r="D32" s="14"/>
      <c r="E32" s="15"/>
      <c r="F32" s="16">
        <f t="shared" si="0"/>
        <v>115000</v>
      </c>
      <c r="G32" s="16"/>
      <c r="H32" s="19"/>
      <c r="I32" s="30" t="s">
        <v>84</v>
      </c>
    </row>
    <row r="33" spans="1:9" ht="18" x14ac:dyDescent="0.25">
      <c r="A33" s="11" t="s">
        <v>65</v>
      </c>
      <c r="B33" s="12" t="str">
        <f>VLOOKUP(A33,[5]LISTADHERENT!A$5:H$39,3,0)</f>
        <v>TCHOUTOU NANA CLAUDE</v>
      </c>
      <c r="C33" s="13">
        <f>IF(I33="OK",VLOOKUP(A33,[6]MONTVERST!A$5:F$39,3,0),0)</f>
        <v>40000</v>
      </c>
      <c r="D33" s="14"/>
      <c r="E33" s="15"/>
      <c r="F33" s="16">
        <f t="shared" si="0"/>
        <v>40000</v>
      </c>
      <c r="G33" s="16"/>
      <c r="H33" s="19"/>
      <c r="I33" s="30" t="s">
        <v>84</v>
      </c>
    </row>
    <row r="34" spans="1:9" ht="18" x14ac:dyDescent="0.25">
      <c r="A34" s="11" t="s">
        <v>68</v>
      </c>
      <c r="B34" s="12" t="str">
        <f>VLOOKUP(A34,[5]LISTADHERENT!A$5:H$39,3,0)</f>
        <v>YANTCHOU GERVAIS</v>
      </c>
      <c r="C34" s="13">
        <v>80000</v>
      </c>
      <c r="D34" s="14"/>
      <c r="E34" s="15"/>
      <c r="F34" s="16">
        <f t="shared" si="0"/>
        <v>80000</v>
      </c>
      <c r="G34" s="16"/>
      <c r="H34" s="19"/>
      <c r="I34" s="30" t="s">
        <v>84</v>
      </c>
    </row>
    <row r="35" spans="1:9" ht="18" x14ac:dyDescent="0.25">
      <c r="A35" s="11" t="s">
        <v>31</v>
      </c>
      <c r="B35" s="12" t="str">
        <f>VLOOKUP(A35,[5]LISTADHERENT!A$5:H$39,3,0)</f>
        <v>YEPMOU JEAN JACQUES</v>
      </c>
      <c r="C35" s="13">
        <f>IF(I35="OK",VLOOKUP(A35,[6]MONTVERST!A$5:F$39,3,0),0)</f>
        <v>0</v>
      </c>
      <c r="D35" s="14">
        <v>40000</v>
      </c>
      <c r="E35" s="15"/>
      <c r="F35" s="16">
        <f t="shared" si="0"/>
        <v>40000</v>
      </c>
      <c r="G35" s="16"/>
      <c r="H35" s="19"/>
      <c r="I35" s="30"/>
    </row>
    <row r="36" spans="1:9" ht="18" x14ac:dyDescent="0.25">
      <c r="A36" s="11" t="s">
        <v>32</v>
      </c>
      <c r="B36" s="12" t="str">
        <f>VLOOKUP(A36,[5]LISTADHERENT!A$5:H$39,3,0)</f>
        <v>YOUMBI EMMANUEL</v>
      </c>
      <c r="C36" s="13">
        <f>580000+300000</f>
        <v>880000</v>
      </c>
      <c r="D36" s="14"/>
      <c r="E36" s="15"/>
      <c r="F36" s="16">
        <f t="shared" si="0"/>
        <v>880000</v>
      </c>
      <c r="G36" s="16"/>
      <c r="H36" s="19"/>
      <c r="I36" s="30" t="s">
        <v>84</v>
      </c>
    </row>
    <row r="37" spans="1:9" x14ac:dyDescent="0.25">
      <c r="A37" s="17"/>
      <c r="B37" s="18"/>
      <c r="C37" s="18"/>
      <c r="D37" s="18"/>
      <c r="E37" s="18"/>
      <c r="F37" s="18"/>
      <c r="G37" s="18"/>
      <c r="H37" s="19"/>
      <c r="I37" s="19"/>
    </row>
    <row r="38" spans="1:9" ht="18.75" thickBot="1" x14ac:dyDescent="0.3">
      <c r="A38" s="20"/>
      <c r="B38" s="21" t="s">
        <v>33</v>
      </c>
      <c r="C38" s="22">
        <f>SUM(C7:C37)</f>
        <v>5670000</v>
      </c>
      <c r="D38" s="22">
        <f t="shared" ref="D38:G38" si="1">SUM(D7:D37)</f>
        <v>526000</v>
      </c>
      <c r="E38" s="22">
        <f t="shared" si="1"/>
        <v>0</v>
      </c>
      <c r="F38" s="22">
        <f t="shared" si="1"/>
        <v>6196000</v>
      </c>
      <c r="G38" s="22">
        <f t="shared" si="1"/>
        <v>0</v>
      </c>
      <c r="H38" s="23">
        <f t="shared" ref="H38" si="2">SUM(H8:H37)</f>
        <v>0</v>
      </c>
      <c r="I38" s="31"/>
    </row>
    <row r="39" spans="1:9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9"/>
  <sheetViews>
    <sheetView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F1" sqref="F1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  <col min="9" max="9" width="12.5703125" customWidth="1"/>
  </cols>
  <sheetData>
    <row r="1" spans="1:9" ht="21" x14ac:dyDescent="0.35">
      <c r="A1" s="1" t="s">
        <v>2</v>
      </c>
      <c r="B1" s="1" t="s">
        <v>3</v>
      </c>
      <c r="C1" s="25" t="s">
        <v>80</v>
      </c>
      <c r="F1">
        <f>70000+91000+225000-221000</f>
        <v>165000</v>
      </c>
    </row>
    <row r="2" spans="1:9" x14ac:dyDescent="0.25">
      <c r="A2" s="1" t="s">
        <v>4</v>
      </c>
      <c r="B2" s="1">
        <v>2023</v>
      </c>
    </row>
    <row r="3" spans="1:9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9" ht="29.25" thickBot="1" x14ac:dyDescent="0.5">
      <c r="B4" s="36" t="s">
        <v>61</v>
      </c>
      <c r="C4" s="34"/>
      <c r="D4" s="34"/>
      <c r="E4" s="34"/>
      <c r="F4" s="3"/>
    </row>
    <row r="5" spans="1:9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  <c r="I5" s="24" t="s">
        <v>83</v>
      </c>
    </row>
    <row r="6" spans="1:9" ht="18" x14ac:dyDescent="0.25">
      <c r="A6" s="11" t="s">
        <v>63</v>
      </c>
      <c r="B6" s="12" t="str">
        <f>VLOOKUP(A6,[5]LISTADHERENT!A$5:H$39,3,0)</f>
        <v>ASELBY</v>
      </c>
      <c r="C6" s="13">
        <f>IF(I6="OK",VLOOKUP(A6,[6]MONTVERST!A$5:F$39,3,0),0)</f>
        <v>175000</v>
      </c>
      <c r="D6" s="14"/>
      <c r="E6" s="15"/>
      <c r="F6" s="16">
        <f>SUM(C6:E6)</f>
        <v>175000</v>
      </c>
      <c r="G6" s="16"/>
      <c r="H6" s="19"/>
      <c r="I6" s="30" t="s">
        <v>84</v>
      </c>
    </row>
    <row r="7" spans="1:9" ht="18" x14ac:dyDescent="0.25">
      <c r="A7" s="11" t="s">
        <v>69</v>
      </c>
      <c r="B7" s="12" t="str">
        <f>VLOOKUP(A7,[5]LISTADHERENT!A$5:H$39,3,0)</f>
        <v>BAKOP ACHILLE</v>
      </c>
      <c r="C7" s="13">
        <f>IF(I7="OK",VLOOKUP(A7,[6]MONTVERST!A$5:F$39,3,0),0)</f>
        <v>40000</v>
      </c>
      <c r="D7" s="14"/>
      <c r="E7" s="15"/>
      <c r="F7" s="16">
        <f t="shared" ref="F7:F36" si="0">SUM(C7:E7)</f>
        <v>40000</v>
      </c>
      <c r="G7" s="16"/>
      <c r="H7" s="19"/>
      <c r="I7" s="30" t="s">
        <v>84</v>
      </c>
    </row>
    <row r="8" spans="1:9" ht="18" x14ac:dyDescent="0.25">
      <c r="A8" s="11" t="s">
        <v>8</v>
      </c>
      <c r="B8" s="12" t="str">
        <f>VLOOKUP(A8,[5]LISTADHERENT!A$5:H$39,3,0)</f>
        <v>BOUTCHOUANG WILLIAM</v>
      </c>
      <c r="C8" s="13">
        <f>IF(I8="OK",VLOOKUP(A8,[6]MONTVERST!A$5:F$39,3,0),0)</f>
        <v>115000</v>
      </c>
      <c r="D8" s="14"/>
      <c r="E8" s="15"/>
      <c r="F8" s="16">
        <f t="shared" si="0"/>
        <v>115000</v>
      </c>
      <c r="G8" s="16"/>
      <c r="H8" s="19"/>
      <c r="I8" s="30" t="s">
        <v>84</v>
      </c>
    </row>
    <row r="9" spans="1:9" ht="18" x14ac:dyDescent="0.25">
      <c r="A9" s="11" t="s">
        <v>9</v>
      </c>
      <c r="B9" s="12" t="str">
        <f>VLOOKUP(A9,[5]LISTADHERENT!A$5:H$39,3,0)</f>
        <v xml:space="preserve">DJOMO JEAN PAUL </v>
      </c>
      <c r="C9" s="13">
        <f>101000+20000+221000</f>
        <v>342000</v>
      </c>
      <c r="D9" s="14"/>
      <c r="E9" s="15"/>
      <c r="F9" s="16">
        <f t="shared" si="0"/>
        <v>342000</v>
      </c>
      <c r="G9" s="16"/>
      <c r="H9" s="19"/>
      <c r="I9" s="30" t="s">
        <v>84</v>
      </c>
    </row>
    <row r="10" spans="1:9" ht="18" x14ac:dyDescent="0.25">
      <c r="A10" s="11" t="s">
        <v>10</v>
      </c>
      <c r="B10" s="12" t="str">
        <f>VLOOKUP(A10,[5]LISTADHERENT!A$5:H$39,3,0)</f>
        <v>DJOMOU TCHAPDA</v>
      </c>
      <c r="C10" s="13">
        <f>IF(I10="OK",VLOOKUP(A10,[6]MONTVERST!A$5:F$39,3,0),0)</f>
        <v>40000</v>
      </c>
      <c r="D10" s="14"/>
      <c r="E10" s="15"/>
      <c r="F10" s="16">
        <f t="shared" si="0"/>
        <v>40000</v>
      </c>
      <c r="G10" s="16"/>
      <c r="H10" s="19"/>
      <c r="I10" s="30" t="s">
        <v>84</v>
      </c>
    </row>
    <row r="11" spans="1:9" ht="18" x14ac:dyDescent="0.25">
      <c r="A11" s="11" t="s">
        <v>11</v>
      </c>
      <c r="B11" s="12" t="str">
        <f>VLOOKUP(A11,[5]LISTADHERENT!A$5:H$39,3,0)</f>
        <v>DJOUKWE NANGUEN GUY BLAISE</v>
      </c>
      <c r="C11" s="13">
        <f>IF(I11="OK",VLOOKUP(A11,[6]MONTVERST!A$5:F$39,3,0),0)</f>
        <v>115000</v>
      </c>
      <c r="D11" s="14"/>
      <c r="E11" s="15"/>
      <c r="F11" s="16">
        <f t="shared" si="0"/>
        <v>115000</v>
      </c>
      <c r="G11" s="16"/>
      <c r="H11" s="19"/>
      <c r="I11" s="30" t="s">
        <v>84</v>
      </c>
    </row>
    <row r="12" spans="1:9" ht="18" x14ac:dyDescent="0.25">
      <c r="A12" s="11" t="s">
        <v>12</v>
      </c>
      <c r="B12" s="12" t="str">
        <f>VLOOKUP(A12,[5]LISTADHERENT!A$5:H$39,3,0)</f>
        <v>DJUOMBESSY ANTOINE</v>
      </c>
      <c r="C12" s="13">
        <f>IF(I12="OK",VLOOKUP(A12,[6]MONTVERST!A$5:F$39,3,0),0)</f>
        <v>320000</v>
      </c>
      <c r="D12" s="14"/>
      <c r="E12" s="15"/>
      <c r="F12" s="16">
        <f t="shared" si="0"/>
        <v>320000</v>
      </c>
      <c r="G12" s="16"/>
      <c r="H12" s="19"/>
      <c r="I12" s="30" t="s">
        <v>84</v>
      </c>
    </row>
    <row r="13" spans="1:9" ht="18" x14ac:dyDescent="0.25">
      <c r="A13" s="11" t="s">
        <v>13</v>
      </c>
      <c r="B13" s="12" t="str">
        <f>VLOOKUP(A13,[5]LISTADHERENT!A$5:H$39,3,0)</f>
        <v>DOMOU FABIEN</v>
      </c>
      <c r="C13" s="13">
        <f>IF(I13="OK",VLOOKUP(A13,[6]MONTVERST!A$5:F$39,3,0),0)</f>
        <v>40000</v>
      </c>
      <c r="D13" s="14"/>
      <c r="E13" s="15"/>
      <c r="F13" s="16">
        <f t="shared" si="0"/>
        <v>40000</v>
      </c>
      <c r="G13" s="16"/>
      <c r="H13" s="19"/>
      <c r="I13" s="30" t="s">
        <v>84</v>
      </c>
    </row>
    <row r="14" spans="1:9" ht="18" x14ac:dyDescent="0.25">
      <c r="A14" s="11" t="s">
        <v>14</v>
      </c>
      <c r="B14" s="12" t="str">
        <f>VLOOKUP(A14,[5]LISTADHERENT!A$5:H$39,3,0)</f>
        <v>DONHOU DAVID</v>
      </c>
      <c r="C14" s="13">
        <f>IF(I14="OK",VLOOKUP(A14,[6]MONTVERST!A$5:F$39,3,0),0)</f>
        <v>40000</v>
      </c>
      <c r="D14" s="14"/>
      <c r="E14" s="15"/>
      <c r="F14" s="16">
        <f t="shared" si="0"/>
        <v>40000</v>
      </c>
      <c r="G14" s="16"/>
      <c r="H14" s="19"/>
      <c r="I14" s="30" t="s">
        <v>84</v>
      </c>
    </row>
    <row r="15" spans="1:9" ht="18" x14ac:dyDescent="0.25">
      <c r="A15" s="11" t="s">
        <v>15</v>
      </c>
      <c r="B15" s="12" t="str">
        <f>VLOOKUP(A15,[5]LISTADHERENT!A$5:H$39,3,0)</f>
        <v>HENGUE PAUL OMER</v>
      </c>
      <c r="C15" s="13">
        <f>IF(I15="OK",VLOOKUP(A15,[6]MONTVERST!A$5:F$39,3,0),0)</f>
        <v>115000</v>
      </c>
      <c r="D15" s="14"/>
      <c r="E15" s="15"/>
      <c r="F15" s="16">
        <f t="shared" si="0"/>
        <v>115000</v>
      </c>
      <c r="G15" s="16"/>
      <c r="H15" s="19"/>
      <c r="I15" s="30" t="s">
        <v>84</v>
      </c>
    </row>
    <row r="16" spans="1:9" ht="18" x14ac:dyDescent="0.25">
      <c r="A16" s="11" t="s">
        <v>16</v>
      </c>
      <c r="B16" s="12" t="str">
        <f>VLOOKUP(A16,[5]LISTADHERENT!A$5:H$39,3,0)</f>
        <v>HOTCHO BENJAMIN</v>
      </c>
      <c r="C16" s="13">
        <f>IF(I16="OK",VLOOKUP(A16,[6]MONTVERST!A$5:F$39,3,0),0)</f>
        <v>250000</v>
      </c>
      <c r="D16" s="14"/>
      <c r="E16" s="15"/>
      <c r="F16" s="16">
        <f t="shared" si="0"/>
        <v>250000</v>
      </c>
      <c r="G16" s="16"/>
      <c r="H16" s="19"/>
      <c r="I16" s="30" t="s">
        <v>84</v>
      </c>
    </row>
    <row r="17" spans="1:9" ht="18" x14ac:dyDescent="0.25">
      <c r="A17" s="11" t="s">
        <v>17</v>
      </c>
      <c r="B17" s="12" t="str">
        <f>VLOOKUP(A17,[5]LISTADHERENT!A$5:H$39,3,0)</f>
        <v>KOUAMOU MOISE</v>
      </c>
      <c r="C17" s="13">
        <f>IF(I17="OK",VLOOKUP(A17,[6]MONTVERST!A$5:F$39,3,0),0)</f>
        <v>140000</v>
      </c>
      <c r="D17" s="14"/>
      <c r="E17" s="15"/>
      <c r="F17" s="16">
        <f t="shared" si="0"/>
        <v>140000</v>
      </c>
      <c r="G17" s="16"/>
      <c r="H17" s="19"/>
      <c r="I17" s="30" t="s">
        <v>84</v>
      </c>
    </row>
    <row r="18" spans="1:9" ht="18" x14ac:dyDescent="0.25">
      <c r="A18" s="11" t="s">
        <v>18</v>
      </c>
      <c r="B18" s="12" t="str">
        <f>VLOOKUP(A18,[5]LISTADHERENT!A$5:H$39,3,0)</f>
        <v>KOUATCHO MESSACK</v>
      </c>
      <c r="C18" s="13">
        <f>330000+37000</f>
        <v>367000</v>
      </c>
      <c r="D18" s="14"/>
      <c r="E18" s="15"/>
      <c r="F18" s="16">
        <f t="shared" si="0"/>
        <v>367000</v>
      </c>
      <c r="G18" s="16"/>
      <c r="H18" s="19"/>
      <c r="I18" s="30" t="s">
        <v>84</v>
      </c>
    </row>
    <row r="19" spans="1:9" ht="18" x14ac:dyDescent="0.25">
      <c r="A19" s="11" t="s">
        <v>19</v>
      </c>
      <c r="B19" s="12" t="str">
        <f>VLOOKUP(A19,[5]LISTADHERENT!A$5:H$39,3,0)</f>
        <v>LOWE JEAN</v>
      </c>
      <c r="C19" s="13">
        <f>IF(I19="OK",VLOOKUP(A19,[6]MONTVERST!A$5:F$39,3,0),0)</f>
        <v>40000</v>
      </c>
      <c r="D19" s="14"/>
      <c r="E19" s="15"/>
      <c r="F19" s="16">
        <f t="shared" si="0"/>
        <v>40000</v>
      </c>
      <c r="G19" s="16"/>
      <c r="H19" s="19"/>
      <c r="I19" s="30" t="s">
        <v>84</v>
      </c>
    </row>
    <row r="20" spans="1:9" ht="18" x14ac:dyDescent="0.25">
      <c r="A20" s="11" t="s">
        <v>20</v>
      </c>
      <c r="B20" s="12" t="str">
        <f>VLOOKUP(A20,[5]LISTADHERENT!A$5:H$39,3,0)</f>
        <v>MBOGNING TUGMA GUY</v>
      </c>
      <c r="C20" s="13">
        <f>IF(I20="OK",VLOOKUP(A20,[6]MONTVERST!A$5:F$39,3,0),0)+30500</f>
        <v>245500</v>
      </c>
      <c r="D20" s="14"/>
      <c r="E20" s="15"/>
      <c r="F20" s="16">
        <f t="shared" si="0"/>
        <v>245500</v>
      </c>
      <c r="G20" s="16"/>
      <c r="H20" s="19"/>
      <c r="I20" s="30" t="s">
        <v>84</v>
      </c>
    </row>
    <row r="21" spans="1:9" ht="18" x14ac:dyDescent="0.25">
      <c r="A21" s="11" t="s">
        <v>21</v>
      </c>
      <c r="B21" s="12" t="str">
        <f>VLOOKUP(A21,[5]LISTADHERENT!A$5:H$39,3,0)</f>
        <v>NANGUEN MARTIN</v>
      </c>
      <c r="C21" s="13">
        <f>IF(I21="OK",VLOOKUP(A21,[6]MONTVERST!A$5:F$39,3,0),0)</f>
        <v>40000</v>
      </c>
      <c r="D21" s="14"/>
      <c r="E21" s="15"/>
      <c r="F21" s="16">
        <f t="shared" si="0"/>
        <v>40000</v>
      </c>
      <c r="G21" s="16"/>
      <c r="H21" s="19"/>
      <c r="I21" s="30" t="s">
        <v>84</v>
      </c>
    </row>
    <row r="22" spans="1:9" ht="18" x14ac:dyDescent="0.25">
      <c r="A22" s="11" t="s">
        <v>22</v>
      </c>
      <c r="B22" s="12" t="str">
        <f>VLOOKUP(A22,[5]LISTADHERENT!A$5:H$39,3,0)</f>
        <v>NANKAM APPOLINAIRE</v>
      </c>
      <c r="C22" s="13">
        <f>IF(I22="OK",VLOOKUP(A22,[6]MONTVERST!A$5:F$39,3,0),0)</f>
        <v>115000</v>
      </c>
      <c r="D22" s="14"/>
      <c r="E22" s="15"/>
      <c r="F22" s="16">
        <f t="shared" si="0"/>
        <v>115000</v>
      </c>
      <c r="G22" s="16"/>
      <c r="H22" s="19"/>
      <c r="I22" s="30" t="s">
        <v>84</v>
      </c>
    </row>
    <row r="23" spans="1:9" ht="18" x14ac:dyDescent="0.25">
      <c r="A23" s="11" t="s">
        <v>23</v>
      </c>
      <c r="B23" s="12" t="str">
        <f>VLOOKUP(A23,[5]LISTADHERENT!A$5:H$39,3,0)</f>
        <v>NDJOMO ETIENNE</v>
      </c>
      <c r="C23" s="13">
        <f>IF(I23="OK",VLOOKUP(A23,[6]MONTVERST!A$5:F$39,3,0),0)</f>
        <v>250000</v>
      </c>
      <c r="D23" s="14"/>
      <c r="E23" s="15"/>
      <c r="F23" s="16">
        <f t="shared" si="0"/>
        <v>250000</v>
      </c>
      <c r="G23" s="16"/>
      <c r="H23" s="19"/>
      <c r="I23" s="30" t="s">
        <v>84</v>
      </c>
    </row>
    <row r="24" spans="1:9" ht="18" x14ac:dyDescent="0.25">
      <c r="A24" s="11" t="s">
        <v>24</v>
      </c>
      <c r="B24" s="12" t="str">
        <f>VLOOKUP(A24,[5]LISTADHERENT!A$5:H$39,3,0)</f>
        <v>NGONDIEP CLAUDE</v>
      </c>
      <c r="C24" s="13">
        <v>420000</v>
      </c>
      <c r="D24" s="14"/>
      <c r="E24" s="15"/>
      <c r="F24" s="16">
        <f t="shared" si="0"/>
        <v>420000</v>
      </c>
      <c r="G24" s="16"/>
      <c r="H24" s="19"/>
      <c r="I24" s="30" t="s">
        <v>84</v>
      </c>
    </row>
    <row r="25" spans="1:9" ht="18" x14ac:dyDescent="0.25">
      <c r="A25" s="11" t="s">
        <v>25</v>
      </c>
      <c r="B25" s="12" t="str">
        <f>VLOOKUP(A25,[5]LISTADHERENT!A$5:H$39,3,0)</f>
        <v>NGUIEMEGNI MATHIEU BLAISE</v>
      </c>
      <c r="C25" s="13">
        <v>500000</v>
      </c>
      <c r="D25" s="14"/>
      <c r="E25" s="15"/>
      <c r="F25" s="16">
        <f t="shared" si="0"/>
        <v>500000</v>
      </c>
      <c r="G25" s="16"/>
      <c r="H25" s="19"/>
      <c r="I25" s="30" t="s">
        <v>84</v>
      </c>
    </row>
    <row r="26" spans="1:9" ht="18" x14ac:dyDescent="0.25">
      <c r="A26" s="11" t="s">
        <v>26</v>
      </c>
      <c r="B26" s="12" t="str">
        <f>VLOOKUP(A26,[5]LISTADHERENT!A$5:H$39,3,0)</f>
        <v>NKAMGANG JUSTIN DEJOLIE</v>
      </c>
      <c r="C26" s="13">
        <f>IF(I26="OK",VLOOKUP(A26,[6]MONTVERST!A$5:F$39,3,0),0)</f>
        <v>0</v>
      </c>
      <c r="D26" s="14">
        <v>102000</v>
      </c>
      <c r="E26" s="15"/>
      <c r="F26" s="16">
        <f t="shared" si="0"/>
        <v>102000</v>
      </c>
      <c r="G26" s="16"/>
      <c r="H26" s="19"/>
      <c r="I26" s="30"/>
    </row>
    <row r="27" spans="1:9" ht="18" x14ac:dyDescent="0.25">
      <c r="A27" s="11" t="s">
        <v>66</v>
      </c>
      <c r="B27" s="12" t="str">
        <f>VLOOKUP(A27,[5]LISTADHERENT!A$5:H$39,3,0)</f>
        <v>NOUBE ETIENNE</v>
      </c>
      <c r="C27" s="13">
        <f>IF(I27="OK",VLOOKUP(A27,[6]MONTVERST!A$5:F$39,3,0),0)</f>
        <v>50000</v>
      </c>
      <c r="D27" s="14"/>
      <c r="E27" s="15"/>
      <c r="F27" s="16">
        <f>SUM(C27:E27)</f>
        <v>50000</v>
      </c>
      <c r="G27" s="16"/>
      <c r="H27" s="19"/>
      <c r="I27" s="30" t="s">
        <v>84</v>
      </c>
    </row>
    <row r="28" spans="1:9" ht="18" x14ac:dyDescent="0.25">
      <c r="A28" s="11" t="s">
        <v>27</v>
      </c>
      <c r="B28" s="12" t="str">
        <f>VLOOKUP(A28,[5]LISTADHERENT!A$5:H$39,3,0)</f>
        <v>PATEGO NJOSSU GUSTAVE</v>
      </c>
      <c r="C28" s="13">
        <f>IF(I28="OK",VLOOKUP(A28,[6]MONTVERST!A$5:F$39,3,0),0)</f>
        <v>115000</v>
      </c>
      <c r="D28" s="14"/>
      <c r="E28" s="15"/>
      <c r="F28" s="16">
        <f t="shared" si="0"/>
        <v>115000</v>
      </c>
      <c r="G28" s="16"/>
      <c r="H28" s="19"/>
      <c r="I28" s="30" t="s">
        <v>84</v>
      </c>
    </row>
    <row r="29" spans="1:9" ht="18" x14ac:dyDescent="0.25">
      <c r="A29" s="11" t="s">
        <v>67</v>
      </c>
      <c r="B29" s="12" t="str">
        <f>VLOOKUP(A29,[5]LISTADHERENT!A$5:H$39,3,0)</f>
        <v>SEUMO POLYCARPE</v>
      </c>
      <c r="C29" s="13">
        <f>IF(I29="OK",VLOOKUP(A29,[6]MONTVERST!A$5:F$39,3,0),0)</f>
        <v>40000</v>
      </c>
      <c r="D29" s="14"/>
      <c r="E29" s="15"/>
      <c r="F29" s="16">
        <f t="shared" si="0"/>
        <v>40000</v>
      </c>
      <c r="G29" s="16"/>
      <c r="H29" s="19"/>
      <c r="I29" s="30" t="s">
        <v>84</v>
      </c>
    </row>
    <row r="30" spans="1:9" ht="18" x14ac:dyDescent="0.25">
      <c r="A30" s="11" t="s">
        <v>28</v>
      </c>
      <c r="B30" s="12" t="str">
        <f>VLOOKUP(A30,[5]LISTADHERENT!A$5:H$39,3,0)</f>
        <v>SIME BRICE</v>
      </c>
      <c r="C30" s="13">
        <f>IF(I30="OK",VLOOKUP(A30,[6]MONTVERST!A$5:F$39,3,0),0)</f>
        <v>115000</v>
      </c>
      <c r="D30" s="14"/>
      <c r="E30" s="15"/>
      <c r="F30" s="16">
        <f t="shared" si="0"/>
        <v>115000</v>
      </c>
      <c r="G30" s="16"/>
      <c r="H30" s="19"/>
      <c r="I30" s="30" t="s">
        <v>84</v>
      </c>
    </row>
    <row r="31" spans="1:9" ht="18" x14ac:dyDescent="0.25">
      <c r="A31" s="11" t="s">
        <v>29</v>
      </c>
      <c r="B31" s="12" t="str">
        <f>VLOOKUP(A31,[5]LISTADHERENT!A$5:H$39,3,0)</f>
        <v>SIMO PIERRE</v>
      </c>
      <c r="C31" s="13">
        <v>171000</v>
      </c>
      <c r="D31" s="14"/>
      <c r="E31" s="15"/>
      <c r="F31" s="16">
        <f t="shared" si="0"/>
        <v>171000</v>
      </c>
      <c r="G31" s="16"/>
      <c r="H31" s="19"/>
      <c r="I31" s="30" t="s">
        <v>84</v>
      </c>
    </row>
    <row r="32" spans="1:9" ht="18" x14ac:dyDescent="0.25">
      <c r="A32" s="11" t="s">
        <v>30</v>
      </c>
      <c r="B32" s="12" t="str">
        <f>VLOOKUP(A32,[5]LISTADHERENT!A$5:H$39,3,0)</f>
        <v>TCHOUAMOU MATHIEU</v>
      </c>
      <c r="C32" s="13">
        <f>IF(I32="OK",VLOOKUP(A32,[6]MONTVERST!A$5:F$39,3,0),0)</f>
        <v>115000</v>
      </c>
      <c r="D32" s="14"/>
      <c r="E32" s="15"/>
      <c r="F32" s="16">
        <f t="shared" si="0"/>
        <v>115000</v>
      </c>
      <c r="G32" s="16"/>
      <c r="H32" s="19"/>
      <c r="I32" s="30" t="s">
        <v>84</v>
      </c>
    </row>
    <row r="33" spans="1:9" ht="18" x14ac:dyDescent="0.25">
      <c r="A33" s="11" t="s">
        <v>65</v>
      </c>
      <c r="B33" s="12" t="str">
        <f>VLOOKUP(A33,[5]LISTADHERENT!A$5:H$39,3,0)</f>
        <v>TCHOUTOU NANA CLAUDE</v>
      </c>
      <c r="C33" s="13">
        <v>120000</v>
      </c>
      <c r="D33" s="14"/>
      <c r="E33" s="15"/>
      <c r="F33" s="16">
        <f t="shared" si="0"/>
        <v>120000</v>
      </c>
      <c r="G33" s="16"/>
      <c r="H33" s="19"/>
      <c r="I33" s="30" t="s">
        <v>84</v>
      </c>
    </row>
    <row r="34" spans="1:9" ht="18" x14ac:dyDescent="0.25">
      <c r="A34" s="11" t="s">
        <v>68</v>
      </c>
      <c r="B34" s="12" t="str">
        <f>VLOOKUP(A34,[5]LISTADHERENT!A$5:H$39,3,0)</f>
        <v>YANTCHOU GERVAIS</v>
      </c>
      <c r="C34" s="13">
        <v>70000</v>
      </c>
      <c r="D34" s="14"/>
      <c r="E34" s="15"/>
      <c r="F34" s="16">
        <f t="shared" si="0"/>
        <v>70000</v>
      </c>
      <c r="G34" s="16"/>
      <c r="H34" s="19"/>
      <c r="I34" s="30" t="s">
        <v>84</v>
      </c>
    </row>
    <row r="35" spans="1:9" ht="18" x14ac:dyDescent="0.25">
      <c r="A35" s="11" t="s">
        <v>31</v>
      </c>
      <c r="B35" s="12" t="str">
        <f>VLOOKUP(A35,[5]LISTADHERENT!A$5:H$39,3,0)</f>
        <v>YEPMOU JEAN JACQUES</v>
      </c>
      <c r="C35" s="13">
        <f>IF(I35="OK",VLOOKUP(A35,[6]MONTVERST!A$5:F$39,3,0),0)</f>
        <v>0</v>
      </c>
      <c r="D35" s="14">
        <v>40000</v>
      </c>
      <c r="E35" s="15"/>
      <c r="F35" s="16">
        <f t="shared" si="0"/>
        <v>40000</v>
      </c>
      <c r="G35" s="16"/>
      <c r="H35" s="19"/>
      <c r="I35" s="30"/>
    </row>
    <row r="36" spans="1:9" ht="18" x14ac:dyDescent="0.25">
      <c r="A36" s="11" t="s">
        <v>32</v>
      </c>
      <c r="B36" s="12" t="str">
        <f>VLOOKUP(A36,[5]LISTADHERENT!A$5:H$39,3,0)</f>
        <v>YOUMBI EMMANUEL</v>
      </c>
      <c r="C36" s="13">
        <f>290000+303000</f>
        <v>593000</v>
      </c>
      <c r="D36" s="14"/>
      <c r="E36" s="15"/>
      <c r="F36" s="16">
        <f t="shared" si="0"/>
        <v>593000</v>
      </c>
      <c r="G36" s="16"/>
      <c r="H36" s="19"/>
      <c r="I36" s="30" t="s">
        <v>84</v>
      </c>
    </row>
    <row r="37" spans="1:9" x14ac:dyDescent="0.25">
      <c r="A37" s="17"/>
      <c r="B37" s="18"/>
      <c r="C37" s="18"/>
      <c r="D37" s="18"/>
      <c r="E37" s="18"/>
      <c r="F37" s="18"/>
      <c r="G37" s="18"/>
      <c r="H37" s="19"/>
      <c r="I37" s="19"/>
    </row>
    <row r="38" spans="1:9" ht="18.75" thickBot="1" x14ac:dyDescent="0.3">
      <c r="A38" s="20"/>
      <c r="B38" s="21" t="s">
        <v>33</v>
      </c>
      <c r="C38" s="22">
        <f>SUM(C7:C37)</f>
        <v>4923500</v>
      </c>
      <c r="D38" s="22">
        <f t="shared" ref="D38:G38" si="1">SUM(D7:D37)</f>
        <v>142000</v>
      </c>
      <c r="E38" s="22">
        <f t="shared" si="1"/>
        <v>0</v>
      </c>
      <c r="F38" s="22">
        <f t="shared" si="1"/>
        <v>5065500</v>
      </c>
      <c r="G38" s="22">
        <f t="shared" si="1"/>
        <v>0</v>
      </c>
      <c r="H38" s="23">
        <f t="shared" ref="H38" si="2">SUM(H8:H37)</f>
        <v>0</v>
      </c>
      <c r="I38" s="31"/>
    </row>
    <row r="39" spans="1:9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E12" sqref="E1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  <col min="9" max="9" width="12.5703125" customWidth="1"/>
  </cols>
  <sheetData>
    <row r="1" spans="1:9" ht="21" x14ac:dyDescent="0.35">
      <c r="A1" s="1" t="s">
        <v>2</v>
      </c>
      <c r="B1" s="1" t="s">
        <v>3</v>
      </c>
      <c r="C1" s="25" t="s">
        <v>81</v>
      </c>
      <c r="G1">
        <f>990000-320000</f>
        <v>670000</v>
      </c>
    </row>
    <row r="2" spans="1:9" x14ac:dyDescent="0.25">
      <c r="A2" s="1" t="s">
        <v>4</v>
      </c>
      <c r="B2" s="1">
        <v>2023</v>
      </c>
      <c r="I2">
        <f>719000+220000-890000</f>
        <v>49000</v>
      </c>
    </row>
    <row r="3" spans="1:9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  <c r="H3">
        <f>416000-115000</f>
        <v>301000</v>
      </c>
    </row>
    <row r="4" spans="1:9" ht="29.25" thickBot="1" x14ac:dyDescent="0.5">
      <c r="B4" s="36" t="s">
        <v>61</v>
      </c>
      <c r="C4" s="34"/>
      <c r="D4" s="34"/>
      <c r="E4" s="34"/>
      <c r="F4" s="3"/>
    </row>
    <row r="5" spans="1:9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  <c r="I5" s="24" t="s">
        <v>83</v>
      </c>
    </row>
    <row r="6" spans="1:9" ht="18" x14ac:dyDescent="0.25">
      <c r="A6" s="11" t="s">
        <v>63</v>
      </c>
      <c r="B6" s="12" t="str">
        <f>VLOOKUP(A6,[5]LISTADHERENT!A$5:H$39,3,0)</f>
        <v>ASELBY</v>
      </c>
      <c r="C6" s="32">
        <f>IF(I6="OK",VLOOKUP(A6,[6]MONTVERST!A$5:F$39,3,0),0)</f>
        <v>175000</v>
      </c>
      <c r="D6" s="14"/>
      <c r="E6" s="15"/>
      <c r="F6" s="16">
        <f>SUM(C6:E6)</f>
        <v>175000</v>
      </c>
      <c r="G6" s="16"/>
      <c r="H6" s="19"/>
      <c r="I6" s="30" t="s">
        <v>84</v>
      </c>
    </row>
    <row r="7" spans="1:9" ht="18" x14ac:dyDescent="0.25">
      <c r="A7" s="11" t="s">
        <v>69</v>
      </c>
      <c r="B7" s="12" t="str">
        <f>VLOOKUP(A7,[5]LISTADHERENT!A$5:H$39,3,0)</f>
        <v>BAKOP ACHILLE</v>
      </c>
      <c r="C7" s="13"/>
      <c r="D7" s="14">
        <f>69000+600000</f>
        <v>669000</v>
      </c>
      <c r="E7" s="15"/>
      <c r="F7" s="16">
        <f t="shared" ref="F7:F36" si="0">SUM(C7:E7)</f>
        <v>669000</v>
      </c>
      <c r="G7" s="16"/>
      <c r="H7" s="19"/>
      <c r="I7" s="30" t="s">
        <v>84</v>
      </c>
    </row>
    <row r="8" spans="1:9" ht="18" x14ac:dyDescent="0.25">
      <c r="A8" s="11" t="s">
        <v>8</v>
      </c>
      <c r="B8" s="12" t="str">
        <f>VLOOKUP(A8,[5]LISTADHERENT!A$5:H$39,3,0)</f>
        <v>BOUTCHOUANG WILLIAM</v>
      </c>
      <c r="C8" s="32">
        <f>IF(I8="OK",VLOOKUP(A8,[6]MONTVERST!A$5:F$39,3,0),0)</f>
        <v>115000</v>
      </c>
      <c r="D8" s="14"/>
      <c r="E8" s="15"/>
      <c r="F8" s="16">
        <f t="shared" si="0"/>
        <v>115000</v>
      </c>
      <c r="G8" s="16"/>
      <c r="H8" s="19"/>
      <c r="I8" s="30" t="s">
        <v>84</v>
      </c>
    </row>
    <row r="9" spans="1:9" ht="18" x14ac:dyDescent="0.25">
      <c r="A9" s="11" t="s">
        <v>9</v>
      </c>
      <c r="B9" s="12" t="str">
        <f>VLOOKUP(A9,[5]LISTADHERENT!A$5:H$39,3,0)</f>
        <v xml:space="preserve">DJOMO JEAN PAUL </v>
      </c>
      <c r="C9" s="32">
        <f>IF(I9="OK",VLOOKUP(A9,[6]MONTVERST!A$5:F$39,3,0),0)+386000-140000</f>
        <v>386000</v>
      </c>
      <c r="D9" s="14">
        <v>1000000</v>
      </c>
      <c r="E9" s="15"/>
      <c r="F9" s="16">
        <f t="shared" si="0"/>
        <v>1386000</v>
      </c>
      <c r="G9" s="16"/>
      <c r="H9" s="19"/>
      <c r="I9" s="30" t="s">
        <v>84</v>
      </c>
    </row>
    <row r="10" spans="1:9" ht="18" x14ac:dyDescent="0.25">
      <c r="A10" s="11" t="s">
        <v>10</v>
      </c>
      <c r="B10" s="12" t="str">
        <f>VLOOKUP(A10,[5]LISTADHERENT!A$5:H$39,3,0)</f>
        <v>DJOMOU TCHAPDA</v>
      </c>
      <c r="C10" s="13">
        <f>IF(I10="OK",VLOOKUP(A10,[6]MONTVERST!A$5:F$39,3,0),0)-40000</f>
        <v>0</v>
      </c>
      <c r="D10" s="14">
        <v>40000</v>
      </c>
      <c r="E10" s="15"/>
      <c r="F10" s="16">
        <f t="shared" si="0"/>
        <v>40000</v>
      </c>
      <c r="G10" s="16"/>
      <c r="H10" s="19"/>
      <c r="I10" s="30" t="s">
        <v>84</v>
      </c>
    </row>
    <row r="11" spans="1:9" ht="18" x14ac:dyDescent="0.25">
      <c r="A11" s="11" t="s">
        <v>11</v>
      </c>
      <c r="B11" s="12" t="str">
        <f>VLOOKUP(A11,[5]LISTADHERENT!A$5:H$39,3,0)</f>
        <v>DJOUKWE NANGUEN GUY BLAISE</v>
      </c>
      <c r="C11" s="32">
        <f>IF(I11="OK",VLOOKUP(A11,[6]MONTVERST!A$5:F$39,3,0),0)</f>
        <v>115000</v>
      </c>
      <c r="D11" s="14">
        <v>1000000</v>
      </c>
      <c r="E11" s="15"/>
      <c r="F11" s="16">
        <f t="shared" si="0"/>
        <v>1115000</v>
      </c>
      <c r="G11" s="16"/>
      <c r="H11" s="19"/>
      <c r="I11" s="30" t="s">
        <v>84</v>
      </c>
    </row>
    <row r="12" spans="1:9" ht="18" x14ac:dyDescent="0.25">
      <c r="A12" s="11" t="s">
        <v>12</v>
      </c>
      <c r="B12" s="12" t="str">
        <f>VLOOKUP(A12,[5]LISTADHERENT!A$5:H$39,3,0)</f>
        <v>DJUOMBESSY ANTOINE</v>
      </c>
      <c r="C12" s="32">
        <f>IF(I12="OK",VLOOKUP(A12,[6]MONTVERST!A$5:F$39,3,0),0)+670000+50000</f>
        <v>1040000</v>
      </c>
      <c r="D12" s="14">
        <v>51000</v>
      </c>
      <c r="E12" s="15"/>
      <c r="F12" s="16">
        <f t="shared" si="0"/>
        <v>1091000</v>
      </c>
      <c r="G12" s="16"/>
      <c r="H12" s="19"/>
      <c r="I12" s="30" t="s">
        <v>84</v>
      </c>
    </row>
    <row r="13" spans="1:9" ht="18" x14ac:dyDescent="0.25">
      <c r="A13" s="11" t="s">
        <v>13</v>
      </c>
      <c r="B13" s="12" t="str">
        <f>VLOOKUP(A13,[5]LISTADHERENT!A$5:H$39,3,0)</f>
        <v>DOMOU FABIEN</v>
      </c>
      <c r="C13" s="32">
        <f>IF(I13="OK",VLOOKUP(A13,[6]MONTVERST!A$5:F$39,3,0),0)+1000000</f>
        <v>1040000</v>
      </c>
      <c r="D13" s="14"/>
      <c r="E13" s="15"/>
      <c r="F13" s="16">
        <f t="shared" si="0"/>
        <v>1040000</v>
      </c>
      <c r="G13" s="16"/>
      <c r="H13" s="19"/>
      <c r="I13" s="30" t="s">
        <v>84</v>
      </c>
    </row>
    <row r="14" spans="1:9" ht="18" x14ac:dyDescent="0.25">
      <c r="A14" s="11" t="s">
        <v>14</v>
      </c>
      <c r="B14" s="12" t="str">
        <f>VLOOKUP(A14,[5]LISTADHERENT!A$5:H$39,3,0)</f>
        <v>DONHOU DAVID</v>
      </c>
      <c r="C14" s="32">
        <f>IF(I14="OK",VLOOKUP(A14,[6]MONTVERST!A$5:F$39,3,0),0)</f>
        <v>40000</v>
      </c>
      <c r="D14" s="14"/>
      <c r="E14" s="15"/>
      <c r="F14" s="16">
        <f t="shared" si="0"/>
        <v>40000</v>
      </c>
      <c r="G14" s="16"/>
      <c r="H14" s="19"/>
      <c r="I14" s="30" t="s">
        <v>84</v>
      </c>
    </row>
    <row r="15" spans="1:9" ht="18" x14ac:dyDescent="0.25">
      <c r="A15" s="11" t="s">
        <v>15</v>
      </c>
      <c r="B15" s="12" t="str">
        <f>VLOOKUP(A15,[5]LISTADHERENT!A$5:H$39,3,0)</f>
        <v>HENGUE PAUL OMER</v>
      </c>
      <c r="C15" s="32">
        <f>IF(I15="OK",VLOOKUP(A15,[6]MONTVERST!A$5:F$39,3,0),0)</f>
        <v>115000</v>
      </c>
      <c r="D15" s="14"/>
      <c r="E15" s="15"/>
      <c r="F15" s="16">
        <f t="shared" si="0"/>
        <v>115000</v>
      </c>
      <c r="G15" s="16"/>
      <c r="H15" s="19"/>
      <c r="I15" s="30" t="s">
        <v>84</v>
      </c>
    </row>
    <row r="16" spans="1:9" ht="18" x14ac:dyDescent="0.25">
      <c r="A16" s="11" t="s">
        <v>16</v>
      </c>
      <c r="B16" s="12" t="str">
        <f>VLOOKUP(A16,[5]LISTADHERENT!A$5:H$39,3,0)</f>
        <v>HOTCHO BENJAMIN</v>
      </c>
      <c r="C16" s="32">
        <f>IF(I16="OK",VLOOKUP(A16,[6]MONTVERST!A$5:F$39,3,0),0)</f>
        <v>250000</v>
      </c>
      <c r="D16" s="14"/>
      <c r="E16" s="15"/>
      <c r="F16" s="16">
        <f t="shared" si="0"/>
        <v>250000</v>
      </c>
      <c r="G16" s="16"/>
      <c r="H16" s="19"/>
      <c r="I16" s="30" t="s">
        <v>84</v>
      </c>
    </row>
    <row r="17" spans="1:9" ht="18" x14ac:dyDescent="0.25">
      <c r="A17" s="11" t="s">
        <v>17</v>
      </c>
      <c r="B17" s="12" t="str">
        <f>VLOOKUP(A17,[5]LISTADHERENT!A$5:H$39,3,0)</f>
        <v>KOUAMOU MOISE</v>
      </c>
      <c r="C17" s="32">
        <f>IF(I17="OK",VLOOKUP(A17,[6]MONTVERST!A$5:F$39,3,0),0)+1000000</f>
        <v>1140000</v>
      </c>
      <c r="D17" s="14"/>
      <c r="E17" s="15"/>
      <c r="F17" s="16">
        <f t="shared" si="0"/>
        <v>1140000</v>
      </c>
      <c r="G17" s="16"/>
      <c r="H17" s="19"/>
      <c r="I17" s="30" t="s">
        <v>84</v>
      </c>
    </row>
    <row r="18" spans="1:9" ht="18" x14ac:dyDescent="0.25">
      <c r="A18" s="11" t="s">
        <v>18</v>
      </c>
      <c r="B18" s="12" t="str">
        <f>VLOOKUP(A18,[5]LISTADHERENT!A$5:H$39,3,0)</f>
        <v>KOUATCHO MESSACK</v>
      </c>
      <c r="C18" s="32">
        <f>IF(I18="OK",VLOOKUP(A18,[6]MONTVERST!A$5:F$39,3,0),0)+785000</f>
        <v>1000000</v>
      </c>
      <c r="D18" s="14">
        <f>215000+30500+202000</f>
        <v>447500</v>
      </c>
      <c r="E18" s="15"/>
      <c r="F18" s="16">
        <f t="shared" si="0"/>
        <v>1447500</v>
      </c>
      <c r="G18" s="16"/>
      <c r="H18" s="19"/>
      <c r="I18" s="30" t="s">
        <v>84</v>
      </c>
    </row>
    <row r="19" spans="1:9" ht="18" x14ac:dyDescent="0.25">
      <c r="A19" s="11" t="s">
        <v>19</v>
      </c>
      <c r="B19" s="12" t="str">
        <f>VLOOKUP(A19,[5]LISTADHERENT!A$5:H$39,3,0)</f>
        <v>LOWE JEAN</v>
      </c>
      <c r="C19" s="32">
        <f>IF(I19="OK",VLOOKUP(A19,[6]MONTVERST!A$5:F$39,3,0),0)</f>
        <v>40000</v>
      </c>
      <c r="D19" s="14"/>
      <c r="E19" s="15"/>
      <c r="F19" s="16">
        <f t="shared" si="0"/>
        <v>40000</v>
      </c>
      <c r="G19" s="16"/>
      <c r="H19" s="19"/>
      <c r="I19" s="30" t="s">
        <v>84</v>
      </c>
    </row>
    <row r="20" spans="1:9" ht="18" x14ac:dyDescent="0.25">
      <c r="A20" s="11" t="s">
        <v>20</v>
      </c>
      <c r="B20" s="12" t="str">
        <f>VLOOKUP(A20,[5]LISTADHERENT!A$5:H$39,3,0)</f>
        <v>MBOGNING TUGMA GUY</v>
      </c>
      <c r="C20" s="13"/>
      <c r="D20" s="14">
        <f>75000+153000+40000+100000+41000+61000-1000+1060000</f>
        <v>1529000</v>
      </c>
      <c r="E20" s="15"/>
      <c r="F20" s="16">
        <f t="shared" si="0"/>
        <v>1529000</v>
      </c>
      <c r="G20" s="16"/>
      <c r="H20" s="19"/>
      <c r="I20" s="30" t="s">
        <v>84</v>
      </c>
    </row>
    <row r="21" spans="1:9" ht="18" x14ac:dyDescent="0.25">
      <c r="A21" s="11" t="s">
        <v>21</v>
      </c>
      <c r="B21" s="12" t="str">
        <f>VLOOKUP(A21,[5]LISTADHERENT!A$5:H$39,3,0)</f>
        <v>NANGUEN MARTIN</v>
      </c>
      <c r="C21" s="32">
        <f>IF(I21="OK",VLOOKUP(A21,[6]MONTVERST!A$5:F$39,3,0),0)+500000</f>
        <v>540000</v>
      </c>
      <c r="D21" s="14"/>
      <c r="E21" s="15"/>
      <c r="F21" s="16">
        <f t="shared" si="0"/>
        <v>540000</v>
      </c>
      <c r="G21" s="16"/>
      <c r="H21" s="19"/>
      <c r="I21" s="30" t="s">
        <v>84</v>
      </c>
    </row>
    <row r="22" spans="1:9" ht="18" x14ac:dyDescent="0.25">
      <c r="A22" s="11" t="s">
        <v>22</v>
      </c>
      <c r="B22" s="12" t="str">
        <f>VLOOKUP(A22,[5]LISTADHERENT!A$5:H$39,3,0)</f>
        <v>NANKAM APPOLINAIRE</v>
      </c>
      <c r="C22" s="32">
        <f>IF(I22="OK",VLOOKUP(A22,[6]MONTVERST!A$5:F$39,3,0),0)+107500</f>
        <v>222500</v>
      </c>
      <c r="D22" s="14"/>
      <c r="E22" s="15"/>
      <c r="F22" s="16">
        <f t="shared" si="0"/>
        <v>222500</v>
      </c>
      <c r="G22" s="16"/>
      <c r="H22" s="19"/>
      <c r="I22" s="30" t="s">
        <v>84</v>
      </c>
    </row>
    <row r="23" spans="1:9" ht="18" x14ac:dyDescent="0.25">
      <c r="A23" s="11" t="s">
        <v>23</v>
      </c>
      <c r="B23" s="12" t="str">
        <f>VLOOKUP(A23,[5]LISTADHERENT!A$5:H$39,3,0)</f>
        <v>NDJOMO ETIENNE</v>
      </c>
      <c r="C23" s="32">
        <f>IF(I23="OK",VLOOKUP(A23,[6]MONTVERST!A$5:F$39,3,0),0)+600000</f>
        <v>850000</v>
      </c>
      <c r="D23" s="14"/>
      <c r="E23" s="15"/>
      <c r="F23" s="16">
        <f t="shared" si="0"/>
        <v>850000</v>
      </c>
      <c r="G23" s="16"/>
      <c r="H23" s="19"/>
      <c r="I23" s="30" t="s">
        <v>84</v>
      </c>
    </row>
    <row r="24" spans="1:9" ht="18" x14ac:dyDescent="0.25">
      <c r="A24" s="11" t="s">
        <v>24</v>
      </c>
      <c r="B24" s="12" t="str">
        <f>VLOOKUP(A24,[5]LISTADHERENT!A$5:H$39,3,0)</f>
        <v>NGONDIEP CLAUDE</v>
      </c>
      <c r="C24" s="32">
        <f>IF(I24="OK",VLOOKUP(A24,[6]MONTVERST!A$5:F$39,3,0),0)+1000000</f>
        <v>1215000</v>
      </c>
      <c r="D24" s="14">
        <v>202000</v>
      </c>
      <c r="E24" s="15"/>
      <c r="F24" s="16">
        <f t="shared" si="0"/>
        <v>1417000</v>
      </c>
      <c r="G24" s="16"/>
      <c r="H24" s="19"/>
      <c r="I24" s="30" t="s">
        <v>84</v>
      </c>
    </row>
    <row r="25" spans="1:9" ht="18" x14ac:dyDescent="0.25">
      <c r="A25" s="11" t="s">
        <v>25</v>
      </c>
      <c r="B25" s="12" t="str">
        <f>VLOOKUP(A25,[5]LISTADHERENT!A$5:H$39,3,0)</f>
        <v>NGUIEMEGNI MATHIEU BLAISE</v>
      </c>
      <c r="C25" s="32">
        <f>IF(I25="OK",VLOOKUP(A25,[6]MONTVERST!A$5:F$39,3,0),0)+110000+200000</f>
        <v>600000</v>
      </c>
      <c r="D25" s="14">
        <v>1000000</v>
      </c>
      <c r="E25" s="15"/>
      <c r="F25" s="16">
        <f t="shared" si="0"/>
        <v>1600000</v>
      </c>
      <c r="G25" s="16"/>
      <c r="H25" s="19"/>
      <c r="I25" s="30" t="s">
        <v>84</v>
      </c>
    </row>
    <row r="26" spans="1:9" ht="18" x14ac:dyDescent="0.25">
      <c r="A26" s="11" t="s">
        <v>26</v>
      </c>
      <c r="B26" s="12" t="str">
        <f>VLOOKUP(A26,[5]LISTADHERENT!A$5:H$39,3,0)</f>
        <v>NKAMGANG JUSTIN DEJOLIE</v>
      </c>
      <c r="C26" s="13">
        <f>IF(I26="OK",VLOOKUP(A26,[6]MONTVERST!A$5:F$39,3,0),0)-40000</f>
        <v>0</v>
      </c>
      <c r="D26" s="14">
        <f>40000+1000000</f>
        <v>1040000</v>
      </c>
      <c r="E26" s="15"/>
      <c r="F26" s="16">
        <f t="shared" si="0"/>
        <v>1040000</v>
      </c>
      <c r="G26" s="16"/>
      <c r="H26" s="19"/>
      <c r="I26" s="30" t="s">
        <v>84</v>
      </c>
    </row>
    <row r="27" spans="1:9" ht="18" x14ac:dyDescent="0.25">
      <c r="A27" s="11" t="s">
        <v>66</v>
      </c>
      <c r="B27" s="12" t="str">
        <f>VLOOKUP(A27,[5]LISTADHERENT!A$5:H$39,3,0)</f>
        <v>NOUBE ETIENNE</v>
      </c>
      <c r="C27" s="32">
        <f>IF(I27="OK",VLOOKUP(A27,[6]MONTVERST!A$5:F$39,3,0),0)</f>
        <v>50000</v>
      </c>
      <c r="D27" s="14"/>
      <c r="E27" s="15"/>
      <c r="F27" s="16">
        <f>SUM(C27:E27)</f>
        <v>50000</v>
      </c>
      <c r="G27" s="16"/>
      <c r="H27" s="19"/>
      <c r="I27" s="30" t="s">
        <v>84</v>
      </c>
    </row>
    <row r="28" spans="1:9" ht="18" x14ac:dyDescent="0.25">
      <c r="A28" s="11" t="s">
        <v>27</v>
      </c>
      <c r="B28" s="12" t="str">
        <f>VLOOKUP(A28,[5]LISTADHERENT!A$5:H$39,3,0)</f>
        <v>PATEGO NJOSSU GUSTAVE</v>
      </c>
      <c r="C28" s="32">
        <f>IF(I28="OK",VLOOKUP(A28,[6]MONTVERST!A$5:F$39,3,0),0)</f>
        <v>115000</v>
      </c>
      <c r="D28" s="14"/>
      <c r="E28" s="15"/>
      <c r="F28" s="16">
        <f t="shared" si="0"/>
        <v>115000</v>
      </c>
      <c r="G28" s="16"/>
      <c r="H28" s="19"/>
      <c r="I28" s="30" t="s">
        <v>84</v>
      </c>
    </row>
    <row r="29" spans="1:9" ht="18" x14ac:dyDescent="0.25">
      <c r="A29" s="11" t="s">
        <v>67</v>
      </c>
      <c r="B29" s="12" t="str">
        <f>VLOOKUP(A29,[5]LISTADHERENT!A$5:H$39,3,0)</f>
        <v>SEUMO POLYCARPE</v>
      </c>
      <c r="C29" s="32">
        <f>IF(I29="OK",VLOOKUP(A29,[6]MONTVERST!A$5:F$39,3,0),0)</f>
        <v>40000</v>
      </c>
      <c r="D29" s="14"/>
      <c r="E29" s="15"/>
      <c r="F29" s="16">
        <f t="shared" si="0"/>
        <v>40000</v>
      </c>
      <c r="G29" s="16"/>
      <c r="H29" s="19"/>
      <c r="I29" s="30" t="s">
        <v>84</v>
      </c>
    </row>
    <row r="30" spans="1:9" ht="18" x14ac:dyDescent="0.25">
      <c r="A30" s="11" t="s">
        <v>28</v>
      </c>
      <c r="B30" s="12" t="str">
        <f>VLOOKUP(A30,[5]LISTADHERENT!A$5:H$39,3,0)</f>
        <v>SIME BRICE</v>
      </c>
      <c r="C30" s="32">
        <f>IF(I30="OK",VLOOKUP(A30,[6]MONTVERST!A$5:F$39,3,0),0)</f>
        <v>115000</v>
      </c>
      <c r="D30" s="14"/>
      <c r="E30" s="15"/>
      <c r="F30" s="16">
        <f t="shared" si="0"/>
        <v>115000</v>
      </c>
      <c r="G30" s="16"/>
      <c r="H30" s="19"/>
      <c r="I30" s="30" t="s">
        <v>84</v>
      </c>
    </row>
    <row r="31" spans="1:9" ht="18" x14ac:dyDescent="0.25">
      <c r="A31" s="11" t="s">
        <v>29</v>
      </c>
      <c r="B31" s="12" t="str">
        <f>VLOOKUP(A31,[5]LISTADHERENT!A$5:H$39,3,0)</f>
        <v>SIMO PIERRE</v>
      </c>
      <c r="C31" s="32">
        <f>IF(I31="OK",VLOOKUP(A31,[6]MONTVERST!A$5:F$39,3,0),0)-140000+1171000</f>
        <v>1171000</v>
      </c>
      <c r="D31" s="14"/>
      <c r="E31" s="15"/>
      <c r="F31" s="16">
        <f t="shared" si="0"/>
        <v>1171000</v>
      </c>
      <c r="G31" s="16"/>
      <c r="H31" s="19"/>
      <c r="I31" s="30" t="s">
        <v>84</v>
      </c>
    </row>
    <row r="32" spans="1:9" ht="18" x14ac:dyDescent="0.25">
      <c r="A32" s="11" t="s">
        <v>30</v>
      </c>
      <c r="B32" s="12" t="str">
        <f>VLOOKUP(A32,[5]LISTADHERENT!A$5:H$39,3,0)</f>
        <v>TCHOUAMOU MATHIEU</v>
      </c>
      <c r="C32" s="32">
        <f>IF(I32="OK",VLOOKUP(A32,[6]MONTVERST!A$5:F$39,3,0),0)+301000</f>
        <v>416000</v>
      </c>
      <c r="D32" s="14"/>
      <c r="E32" s="15"/>
      <c r="F32" s="16">
        <f t="shared" si="0"/>
        <v>416000</v>
      </c>
      <c r="G32" s="16"/>
      <c r="H32" s="19"/>
      <c r="I32" s="30" t="s">
        <v>84</v>
      </c>
    </row>
    <row r="33" spans="1:9" ht="18" x14ac:dyDescent="0.25">
      <c r="A33" s="11" t="s">
        <v>65</v>
      </c>
      <c r="B33" s="12" t="str">
        <f>VLOOKUP(A33,[5]LISTADHERENT!A$5:H$39,3,0)</f>
        <v>TCHOUTOU NANA CLAUDE</v>
      </c>
      <c r="C33" s="32">
        <f>IF(I33="OK",VLOOKUP(A33,[6]MONTVERST!A$5:F$39,3,0),0)+50000</f>
        <v>90000</v>
      </c>
      <c r="D33" s="14"/>
      <c r="E33" s="15"/>
      <c r="F33" s="16">
        <f t="shared" si="0"/>
        <v>90000</v>
      </c>
      <c r="G33" s="16"/>
      <c r="H33" s="19"/>
      <c r="I33" s="30" t="s">
        <v>84</v>
      </c>
    </row>
    <row r="34" spans="1:9" ht="18" x14ac:dyDescent="0.25">
      <c r="A34" s="11" t="s">
        <v>68</v>
      </c>
      <c r="B34" s="12" t="str">
        <f>VLOOKUP(A34,[5]LISTADHERENT!A$5:H$39,3,0)</f>
        <v>YANTCHOU GERVAIS</v>
      </c>
      <c r="C34" s="32">
        <f>IF(I34="OK",VLOOKUP(A34,[6]MONTVERST!A$5:F$39,3,0),0)-60000</f>
        <v>40000</v>
      </c>
      <c r="D34" s="14"/>
      <c r="E34" s="15"/>
      <c r="F34" s="16">
        <f t="shared" si="0"/>
        <v>40000</v>
      </c>
      <c r="G34" s="16"/>
      <c r="H34" s="19"/>
      <c r="I34" s="30" t="s">
        <v>84</v>
      </c>
    </row>
    <row r="35" spans="1:9" ht="18" x14ac:dyDescent="0.25">
      <c r="A35" s="11" t="s">
        <v>31</v>
      </c>
      <c r="B35" s="12" t="str">
        <f>VLOOKUP(A35,[5]LISTADHERENT!A$5:H$39,3,0)</f>
        <v>YEPMOU JEAN JACQUES</v>
      </c>
      <c r="C35" s="13">
        <f>IF(I35="OK",VLOOKUP(A35,[6]MONTVERST!A$5:F$39,3,0),0)-40000</f>
        <v>0</v>
      </c>
      <c r="D35" s="14">
        <v>40000</v>
      </c>
      <c r="E35" s="15"/>
      <c r="F35" s="16">
        <f t="shared" si="0"/>
        <v>40000</v>
      </c>
      <c r="G35" s="16"/>
      <c r="H35" s="19"/>
      <c r="I35" s="30" t="s">
        <v>84</v>
      </c>
    </row>
    <row r="36" spans="1:9" ht="18" x14ac:dyDescent="0.25">
      <c r="A36" s="11" t="s">
        <v>32</v>
      </c>
      <c r="B36" s="12" t="str">
        <f>VLOOKUP(A36,[5]LISTADHERENT!A$5:H$39,3,0)</f>
        <v>YOUMBI EMMANUEL</v>
      </c>
      <c r="C36" s="32">
        <f>IF(I36="OK",VLOOKUP(A36,[6]MONTVERST!A$5:F$39,3,0),0)</f>
        <v>290000</v>
      </c>
      <c r="D36" s="14"/>
      <c r="E36" s="15"/>
      <c r="F36" s="16">
        <f t="shared" si="0"/>
        <v>290000</v>
      </c>
      <c r="G36" s="16"/>
      <c r="H36" s="19"/>
      <c r="I36" s="30" t="s">
        <v>84</v>
      </c>
    </row>
    <row r="37" spans="1:9" x14ac:dyDescent="0.25">
      <c r="A37" s="17"/>
      <c r="B37" s="18"/>
      <c r="C37" s="18"/>
      <c r="D37" s="18"/>
      <c r="E37" s="18"/>
      <c r="F37" s="18"/>
      <c r="G37" s="18"/>
      <c r="H37" s="19"/>
      <c r="I37" s="19"/>
    </row>
    <row r="38" spans="1:9" ht="18.75" thickBot="1" x14ac:dyDescent="0.3">
      <c r="A38" s="20"/>
      <c r="B38" s="21" t="s">
        <v>33</v>
      </c>
      <c r="C38" s="22">
        <f>SUM(C7:C37)</f>
        <v>11035500</v>
      </c>
      <c r="D38" s="22">
        <f t="shared" ref="D38:G38" si="1">SUM(D7:D37)</f>
        <v>7018500</v>
      </c>
      <c r="E38" s="22">
        <f t="shared" si="1"/>
        <v>0</v>
      </c>
      <c r="F38" s="22">
        <f t="shared" si="1"/>
        <v>18054000</v>
      </c>
      <c r="G38" s="22">
        <f t="shared" si="1"/>
        <v>0</v>
      </c>
      <c r="H38" s="23">
        <f t="shared" ref="H38" si="2">SUM(H8:H37)</f>
        <v>0</v>
      </c>
      <c r="I38" s="31"/>
    </row>
    <row r="39" spans="1:9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C38" sqref="C38:G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ht="21" x14ac:dyDescent="0.35">
      <c r="A1" s="1" t="s">
        <v>2</v>
      </c>
      <c r="B1" s="1" t="s">
        <v>3</v>
      </c>
      <c r="C1" s="25" t="s">
        <v>82</v>
      </c>
    </row>
    <row r="2" spans="1:8" x14ac:dyDescent="0.25">
      <c r="A2" s="1" t="s">
        <v>4</v>
      </c>
      <c r="B2" s="1">
        <v>2023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6" t="s">
        <v>61</v>
      </c>
      <c r="C4" s="34"/>
      <c r="D4" s="34"/>
      <c r="E4" s="34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36</v>
      </c>
      <c r="D5" s="10" t="s">
        <v>35</v>
      </c>
      <c r="E5" s="10" t="s">
        <v>37</v>
      </c>
      <c r="F5" s="10" t="s">
        <v>34</v>
      </c>
      <c r="G5" s="10" t="s">
        <v>62</v>
      </c>
      <c r="H5" s="24" t="s">
        <v>64</v>
      </c>
    </row>
    <row r="6" spans="1:8" ht="18" x14ac:dyDescent="0.25">
      <c r="A6" s="11" t="s">
        <v>63</v>
      </c>
      <c r="B6" s="12" t="str">
        <f>VLOOKUP(A6,[5]LISTADHERENT!A$5:H$39,3,0)</f>
        <v>ASELBY</v>
      </c>
      <c r="C6" s="13">
        <f>HISTOBQUEJANV23!C6+HISTOBQUEFEV23!C6+HISTOBQUEMARS23!C6+HISTOBQUEAVRIL23!C6+HISTOBQUEMAI23!C6+HISTOBQUEJUIN23!C6+HISTOBQUEJUIL23!C6+HISTOBQUEAOUT23!C6+HISTOBQUESEPT23!C6+HISTOBQUEOCT23!C6+HISTOBQUENOV23!C6+HISTOBQUEDEC23!C6</f>
        <v>2100000</v>
      </c>
      <c r="D6" s="13">
        <f>HISTOBQUEJANV23!D6+HISTOBQUEFEV23!D6+HISTOBQUEMARS23!D6+HISTOBQUEAVRIL23!D6+HISTOBQUEMAI23!D6+HISTOBQUEJUIN23!D6+HISTOBQUEJUIL23!D6+HISTOBQUEAOUT23!D6+HISTOBQUESEPT23!D6+HISTOBQUEOCT23!D6+HISTOBQUENOV23!D6+HISTOBQUEDEC23!D6</f>
        <v>0</v>
      </c>
      <c r="E6" s="13">
        <f>HISTOBQUEJANV23!E6+HISTOBQUEFEV23!E6+HISTOBQUEMARS23!E6+HISTOBQUEAVRIL23!E6+HISTOBQUEMAI23!E6+HISTOBQUEJUIN23!E6+HISTOBQUEJUIL23!E6+HISTOBQUEAOUT23!E6+HISTOBQUESEPT23!E6+HISTOBQUEOCT23!E6+HISTOBQUENOV23!E6+HISTOBQUEDEC23!E6</f>
        <v>0</v>
      </c>
      <c r="F6" s="16">
        <f>SUM(C6:E6)</f>
        <v>2100000</v>
      </c>
      <c r="G6" s="16"/>
      <c r="H6" s="19"/>
    </row>
    <row r="7" spans="1:8" ht="18" x14ac:dyDescent="0.25">
      <c r="A7" s="11" t="s">
        <v>69</v>
      </c>
      <c r="B7" s="12" t="str">
        <f>VLOOKUP(A7,[5]LISTADHERENT!A$5:H$39,3,0)</f>
        <v>BAKOP ACHILLE</v>
      </c>
      <c r="C7" s="13">
        <f>HISTOBQUEJANV23!C7+HISTOBQUEFEV23!C7+HISTOBQUEMARS23!C7+HISTOBQUEAVRIL23!C7+HISTOBQUEMAI23!C7+HISTOBQUEJUIN23!C7+HISTOBQUEJUIL23!C7+HISTOBQUEAOUT23!C7+HISTOBQUESEPT23!C7+HISTOBQUEOCT23!C7+HISTOBQUENOV23!C7+HISTOBQUEDEC23!C7</f>
        <v>360000</v>
      </c>
      <c r="D7" s="13">
        <f>HISTOBQUEJANV23!D7+HISTOBQUEFEV23!D7+HISTOBQUEMARS23!D7+HISTOBQUEAVRIL23!D7+HISTOBQUEMAI23!D7+HISTOBQUEJUIN23!D7+HISTOBQUEJUIL23!D7+HISTOBQUEAOUT23!D7+HISTOBQUESEPT23!D7+HISTOBQUEOCT23!D7+HISTOBQUENOV23!D7+HISTOBQUEDEC23!D7</f>
        <v>846500</v>
      </c>
      <c r="E7" s="13">
        <f>HISTOBQUEJANV23!E7+HISTOBQUEFEV23!E7+HISTOBQUEMARS23!E7+HISTOBQUEAVRIL23!E7+HISTOBQUEMAI23!E7+HISTOBQUEJUIN23!E7+HISTOBQUEJUIL23!E7+HISTOBQUEAOUT23!E7+HISTOBQUESEPT23!E7+HISTOBQUEOCT23!E7+HISTOBQUENOV23!E7+HISTOBQUEDEC23!E7</f>
        <v>140000</v>
      </c>
      <c r="F7" s="16">
        <f t="shared" ref="F7:F36" si="0">SUM(C7:E7)</f>
        <v>1346500</v>
      </c>
      <c r="G7" s="16"/>
      <c r="H7" s="19"/>
    </row>
    <row r="8" spans="1:8" ht="18" x14ac:dyDescent="0.25">
      <c r="A8" s="11" t="s">
        <v>8</v>
      </c>
      <c r="B8" s="12" t="str">
        <f>VLOOKUP(A8,[5]LISTADHERENT!A$5:H$39,3,0)</f>
        <v>BOUTCHOUANG WILLIAM</v>
      </c>
      <c r="C8" s="13">
        <f>HISTOBQUEJANV23!C8+HISTOBQUEFEV23!C8+HISTOBQUEMARS23!C8+HISTOBQUEAVRIL23!C8+HISTOBQUEMAI23!C8+HISTOBQUEJUIN23!C8+HISTOBQUEJUIL23!C8+HISTOBQUEAOUT23!C8+HISTOBQUESEPT23!C8+HISTOBQUEOCT23!C8+HISTOBQUENOV23!C8+HISTOBQUEDEC23!C8</f>
        <v>1755000</v>
      </c>
      <c r="D8" s="13">
        <f>HISTOBQUEJANV23!D8+HISTOBQUEFEV23!D8+HISTOBQUEMARS23!D8+HISTOBQUEAVRIL23!D8+HISTOBQUEMAI23!D8+HISTOBQUEJUIN23!D8+HISTOBQUEJUIL23!D8+HISTOBQUEAOUT23!D8+HISTOBQUESEPT23!D8+HISTOBQUEOCT23!D8+HISTOBQUENOV23!D8+HISTOBQUEDEC23!D8</f>
        <v>125000</v>
      </c>
      <c r="E8" s="13">
        <f>HISTOBQUEJANV23!E8+HISTOBQUEFEV23!E8+HISTOBQUEMARS23!E8+HISTOBQUEAVRIL23!E8+HISTOBQUEMAI23!E8+HISTOBQUEJUIN23!E8+HISTOBQUEJUIL23!E8+HISTOBQUEAOUT23!E8+HISTOBQUESEPT23!E8+HISTOBQUEOCT23!E8+HISTOBQUENOV23!E8+HISTOBQUEDEC23!E8</f>
        <v>0</v>
      </c>
      <c r="F8" s="16">
        <f t="shared" si="0"/>
        <v>1880000</v>
      </c>
      <c r="G8" s="16"/>
      <c r="H8" s="19"/>
    </row>
    <row r="9" spans="1:8" ht="18" x14ac:dyDescent="0.25">
      <c r="A9" s="11" t="s">
        <v>9</v>
      </c>
      <c r="B9" s="12" t="str">
        <f>VLOOKUP(A9,[5]LISTADHERENT!A$5:H$39,3,0)</f>
        <v xml:space="preserve">DJOMO JEAN PAUL </v>
      </c>
      <c r="C9" s="13">
        <f>HISTOBQUEJANV23!C9+HISTOBQUEFEV23!C9+HISTOBQUEMARS23!C9+HISTOBQUEAVRIL23!C9+HISTOBQUEMAI23!C9+HISTOBQUEJUIN23!C9+HISTOBQUEJUIL23!C9+HISTOBQUEAOUT23!C9+HISTOBQUESEPT23!C9+HISTOBQUEOCT23!C9+HISTOBQUENOV23!C9+HISTOBQUEDEC23!C9</f>
        <v>2490000</v>
      </c>
      <c r="D9" s="13">
        <f>HISTOBQUEJANV23!D9+HISTOBQUEFEV23!D9+HISTOBQUEMARS23!D9+HISTOBQUEAVRIL23!D9+HISTOBQUEMAI23!D9+HISTOBQUEJUIN23!D9+HISTOBQUEJUIL23!D9+HISTOBQUEAOUT23!D9+HISTOBQUESEPT23!D9+HISTOBQUEOCT23!D9+HISTOBQUENOV23!D9+HISTOBQUEDEC23!D9</f>
        <v>1392500</v>
      </c>
      <c r="E9" s="13">
        <f>HISTOBQUEJANV23!E9+HISTOBQUEFEV23!E9+HISTOBQUEMARS23!E9+HISTOBQUEAVRIL23!E9+HISTOBQUEMAI23!E9+HISTOBQUEJUIN23!E9+HISTOBQUEJUIL23!E9+HISTOBQUEAOUT23!E9+HISTOBQUESEPT23!E9+HISTOBQUEOCT23!E9+HISTOBQUENOV23!E9+HISTOBQUEDEC23!E9</f>
        <v>0</v>
      </c>
      <c r="F9" s="16">
        <f t="shared" si="0"/>
        <v>3882500</v>
      </c>
      <c r="G9" s="16"/>
      <c r="H9" s="19"/>
    </row>
    <row r="10" spans="1:8" ht="18" x14ac:dyDescent="0.25">
      <c r="A10" s="11" t="s">
        <v>10</v>
      </c>
      <c r="B10" s="12" t="str">
        <f>VLOOKUP(A10,[5]LISTADHERENT!A$5:H$39,3,0)</f>
        <v>DJOMOU TCHAPDA</v>
      </c>
      <c r="C10" s="13">
        <f>HISTOBQUEJANV23!C10+HISTOBQUEFEV23!C10+HISTOBQUEMARS23!C10+HISTOBQUEAVRIL23!C10+HISTOBQUEMAI23!C10+HISTOBQUEJUIN23!C10+HISTOBQUEJUIL23!C10+HISTOBQUEAOUT23!C10+HISTOBQUESEPT23!C10+HISTOBQUEOCT23!C10+HISTOBQUENOV23!C10+HISTOBQUEDEC23!C10</f>
        <v>749000</v>
      </c>
      <c r="D10" s="13">
        <f>HISTOBQUEJANV23!D10+HISTOBQUEFEV23!D10+HISTOBQUEMARS23!D10+HISTOBQUEAVRIL23!D10+HISTOBQUEMAI23!D10+HISTOBQUEJUIN23!D10+HISTOBQUEJUIL23!D10+HISTOBQUEAOUT23!D10+HISTOBQUESEPT23!D10+HISTOBQUEOCT23!D10+HISTOBQUENOV23!D10+HISTOBQUEDEC23!D10</f>
        <v>314000</v>
      </c>
      <c r="E10" s="13">
        <f>HISTOBQUEJANV23!E10+HISTOBQUEFEV23!E10+HISTOBQUEMARS23!E10+HISTOBQUEAVRIL23!E10+HISTOBQUEMAI23!E10+HISTOBQUEJUIN23!E10+HISTOBQUEJUIL23!E10+HISTOBQUEAOUT23!E10+HISTOBQUESEPT23!E10+HISTOBQUEOCT23!E10+HISTOBQUENOV23!E10+HISTOBQUEDEC23!E10</f>
        <v>0</v>
      </c>
      <c r="F10" s="16">
        <f t="shared" si="0"/>
        <v>1063000</v>
      </c>
      <c r="G10" s="16"/>
      <c r="H10" s="19"/>
    </row>
    <row r="11" spans="1:8" ht="18" x14ac:dyDescent="0.25">
      <c r="A11" s="11" t="s">
        <v>11</v>
      </c>
      <c r="B11" s="12" t="str">
        <f>VLOOKUP(A11,[5]LISTADHERENT!A$5:H$39,3,0)</f>
        <v>DJOUKWE NANGUEN GUY BLAISE</v>
      </c>
      <c r="C11" s="13">
        <f>HISTOBQUEJANV23!C11+HISTOBQUEFEV23!C11+HISTOBQUEMARS23!C11+HISTOBQUEAVRIL23!C11+HISTOBQUEMAI23!C11+HISTOBQUEJUIN23!C11+HISTOBQUEJUIL23!C11+HISTOBQUEAOUT23!C11+HISTOBQUESEPT23!C11+HISTOBQUEOCT23!C11+HISTOBQUENOV23!C11+HISTOBQUEDEC23!C11</f>
        <v>1786000</v>
      </c>
      <c r="D11" s="13">
        <f>HISTOBQUEJANV23!D11+HISTOBQUEFEV23!D11+HISTOBQUEMARS23!D11+HISTOBQUEAVRIL23!D11+HISTOBQUEMAI23!D11+HISTOBQUEJUIN23!D11+HISTOBQUEJUIL23!D11+HISTOBQUEAOUT23!D11+HISTOBQUESEPT23!D11+HISTOBQUEOCT23!D11+HISTOBQUENOV23!D11+HISTOBQUEDEC23!D11</f>
        <v>1144500</v>
      </c>
      <c r="E11" s="13">
        <f>HISTOBQUEJANV23!E11+HISTOBQUEFEV23!E11+HISTOBQUEMARS23!E11+HISTOBQUEAVRIL23!E11+HISTOBQUEMAI23!E11+HISTOBQUEJUIN23!E11+HISTOBQUEJUIL23!E11+HISTOBQUEAOUT23!E11+HISTOBQUESEPT23!E11+HISTOBQUEOCT23!E11+HISTOBQUENOV23!E11+HISTOBQUEDEC23!E11</f>
        <v>0</v>
      </c>
      <c r="F11" s="16">
        <f t="shared" si="0"/>
        <v>2930500</v>
      </c>
      <c r="G11" s="16"/>
      <c r="H11" s="19"/>
    </row>
    <row r="12" spans="1:8" ht="18" x14ac:dyDescent="0.25">
      <c r="A12" s="11" t="s">
        <v>12</v>
      </c>
      <c r="B12" s="12" t="str">
        <f>VLOOKUP(A12,[5]LISTADHERENT!A$5:H$39,3,0)</f>
        <v>DJUOMBESSY ANTOINE</v>
      </c>
      <c r="C12" s="13">
        <f>HISTOBQUEJANV23!C12+HISTOBQUEFEV23!C12+HISTOBQUEMARS23!C12+HISTOBQUEAVRIL23!C12+HISTOBQUEMAI23!C12+HISTOBQUEJUIN23!C12+HISTOBQUEJUIL23!C12+HISTOBQUEAOUT23!C12+HISTOBQUESEPT23!C12+HISTOBQUEOCT23!C12+HISTOBQUENOV23!C12+HISTOBQUEDEC23!C12</f>
        <v>4970000</v>
      </c>
      <c r="D12" s="13">
        <f>HISTOBQUEJANV23!D12+HISTOBQUEFEV23!D12+HISTOBQUEMARS23!D12+HISTOBQUEAVRIL23!D12+HISTOBQUEMAI23!D12+HISTOBQUEJUIN23!D12+HISTOBQUEJUIL23!D12+HISTOBQUEAOUT23!D12+HISTOBQUESEPT23!D12+HISTOBQUEOCT23!D12+HISTOBQUENOV23!D12+HISTOBQUEDEC23!D12</f>
        <v>51000</v>
      </c>
      <c r="E12" s="13">
        <f>HISTOBQUEJANV23!E12+HISTOBQUEFEV23!E12+HISTOBQUEMARS23!E12+HISTOBQUEAVRIL23!E12+HISTOBQUEMAI23!E12+HISTOBQUEJUIN23!E12+HISTOBQUEJUIL23!E12+HISTOBQUEAOUT23!E12+HISTOBQUESEPT23!E12+HISTOBQUEOCT23!E12+HISTOBQUENOV23!E12+HISTOBQUEDEC23!E12</f>
        <v>70000</v>
      </c>
      <c r="F12" s="16">
        <f t="shared" si="0"/>
        <v>5091000</v>
      </c>
      <c r="G12" s="16"/>
      <c r="H12" s="19"/>
    </row>
    <row r="13" spans="1:8" ht="18" x14ac:dyDescent="0.25">
      <c r="A13" s="11" t="s">
        <v>13</v>
      </c>
      <c r="B13" s="12" t="str">
        <f>VLOOKUP(A13,[5]LISTADHERENT!A$5:H$39,3,0)</f>
        <v>DOMOU FABIEN</v>
      </c>
      <c r="C13" s="13">
        <f>HISTOBQUEJANV23!C13+HISTOBQUEFEV23!C13+HISTOBQUEMARS23!C13+HISTOBQUEAVRIL23!C13+HISTOBQUEMAI23!C13+HISTOBQUEJUIN23!C13+HISTOBQUEJUIL23!C13+HISTOBQUEAOUT23!C13+HISTOBQUESEPT23!C13+HISTOBQUEOCT23!C13+HISTOBQUENOV23!C13+HISTOBQUEDEC23!C13</f>
        <v>1440000</v>
      </c>
      <c r="D13" s="13">
        <f>HISTOBQUEJANV23!D13+HISTOBQUEFEV23!D13+HISTOBQUEMARS23!D13+HISTOBQUEAVRIL23!D13+HISTOBQUEMAI23!D13+HISTOBQUEJUIN23!D13+HISTOBQUEJUIL23!D13+HISTOBQUEAOUT23!D13+HISTOBQUESEPT23!D13+HISTOBQUEOCT23!D13+HISTOBQUENOV23!D13+HISTOBQUEDEC23!D13</f>
        <v>40000</v>
      </c>
      <c r="E13" s="13">
        <f>HISTOBQUEJANV23!E13+HISTOBQUEFEV23!E13+HISTOBQUEMARS23!E13+HISTOBQUEAVRIL23!E13+HISTOBQUEMAI23!E13+HISTOBQUEJUIN23!E13+HISTOBQUEJUIL23!E13+HISTOBQUEAOUT23!E13+HISTOBQUESEPT23!E13+HISTOBQUEOCT23!E13+HISTOBQUENOV23!E13+HISTOBQUEDEC23!E13</f>
        <v>0</v>
      </c>
      <c r="F13" s="16">
        <f t="shared" si="0"/>
        <v>1480000</v>
      </c>
      <c r="G13" s="16"/>
      <c r="H13" s="19"/>
    </row>
    <row r="14" spans="1:8" ht="18" x14ac:dyDescent="0.25">
      <c r="A14" s="11" t="s">
        <v>14</v>
      </c>
      <c r="B14" s="12" t="str">
        <f>VLOOKUP(A14,[5]LISTADHERENT!A$5:H$39,3,0)</f>
        <v>DONHOU DAVID</v>
      </c>
      <c r="C14" s="13">
        <f>HISTOBQUEJANV23!C14+HISTOBQUEFEV23!C14+HISTOBQUEMARS23!C14+HISTOBQUEAVRIL23!C14+HISTOBQUEMAI23!C14+HISTOBQUEJUIN23!C14+HISTOBQUEJUIL23!C14+HISTOBQUEAOUT23!C14+HISTOBQUESEPT23!C14+HISTOBQUEOCT23!C14+HISTOBQUENOV23!C14+HISTOBQUEDEC23!C14</f>
        <v>480000</v>
      </c>
      <c r="D14" s="13">
        <f>HISTOBQUEJANV23!D14+HISTOBQUEFEV23!D14+HISTOBQUEMARS23!D14+HISTOBQUEAVRIL23!D14+HISTOBQUEMAI23!D14+HISTOBQUEJUIN23!D14+HISTOBQUEJUIL23!D14+HISTOBQUEAOUT23!D14+HISTOBQUESEPT23!D14+HISTOBQUEOCT23!D14+HISTOBQUENOV23!D14+HISTOBQUEDEC23!D14</f>
        <v>0</v>
      </c>
      <c r="E14" s="13">
        <f>HISTOBQUEJANV23!E14+HISTOBQUEFEV23!E14+HISTOBQUEMARS23!E14+HISTOBQUEAVRIL23!E14+HISTOBQUEMAI23!E14+HISTOBQUEJUIN23!E14+HISTOBQUEJUIL23!E14+HISTOBQUEAOUT23!E14+HISTOBQUESEPT23!E14+HISTOBQUEOCT23!E14+HISTOBQUENOV23!E14+HISTOBQUEDEC23!E14</f>
        <v>0</v>
      </c>
      <c r="F14" s="16">
        <f t="shared" si="0"/>
        <v>480000</v>
      </c>
      <c r="G14" s="16"/>
      <c r="H14" s="19"/>
    </row>
    <row r="15" spans="1:8" ht="18" x14ac:dyDescent="0.25">
      <c r="A15" s="11" t="s">
        <v>15</v>
      </c>
      <c r="B15" s="12" t="str">
        <f>VLOOKUP(A15,[5]LISTADHERENT!A$5:H$39,3,0)</f>
        <v>HENGUE PAUL OMER</v>
      </c>
      <c r="C15" s="13">
        <f>HISTOBQUEJANV23!C15+HISTOBQUEFEV23!C15+HISTOBQUEMARS23!C15+HISTOBQUEAVRIL23!C15+HISTOBQUEMAI23!C15+HISTOBQUEJUIN23!C15+HISTOBQUEJUIL23!C15+HISTOBQUEAOUT23!C15+HISTOBQUESEPT23!C15+HISTOBQUEOCT23!C15+HISTOBQUENOV23!C15+HISTOBQUEDEC23!C15</f>
        <v>1265000</v>
      </c>
      <c r="D15" s="13">
        <f>HISTOBQUEJANV23!D15+HISTOBQUEFEV23!D15+HISTOBQUEMARS23!D15+HISTOBQUEAVRIL23!D15+HISTOBQUEMAI23!D15+HISTOBQUEJUIN23!D15+HISTOBQUEJUIL23!D15+HISTOBQUEAOUT23!D15+HISTOBQUESEPT23!D15+HISTOBQUEOCT23!D15+HISTOBQUENOV23!D15+HISTOBQUEDEC23!D15</f>
        <v>118000</v>
      </c>
      <c r="E15" s="13">
        <f>HISTOBQUEJANV23!E15+HISTOBQUEFEV23!E15+HISTOBQUEMARS23!E15+HISTOBQUEAVRIL23!E15+HISTOBQUEMAI23!E15+HISTOBQUEJUIN23!E15+HISTOBQUEJUIL23!E15+HISTOBQUEAOUT23!E15+HISTOBQUESEPT23!E15+HISTOBQUEOCT23!E15+HISTOBQUENOV23!E15+HISTOBQUEDEC23!E15</f>
        <v>70000</v>
      </c>
      <c r="F15" s="16">
        <f t="shared" si="0"/>
        <v>1453000</v>
      </c>
      <c r="G15" s="16"/>
      <c r="H15" s="19"/>
    </row>
    <row r="16" spans="1:8" ht="18" x14ac:dyDescent="0.25">
      <c r="A16" s="11" t="s">
        <v>16</v>
      </c>
      <c r="B16" s="12" t="str">
        <f>VLOOKUP(A16,[5]LISTADHERENT!A$5:H$39,3,0)</f>
        <v>HOTCHO BENJAMIN</v>
      </c>
      <c r="C16" s="13">
        <f>HISTOBQUEJANV23!C16+HISTOBQUEFEV23!C16+HISTOBQUEMARS23!C16+HISTOBQUEAVRIL23!C16+HISTOBQUEMAI23!C16+HISTOBQUEJUIN23!C16+HISTOBQUEJUIL23!C16+HISTOBQUEAOUT23!C16+HISTOBQUESEPT23!C16+HISTOBQUEOCT23!C16+HISTOBQUENOV23!C16+HISTOBQUEDEC23!C16</f>
        <v>3448000</v>
      </c>
      <c r="D16" s="13">
        <f>HISTOBQUEJANV23!D16+HISTOBQUEFEV23!D16+HISTOBQUEMARS23!D16+HISTOBQUEAVRIL23!D16+HISTOBQUEMAI23!D16+HISTOBQUEJUIN23!D16+HISTOBQUEJUIL23!D16+HISTOBQUEAOUT23!D16+HISTOBQUESEPT23!D16+HISTOBQUEOCT23!D16+HISTOBQUENOV23!D16+HISTOBQUEDEC23!D16</f>
        <v>136500</v>
      </c>
      <c r="E16" s="13">
        <f>HISTOBQUEJANV23!E16+HISTOBQUEFEV23!E16+HISTOBQUEMARS23!E16+HISTOBQUEAVRIL23!E16+HISTOBQUEMAI23!E16+HISTOBQUEJUIN23!E16+HISTOBQUEJUIL23!E16+HISTOBQUEAOUT23!E16+HISTOBQUESEPT23!E16+HISTOBQUEOCT23!E16+HISTOBQUENOV23!E16+HISTOBQUEDEC23!E16</f>
        <v>1070000</v>
      </c>
      <c r="F16" s="16">
        <f t="shared" si="0"/>
        <v>4654500</v>
      </c>
      <c r="G16" s="16"/>
      <c r="H16" s="19"/>
    </row>
    <row r="17" spans="1:8" ht="18" x14ac:dyDescent="0.25">
      <c r="A17" s="11" t="s">
        <v>17</v>
      </c>
      <c r="B17" s="12" t="str">
        <f>VLOOKUP(A17,[5]LISTADHERENT!A$5:H$39,3,0)</f>
        <v>KOUAMOU MOISE</v>
      </c>
      <c r="C17" s="13">
        <f>HISTOBQUEJANV23!C17+HISTOBQUEFEV23!C17+HISTOBQUEMARS23!C17+HISTOBQUEAVRIL23!C17+HISTOBQUEMAI23!C17+HISTOBQUEJUIN23!C17+HISTOBQUEJUIL23!C17+HISTOBQUEAOUT23!C17+HISTOBQUESEPT23!C17+HISTOBQUEOCT23!C17+HISTOBQUENOV23!C17+HISTOBQUEDEC23!C17</f>
        <v>2882000</v>
      </c>
      <c r="D17" s="13">
        <f>HISTOBQUEJANV23!D17+HISTOBQUEFEV23!D17+HISTOBQUEMARS23!D17+HISTOBQUEAVRIL23!D17+HISTOBQUEMAI23!D17+HISTOBQUEJUIN23!D17+HISTOBQUEJUIL23!D17+HISTOBQUEAOUT23!D17+HISTOBQUESEPT23!D17+HISTOBQUEOCT23!D17+HISTOBQUENOV23!D17+HISTOBQUEDEC23!D17</f>
        <v>0</v>
      </c>
      <c r="E17" s="13">
        <f>HISTOBQUEJANV23!E17+HISTOBQUEFEV23!E17+HISTOBQUEMARS23!E17+HISTOBQUEAVRIL23!E17+HISTOBQUEMAI23!E17+HISTOBQUEJUIN23!E17+HISTOBQUEJUIL23!E17+HISTOBQUEAOUT23!E17+HISTOBQUESEPT23!E17+HISTOBQUEOCT23!E17+HISTOBQUENOV23!E17+HISTOBQUEDEC23!E17</f>
        <v>0</v>
      </c>
      <c r="F17" s="16">
        <f t="shared" si="0"/>
        <v>2882000</v>
      </c>
      <c r="G17" s="16"/>
      <c r="H17" s="19"/>
    </row>
    <row r="18" spans="1:8" ht="18" x14ac:dyDescent="0.25">
      <c r="A18" s="11" t="s">
        <v>18</v>
      </c>
      <c r="B18" s="12" t="str">
        <f>VLOOKUP(A18,[5]LISTADHERENT!A$5:H$39,3,0)</f>
        <v>KOUATCHO MESSACK</v>
      </c>
      <c r="C18" s="13">
        <f>HISTOBQUEJANV23!C18+HISTOBQUEFEV23!C18+HISTOBQUEMARS23!C18+HISTOBQUEAVRIL23!C18+HISTOBQUEMAI23!C18+HISTOBQUEJUIN23!C18+HISTOBQUEJUIL23!C18+HISTOBQUEAOUT23!C18+HISTOBQUESEPT23!C18+HISTOBQUEOCT23!C18+HISTOBQUENOV23!C18+HISTOBQUEDEC23!C18</f>
        <v>4762000</v>
      </c>
      <c r="D18" s="13">
        <f>HISTOBQUEJANV23!D18+HISTOBQUEFEV23!D18+HISTOBQUEMARS23!D18+HISTOBQUEAVRIL23!D18+HISTOBQUEMAI23!D18+HISTOBQUEJUIN23!D18+HISTOBQUEJUIL23!D18+HISTOBQUEAOUT23!D18+HISTOBQUESEPT23!D18+HISTOBQUEOCT23!D18+HISTOBQUENOV23!D18+HISTOBQUEDEC23!D18</f>
        <v>848500</v>
      </c>
      <c r="E18" s="13">
        <f>HISTOBQUEJANV23!E18+HISTOBQUEFEV23!E18+HISTOBQUEMARS23!E18+HISTOBQUEAVRIL23!E18+HISTOBQUEMAI23!E18+HISTOBQUEJUIN23!E18+HISTOBQUEJUIL23!E18+HISTOBQUEAOUT23!E18+HISTOBQUESEPT23!E18+HISTOBQUEOCT23!E18+HISTOBQUENOV23!E18+HISTOBQUEDEC23!E18</f>
        <v>0</v>
      </c>
      <c r="F18" s="16">
        <f t="shared" si="0"/>
        <v>5610500</v>
      </c>
      <c r="G18" s="16"/>
      <c r="H18" s="19"/>
    </row>
    <row r="19" spans="1:8" ht="18" x14ac:dyDescent="0.25">
      <c r="A19" s="11" t="s">
        <v>19</v>
      </c>
      <c r="B19" s="12" t="str">
        <f>VLOOKUP(A19,[5]LISTADHERENT!A$5:H$39,3,0)</f>
        <v>LOWE JEAN</v>
      </c>
      <c r="C19" s="13">
        <f>HISTOBQUEJANV23!C19+HISTOBQUEFEV23!C19+HISTOBQUEMARS23!C19+HISTOBQUEAVRIL23!C19+HISTOBQUEMAI23!C19+HISTOBQUEJUIN23!C19+HISTOBQUEJUIL23!C19+HISTOBQUEAOUT23!C19+HISTOBQUESEPT23!C19+HISTOBQUEOCT23!C19+HISTOBQUENOV23!C19+HISTOBQUEDEC23!C19</f>
        <v>740000</v>
      </c>
      <c r="D19" s="13">
        <f>HISTOBQUEJANV23!D19+HISTOBQUEFEV23!D19+HISTOBQUEMARS23!D19+HISTOBQUEAVRIL23!D19+HISTOBQUEMAI23!D19+HISTOBQUEJUIN23!D19+HISTOBQUEJUIL23!D19+HISTOBQUEAOUT23!D19+HISTOBQUESEPT23!D19+HISTOBQUEOCT23!D19+HISTOBQUENOV23!D19+HISTOBQUEDEC23!D19</f>
        <v>40000</v>
      </c>
      <c r="E19" s="13">
        <f>HISTOBQUEJANV23!E19+HISTOBQUEFEV23!E19+HISTOBQUEMARS23!E19+HISTOBQUEAVRIL23!E19+HISTOBQUEMAI23!E19+HISTOBQUEJUIN23!E19+HISTOBQUEJUIL23!E19+HISTOBQUEAOUT23!E19+HISTOBQUESEPT23!E19+HISTOBQUEOCT23!E19+HISTOBQUENOV23!E19+HISTOBQUEDEC23!E19</f>
        <v>70000</v>
      </c>
      <c r="F19" s="16">
        <f t="shared" si="0"/>
        <v>850000</v>
      </c>
      <c r="G19" s="16"/>
      <c r="H19" s="19"/>
    </row>
    <row r="20" spans="1:8" ht="18" x14ac:dyDescent="0.25">
      <c r="A20" s="11" t="s">
        <v>20</v>
      </c>
      <c r="B20" s="12" t="str">
        <f>VLOOKUP(A20,[5]LISTADHERENT!A$5:H$39,3,0)</f>
        <v>MBOGNING TUGMA GUY</v>
      </c>
      <c r="C20" s="13">
        <f>HISTOBQUEJANV23!C20+HISTOBQUEFEV23!C20+HISTOBQUEMARS23!C20+HISTOBQUEAVRIL23!C20+HISTOBQUEMAI23!C20+HISTOBQUEJUIN23!C20+HISTOBQUEJUIL23!C20+HISTOBQUEAOUT23!C20+HISTOBQUESEPT23!C20+HISTOBQUEOCT23!C20+HISTOBQUENOV23!C20+HISTOBQUEDEC23!C20</f>
        <v>5159000</v>
      </c>
      <c r="D20" s="13">
        <f>HISTOBQUEJANV23!D20+HISTOBQUEFEV23!D20+HISTOBQUEMARS23!D20+HISTOBQUEAVRIL23!D20+HISTOBQUEMAI23!D20+HISTOBQUEJUIN23!D20+HISTOBQUEJUIL23!D20+HISTOBQUEAOUT23!D20+HISTOBQUESEPT23!D20+HISTOBQUEOCT23!D20+HISTOBQUENOV23!D20+HISTOBQUEDEC23!D20</f>
        <v>1744000</v>
      </c>
      <c r="E20" s="13">
        <f>HISTOBQUEJANV23!E20+HISTOBQUEFEV23!E20+HISTOBQUEMARS23!E20+HISTOBQUEAVRIL23!E20+HISTOBQUEMAI23!E20+HISTOBQUEJUIN23!E20+HISTOBQUEJUIL23!E20+HISTOBQUEAOUT23!E20+HISTOBQUESEPT23!E20+HISTOBQUEOCT23!E20+HISTOBQUENOV23!E20+HISTOBQUEDEC23!E20</f>
        <v>0</v>
      </c>
      <c r="F20" s="16">
        <f t="shared" si="0"/>
        <v>6903000</v>
      </c>
      <c r="G20" s="16"/>
      <c r="H20" s="19"/>
    </row>
    <row r="21" spans="1:8" ht="18" x14ac:dyDescent="0.25">
      <c r="A21" s="11" t="s">
        <v>21</v>
      </c>
      <c r="B21" s="12" t="str">
        <f>VLOOKUP(A21,[5]LISTADHERENT!A$5:H$39,3,0)</f>
        <v>NANGUEN MARTIN</v>
      </c>
      <c r="C21" s="13">
        <f>HISTOBQUEJANV23!C21+HISTOBQUEFEV23!C21+HISTOBQUEMARS23!C21+HISTOBQUEAVRIL23!C21+HISTOBQUEMAI23!C21+HISTOBQUEJUIN23!C21+HISTOBQUEJUIL23!C21+HISTOBQUEAOUT23!C21+HISTOBQUESEPT23!C21+HISTOBQUEOCT23!C21+HISTOBQUENOV23!C21+HISTOBQUEDEC23!C21</f>
        <v>980000</v>
      </c>
      <c r="D21" s="13">
        <f>HISTOBQUEJANV23!D21+HISTOBQUEFEV23!D21+HISTOBQUEMARS23!D21+HISTOBQUEAVRIL23!D21+HISTOBQUEMAI23!D21+HISTOBQUEJUIN23!D21+HISTOBQUEJUIL23!D21+HISTOBQUEAOUT23!D21+HISTOBQUESEPT23!D21+HISTOBQUEOCT23!D21+HISTOBQUENOV23!D21+HISTOBQUEDEC23!D21</f>
        <v>0</v>
      </c>
      <c r="E21" s="13">
        <f>HISTOBQUEJANV23!E21+HISTOBQUEFEV23!E21+HISTOBQUEMARS23!E21+HISTOBQUEAVRIL23!E21+HISTOBQUEMAI23!E21+HISTOBQUEJUIN23!E21+HISTOBQUEJUIL23!E21+HISTOBQUEAOUT23!E21+HISTOBQUESEPT23!E21+HISTOBQUEOCT23!E21+HISTOBQUENOV23!E21+HISTOBQUEDEC23!E21</f>
        <v>70000</v>
      </c>
      <c r="F21" s="16">
        <f t="shared" si="0"/>
        <v>1050000</v>
      </c>
      <c r="G21" s="16"/>
      <c r="H21" s="19"/>
    </row>
    <row r="22" spans="1:8" ht="18" x14ac:dyDescent="0.25">
      <c r="A22" s="11" t="s">
        <v>22</v>
      </c>
      <c r="B22" s="12" t="str">
        <f>VLOOKUP(A22,[5]LISTADHERENT!A$5:H$39,3,0)</f>
        <v>NANKAM APPOLINAIRE</v>
      </c>
      <c r="C22" s="13">
        <f>HISTOBQUEJANV23!C22+HISTOBQUEFEV23!C22+HISTOBQUEMARS23!C22+HISTOBQUEAVRIL23!C22+HISTOBQUEMAI23!C22+HISTOBQUEJUIN23!C22+HISTOBQUEJUIL23!C22+HISTOBQUEAOUT23!C22+HISTOBQUESEPT23!C22+HISTOBQUEOCT23!C22+HISTOBQUENOV23!C22+HISTOBQUEDEC23!C22</f>
        <v>1487500</v>
      </c>
      <c r="D22" s="13">
        <f>HISTOBQUEJANV23!D22+HISTOBQUEFEV23!D22+HISTOBQUEMARS23!D22+HISTOBQUEAVRIL23!D22+HISTOBQUEMAI23!D22+HISTOBQUEJUIN23!D22+HISTOBQUEJUIL23!D22+HISTOBQUEAOUT23!D22+HISTOBQUESEPT23!D22+HISTOBQUEOCT23!D22+HISTOBQUENOV23!D22+HISTOBQUEDEC23!D22</f>
        <v>0</v>
      </c>
      <c r="E22" s="13">
        <f>HISTOBQUEJANV23!E22+HISTOBQUEFEV23!E22+HISTOBQUEMARS23!E22+HISTOBQUEAVRIL23!E22+HISTOBQUEMAI23!E22+HISTOBQUEJUIN23!E22+HISTOBQUEJUIL23!E22+HISTOBQUEAOUT23!E22+HISTOBQUESEPT23!E22+HISTOBQUEOCT23!E22+HISTOBQUENOV23!E22+HISTOBQUEDEC23!E22</f>
        <v>70000</v>
      </c>
      <c r="F22" s="16">
        <f t="shared" si="0"/>
        <v>1557500</v>
      </c>
      <c r="G22" s="16"/>
      <c r="H22" s="19"/>
    </row>
    <row r="23" spans="1:8" ht="18" x14ac:dyDescent="0.25">
      <c r="A23" s="11" t="s">
        <v>23</v>
      </c>
      <c r="B23" s="12" t="str">
        <f>VLOOKUP(A23,[5]LISTADHERENT!A$5:H$39,3,0)</f>
        <v>NDJOMO ETIENNE</v>
      </c>
      <c r="C23" s="13">
        <f>HISTOBQUEJANV23!C23+HISTOBQUEFEV23!C23+HISTOBQUEMARS23!C23+HISTOBQUEAVRIL23!C23+HISTOBQUEMAI23!C23+HISTOBQUEJUIN23!C23+HISTOBQUEJUIL23!C23+HISTOBQUEAOUT23!C23+HISTOBQUESEPT23!C23+HISTOBQUEOCT23!C23+HISTOBQUENOV23!C23+HISTOBQUEDEC23!C23</f>
        <v>4024000</v>
      </c>
      <c r="D23" s="13">
        <f>HISTOBQUEJANV23!D23+HISTOBQUEFEV23!D23+HISTOBQUEMARS23!D23+HISTOBQUEAVRIL23!D23+HISTOBQUEMAI23!D23+HISTOBQUEJUIN23!D23+HISTOBQUEJUIL23!D23+HISTOBQUEAOUT23!D23+HISTOBQUESEPT23!D23+HISTOBQUEOCT23!D23+HISTOBQUENOV23!D23+HISTOBQUEDEC23!D23</f>
        <v>0</v>
      </c>
      <c r="E23" s="13">
        <f>HISTOBQUEJANV23!E23+HISTOBQUEFEV23!E23+HISTOBQUEMARS23!E23+HISTOBQUEAVRIL23!E23+HISTOBQUEMAI23!E23+HISTOBQUEJUIN23!E23+HISTOBQUEJUIL23!E23+HISTOBQUEAOUT23!E23+HISTOBQUESEPT23!E23+HISTOBQUEOCT23!E23+HISTOBQUENOV23!E23+HISTOBQUEDEC23!E23</f>
        <v>0</v>
      </c>
      <c r="F23" s="16">
        <f t="shared" si="0"/>
        <v>4024000</v>
      </c>
      <c r="G23" s="16"/>
      <c r="H23" s="19"/>
    </row>
    <row r="24" spans="1:8" ht="18" x14ac:dyDescent="0.25">
      <c r="A24" s="11" t="s">
        <v>24</v>
      </c>
      <c r="B24" s="12" t="str">
        <f>VLOOKUP(A24,[5]LISTADHERENT!A$5:H$39,3,0)</f>
        <v>NGONDIEP CLAUDE</v>
      </c>
      <c r="C24" s="13">
        <f>HISTOBQUEJANV23!C24+HISTOBQUEFEV23!C24+HISTOBQUEMARS23!C24+HISTOBQUEAVRIL23!C24+HISTOBQUEMAI23!C24+HISTOBQUEJUIN23!C24+HISTOBQUEJUIL23!C24+HISTOBQUEAOUT23!C24+HISTOBQUESEPT23!C24+HISTOBQUEOCT23!C24+HISTOBQUENOV23!C24+HISTOBQUEDEC23!C24</f>
        <v>4196000</v>
      </c>
      <c r="D24" s="13">
        <f>HISTOBQUEJANV23!D24+HISTOBQUEFEV23!D24+HISTOBQUEMARS23!D24+HISTOBQUEAVRIL23!D24+HISTOBQUEMAI23!D24+HISTOBQUEJUIN23!D24+HISTOBQUEJUIL23!D24+HISTOBQUEAOUT23!D24+HISTOBQUESEPT23!D24+HISTOBQUEOCT23!D24+HISTOBQUENOV23!D24+HISTOBQUEDEC23!D24</f>
        <v>439000</v>
      </c>
      <c r="E24" s="13">
        <f>HISTOBQUEJANV23!E24+HISTOBQUEFEV23!E24+HISTOBQUEMARS23!E24+HISTOBQUEAVRIL23!E24+HISTOBQUEMAI23!E24+HISTOBQUEJUIN23!E24+HISTOBQUEJUIL23!E24+HISTOBQUEAOUT23!E24+HISTOBQUESEPT23!E24+HISTOBQUEOCT23!E24+HISTOBQUENOV23!E24+HISTOBQUEDEC23!E24</f>
        <v>0</v>
      </c>
      <c r="F24" s="16">
        <f t="shared" si="0"/>
        <v>4635000</v>
      </c>
      <c r="G24" s="16"/>
      <c r="H24" s="19"/>
    </row>
    <row r="25" spans="1:8" ht="18" x14ac:dyDescent="0.25">
      <c r="A25" s="11" t="s">
        <v>25</v>
      </c>
      <c r="B25" s="12" t="str">
        <f>VLOOKUP(A25,[5]LISTADHERENT!A$5:H$39,3,0)</f>
        <v>NGUIEMEGNI MATHIEU BLAISE</v>
      </c>
      <c r="C25" s="13">
        <f>HISTOBQUEJANV23!C25+HISTOBQUEFEV23!C25+HISTOBQUEMARS23!C25+HISTOBQUEAVRIL23!C25+HISTOBQUEMAI23!C25+HISTOBQUEJUIN23!C25+HISTOBQUEJUIL23!C25+HISTOBQUEAOUT23!C25+HISTOBQUESEPT23!C25+HISTOBQUEOCT23!C25+HISTOBQUENOV23!C25+HISTOBQUEDEC23!C25</f>
        <v>4861000</v>
      </c>
      <c r="D25" s="13">
        <f>HISTOBQUEJANV23!D25+HISTOBQUEFEV23!D25+HISTOBQUEMARS23!D25+HISTOBQUEAVRIL23!D25+HISTOBQUEMAI23!D25+HISTOBQUEJUIN23!D25+HISTOBQUEJUIL23!D25+HISTOBQUEAOUT23!D25+HISTOBQUESEPT23!D25+HISTOBQUEOCT23!D25+HISTOBQUENOV23!D25+HISTOBQUEDEC23!D25</f>
        <v>1060000</v>
      </c>
      <c r="E25" s="13">
        <f>HISTOBQUEJANV23!E25+HISTOBQUEFEV23!E25+HISTOBQUEMARS23!E25+HISTOBQUEAVRIL23!E25+HISTOBQUEMAI23!E25+HISTOBQUEJUIN23!E25+HISTOBQUEJUIL23!E25+HISTOBQUEAOUT23!E25+HISTOBQUESEPT23!E25+HISTOBQUEOCT23!E25+HISTOBQUENOV23!E25+HISTOBQUEDEC23!E25</f>
        <v>70000</v>
      </c>
      <c r="F25" s="16">
        <f t="shared" si="0"/>
        <v>5991000</v>
      </c>
      <c r="G25" s="16"/>
      <c r="H25" s="19"/>
    </row>
    <row r="26" spans="1:8" ht="18" x14ac:dyDescent="0.25">
      <c r="A26" s="11" t="s">
        <v>26</v>
      </c>
      <c r="B26" s="12" t="str">
        <f>VLOOKUP(A26,[5]LISTADHERENT!A$5:H$39,3,0)</f>
        <v>NKAMGANG JUSTIN DEJOLIE</v>
      </c>
      <c r="C26" s="13">
        <f>HISTOBQUEJANV23!C26+HISTOBQUEFEV23!C26+HISTOBQUEMARS23!C26+HISTOBQUEAVRIL23!C26+HISTOBQUEMAI23!C26+HISTOBQUEJUIN23!C26+HISTOBQUEJUIL23!C26+HISTOBQUEAOUT23!C26+HISTOBQUESEPT23!C26+HISTOBQUEOCT23!C26+HISTOBQUENOV23!C26+HISTOBQUEDEC23!C26</f>
        <v>206000</v>
      </c>
      <c r="D26" s="13">
        <f>HISTOBQUEJANV23!D26+HISTOBQUEFEV23!D26+HISTOBQUEMARS23!D26+HISTOBQUEAVRIL23!D26+HISTOBQUEMAI23!D26+HISTOBQUEJUIN23!D26+HISTOBQUEJUIL23!D26+HISTOBQUEAOUT23!D26+HISTOBQUESEPT23!D26+HISTOBQUEOCT23!D26+HISTOBQUENOV23!D26+HISTOBQUEDEC23!D26</f>
        <v>1810500</v>
      </c>
      <c r="E26" s="13">
        <f>HISTOBQUEJANV23!E26+HISTOBQUEFEV23!E26+HISTOBQUEMARS23!E26+HISTOBQUEAVRIL23!E26+HISTOBQUEMAI23!E26+HISTOBQUEJUIN23!E26+HISTOBQUEJUIL23!E26+HISTOBQUEAOUT23!E26+HISTOBQUESEPT23!E26+HISTOBQUEOCT23!E26+HISTOBQUENOV23!E26+HISTOBQUEDEC23!E26</f>
        <v>70000</v>
      </c>
      <c r="F26" s="16">
        <f t="shared" si="0"/>
        <v>2086500</v>
      </c>
      <c r="G26" s="16"/>
      <c r="H26" s="19"/>
    </row>
    <row r="27" spans="1:8" ht="18" x14ac:dyDescent="0.25">
      <c r="A27" s="11" t="s">
        <v>66</v>
      </c>
      <c r="B27" s="12" t="str">
        <f>VLOOKUP(A27,[5]LISTADHERENT!A$5:H$39,3,0)</f>
        <v>NOUBE ETIENNE</v>
      </c>
      <c r="C27" s="13">
        <f>HISTOBQUEJANV23!C27+HISTOBQUEFEV23!C27+HISTOBQUEMARS23!C27+HISTOBQUEAVRIL23!C27+HISTOBQUEMAI23!C27+HISTOBQUEJUIN23!C27+HISTOBQUEJUIL23!C27+HISTOBQUEAOUT23!C27+HISTOBQUESEPT23!C27+HISTOBQUEOCT23!C27+HISTOBQUENOV23!C27+HISTOBQUEDEC23!C27</f>
        <v>1045000</v>
      </c>
      <c r="D27" s="13">
        <f>HISTOBQUEJANV23!D27+HISTOBQUEFEV23!D27+HISTOBQUEMARS23!D27+HISTOBQUEAVRIL23!D27+HISTOBQUEMAI23!D27+HISTOBQUEJUIN23!D27+HISTOBQUEJUIL23!D27+HISTOBQUEAOUT23!D27+HISTOBQUESEPT23!D27+HISTOBQUEOCT23!D27+HISTOBQUENOV23!D27+HISTOBQUEDEC23!D27</f>
        <v>65000</v>
      </c>
      <c r="E27" s="13">
        <f>HISTOBQUEJANV23!E27+HISTOBQUEFEV23!E27+HISTOBQUEMARS23!E27+HISTOBQUEAVRIL23!E27+HISTOBQUEMAI23!E27+HISTOBQUEJUIN23!E27+HISTOBQUEJUIL23!E27+HISTOBQUEAOUT23!E27+HISTOBQUESEPT23!E27+HISTOBQUEOCT23!E27+HISTOBQUENOV23!E27+HISTOBQUEDEC23!E27</f>
        <v>0</v>
      </c>
      <c r="F27" s="16">
        <f>SUM(C27:E27)</f>
        <v>1110000</v>
      </c>
      <c r="G27" s="16"/>
      <c r="H27" s="19"/>
    </row>
    <row r="28" spans="1:8" ht="18" x14ac:dyDescent="0.25">
      <c r="A28" s="11" t="s">
        <v>27</v>
      </c>
      <c r="B28" s="12" t="str">
        <f>VLOOKUP(A28,[5]LISTADHERENT!A$5:H$39,3,0)</f>
        <v>PATEGO NJOSSU GUSTAVE</v>
      </c>
      <c r="C28" s="13">
        <f>HISTOBQUEJANV23!C28+HISTOBQUEFEV23!C28+HISTOBQUEMARS23!C28+HISTOBQUEAVRIL23!C28+HISTOBQUEMAI23!C28+HISTOBQUEJUIN23!C28+HISTOBQUEJUIL23!C28+HISTOBQUEAOUT23!C28+HISTOBQUESEPT23!C28+HISTOBQUEOCT23!C28+HISTOBQUENOV23!C28+HISTOBQUEDEC23!C28</f>
        <v>1380000</v>
      </c>
      <c r="D28" s="13">
        <f>HISTOBQUEJANV23!D28+HISTOBQUEFEV23!D28+HISTOBQUEMARS23!D28+HISTOBQUEAVRIL23!D28+HISTOBQUEMAI23!D28+HISTOBQUEJUIN23!D28+HISTOBQUEJUIL23!D28+HISTOBQUEAOUT23!D28+HISTOBQUESEPT23!D28+HISTOBQUEOCT23!D28+HISTOBQUENOV23!D28+HISTOBQUEDEC23!D28</f>
        <v>0</v>
      </c>
      <c r="E28" s="13">
        <f>HISTOBQUEJANV23!E28+HISTOBQUEFEV23!E28+HISTOBQUEMARS23!E28+HISTOBQUEAVRIL23!E28+HISTOBQUEMAI23!E28+HISTOBQUEJUIN23!E28+HISTOBQUEJUIL23!E28+HISTOBQUEAOUT23!E28+HISTOBQUESEPT23!E28+HISTOBQUEOCT23!E28+HISTOBQUENOV23!E28+HISTOBQUEDEC23!E28</f>
        <v>0</v>
      </c>
      <c r="F28" s="16">
        <f t="shared" si="0"/>
        <v>1380000</v>
      </c>
      <c r="G28" s="16"/>
      <c r="H28" s="19"/>
    </row>
    <row r="29" spans="1:8" ht="18" x14ac:dyDescent="0.25">
      <c r="A29" s="11" t="s">
        <v>67</v>
      </c>
      <c r="B29" s="12" t="str">
        <f>VLOOKUP(A29,[5]LISTADHERENT!A$5:H$39,3,0)</f>
        <v>SEUMO POLYCARPE</v>
      </c>
      <c r="C29" s="13">
        <f>HISTOBQUEJANV23!C29+HISTOBQUEFEV23!C29+HISTOBQUEMARS23!C29+HISTOBQUEAVRIL23!C29+HISTOBQUEMAI23!C29+HISTOBQUEJUIN23!C29+HISTOBQUEJUIL23!C29+HISTOBQUEAOUT23!C29+HISTOBQUESEPT23!C29+HISTOBQUEOCT23!C29+HISTOBQUENOV23!C29+HISTOBQUEDEC23!C29</f>
        <v>560000</v>
      </c>
      <c r="D29" s="13">
        <f>HISTOBQUEJANV23!D29+HISTOBQUEFEV23!D29+HISTOBQUEMARS23!D29+HISTOBQUEAVRIL23!D29+HISTOBQUEMAI23!D29+HISTOBQUEJUIN23!D29+HISTOBQUEJUIL23!D29+HISTOBQUEAOUT23!D29+HISTOBQUESEPT23!D29+HISTOBQUEOCT23!D29+HISTOBQUENOV23!D29+HISTOBQUEDEC23!D29</f>
        <v>65000</v>
      </c>
      <c r="E29" s="13">
        <f>HISTOBQUEJANV23!E29+HISTOBQUEFEV23!E29+HISTOBQUEMARS23!E29+HISTOBQUEAVRIL23!E29+HISTOBQUEMAI23!E29+HISTOBQUEJUIN23!E29+HISTOBQUEJUIL23!E29+HISTOBQUEAOUT23!E29+HISTOBQUESEPT23!E29+HISTOBQUEOCT23!E29+HISTOBQUENOV23!E29+HISTOBQUEDEC23!E29</f>
        <v>0</v>
      </c>
      <c r="F29" s="16">
        <f t="shared" si="0"/>
        <v>625000</v>
      </c>
      <c r="G29" s="16"/>
      <c r="H29" s="19"/>
    </row>
    <row r="30" spans="1:8" ht="18" x14ac:dyDescent="0.25">
      <c r="A30" s="11" t="s">
        <v>28</v>
      </c>
      <c r="B30" s="12" t="str">
        <f>VLOOKUP(A30,[5]LISTADHERENT!A$5:H$39,3,0)</f>
        <v>SIME BRICE</v>
      </c>
      <c r="C30" s="13">
        <f>HISTOBQUEJANV23!C30+HISTOBQUEFEV23!C30+HISTOBQUEMARS23!C30+HISTOBQUEAVRIL23!C30+HISTOBQUEMAI23!C30+HISTOBQUEJUIN23!C30+HISTOBQUEJUIL23!C30+HISTOBQUEAOUT23!C30+HISTOBQUESEPT23!C30+HISTOBQUEOCT23!C30+HISTOBQUENOV23!C30+HISTOBQUEDEC23!C30</f>
        <v>1265000</v>
      </c>
      <c r="D30" s="13">
        <f>HISTOBQUEJANV23!D30+HISTOBQUEFEV23!D30+HISTOBQUEMARS23!D30+HISTOBQUEAVRIL23!D30+HISTOBQUEMAI23!D30+HISTOBQUEJUIN23!D30+HISTOBQUEJUIL23!D30+HISTOBQUEAOUT23!D30+HISTOBQUESEPT23!D30+HISTOBQUEOCT23!D30+HISTOBQUENOV23!D30+HISTOBQUEDEC23!D30</f>
        <v>115000</v>
      </c>
      <c r="E30" s="13">
        <f>HISTOBQUEJANV23!E30+HISTOBQUEFEV23!E30+HISTOBQUEMARS23!E30+HISTOBQUEAVRIL23!E30+HISTOBQUEMAI23!E30+HISTOBQUEJUIN23!E30+HISTOBQUEJUIL23!E30+HISTOBQUEAOUT23!E30+HISTOBQUESEPT23!E30+HISTOBQUEOCT23!E30+HISTOBQUENOV23!E30+HISTOBQUEDEC23!E30</f>
        <v>70000</v>
      </c>
      <c r="F30" s="16">
        <f t="shared" si="0"/>
        <v>1450000</v>
      </c>
      <c r="G30" s="16"/>
      <c r="H30" s="19"/>
    </row>
    <row r="31" spans="1:8" ht="18" x14ac:dyDescent="0.25">
      <c r="A31" s="11" t="s">
        <v>29</v>
      </c>
      <c r="B31" s="12" t="str">
        <f>VLOOKUP(A31,[5]LISTADHERENT!A$5:H$39,3,0)</f>
        <v>SIMO PIERRE</v>
      </c>
      <c r="C31" s="13">
        <f>HISTOBQUEJANV23!C31+HISTOBQUEFEV23!C31+HISTOBQUEMARS23!C31+HISTOBQUEAVRIL23!C31+HISTOBQUEMAI23!C31+HISTOBQUEJUIN23!C31+HISTOBQUEJUIL23!C31+HISTOBQUEAOUT23!C31+HISTOBQUESEPT23!C31+HISTOBQUEOCT23!C31+HISTOBQUENOV23!C31+HISTOBQUEDEC23!C31</f>
        <v>2743000</v>
      </c>
      <c r="D31" s="13">
        <f>HISTOBQUEJANV23!D31+HISTOBQUEFEV23!D31+HISTOBQUEMARS23!D31+HISTOBQUEAVRIL23!D31+HISTOBQUEMAI23!D31+HISTOBQUEJUIN23!D31+HISTOBQUEJUIL23!D31+HISTOBQUEAOUT23!D31+HISTOBQUESEPT23!D31+HISTOBQUEOCT23!D31+HISTOBQUENOV23!D31+HISTOBQUEDEC23!D31</f>
        <v>140000</v>
      </c>
      <c r="E31" s="13">
        <f>HISTOBQUEJANV23!E31+HISTOBQUEFEV23!E31+HISTOBQUEMARS23!E31+HISTOBQUEAVRIL23!E31+HISTOBQUEMAI23!E31+HISTOBQUEJUIN23!E31+HISTOBQUEJUIL23!E31+HISTOBQUEAOUT23!E31+HISTOBQUESEPT23!E31+HISTOBQUEOCT23!E31+HISTOBQUENOV23!E31+HISTOBQUEDEC23!E31</f>
        <v>0</v>
      </c>
      <c r="F31" s="16">
        <f t="shared" si="0"/>
        <v>2883000</v>
      </c>
      <c r="G31" s="16"/>
      <c r="H31" s="19"/>
    </row>
    <row r="32" spans="1:8" ht="18" x14ac:dyDescent="0.25">
      <c r="A32" s="11" t="s">
        <v>30</v>
      </c>
      <c r="B32" s="12" t="str">
        <f>VLOOKUP(A32,[5]LISTADHERENT!A$5:H$39,3,0)</f>
        <v>TCHOUAMOU MATHIEU</v>
      </c>
      <c r="C32" s="13">
        <f>HISTOBQUEJANV23!C32+HISTOBQUEFEV23!C32+HISTOBQUEMARS23!C32+HISTOBQUEAVRIL23!C32+HISTOBQUEMAI23!C32+HISTOBQUEJUIN23!C32+HISTOBQUEJUIL23!C32+HISTOBQUEAOUT23!C32+HISTOBQUESEPT23!C32+HISTOBQUEOCT23!C32+HISTOBQUENOV23!C32+HISTOBQUEDEC23!C32</f>
        <v>2249000</v>
      </c>
      <c r="D32" s="13">
        <f>HISTOBQUEJANV23!D32+HISTOBQUEFEV23!D32+HISTOBQUEMARS23!D32+HISTOBQUEAVRIL23!D32+HISTOBQUEMAI23!D32+HISTOBQUEJUIN23!D32+HISTOBQUEJUIL23!D32+HISTOBQUEAOUT23!D32+HISTOBQUESEPT23!D32+HISTOBQUEOCT23!D32+HISTOBQUENOV23!D32+HISTOBQUEDEC23!D32</f>
        <v>102000</v>
      </c>
      <c r="E32" s="13">
        <f>HISTOBQUEJANV23!E32+HISTOBQUEFEV23!E32+HISTOBQUEMARS23!E32+HISTOBQUEAVRIL23!E32+HISTOBQUEMAI23!E32+HISTOBQUEJUIN23!E32+HISTOBQUEJUIL23!E32+HISTOBQUEAOUT23!E32+HISTOBQUESEPT23!E32+HISTOBQUEOCT23!E32+HISTOBQUENOV23!E32+HISTOBQUEDEC23!E32</f>
        <v>70000</v>
      </c>
      <c r="F32" s="16">
        <f t="shared" si="0"/>
        <v>2421000</v>
      </c>
      <c r="G32" s="16"/>
      <c r="H32" s="19"/>
    </row>
    <row r="33" spans="1:8" ht="18" x14ac:dyDescent="0.25">
      <c r="A33" s="11" t="s">
        <v>65</v>
      </c>
      <c r="B33" s="12" t="str">
        <f>VLOOKUP(A33,[5]LISTADHERENT!A$5:H$39,3,0)</f>
        <v>TCHOUTOU NANA CLAUDE</v>
      </c>
      <c r="C33" s="13">
        <f>HISTOBQUEJANV23!C33+HISTOBQUEFEV23!C33+HISTOBQUEMARS23!C33+HISTOBQUEAVRIL23!C33+HISTOBQUEMAI23!C33+HISTOBQUEJUIN23!C33+HISTOBQUEJUIL23!C33+HISTOBQUEAOUT23!C33+HISTOBQUESEPT23!C33+HISTOBQUEOCT23!C33+HISTOBQUENOV23!C33+HISTOBQUEDEC23!C33</f>
        <v>370000</v>
      </c>
      <c r="D33" s="13">
        <f>HISTOBQUEJANV23!D33+HISTOBQUEFEV23!D33+HISTOBQUEMARS23!D33+HISTOBQUEAVRIL23!D33+HISTOBQUEMAI23!D33+HISTOBQUEJUIN23!D33+HISTOBQUEJUIL23!D33+HISTOBQUEAOUT23!D33+HISTOBQUESEPT23!D33+HISTOBQUEOCT23!D33+HISTOBQUENOV23!D33+HISTOBQUEDEC23!D33</f>
        <v>163000</v>
      </c>
      <c r="E33" s="13">
        <f>HISTOBQUEJANV23!E33+HISTOBQUEFEV23!E33+HISTOBQUEMARS23!E33+HISTOBQUEAVRIL23!E33+HISTOBQUEMAI23!E33+HISTOBQUEJUIN23!E33+HISTOBQUEJUIL23!E33+HISTOBQUEAOUT23!E33+HISTOBQUESEPT23!E33+HISTOBQUEOCT23!E33+HISTOBQUENOV23!E33+HISTOBQUEDEC23!E33</f>
        <v>0</v>
      </c>
      <c r="F33" s="16">
        <f t="shared" si="0"/>
        <v>533000</v>
      </c>
      <c r="G33" s="16"/>
      <c r="H33" s="19"/>
    </row>
    <row r="34" spans="1:8" ht="18" x14ac:dyDescent="0.25">
      <c r="A34" s="11" t="s">
        <v>68</v>
      </c>
      <c r="B34" s="12" t="str">
        <f>VLOOKUP(A34,[5]LISTADHERENT!A$5:H$39,3,0)</f>
        <v>YANTCHOU GERVAIS</v>
      </c>
      <c r="C34" s="13">
        <f>HISTOBQUEJANV23!C34+HISTOBQUEFEV23!C34+HISTOBQUEMARS23!C34+HISTOBQUEAVRIL23!C34+HISTOBQUEMAI23!C34+HISTOBQUEJUIN23!C34+HISTOBQUEJUIL23!C34+HISTOBQUEAOUT23!C34+HISTOBQUESEPT23!C34+HISTOBQUEOCT23!C34+HISTOBQUENOV23!C34+HISTOBQUEDEC23!C34</f>
        <v>830000</v>
      </c>
      <c r="D34" s="13">
        <f>HISTOBQUEJANV23!D34+HISTOBQUEFEV23!D34+HISTOBQUEMARS23!D34+HISTOBQUEAVRIL23!D34+HISTOBQUEMAI23!D34+HISTOBQUEJUIN23!D34+HISTOBQUEJUIL23!D34+HISTOBQUEAOUT23!D34+HISTOBQUESEPT23!D34+HISTOBQUEOCT23!D34+HISTOBQUENOV23!D34+HISTOBQUEDEC23!D34</f>
        <v>200000</v>
      </c>
      <c r="E34" s="13">
        <f>HISTOBQUEJANV23!E34+HISTOBQUEFEV23!E34+HISTOBQUEMARS23!E34+HISTOBQUEAVRIL23!E34+HISTOBQUEMAI23!E34+HISTOBQUEJUIN23!E34+HISTOBQUEJUIL23!E34+HISTOBQUEAOUT23!E34+HISTOBQUESEPT23!E34+HISTOBQUEOCT23!E34+HISTOBQUENOV23!E34+HISTOBQUEDEC23!E34</f>
        <v>0</v>
      </c>
      <c r="F34" s="16">
        <f t="shared" si="0"/>
        <v>1030000</v>
      </c>
      <c r="G34" s="16"/>
      <c r="H34" s="19"/>
    </row>
    <row r="35" spans="1:8" ht="18" x14ac:dyDescent="0.25">
      <c r="A35" s="11" t="s">
        <v>31</v>
      </c>
      <c r="B35" s="12" t="str">
        <f>VLOOKUP(A35,[5]LISTADHERENT!A$5:H$39,3,0)</f>
        <v>YEPMOU JEAN JACQUES</v>
      </c>
      <c r="C35" s="13">
        <f>HISTOBQUEJANV23!C35+HISTOBQUEFEV23!C35+HISTOBQUEMARS23!C35+HISTOBQUEAVRIL23!C35+HISTOBQUEMAI23!C35+HISTOBQUEJUIN23!C35+HISTOBQUEJUIL23!C35+HISTOBQUEAOUT23!C35+HISTOBQUESEPT23!C35+HISTOBQUEOCT23!C35+HISTOBQUENOV23!C35+HISTOBQUEDEC23!C35</f>
        <v>274000</v>
      </c>
      <c r="D35" s="13">
        <f>HISTOBQUEJANV23!D35+HISTOBQUEFEV23!D35+HISTOBQUEMARS23!D35+HISTOBQUEAVRIL23!D35+HISTOBQUEMAI23!D35+HISTOBQUEJUIN23!D35+HISTOBQUEJUIL23!D35+HISTOBQUEAOUT23!D35+HISTOBQUESEPT23!D35+HISTOBQUEOCT23!D35+HISTOBQUENOV23!D35+HISTOBQUEDEC23!D35</f>
        <v>206000</v>
      </c>
      <c r="E35" s="13">
        <f>HISTOBQUEJANV23!E35+HISTOBQUEFEV23!E35+HISTOBQUEMARS23!E35+HISTOBQUEAVRIL23!E35+HISTOBQUEMAI23!E35+HISTOBQUEJUIN23!E35+HISTOBQUEJUIL23!E35+HISTOBQUEAOUT23!E35+HISTOBQUESEPT23!E35+HISTOBQUEOCT23!E35+HISTOBQUENOV23!E35+HISTOBQUEDEC23!E35</f>
        <v>0</v>
      </c>
      <c r="F35" s="16">
        <f t="shared" si="0"/>
        <v>480000</v>
      </c>
      <c r="G35" s="16"/>
      <c r="H35" s="19"/>
    </row>
    <row r="36" spans="1:8" ht="18" x14ac:dyDescent="0.25">
      <c r="A36" s="11" t="s">
        <v>32</v>
      </c>
      <c r="B36" s="12" t="str">
        <f>VLOOKUP(A36,[5]LISTADHERENT!A$5:H$39,3,0)</f>
        <v>YOUMBI EMMANUEL</v>
      </c>
      <c r="C36" s="13">
        <f>HISTOBQUEJANV23!C36+HISTOBQUEFEV23!C36+HISTOBQUEMARS23!C36+HISTOBQUEAVRIL23!C36+HISTOBQUEMAI23!C36+HISTOBQUEJUIN23!C36+HISTOBQUEJUIL23!C36+HISTOBQUEAOUT23!C36+HISTOBQUESEPT23!C36+HISTOBQUEOCT23!C36+HISTOBQUENOV23!C36+HISTOBQUEDEC23!C36</f>
        <v>4483000</v>
      </c>
      <c r="D36" s="13">
        <f>HISTOBQUEJANV23!D36+HISTOBQUEFEV23!D36+HISTOBQUEMARS23!D36+HISTOBQUEAVRIL23!D36+HISTOBQUEMAI23!D36+HISTOBQUEJUIN23!D36+HISTOBQUEJUIL23!D36+HISTOBQUEAOUT23!D36+HISTOBQUESEPT23!D36+HISTOBQUEOCT23!D36+HISTOBQUENOV23!D36+HISTOBQUEDEC23!D36</f>
        <v>0</v>
      </c>
      <c r="E36" s="13">
        <f>HISTOBQUEJANV23!E36+HISTOBQUEFEV23!E36+HISTOBQUEMARS23!E36+HISTOBQUEAVRIL23!E36+HISTOBQUEMAI23!E36+HISTOBQUEJUIN23!E36+HISTOBQUEJUIL23!E36+HISTOBQUEAOUT23!E36+HISTOBQUESEPT23!E36+HISTOBQUEOCT23!E36+HISTOBQUENOV23!E36+HISTOBQUEDEC23!E36</f>
        <v>0</v>
      </c>
      <c r="F36" s="16">
        <f t="shared" si="0"/>
        <v>4483000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33</v>
      </c>
      <c r="C38" s="22">
        <f>SUM(C7:C37)</f>
        <v>63239500</v>
      </c>
      <c r="D38" s="22">
        <f t="shared" ref="D38:G38" si="1">SUM(D7:D37)</f>
        <v>11166000</v>
      </c>
      <c r="E38" s="22">
        <f t="shared" si="1"/>
        <v>1840000</v>
      </c>
      <c r="F38" s="22">
        <f t="shared" si="1"/>
        <v>76245500</v>
      </c>
      <c r="G38" s="22">
        <f t="shared" si="1"/>
        <v>0</v>
      </c>
      <c r="H38" s="23">
        <f t="shared" ref="H38" si="2">SUM(H8:H37)</f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</vt:i4>
      </vt:variant>
    </vt:vector>
  </HeadingPairs>
  <TitlesOfParts>
    <vt:vector size="16" baseType="lpstr">
      <vt:lpstr>MODEVERSEMENT</vt:lpstr>
      <vt:lpstr>COMPTE BANQUE</vt:lpstr>
      <vt:lpstr>HISTOBQUEJANV23</vt:lpstr>
      <vt:lpstr>HISTOBQUEFEV23</vt:lpstr>
      <vt:lpstr>HISTOBQUEMARS23</vt:lpstr>
      <vt:lpstr>HISTOBQUEAVRIL23</vt:lpstr>
      <vt:lpstr>HISTOBQUEMAI23</vt:lpstr>
      <vt:lpstr>HISTOBQUEJUIN23</vt:lpstr>
      <vt:lpstr>HISTOBQUEJUIL23</vt:lpstr>
      <vt:lpstr>HISTOBQUEAOUT23</vt:lpstr>
      <vt:lpstr>HISTOBQUESEPT23</vt:lpstr>
      <vt:lpstr>HISTOBQUEOCT23</vt:lpstr>
      <vt:lpstr>HISTOBQUENOV23</vt:lpstr>
      <vt:lpstr>HISTOBQUEDEC23</vt:lpstr>
      <vt:lpstr>HISTOBQUERESUME23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2024-02-10T12:40:09Z</dcterms:modified>
</cp:coreProperties>
</file>